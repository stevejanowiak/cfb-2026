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in_Probabilities" sheetId="2" state="visible" r:id="rId4"/>
    <sheet name="Market_Edge" sheetId="3" state="visible" r:id="rId5"/>
    <sheet name="Book_Shop" sheetId="4" state="visible" r:id="rId6"/>
    <sheet name="Ratings" sheetId="5" state="visible" r:id="rId7"/>
    <sheet name="Schedule" sheetId="6" state="visible" r:id="rId8"/>
    <sheet name="Convolution" sheetId="7" state="visible" r:id="rId9"/>
  </sheets>
  <definedNames>
    <definedName function="false" hidden="true" localSheetId="3" name="_xlnm._FilterDatabase" vbProcedure="false">Book_Shop!$A$2:$U$115</definedName>
    <definedName function="false" hidden="true" localSheetId="2" name="_xlnm._FilterDatabase" vbProcedure="false">Market_Edge!$A$1:$P$138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<sst xmlns="http://schemas.openxmlformats.org/spreadsheetml/2006/main" count="4829" uniqueCount="410">
  <si>
    <t xml:space="preserve">Model Assumptions</t>
  </si>
  <si>
    <t xml:space="preserve">Home field advantage (pts)</t>
  </si>
  <si>
    <t xml:space="preserve">Added to home team rating; 0 at neutral sites. Source: user spec.</t>
  </si>
  <si>
    <t xml:space="preserve">Spread standard deviation</t>
  </si>
  <si>
    <t xml:space="preserve">Sigma in NORMDIST. Source: Adjust cell B1, Wk_01_Sch, 2025_NCAA.xlsx.</t>
  </si>
  <si>
    <t xml:space="preserve">Default FCS rating</t>
  </si>
  <si>
    <t xml:space="preserve">ASSUMPTION: FCS opponents are not in SP+. Defaulted to the worst FBS rating (UMass). Override any team on Ratings tab.</t>
  </si>
  <si>
    <t xml:space="preserve">SP+ ratings</t>
  </si>
  <si>
    <t xml:space="preserve">2026 preseason SP+, as supplied in NCAA_2026.xlsx.</t>
  </si>
  <si>
    <t xml:space="preserve">Schedule source</t>
  </si>
  <si>
    <t xml:space="preserve">Weeks 0-13 as supplied. Weeks 0-13 as supplied, PLUS Army vs Navy (Dec 12 2026, MetLife Stadium, neutral site) added by Claude. Source: westpoint.edu, metlifestadium.com, CBS Sports.</t>
  </si>
  <si>
    <t xml:space="preserve">FCS CONFERENCE BASELINES (SP+ scale)</t>
  </si>
  <si>
    <t xml:space="preserve">ASSUMPTION: FCS teams have no SP+ rating. Calibrated against the two FCS-&gt;FBS transition programs in SP+: NDSU -1.8 and Sac State -23.4.</t>
  </si>
  <si>
    <t xml:space="preserve">MVFC</t>
  </si>
  <si>
    <t xml:space="preserve">Big Sky</t>
  </si>
  <si>
    <t xml:space="preserve">CAA</t>
  </si>
  <si>
    <t xml:space="preserve">SoCon</t>
  </si>
  <si>
    <t xml:space="preserve">UAC</t>
  </si>
  <si>
    <t xml:space="preserve">Southland</t>
  </si>
  <si>
    <t xml:space="preserve">BigSouth-OVC</t>
  </si>
  <si>
    <t xml:space="preserve">SWAC</t>
  </si>
  <si>
    <t xml:space="preserve">Patriot</t>
  </si>
  <si>
    <t xml:space="preserve">MEAC</t>
  </si>
  <si>
    <t xml:space="preserve">NEC</t>
  </si>
  <si>
    <t xml:space="preserve">PROGRAM TIER ADJUSTMENT (pts)</t>
  </si>
  <si>
    <t xml:space="preserve">Elite</t>
  </si>
  <si>
    <t xml:space="preserve">Strong</t>
  </si>
  <si>
    <t xml:space="preserve">Average</t>
  </si>
  <si>
    <t xml:space="preserve">Weak</t>
  </si>
  <si>
    <t xml:space="preserve">Transition</t>
  </si>
  <si>
    <t xml:space="preserve">LEGEND</t>
  </si>
  <si>
    <t xml:space="preserve">Blue text on yellow = input you can change</t>
  </si>
  <si>
    <t xml:space="preserve">Black text = calculated, do not overwrite</t>
  </si>
  <si>
    <t xml:space="preserve">FCS rating = conference baseline + program tier adjustment. Edit either table above,</t>
  </si>
  <si>
    <t xml:space="preserve">or type a number straight over any rating on the Ratings tab to override one team.</t>
  </si>
  <si>
    <t xml:space="preserve">Rank</t>
  </si>
  <si>
    <t xml:space="preserve">Team</t>
  </si>
  <si>
    <t xml:space="preserve">Rating</t>
  </si>
  <si>
    <t xml:space="preserve">Gms</t>
  </si>
  <si>
    <t xml:space="preserve">Exp Wins</t>
  </si>
  <si>
    <t xml:space="preserve">P(0)</t>
  </si>
  <si>
    <t xml:space="preserve">P(1)</t>
  </si>
  <si>
    <t xml:space="preserve">P(2)</t>
  </si>
  <si>
    <t xml:space="preserve">P(3)</t>
  </si>
  <si>
    <t xml:space="preserve">P(4)</t>
  </si>
  <si>
    <t xml:space="preserve">P(5)</t>
  </si>
  <si>
    <t xml:space="preserve">P(6)</t>
  </si>
  <si>
    <t xml:space="preserve">P(7)</t>
  </si>
  <si>
    <t xml:space="preserve">P(8)</t>
  </si>
  <si>
    <t xml:space="preserve">P(9)</t>
  </si>
  <si>
    <t xml:space="preserve">P(10)</t>
  </si>
  <si>
    <t xml:space="preserve">P(11)</t>
  </si>
  <si>
    <t xml:space="preserve">P(12)</t>
  </si>
  <si>
    <t xml:space="preserve">P(13)</t>
  </si>
  <si>
    <t xml:space="preserve">Most Likely</t>
  </si>
  <si>
    <t xml:space="preserve">P(6+) Bowl</t>
  </si>
  <si>
    <t xml:space="preserve">P(10+)</t>
  </si>
  <si>
    <t xml:space="preserve">Sum Check</t>
  </si>
  <si>
    <t xml:space="preserve">Ohio St.</t>
  </si>
  <si>
    <t xml:space="preserve">Oregon</t>
  </si>
  <si>
    <t xml:space="preserve">Notre Dame</t>
  </si>
  <si>
    <t xml:space="preserve">Georgia</t>
  </si>
  <si>
    <t xml:space="preserve">Indiana</t>
  </si>
  <si>
    <t xml:space="preserve">Texas</t>
  </si>
  <si>
    <t xml:space="preserve">Miami</t>
  </si>
  <si>
    <t xml:space="preserve">Texas Tech</t>
  </si>
  <si>
    <t xml:space="preserve">Texas A&amp;M</t>
  </si>
  <si>
    <t xml:space="preserve">LSU</t>
  </si>
  <si>
    <t xml:space="preserve">Oklahoma</t>
  </si>
  <si>
    <t xml:space="preserve">USC</t>
  </si>
  <si>
    <t xml:space="preserve">Alabama</t>
  </si>
  <si>
    <t xml:space="preserve">Tennessee</t>
  </si>
  <si>
    <t xml:space="preserve">Michigan</t>
  </si>
  <si>
    <t xml:space="preserve">Ole Miss</t>
  </si>
  <si>
    <t xml:space="preserve">Penn St.</t>
  </si>
  <si>
    <t xml:space="preserve">Washington</t>
  </si>
  <si>
    <t xml:space="preserve">Missouri</t>
  </si>
  <si>
    <t xml:space="preserve">Florida</t>
  </si>
  <si>
    <t xml:space="preserve">BYU</t>
  </si>
  <si>
    <t xml:space="preserve">Iowa</t>
  </si>
  <si>
    <t xml:space="preserve">Clemson</t>
  </si>
  <si>
    <t xml:space="preserve">S. Carolina</t>
  </si>
  <si>
    <t xml:space="preserve">SMU</t>
  </si>
  <si>
    <t xml:space="preserve">Auburn</t>
  </si>
  <si>
    <t xml:space="preserve">Louisville</t>
  </si>
  <si>
    <t xml:space="preserve">Illinois</t>
  </si>
  <si>
    <t xml:space="preserve">Vanderbilt</t>
  </si>
  <si>
    <t xml:space="preserve">Utah</t>
  </si>
  <si>
    <t xml:space="preserve">Arizona</t>
  </si>
  <si>
    <t xml:space="preserve">TCU</t>
  </si>
  <si>
    <t xml:space="preserve">Nebraska</t>
  </si>
  <si>
    <t xml:space="preserve">Kansas St.</t>
  </si>
  <si>
    <t xml:space="preserve">Florida St.</t>
  </si>
  <si>
    <t xml:space="preserve">Va. Tech</t>
  </si>
  <si>
    <t xml:space="preserve">Virginia</t>
  </si>
  <si>
    <t xml:space="preserve">Houston</t>
  </si>
  <si>
    <t xml:space="preserve">Oklahoma St.</t>
  </si>
  <si>
    <t xml:space="preserve">Minnesota</t>
  </si>
  <si>
    <t xml:space="preserve">Pittsburgh</t>
  </si>
  <si>
    <t xml:space="preserve">Ga. Tech</t>
  </si>
  <si>
    <t xml:space="preserve">NC St.</t>
  </si>
  <si>
    <t xml:space="preserve">Arkansas</t>
  </si>
  <si>
    <t xml:space="preserve">Duke</t>
  </si>
  <si>
    <t xml:space="preserve">UCLA</t>
  </si>
  <si>
    <t xml:space="preserve">Kentucky</t>
  </si>
  <si>
    <t xml:space="preserve">Maryland</t>
  </si>
  <si>
    <t xml:space="preserve">Boise St.</t>
  </si>
  <si>
    <t xml:space="preserve">Northwestern</t>
  </si>
  <si>
    <t xml:space="preserve">Arizona St.</t>
  </si>
  <si>
    <t xml:space="preserve">Miss. St.</t>
  </si>
  <si>
    <t xml:space="preserve">Wisconsin</t>
  </si>
  <si>
    <t xml:space="preserve">Baylor</t>
  </si>
  <si>
    <t xml:space="preserve">UNLV</t>
  </si>
  <si>
    <t xml:space="preserve">N. Carolina</t>
  </si>
  <si>
    <t xml:space="preserve">Wake Forest</t>
  </si>
  <si>
    <t xml:space="preserve">Kansas</t>
  </si>
  <si>
    <t xml:space="preserve">Cincinnati</t>
  </si>
  <si>
    <t xml:space="preserve">California</t>
  </si>
  <si>
    <t xml:space="preserve">Rutgers</t>
  </si>
  <si>
    <t xml:space="preserve">Michigan St.</t>
  </si>
  <si>
    <t xml:space="preserve">UCF</t>
  </si>
  <si>
    <t xml:space="preserve">Navy</t>
  </si>
  <si>
    <t xml:space="preserve">SDSU</t>
  </si>
  <si>
    <t xml:space="preserve">Colorado</t>
  </si>
  <si>
    <t xml:space="preserve">Memphis</t>
  </si>
  <si>
    <t xml:space="preserve">New Mexico</t>
  </si>
  <si>
    <t xml:space="preserve">Iowa St.</t>
  </si>
  <si>
    <t xml:space="preserve">JMU</t>
  </si>
  <si>
    <t xml:space="preserve">UTSA</t>
  </si>
  <si>
    <t xml:space="preserve">WVU</t>
  </si>
  <si>
    <t xml:space="preserve">Fresno St.</t>
  </si>
  <si>
    <t xml:space="preserve">USF</t>
  </si>
  <si>
    <t xml:space="preserve">NDSU</t>
  </si>
  <si>
    <t xml:space="preserve">Syracuse</t>
  </si>
  <si>
    <t xml:space="preserve">Texas St.</t>
  </si>
  <si>
    <t xml:space="preserve">Purdue</t>
  </si>
  <si>
    <t xml:space="preserve">Stanford</t>
  </si>
  <si>
    <t xml:space="preserve">ECU</t>
  </si>
  <si>
    <t xml:space="preserve">Army</t>
  </si>
  <si>
    <t xml:space="preserve">Boston Coll.</t>
  </si>
  <si>
    <t xml:space="preserve">Hawaii</t>
  </si>
  <si>
    <t xml:space="preserve">Air Force</t>
  </si>
  <si>
    <t xml:space="preserve">Miami-OH</t>
  </si>
  <si>
    <t xml:space="preserve">Wash. St.</t>
  </si>
  <si>
    <t xml:space="preserve">Tulane</t>
  </si>
  <si>
    <t xml:space="preserve">Liberty</t>
  </si>
  <si>
    <t xml:space="preserve">Oregon St.</t>
  </si>
  <si>
    <t xml:space="preserve">WMU</t>
  </si>
  <si>
    <t xml:space="preserve">FAU</t>
  </si>
  <si>
    <t xml:space="preserve">Tulsa</t>
  </si>
  <si>
    <t xml:space="preserve">ODU</t>
  </si>
  <si>
    <t xml:space="preserve">WKU</t>
  </si>
  <si>
    <t xml:space="preserve">J'ville St.</t>
  </si>
  <si>
    <t xml:space="preserve">Utah St.</t>
  </si>
  <si>
    <t xml:space="preserve">Troy</t>
  </si>
  <si>
    <t xml:space="preserve">Marshall</t>
  </si>
  <si>
    <t xml:space="preserve">La. Tech</t>
  </si>
  <si>
    <t xml:space="preserve">Temple</t>
  </si>
  <si>
    <t xml:space="preserve">Toledo</t>
  </si>
  <si>
    <t xml:space="preserve">Louisiana</t>
  </si>
  <si>
    <t xml:space="preserve">Ga. Southern</t>
  </si>
  <si>
    <t xml:space="preserve">Wyoming</t>
  </si>
  <si>
    <t xml:space="preserve">N. Texas</t>
  </si>
  <si>
    <t xml:space="preserve">Arkansas St.</t>
  </si>
  <si>
    <t xml:space="preserve">Colorado St.</t>
  </si>
  <si>
    <t xml:space="preserve">Nevada</t>
  </si>
  <si>
    <t xml:space="preserve">Ohio</t>
  </si>
  <si>
    <t xml:space="preserve">UConn</t>
  </si>
  <si>
    <t xml:space="preserve">Buffalo</t>
  </si>
  <si>
    <t xml:space="preserve">App. St.</t>
  </si>
  <si>
    <t xml:space="preserve">Delaware</t>
  </si>
  <si>
    <t xml:space="preserve">Kennesaw St.</t>
  </si>
  <si>
    <t xml:space="preserve">FIU</t>
  </si>
  <si>
    <t xml:space="preserve">S. Alabama</t>
  </si>
  <si>
    <t xml:space="preserve">Coastal Caro.</t>
  </si>
  <si>
    <t xml:space="preserve">BGSU</t>
  </si>
  <si>
    <t xml:space="preserve">CMU</t>
  </si>
  <si>
    <t xml:space="preserve">Rice</t>
  </si>
  <si>
    <t xml:space="preserve">SJSU</t>
  </si>
  <si>
    <t xml:space="preserve">EMU</t>
  </si>
  <si>
    <t xml:space="preserve">NIU</t>
  </si>
  <si>
    <t xml:space="preserve">UAB</t>
  </si>
  <si>
    <t xml:space="preserve">NMSU</t>
  </si>
  <si>
    <t xml:space="preserve">Missouri St.</t>
  </si>
  <si>
    <t xml:space="preserve">UTEP</t>
  </si>
  <si>
    <t xml:space="preserve">So. Miss</t>
  </si>
  <si>
    <t xml:space="preserve">Kent St.</t>
  </si>
  <si>
    <t xml:space="preserve">Akron</t>
  </si>
  <si>
    <t xml:space="preserve">Sac State</t>
  </si>
  <si>
    <t xml:space="preserve">Charlotte</t>
  </si>
  <si>
    <t xml:space="preserve">Ball St.</t>
  </si>
  <si>
    <t xml:space="preserve">Sam Houston</t>
  </si>
  <si>
    <t xml:space="preserve">MTSU</t>
  </si>
  <si>
    <t xml:space="preserve">UL-Monroe</t>
  </si>
  <si>
    <t xml:space="preserve">Georgia St.</t>
  </si>
  <si>
    <t xml:space="preserve">UMass</t>
  </si>
  <si>
    <t xml:space="preserve">Line</t>
  </si>
  <si>
    <t xml:space="preserve">Over Odds</t>
  </si>
  <si>
    <t xml:space="preserve">Under Odds</t>
  </si>
  <si>
    <t xml:space="preserve">Model Exp W</t>
  </si>
  <si>
    <t xml:space="preserve">Model P(Over)</t>
  </si>
  <si>
    <t xml:space="preserve">Mkt P(Over) raw</t>
  </si>
  <si>
    <t xml:space="preserve">Mkt P(Under) raw</t>
  </si>
  <si>
    <t xml:space="preserve">Vig</t>
  </si>
  <si>
    <t xml:space="preserve">Fair P(Over)</t>
  </si>
  <si>
    <t xml:space="preserve">Edge (Over)</t>
  </si>
  <si>
    <t xml:space="preserve">Bet</t>
  </si>
  <si>
    <t xml:space="preserve">Bet Prob</t>
  </si>
  <si>
    <t xml:space="preserve">Bet Price</t>
  </si>
  <si>
    <t xml:space="preserve">EV per $100</t>
  </si>
  <si>
    <t xml:space="preserve">Kelly %</t>
  </si>
  <si>
    <t xml:space="preserve">NDSU has no posted win total (first-year FBS transition) and is excluded.</t>
  </si>
  <si>
    <t xml:space="preserve">Lines are BLUE/YELLOW inputs - edit any line or price and every figure recalculates.</t>
  </si>
  <si>
    <t xml:space="preserve">Per-book OVER lines &amp; prices (VegasInsider, updated Aug 17 2026). UNDER prices are not published on that page, so only OVER bets can be priced here. Blue/yellow cells are inputs.</t>
  </si>
  <si>
    <t xml:space="preserve">BetMGM Line</t>
  </si>
  <si>
    <t xml:space="preserve">BetMGM Over</t>
  </si>
  <si>
    <t xml:space="preserve">BetMGM ModelP</t>
  </si>
  <si>
    <t xml:space="preserve">BetMGM EV/$100</t>
  </si>
  <si>
    <t xml:space="preserve">DraftKings Line</t>
  </si>
  <si>
    <t xml:space="preserve">DraftKings Over</t>
  </si>
  <si>
    <t xml:space="preserve">DraftKings ModelP</t>
  </si>
  <si>
    <t xml:space="preserve">DraftKings EV/$100</t>
  </si>
  <si>
    <t xml:space="preserve">FanDuel Line</t>
  </si>
  <si>
    <t xml:space="preserve">FanDuel Over</t>
  </si>
  <si>
    <t xml:space="preserve">FanDuel ModelP</t>
  </si>
  <si>
    <t xml:space="preserve">FanDuel EV/$100</t>
  </si>
  <si>
    <t xml:space="preserve">RiversCasino Line</t>
  </si>
  <si>
    <t xml:space="preserve">RiversCasino Over</t>
  </si>
  <si>
    <t xml:space="preserve">RiversCasino ModelP</t>
  </si>
  <si>
    <t xml:space="preserve">RiversCasino EV/$100</t>
  </si>
  <si>
    <t xml:space="preserve">Best Book (Over)</t>
  </si>
  <si>
    <t xml:space="preserve">Best EV</t>
  </si>
  <si>
    <t xml:space="preserve">Line Spread</t>
  </si>
  <si>
    <t xml:space="preserve">—</t>
  </si>
  <si>
    <t xml:space="preserve">MISSING: 25 teams were below the page truncation point and are not included here. See Market_Edge for those.</t>
  </si>
  <si>
    <t xml:space="preserve">Source</t>
  </si>
  <si>
    <t xml:space="preserve">Conference</t>
  </si>
  <si>
    <t xml:space="preserve">Tier</t>
  </si>
  <si>
    <t xml:space="preserve">SP+ 2026</t>
  </si>
  <si>
    <t xml:space="preserve">Abilene Christian</t>
  </si>
  <si>
    <t xml:space="preserve">ASSUMED - FCS, tiered</t>
  </si>
  <si>
    <t xml:space="preserve">Alabama State</t>
  </si>
  <si>
    <t xml:space="preserve">Alcorn State</t>
  </si>
  <si>
    <t xml:space="preserve">Austin Peay</t>
  </si>
  <si>
    <t xml:space="preserve">Bethune-Cookman</t>
  </si>
  <si>
    <t xml:space="preserve">Bryant</t>
  </si>
  <si>
    <t xml:space="preserve">Bucknell</t>
  </si>
  <si>
    <t xml:space="preserve">CCSU</t>
  </si>
  <si>
    <t xml:space="preserve">Cal Poly</t>
  </si>
  <si>
    <t xml:space="preserve">Campbell</t>
  </si>
  <si>
    <t xml:space="preserve">Central Arkansas</t>
  </si>
  <si>
    <t xml:space="preserve">Charleston So.</t>
  </si>
  <si>
    <t xml:space="preserve">Chattanooga</t>
  </si>
  <si>
    <t xml:space="preserve">Colgate</t>
  </si>
  <si>
    <t xml:space="preserve">Delaware State</t>
  </si>
  <si>
    <t xml:space="preserve">Duquesne</t>
  </si>
  <si>
    <t xml:space="preserve">ETSU</t>
  </si>
  <si>
    <t xml:space="preserve">East Texas A&amp;M</t>
  </si>
  <si>
    <t xml:space="preserve">Eastern Illinois</t>
  </si>
  <si>
    <t xml:space="preserve">Eastern Kentucky</t>
  </si>
  <si>
    <t xml:space="preserve">Eastern Washington</t>
  </si>
  <si>
    <t xml:space="preserve">Elon</t>
  </si>
  <si>
    <t xml:space="preserve">Florida A&amp;M</t>
  </si>
  <si>
    <t xml:space="preserve">Fordham</t>
  </si>
  <si>
    <t xml:space="preserve">Furman</t>
  </si>
  <si>
    <t xml:space="preserve">Gardner-Webb</t>
  </si>
  <si>
    <t xml:space="preserve">Grambling State</t>
  </si>
  <si>
    <t xml:space="preserve">HCU</t>
  </si>
  <si>
    <t xml:space="preserve">Hampton</t>
  </si>
  <si>
    <t xml:space="preserve">Holy Cross</t>
  </si>
  <si>
    <t xml:space="preserve">Howard</t>
  </si>
  <si>
    <t xml:space="preserve">Idaho</t>
  </si>
  <si>
    <t xml:space="preserve">Idaho State</t>
  </si>
  <si>
    <t xml:space="preserve">Illinois State</t>
  </si>
  <si>
    <t xml:space="preserve">Indiana State</t>
  </si>
  <si>
    <t xml:space="preserve">LIU</t>
  </si>
  <si>
    <t xml:space="preserve">Lafayette</t>
  </si>
  <si>
    <t xml:space="preserve">Lamar</t>
  </si>
  <si>
    <t xml:space="preserve">Lindenwood</t>
  </si>
  <si>
    <t xml:space="preserve">MVSU</t>
  </si>
  <si>
    <t xml:space="preserve">Maine</t>
  </si>
  <si>
    <t xml:space="preserve">McNeese</t>
  </si>
  <si>
    <t xml:space="preserve">Mercer</t>
  </si>
  <si>
    <t xml:space="preserve">Mercyhurst</t>
  </si>
  <si>
    <t xml:space="preserve">Merrimack</t>
  </si>
  <si>
    <t xml:space="preserve">Monmouth</t>
  </si>
  <si>
    <t xml:space="preserve">Montana</t>
  </si>
  <si>
    <t xml:space="preserve">Montana State</t>
  </si>
  <si>
    <t xml:space="preserve">Morgan State</t>
  </si>
  <si>
    <t xml:space="preserve">Murray State</t>
  </si>
  <si>
    <t xml:space="preserve">NC Central</t>
  </si>
  <si>
    <t xml:space="preserve">New Hampshire</t>
  </si>
  <si>
    <t xml:space="preserve">Nicholls</t>
  </si>
  <si>
    <t xml:space="preserve">Norfolk State</t>
  </si>
  <si>
    <t xml:space="preserve">North Alabama</t>
  </si>
  <si>
    <t xml:space="preserve">North Carolina A&amp;T</t>
  </si>
  <si>
    <t xml:space="preserve">North Dakota</t>
  </si>
  <si>
    <t xml:space="preserve">Northern Arizona</t>
  </si>
  <si>
    <t xml:space="preserve">Northern Colorado</t>
  </si>
  <si>
    <t xml:space="preserve">Northern Iowa</t>
  </si>
  <si>
    <t xml:space="preserve">Northwestern State</t>
  </si>
  <si>
    <t xml:space="preserve">Portland State</t>
  </si>
  <si>
    <t xml:space="preserve">Prairie View A&amp;M</t>
  </si>
  <si>
    <t xml:space="preserve">Rhode Island</t>
  </si>
  <si>
    <t xml:space="preserve">Richmond</t>
  </si>
  <si>
    <t xml:space="preserve">Robert Morris</t>
  </si>
  <si>
    <t xml:space="preserve">Sacred Heart</t>
  </si>
  <si>
    <t xml:space="preserve">Samford</t>
  </si>
  <si>
    <t xml:space="preserve">South Dakota</t>
  </si>
  <si>
    <t xml:space="preserve">South Dakota State</t>
  </si>
  <si>
    <t xml:space="preserve">Southeast Missouri</t>
  </si>
  <si>
    <t xml:space="preserve">Southeastern La.</t>
  </si>
  <si>
    <t xml:space="preserve">Southern</t>
  </si>
  <si>
    <t xml:space="preserve">Southern Illinois</t>
  </si>
  <si>
    <t xml:space="preserve">Southern Utah</t>
  </si>
  <si>
    <t xml:space="preserve">Stonehill</t>
  </si>
  <si>
    <t xml:space="preserve">Stony Brook</t>
  </si>
  <si>
    <t xml:space="preserve">Tarleton State</t>
  </si>
  <si>
    <t xml:space="preserve">Tennessee State</t>
  </si>
  <si>
    <t xml:space="preserve">Tennessee Tech</t>
  </si>
  <si>
    <t xml:space="preserve">Texas Southern</t>
  </si>
  <si>
    <t xml:space="preserve">The Citadel</t>
  </si>
  <si>
    <t xml:space="preserve">Towson</t>
  </si>
  <si>
    <t xml:space="preserve">UAPB</t>
  </si>
  <si>
    <t xml:space="preserve">UAlbany</t>
  </si>
  <si>
    <t xml:space="preserve">UC Davis</t>
  </si>
  <si>
    <t xml:space="preserve">UIW</t>
  </si>
  <si>
    <t xml:space="preserve">UT Martin</t>
  </si>
  <si>
    <t xml:space="preserve">UTRGV</t>
  </si>
  <si>
    <t xml:space="preserve">Utah Tech</t>
  </si>
  <si>
    <t xml:space="preserve">VMI</t>
  </si>
  <si>
    <t xml:space="preserve">Villanova</t>
  </si>
  <si>
    <t xml:space="preserve">Wagner</t>
  </si>
  <si>
    <t xml:space="preserve">Weber State</t>
  </si>
  <si>
    <t xml:space="preserve">West Georgia</t>
  </si>
  <si>
    <t xml:space="preserve">Western Carolina</t>
  </si>
  <si>
    <t xml:space="preserve">Western Illinois</t>
  </si>
  <si>
    <t xml:space="preserve">William &amp; Mary</t>
  </si>
  <si>
    <t xml:space="preserve">Wofford</t>
  </si>
  <si>
    <t xml:space="preserve">Youngstown State</t>
  </si>
  <si>
    <t xml:space="preserve">G1 Opp</t>
  </si>
  <si>
    <t xml:space="preserve">G1 Site</t>
  </si>
  <si>
    <t xml:space="preserve">G1 OppRtg</t>
  </si>
  <si>
    <t xml:space="preserve">G1 HFA</t>
  </si>
  <si>
    <t xml:space="preserve">G1 WinProb</t>
  </si>
  <si>
    <t xml:space="preserve">G2 Opp</t>
  </si>
  <si>
    <t xml:space="preserve">G2 Site</t>
  </si>
  <si>
    <t xml:space="preserve">G2 OppRtg</t>
  </si>
  <si>
    <t xml:space="preserve">G2 HFA</t>
  </si>
  <si>
    <t xml:space="preserve">G2 WinProb</t>
  </si>
  <si>
    <t xml:space="preserve">G3 Opp</t>
  </si>
  <si>
    <t xml:space="preserve">G3 Site</t>
  </si>
  <si>
    <t xml:space="preserve">G3 OppRtg</t>
  </si>
  <si>
    <t xml:space="preserve">G3 HFA</t>
  </si>
  <si>
    <t xml:space="preserve">G3 WinProb</t>
  </si>
  <si>
    <t xml:space="preserve">G4 Opp</t>
  </si>
  <si>
    <t xml:space="preserve">G4 Site</t>
  </si>
  <si>
    <t xml:space="preserve">G4 OppRtg</t>
  </si>
  <si>
    <t xml:space="preserve">G4 HFA</t>
  </si>
  <si>
    <t xml:space="preserve">G4 WinProb</t>
  </si>
  <si>
    <t xml:space="preserve">G5 Opp</t>
  </si>
  <si>
    <t xml:space="preserve">G5 Site</t>
  </si>
  <si>
    <t xml:space="preserve">G5 OppRtg</t>
  </si>
  <si>
    <t xml:space="preserve">G5 HFA</t>
  </si>
  <si>
    <t xml:space="preserve">G5 WinProb</t>
  </si>
  <si>
    <t xml:space="preserve">G6 Opp</t>
  </si>
  <si>
    <t xml:space="preserve">G6 Site</t>
  </si>
  <si>
    <t xml:space="preserve">G6 OppRtg</t>
  </si>
  <si>
    <t xml:space="preserve">G6 HFA</t>
  </si>
  <si>
    <t xml:space="preserve">G6 WinProb</t>
  </si>
  <si>
    <t xml:space="preserve">G7 Opp</t>
  </si>
  <si>
    <t xml:space="preserve">G7 Site</t>
  </si>
  <si>
    <t xml:space="preserve">G7 OppRtg</t>
  </si>
  <si>
    <t xml:space="preserve">G7 HFA</t>
  </si>
  <si>
    <t xml:space="preserve">G7 WinProb</t>
  </si>
  <si>
    <t xml:space="preserve">G8 Opp</t>
  </si>
  <si>
    <t xml:space="preserve">G8 Site</t>
  </si>
  <si>
    <t xml:space="preserve">G8 OppRtg</t>
  </si>
  <si>
    <t xml:space="preserve">G8 HFA</t>
  </si>
  <si>
    <t xml:space="preserve">G8 WinProb</t>
  </si>
  <si>
    <t xml:space="preserve">G9 Opp</t>
  </si>
  <si>
    <t xml:space="preserve">G9 Site</t>
  </si>
  <si>
    <t xml:space="preserve">G9 OppRtg</t>
  </si>
  <si>
    <t xml:space="preserve">G9 HFA</t>
  </si>
  <si>
    <t xml:space="preserve">G9 WinProb</t>
  </si>
  <si>
    <t xml:space="preserve">G10 Opp</t>
  </si>
  <si>
    <t xml:space="preserve">G10 Site</t>
  </si>
  <si>
    <t xml:space="preserve">G10 OppRtg</t>
  </si>
  <si>
    <t xml:space="preserve">G10 HFA</t>
  </si>
  <si>
    <t xml:space="preserve">G10 WinProb</t>
  </si>
  <si>
    <t xml:space="preserve">G11 Opp</t>
  </si>
  <si>
    <t xml:space="preserve">G11 Site</t>
  </si>
  <si>
    <t xml:space="preserve">G11 OppRtg</t>
  </si>
  <si>
    <t xml:space="preserve">G11 HFA</t>
  </si>
  <si>
    <t xml:space="preserve">G11 WinProb</t>
  </si>
  <si>
    <t xml:space="preserve">G12 Opp</t>
  </si>
  <si>
    <t xml:space="preserve">G12 Site</t>
  </si>
  <si>
    <t xml:space="preserve">G12 OppRtg</t>
  </si>
  <si>
    <t xml:space="preserve">G12 HFA</t>
  </si>
  <si>
    <t xml:space="preserve">G12 WinProb</t>
  </si>
  <si>
    <t xml:space="preserve">G13 Opp</t>
  </si>
  <si>
    <t xml:space="preserve">G13 Site</t>
  </si>
  <si>
    <t xml:space="preserve">G13 OppRtg</t>
  </si>
  <si>
    <t xml:space="preserve">G13 HFA</t>
  </si>
  <si>
    <t xml:space="preserve">G13 WinProb</t>
  </si>
  <si>
    <t xml:space="preserve">Games</t>
  </si>
  <si>
    <t xml:space="preserve">Home</t>
  </si>
  <si>
    <t xml:space="preserve">Away</t>
  </si>
  <si>
    <t xml:space="preserve">Neutral</t>
  </si>
  <si>
    <t xml:space="preserve">Recursive win-distribution. Row = win count, column = after that game. A blank game prob (bye/unplayed) carries the distribution forward unchanged.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</si>
</sst>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.0%"/>
    <numFmt numFmtId="168" formatCode="\$0.00"/>
    <numFmt numFmtId="169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2.5</v>
      </c>
      <c r="C2" s="2" t="s">
        <v>2</v>
      </c>
    </row>
    <row r="3" customFormat="false" ht="15" hidden="false" customHeight="false" outlineLevel="0" collapsed="false">
      <c r="A3" s="2" t="s">
        <v>3</v>
      </c>
      <c r="B3" s="3" t="n">
        <v>16</v>
      </c>
      <c r="C3" s="2" t="s">
        <v>4</v>
      </c>
    </row>
    <row r="4" customFormat="false" ht="15" hidden="false" customHeight="false" outlineLevel="0" collapsed="false">
      <c r="A4" s="2" t="s">
        <v>5</v>
      </c>
      <c r="B4" s="3" t="n">
        <v>-32.9</v>
      </c>
      <c r="C4" s="2" t="s">
        <v>6</v>
      </c>
    </row>
    <row r="5" customFormat="false" ht="15" hidden="false" customHeight="false" outlineLevel="0" collapsed="false">
      <c r="A5" s="2" t="s">
        <v>7</v>
      </c>
      <c r="C5" s="2" t="s">
        <v>8</v>
      </c>
    </row>
    <row r="6" customFormat="false" ht="15" hidden="false" customHeight="false" outlineLevel="0" collapsed="false">
      <c r="A6" s="2" t="s">
        <v>9</v>
      </c>
      <c r="C6" s="2" t="s">
        <v>10</v>
      </c>
    </row>
    <row r="8" customFormat="false" ht="15" hidden="false" customHeight="false" outlineLevel="0" collapsed="false">
      <c r="A8" s="1" t="s">
        <v>11</v>
      </c>
      <c r="C8" s="2" t="s">
        <v>12</v>
      </c>
    </row>
    <row r="9" customFormat="false" ht="15" hidden="false" customHeight="false" outlineLevel="0" collapsed="false">
      <c r="A9" s="2" t="s">
        <v>13</v>
      </c>
      <c r="B9" s="3" t="n">
        <v>-19</v>
      </c>
    </row>
    <row r="10" customFormat="false" ht="15" hidden="false" customHeight="false" outlineLevel="0" collapsed="false">
      <c r="A10" s="2" t="s">
        <v>14</v>
      </c>
      <c r="B10" s="3" t="n">
        <v>-23</v>
      </c>
    </row>
    <row r="11" customFormat="false" ht="15" hidden="false" customHeight="false" outlineLevel="0" collapsed="false">
      <c r="A11" s="2" t="s">
        <v>15</v>
      </c>
      <c r="B11" s="3" t="n">
        <v>-26</v>
      </c>
    </row>
    <row r="12" customFormat="false" ht="15" hidden="false" customHeight="false" outlineLevel="0" collapsed="false">
      <c r="A12" s="2" t="s">
        <v>16</v>
      </c>
      <c r="B12" s="3" t="n">
        <v>-30</v>
      </c>
    </row>
    <row r="13" customFormat="false" ht="15" hidden="false" customHeight="false" outlineLevel="0" collapsed="false">
      <c r="A13" s="2" t="s">
        <v>17</v>
      </c>
      <c r="B13" s="3" t="n">
        <v>-33</v>
      </c>
    </row>
    <row r="14" customFormat="false" ht="15" hidden="false" customHeight="false" outlineLevel="0" collapsed="false">
      <c r="A14" s="2" t="s">
        <v>18</v>
      </c>
      <c r="B14" s="3" t="n">
        <v>-34</v>
      </c>
    </row>
    <row r="15" customFormat="false" ht="15" hidden="false" customHeight="false" outlineLevel="0" collapsed="false">
      <c r="A15" s="2" t="s">
        <v>19</v>
      </c>
      <c r="B15" s="3" t="n">
        <v>-34</v>
      </c>
    </row>
    <row r="16" customFormat="false" ht="15" hidden="false" customHeight="false" outlineLevel="0" collapsed="false">
      <c r="A16" s="2" t="s">
        <v>20</v>
      </c>
      <c r="B16" s="3" t="n">
        <v>-37</v>
      </c>
    </row>
    <row r="17" customFormat="false" ht="15" hidden="false" customHeight="false" outlineLevel="0" collapsed="false">
      <c r="A17" s="2" t="s">
        <v>21</v>
      </c>
      <c r="B17" s="3" t="n">
        <v>-39</v>
      </c>
    </row>
    <row r="18" customFormat="false" ht="15" hidden="false" customHeight="false" outlineLevel="0" collapsed="false">
      <c r="A18" s="2" t="s">
        <v>22</v>
      </c>
      <c r="B18" s="3" t="n">
        <v>-39</v>
      </c>
    </row>
    <row r="19" customFormat="false" ht="15" hidden="false" customHeight="false" outlineLevel="0" collapsed="false">
      <c r="A19" s="2" t="s">
        <v>23</v>
      </c>
      <c r="B19" s="3" t="n">
        <v>-44</v>
      </c>
    </row>
    <row r="21" customFormat="false" ht="15" hidden="false" customHeight="false" outlineLevel="0" collapsed="false">
      <c r="A21" s="1" t="s">
        <v>24</v>
      </c>
    </row>
    <row r="22" customFormat="false" ht="15" hidden="false" customHeight="false" outlineLevel="0" collapsed="false">
      <c r="A22" s="2" t="s">
        <v>25</v>
      </c>
      <c r="B22" s="3" t="n">
        <v>8</v>
      </c>
    </row>
    <row r="23" customFormat="false" ht="15" hidden="false" customHeight="false" outlineLevel="0" collapsed="false">
      <c r="A23" s="2" t="s">
        <v>26</v>
      </c>
      <c r="B23" s="3" t="n">
        <v>4</v>
      </c>
    </row>
    <row r="24" customFormat="false" ht="15" hidden="false" customHeight="false" outlineLevel="0" collapsed="false">
      <c r="A24" s="2" t="s">
        <v>27</v>
      </c>
      <c r="B24" s="3" t="n">
        <v>0</v>
      </c>
    </row>
    <row r="25" customFormat="false" ht="15" hidden="false" customHeight="false" outlineLevel="0" collapsed="false">
      <c r="A25" s="2" t="s">
        <v>28</v>
      </c>
      <c r="B25" s="3" t="n">
        <v>-5</v>
      </c>
    </row>
    <row r="26" customFormat="false" ht="15" hidden="false" customHeight="false" outlineLevel="0" collapsed="false">
      <c r="A26" s="2" t="s">
        <v>29</v>
      </c>
      <c r="B26" s="3" t="n">
        <v>-12</v>
      </c>
    </row>
    <row r="28" customFormat="false" ht="15" hidden="false" customHeight="false" outlineLevel="0" collapsed="false">
      <c r="A28" s="1" t="s">
        <v>30</v>
      </c>
    </row>
    <row r="29" customFormat="false" ht="15" hidden="false" customHeight="false" outlineLevel="0" collapsed="false">
      <c r="A29" s="2" t="s">
        <v>31</v>
      </c>
    </row>
    <row r="30" customFormat="false" ht="15" hidden="false" customHeight="false" outlineLevel="0" collapsed="false">
      <c r="A30" s="2" t="s">
        <v>32</v>
      </c>
    </row>
    <row r="31" customFormat="false" ht="15" hidden="false" customHeight="false" outlineLevel="0" collapsed="false">
      <c r="A31" s="2" t="s">
        <v>33</v>
      </c>
    </row>
    <row r="32" customFormat="false" ht="15" hidden="false" customHeight="false" outlineLevel="0" collapsed="false">
      <c r="A32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19" min="6" style="0" width="7"/>
  </cols>
  <sheetData>
    <row r="1" customFormat="false" ht="23.85" hidden="false" customHeight="false" outlineLevel="0" collapsed="false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  <c r="K1" s="4" t="s">
        <v>45</v>
      </c>
      <c r="L1" s="4" t="s">
        <v>46</v>
      </c>
      <c r="M1" s="4" t="s">
        <v>47</v>
      </c>
      <c r="N1" s="4" t="s">
        <v>48</v>
      </c>
      <c r="O1" s="4" t="s">
        <v>49</v>
      </c>
      <c r="P1" s="4" t="s">
        <v>50</v>
      </c>
      <c r="Q1" s="4" t="s">
        <v>51</v>
      </c>
      <c r="R1" s="4" t="s">
        <v>52</v>
      </c>
      <c r="S1" s="4" t="s">
        <v>53</v>
      </c>
      <c r="T1" s="4" t="s">
        <v>54</v>
      </c>
      <c r="U1" s="4" t="s">
        <v>55</v>
      </c>
      <c r="V1" s="4" t="s">
        <v>56</v>
      </c>
      <c r="W1" s="5" t="s">
        <v>57</v>
      </c>
    </row>
    <row r="2" customFormat="false" ht="15" hidden="false" customHeight="false" outlineLevel="0" collapsed="false">
      <c r="A2" s="2" t="n">
        <f aca="false">RANK(E2,$E$2:$E$139)</f>
        <v>3</v>
      </c>
      <c r="B2" s="2" t="s">
        <v>58</v>
      </c>
      <c r="C2" s="6" t="n">
        <f aca="false">Schedule!$B$2</f>
        <v>32.7</v>
      </c>
      <c r="D2" s="2" t="n">
        <v>12</v>
      </c>
      <c r="E2" s="7" t="n">
        <f aca="false">Schedule!$BQ$2</f>
        <v>10.2059667197444</v>
      </c>
      <c r="F2" s="8" t="n">
        <f aca="false">Convolution!O4</f>
        <v>1.40594489154901E-017</v>
      </c>
      <c r="G2" s="8" t="n">
        <f aca="false">Convolution!O5</f>
        <v>2.61271810988295E-013</v>
      </c>
      <c r="H2" s="8" t="n">
        <f aca="false">Convolution!O6</f>
        <v>1.10559970676174E-009</v>
      </c>
      <c r="I2" s="8" t="n">
        <f aca="false">Convolution!O7</f>
        <v>1.1994278546595E-007</v>
      </c>
      <c r="J2" s="8" t="n">
        <f aca="false">Convolution!O8</f>
        <v>5.22782195407289E-006</v>
      </c>
      <c r="K2" s="8" t="n">
        <f aca="false">Convolution!O9</f>
        <v>0.000118500714470919</v>
      </c>
      <c r="L2" s="8" t="n">
        <f aca="false">Convolution!O10</f>
        <v>0.00154794887045362</v>
      </c>
      <c r="M2" s="8" t="n">
        <f aca="false">Convolution!O11</f>
        <v>0.0122483212030799</v>
      </c>
      <c r="N2" s="8" t="n">
        <f aca="false">Convolution!O12</f>
        <v>0.0598578480991601</v>
      </c>
      <c r="O2" s="8" t="n">
        <f aca="false">Convolution!O13</f>
        <v>0.179622197008825</v>
      </c>
      <c r="P2" s="8" t="n">
        <f aca="false">Convolution!O14</f>
        <v>0.319159987888949</v>
      </c>
      <c r="Q2" s="8" t="n">
        <f aca="false">Convolution!O15</f>
        <v>0.30601360369556</v>
      </c>
      <c r="R2" s="8" t="n">
        <f aca="false">Convolution!O16</f>
        <v>0.121426243648901</v>
      </c>
      <c r="S2" s="8" t="n">
        <f aca="false">Convolution!O17</f>
        <v>0</v>
      </c>
      <c r="T2" s="2" t="str">
        <f aca="false">INDEX($F$1:$S$1,MATCH(MAX(F2:S2),F2:S2,0))</f>
        <v>P(10)</v>
      </c>
      <c r="U2" s="8" t="n">
        <f aca="false">SUM(L2:S2)</f>
        <v>0.999876150414928</v>
      </c>
      <c r="V2" s="8" t="n">
        <f aca="false">SUM(P2:S2)</f>
        <v>0.74659983523341</v>
      </c>
      <c r="W2" s="2" t="n">
        <f aca="false">ROUND(SUM(F2:S2),6)</f>
        <v>1</v>
      </c>
    </row>
    <row r="3" customFormat="false" ht="15" hidden="false" customHeight="false" outlineLevel="0" collapsed="false">
      <c r="A3" s="2" t="n">
        <f aca="false">RANK(E3,$E$2:$E$139)</f>
        <v>4</v>
      </c>
      <c r="B3" s="2" t="s">
        <v>59</v>
      </c>
      <c r="C3" s="6" t="n">
        <f aca="false">Schedule!$B$3</f>
        <v>29.2</v>
      </c>
      <c r="D3" s="2" t="n">
        <v>12</v>
      </c>
      <c r="E3" s="7" t="n">
        <f aca="false">Schedule!$BQ$3</f>
        <v>10.1750939623083</v>
      </c>
      <c r="F3" s="8" t="n">
        <f aca="false">Convolution!O20</f>
        <v>1.64564105370747E-014</v>
      </c>
      <c r="G3" s="8" t="n">
        <f aca="false">Convolution!O21</f>
        <v>5.41336215343322E-011</v>
      </c>
      <c r="H3" s="8" t="n">
        <f aca="false">Convolution!O22</f>
        <v>5.91199656221158E-009</v>
      </c>
      <c r="I3" s="8" t="n">
        <f aca="false">Convolution!O23</f>
        <v>2.83648053149648E-007</v>
      </c>
      <c r="J3" s="8" t="n">
        <f aca="false">Convolution!O24</f>
        <v>7.77557040126975E-006</v>
      </c>
      <c r="K3" s="8" t="n">
        <f aca="false">Convolution!O25</f>
        <v>0.000134274884065493</v>
      </c>
      <c r="L3" s="8" t="n">
        <f aca="false">Convolution!O26</f>
        <v>0.00152291260263721</v>
      </c>
      <c r="M3" s="8" t="n">
        <f aca="false">Convolution!O27</f>
        <v>0.011485800970285</v>
      </c>
      <c r="N3" s="8" t="n">
        <f aca="false">Convolution!O28</f>
        <v>0.0570427368230312</v>
      </c>
      <c r="O3" s="8" t="n">
        <f aca="false">Convolution!O29</f>
        <v>0.180197717026408</v>
      </c>
      <c r="P3" s="8" t="n">
        <f aca="false">Convolution!O30</f>
        <v>0.3362282940874</v>
      </c>
      <c r="Q3" s="8" t="n">
        <f aca="false">Convolution!O31</f>
        <v>0.316114129378506</v>
      </c>
      <c r="R3" s="8" t="n">
        <f aca="false">Convolution!O32</f>
        <v>0.0972660690430657</v>
      </c>
      <c r="S3" s="8" t="n">
        <f aca="false">Convolution!O33</f>
        <v>0</v>
      </c>
      <c r="T3" s="2" t="str">
        <f aca="false">INDEX($F$1:$S$1,MATCH(MAX(F3:S3),F3:S3,0))</f>
        <v>P(10)</v>
      </c>
      <c r="U3" s="8" t="n">
        <f aca="false">SUM(L3:S3)</f>
        <v>0.999857659931334</v>
      </c>
      <c r="V3" s="8" t="n">
        <f aca="false">SUM(P3:S3)</f>
        <v>0.749608492508972</v>
      </c>
      <c r="W3" s="2" t="n">
        <f aca="false">ROUND(SUM(F3:S3),6)</f>
        <v>1</v>
      </c>
    </row>
    <row r="4" customFormat="false" ht="15" hidden="false" customHeight="false" outlineLevel="0" collapsed="false">
      <c r="A4" s="2" t="n">
        <f aca="false">RANK(E4,$E$2:$E$139)</f>
        <v>1</v>
      </c>
      <c r="B4" s="2" t="s">
        <v>60</v>
      </c>
      <c r="C4" s="6" t="n">
        <f aca="false">Schedule!$B$4</f>
        <v>26.5</v>
      </c>
      <c r="D4" s="2" t="n">
        <v>12</v>
      </c>
      <c r="E4" s="7" t="n">
        <f aca="false">Schedule!$BQ$4</f>
        <v>10.8009833490479</v>
      </c>
      <c r="F4" s="8" t="n">
        <f aca="false">Convolution!O36</f>
        <v>1.32975537329689E-015</v>
      </c>
      <c r="G4" s="8" t="n">
        <f aca="false">Convolution!O37</f>
        <v>7.14944419043544E-013</v>
      </c>
      <c r="H4" s="8" t="n">
        <f aca="false">Convolution!O38</f>
        <v>1.05550578074789E-010</v>
      </c>
      <c r="I4" s="8" t="n">
        <f aca="false">Convolution!O39</f>
        <v>7.65917335979039E-009</v>
      </c>
      <c r="J4" s="8" t="n">
        <f aca="false">Convolution!O40</f>
        <v>3.2741868055459E-007</v>
      </c>
      <c r="K4" s="8" t="n">
        <f aca="false">Convolution!O41</f>
        <v>8.93305647784883E-006</v>
      </c>
      <c r="L4" s="8" t="n">
        <f aca="false">Convolution!O42</f>
        <v>0.000161327023571061</v>
      </c>
      <c r="M4" s="8" t="n">
        <f aca="false">Convolution!O43</f>
        <v>0.00194853531184334</v>
      </c>
      <c r="N4" s="8" t="n">
        <f aca="false">Convolution!O44</f>
        <v>0.0155722677919514</v>
      </c>
      <c r="O4" s="8" t="n">
        <f aca="false">Convolution!O45</f>
        <v>0.07965118932105</v>
      </c>
      <c r="P4" s="8" t="n">
        <f aca="false">Convolution!O46</f>
        <v>0.244402459741687</v>
      </c>
      <c r="Q4" s="8" t="n">
        <f aca="false">Convolution!O47</f>
        <v>0.398193232896349</v>
      </c>
      <c r="R4" s="8" t="n">
        <f aca="false">Convolution!O48</f>
        <v>0.26006171967295</v>
      </c>
      <c r="S4" s="8" t="n">
        <f aca="false">Convolution!O49</f>
        <v>0</v>
      </c>
      <c r="T4" s="2" t="str">
        <f aca="false">INDEX($F$1:$S$1,MATCH(MAX(F4:S4),F4:S4,0))</f>
        <v>P(11)</v>
      </c>
      <c r="U4" s="8" t="n">
        <f aca="false">SUM(L4:S4)</f>
        <v>0.999990731759401</v>
      </c>
      <c r="V4" s="8" t="n">
        <f aca="false">SUM(P4:S4)</f>
        <v>0.902657412310986</v>
      </c>
      <c r="W4" s="2" t="n">
        <f aca="false">ROUND(SUM(F4:S4),6)</f>
        <v>1</v>
      </c>
    </row>
    <row r="5" customFormat="false" ht="15" hidden="false" customHeight="false" outlineLevel="0" collapsed="false">
      <c r="A5" s="2" t="n">
        <f aca="false">RANK(E5,$E$2:$E$139)</f>
        <v>7</v>
      </c>
      <c r="B5" s="2" t="s">
        <v>61</v>
      </c>
      <c r="C5" s="6" t="n">
        <f aca="false">Schedule!$B$5</f>
        <v>26.4</v>
      </c>
      <c r="D5" s="2" t="n">
        <v>12</v>
      </c>
      <c r="E5" s="7" t="n">
        <f aca="false">Schedule!$BQ$5</f>
        <v>9.91770969117092</v>
      </c>
      <c r="F5" s="8" t="n">
        <f aca="false">Convolution!O52</f>
        <v>2.61265855453534E-014</v>
      </c>
      <c r="G5" s="8" t="n">
        <f aca="false">Convolution!O53</f>
        <v>6.2180656239226E-010</v>
      </c>
      <c r="H5" s="8" t="n">
        <f aca="false">Convolution!O54</f>
        <v>8.27572818491792E-008</v>
      </c>
      <c r="I5" s="8" t="n">
        <f aca="false">Convolution!O55</f>
        <v>3.25939840872281E-006</v>
      </c>
      <c r="J5" s="8" t="n">
        <f aca="false">Convolution!O56</f>
        <v>6.41302112667229E-005</v>
      </c>
      <c r="K5" s="8" t="n">
        <f aca="false">Convolution!O57</f>
        <v>0.000750301069413066</v>
      </c>
      <c r="L5" s="8" t="n">
        <f aca="false">Convolution!O58</f>
        <v>0.00564650585483969</v>
      </c>
      <c r="M5" s="8" t="n">
        <f aca="false">Convolution!O59</f>
        <v>0.0283430973293316</v>
      </c>
      <c r="N5" s="8" t="n">
        <f aca="false">Convolution!O60</f>
        <v>0.0958528308134305</v>
      </c>
      <c r="O5" s="8" t="n">
        <f aca="false">Convolution!O61</f>
        <v>0.215530702714826</v>
      </c>
      <c r="P5" s="8" t="n">
        <f aca="false">Convolution!O62</f>
        <v>0.308476672390829</v>
      </c>
      <c r="Q5" s="8" t="n">
        <f aca="false">Convolution!O63</f>
        <v>0.253943692698817</v>
      </c>
      <c r="R5" s="8" t="n">
        <f aca="false">Convolution!O64</f>
        <v>0.0913887241397239</v>
      </c>
      <c r="S5" s="8" t="n">
        <f aca="false">Convolution!O65</f>
        <v>0</v>
      </c>
      <c r="T5" s="2" t="str">
        <f aca="false">INDEX($F$1:$S$1,MATCH(MAX(F5:S5),F5:S5,0))</f>
        <v>P(10)</v>
      </c>
      <c r="U5" s="8" t="n">
        <f aca="false">SUM(L5:S5)</f>
        <v>0.999182225941797</v>
      </c>
      <c r="V5" s="8" t="n">
        <f aca="false">SUM(P5:S5)</f>
        <v>0.65380908922937</v>
      </c>
      <c r="W5" s="2" t="n">
        <f aca="false">ROUND(SUM(F5:S5),6)</f>
        <v>1</v>
      </c>
    </row>
    <row r="6" customFormat="false" ht="15" hidden="false" customHeight="false" outlineLevel="0" collapsed="false">
      <c r="A6" s="2" t="n">
        <f aca="false">RANK(E6,$E$2:$E$139)</f>
        <v>5</v>
      </c>
      <c r="B6" s="2" t="s">
        <v>62</v>
      </c>
      <c r="C6" s="6" t="n">
        <f aca="false">Schedule!$B$6</f>
        <v>25.8</v>
      </c>
      <c r="D6" s="2" t="n">
        <v>12</v>
      </c>
      <c r="E6" s="7" t="n">
        <f aca="false">Schedule!$BQ$6</f>
        <v>9.97676585168194</v>
      </c>
      <c r="F6" s="8" t="n">
        <f aca="false">Convolution!O68</f>
        <v>6.01832585593522E-017</v>
      </c>
      <c r="G6" s="8" t="n">
        <f aca="false">Convolution!O69</f>
        <v>4.65454785631703E-012</v>
      </c>
      <c r="H6" s="8" t="n">
        <f aca="false">Convolution!O70</f>
        <v>1.44710756372523E-009</v>
      </c>
      <c r="I6" s="8" t="n">
        <f aca="false">Convolution!O71</f>
        <v>1.51117896537486E-007</v>
      </c>
      <c r="J6" s="8" t="n">
        <f aca="false">Convolution!O72</f>
        <v>7.01440644706573E-006</v>
      </c>
      <c r="K6" s="8" t="n">
        <f aca="false">Convolution!O73</f>
        <v>0.000166474258420858</v>
      </c>
      <c r="L6" s="8" t="n">
        <f aca="false">Convolution!O74</f>
        <v>0.00221482912282157</v>
      </c>
      <c r="M6" s="8" t="n">
        <f aca="false">Convolution!O75</f>
        <v>0.0172848643389813</v>
      </c>
      <c r="N6" s="8" t="n">
        <f aca="false">Convolution!O76</f>
        <v>0.0802222851068155</v>
      </c>
      <c r="O6" s="8" t="n">
        <f aca="false">Convolution!O77</f>
        <v>0.219424979095749</v>
      </c>
      <c r="P6" s="8" t="n">
        <f aca="false">Convolution!O78</f>
        <v>0.339063455516793</v>
      </c>
      <c r="Q6" s="8" t="n">
        <f aca="false">Convolution!O79</f>
        <v>0.265007053494258</v>
      </c>
      <c r="R6" s="8" t="n">
        <f aca="false">Convolution!O80</f>
        <v>0.076608892090054</v>
      </c>
      <c r="S6" s="8" t="n">
        <f aca="false">Convolution!O81</f>
        <v>0</v>
      </c>
      <c r="T6" s="2" t="str">
        <f aca="false">INDEX($F$1:$S$1,MATCH(MAX(F6:S6),F6:S6,0))</f>
        <v>P(10)</v>
      </c>
      <c r="U6" s="8" t="n">
        <f aca="false">SUM(L6:S6)</f>
        <v>0.999826358765473</v>
      </c>
      <c r="V6" s="8" t="n">
        <f aca="false">SUM(P6:S6)</f>
        <v>0.680679401101106</v>
      </c>
      <c r="W6" s="2" t="n">
        <f aca="false">ROUND(SUM(F6:S6),6)</f>
        <v>1</v>
      </c>
    </row>
    <row r="7" customFormat="false" ht="15" hidden="false" customHeight="false" outlineLevel="0" collapsed="false">
      <c r="A7" s="2" t="n">
        <f aca="false">RANK(E7,$E$2:$E$139)</f>
        <v>18</v>
      </c>
      <c r="B7" s="2" t="s">
        <v>63</v>
      </c>
      <c r="C7" s="6" t="n">
        <f aca="false">Schedule!$B$7</f>
        <v>22.8</v>
      </c>
      <c r="D7" s="2" t="n">
        <v>12</v>
      </c>
      <c r="E7" s="7" t="n">
        <f aca="false">Schedule!$BQ$7</f>
        <v>8.24063646267982</v>
      </c>
      <c r="F7" s="8" t="n">
        <f aca="false">Convolution!O84</f>
        <v>2.05013192529732E-008</v>
      </c>
      <c r="G7" s="8" t="n">
        <f aca="false">Convolution!O85</f>
        <v>1.44571633700311E-006</v>
      </c>
      <c r="H7" s="8" t="n">
        <f aca="false">Convolution!O86</f>
        <v>4.04675595577629E-005</v>
      </c>
      <c r="I7" s="8" t="n">
        <f aca="false">Convolution!O87</f>
        <v>0.000587931801861898</v>
      </c>
      <c r="J7" s="8" t="n">
        <f aca="false">Convolution!O88</f>
        <v>0.00494056747694213</v>
      </c>
      <c r="K7" s="8" t="n">
        <f aca="false">Convolution!O89</f>
        <v>0.025504794288667</v>
      </c>
      <c r="L7" s="8" t="n">
        <f aca="false">Convolution!O90</f>
        <v>0.0843415625778205</v>
      </c>
      <c r="M7" s="8" t="n">
        <f aca="false">Convolution!O91</f>
        <v>0.183079323109271</v>
      </c>
      <c r="N7" s="8" t="n">
        <f aca="false">Convolution!O92</f>
        <v>0.262474525098457</v>
      </c>
      <c r="O7" s="8" t="n">
        <f aca="false">Convolution!O93</f>
        <v>0.244809954528189</v>
      </c>
      <c r="P7" s="8" t="n">
        <f aca="false">Convolution!O94</f>
        <v>0.141901351091031</v>
      </c>
      <c r="Q7" s="8" t="n">
        <f aca="false">Convolution!O95</f>
        <v>0.0460165696023651</v>
      </c>
      <c r="R7" s="8" t="n">
        <f aca="false">Convolution!O96</f>
        <v>0.0063014866481818</v>
      </c>
      <c r="S7" s="8" t="n">
        <f aca="false">Convolution!O97</f>
        <v>0</v>
      </c>
      <c r="T7" s="2" t="str">
        <f aca="false">INDEX($F$1:$S$1,MATCH(MAX(F7:S7),F7:S7,0))</f>
        <v>P(8)</v>
      </c>
      <c r="U7" s="8" t="n">
        <f aca="false">SUM(L7:S7)</f>
        <v>0.968924772655315</v>
      </c>
      <c r="V7" s="8" t="n">
        <f aca="false">SUM(P7:S7)</f>
        <v>0.194219407341578</v>
      </c>
      <c r="W7" s="2" t="n">
        <f aca="false">ROUND(SUM(F7:S7),6)</f>
        <v>1</v>
      </c>
    </row>
    <row r="8" customFormat="false" ht="15" hidden="false" customHeight="false" outlineLevel="0" collapsed="false">
      <c r="A8" s="2" t="n">
        <f aca="false">RANK(E8,$E$2:$E$139)</f>
        <v>6</v>
      </c>
      <c r="B8" s="2" t="s">
        <v>64</v>
      </c>
      <c r="C8" s="6" t="n">
        <f aca="false">Schedule!$B$8</f>
        <v>22</v>
      </c>
      <c r="D8" s="2" t="n">
        <v>12</v>
      </c>
      <c r="E8" s="7" t="n">
        <f aca="false">Schedule!$BQ$8</f>
        <v>9.95831019691517</v>
      </c>
      <c r="F8" s="8" t="n">
        <f aca="false">Convolution!O100</f>
        <v>3.70638255749063E-015</v>
      </c>
      <c r="G8" s="8" t="n">
        <f aca="false">Convolution!O101</f>
        <v>6.19820885368347E-011</v>
      </c>
      <c r="H8" s="8" t="n">
        <f aca="false">Convolution!O102</f>
        <v>1.33887750311188E-008</v>
      </c>
      <c r="I8" s="8" t="n">
        <f aca="false">Convolution!O103</f>
        <v>7.53073374206723E-007</v>
      </c>
      <c r="J8" s="8" t="n">
        <f aca="false">Convolution!O104</f>
        <v>2.02420658061358E-005</v>
      </c>
      <c r="K8" s="8" t="n">
        <f aca="false">Convolution!O105</f>
        <v>0.000314940912353675</v>
      </c>
      <c r="L8" s="8" t="n">
        <f aca="false">Convolution!O106</f>
        <v>0.0030829312689649</v>
      </c>
      <c r="M8" s="8" t="n">
        <f aca="false">Convolution!O107</f>
        <v>0.0196565128570441</v>
      </c>
      <c r="N8" s="8" t="n">
        <f aca="false">Convolution!O108</f>
        <v>0.0818544007648265</v>
      </c>
      <c r="O8" s="8" t="n">
        <f aca="false">Convolution!O109</f>
        <v>0.216485518524749</v>
      </c>
      <c r="P8" s="8" t="n">
        <f aca="false">Convolution!O110</f>
        <v>0.338713961128015</v>
      </c>
      <c r="Q8" s="8" t="n">
        <f aca="false">Convolution!O111</f>
        <v>0.268234135153348</v>
      </c>
      <c r="R8" s="8" t="n">
        <f aca="false">Convolution!O112</f>
        <v>0.0716365908007575</v>
      </c>
      <c r="S8" s="8" t="n">
        <f aca="false">Convolution!O113</f>
        <v>0</v>
      </c>
      <c r="T8" s="2" t="str">
        <f aca="false">INDEX($F$1:$S$1,MATCH(MAX(F8:S8),F8:S8,0))</f>
        <v>P(10)</v>
      </c>
      <c r="U8" s="8" t="n">
        <f aca="false">SUM(L8:S8)</f>
        <v>0.999664050497706</v>
      </c>
      <c r="V8" s="8" t="n">
        <f aca="false">SUM(P8:S8)</f>
        <v>0.678584687082121</v>
      </c>
      <c r="W8" s="2" t="n">
        <f aca="false">ROUND(SUM(F8:S8),6)</f>
        <v>1</v>
      </c>
    </row>
    <row r="9" customFormat="false" ht="15" hidden="false" customHeight="false" outlineLevel="0" collapsed="false">
      <c r="A9" s="2" t="n">
        <f aca="false">RANK(E9,$E$2:$E$139)</f>
        <v>2</v>
      </c>
      <c r="B9" s="2" t="s">
        <v>65</v>
      </c>
      <c r="C9" s="6" t="n">
        <f aca="false">Schedule!$B$9</f>
        <v>21.8</v>
      </c>
      <c r="D9" s="2" t="n">
        <v>12</v>
      </c>
      <c r="E9" s="7" t="n">
        <f aca="false">Schedule!$BQ$9</f>
        <v>10.6104956493875</v>
      </c>
      <c r="F9" s="8" t="n">
        <f aca="false">Convolution!O116</f>
        <v>4.16160431805373E-016</v>
      </c>
      <c r="G9" s="8" t="n">
        <f aca="false">Convolution!O117</f>
        <v>1.49302034378738E-012</v>
      </c>
      <c r="H9" s="8" t="n">
        <f aca="false">Convolution!O118</f>
        <v>1.26681264505826E-009</v>
      </c>
      <c r="I9" s="8" t="n">
        <f aca="false">Convolution!O119</f>
        <v>9.28651743272919E-008</v>
      </c>
      <c r="J9" s="8" t="n">
        <f aca="false">Convolution!O120</f>
        <v>3.04993121788601E-006</v>
      </c>
      <c r="K9" s="8" t="n">
        <f aca="false">Convolution!O121</f>
        <v>5.77760526768426E-005</v>
      </c>
      <c r="L9" s="8" t="n">
        <f aca="false">Convolution!O122</f>
        <v>0.000698038203427525</v>
      </c>
      <c r="M9" s="8" t="n">
        <f aca="false">Convolution!O123</f>
        <v>0.00563012970616767</v>
      </c>
      <c r="N9" s="8" t="n">
        <f aca="false">Convolution!O124</f>
        <v>0.0307711552037613</v>
      </c>
      <c r="O9" s="8" t="n">
        <f aca="false">Convolution!O125</f>
        <v>0.112768357212946</v>
      </c>
      <c r="P9" s="8" t="n">
        <f aca="false">Convolution!O126</f>
        <v>0.265689996177607</v>
      </c>
      <c r="Q9" s="8" t="n">
        <f aca="false">Convolution!O127</f>
        <v>0.363966107762387</v>
      </c>
      <c r="R9" s="8" t="n">
        <f aca="false">Convolution!O128</f>
        <v>0.220415295616328</v>
      </c>
      <c r="S9" s="8" t="n">
        <f aca="false">Convolution!O129</f>
        <v>0</v>
      </c>
      <c r="T9" s="2" t="str">
        <f aca="false">INDEX($F$1:$S$1,MATCH(MAX(F9:S9),F9:S9,0))</f>
        <v>P(11)</v>
      </c>
      <c r="U9" s="8" t="n">
        <f aca="false">SUM(L9:S9)</f>
        <v>0.999939079882625</v>
      </c>
      <c r="V9" s="8" t="n">
        <f aca="false">SUM(P9:S9)</f>
        <v>0.850071399556322</v>
      </c>
      <c r="W9" s="2" t="n">
        <f aca="false">ROUND(SUM(F9:S9),6)</f>
        <v>1</v>
      </c>
    </row>
    <row r="10" customFormat="false" ht="15" hidden="false" customHeight="false" outlineLevel="0" collapsed="false">
      <c r="A10" s="2" t="n">
        <f aca="false">RANK(E10,$E$2:$E$139)</f>
        <v>15</v>
      </c>
      <c r="B10" s="2" t="s">
        <v>66</v>
      </c>
      <c r="C10" s="6" t="n">
        <f aca="false">Schedule!$B$10</f>
        <v>20.9</v>
      </c>
      <c r="D10" s="2" t="n">
        <v>12</v>
      </c>
      <c r="E10" s="7" t="n">
        <f aca="false">Schedule!$BQ$10</f>
        <v>8.45076333021763</v>
      </c>
      <c r="F10" s="8" t="n">
        <f aca="false">Convolution!O132</f>
        <v>1.22856814706748E-011</v>
      </c>
      <c r="G10" s="8" t="n">
        <f aca="false">Convolution!O133</f>
        <v>3.25118556586512E-008</v>
      </c>
      <c r="H10" s="8" t="n">
        <f aca="false">Convolution!O134</f>
        <v>8.27268285097442E-006</v>
      </c>
      <c r="I10" s="8" t="n">
        <f aca="false">Convolution!O135</f>
        <v>0.000226349967386184</v>
      </c>
      <c r="J10" s="8" t="n">
        <f aca="false">Convolution!O136</f>
        <v>0.00267191450029108</v>
      </c>
      <c r="K10" s="8" t="n">
        <f aca="false">Convolution!O137</f>
        <v>0.0171971673394492</v>
      </c>
      <c r="L10" s="8" t="n">
        <f aca="false">Convolution!O138</f>
        <v>0.0663907437589581</v>
      </c>
      <c r="M10" s="8" t="n">
        <f aca="false">Convolution!O139</f>
        <v>0.161976324897982</v>
      </c>
      <c r="N10" s="8" t="n">
        <f aca="false">Convolution!O140</f>
        <v>0.255792751187047</v>
      </c>
      <c r="O10" s="8" t="n">
        <f aca="false">Convolution!O141</f>
        <v>0.260859465239779</v>
      </c>
      <c r="P10" s="8" t="n">
        <f aca="false">Convolution!O142</f>
        <v>0.165822403283957</v>
      </c>
      <c r="Q10" s="8" t="n">
        <f aca="false">Convolution!O143</f>
        <v>0.0597406540119744</v>
      </c>
      <c r="R10" s="8" t="n">
        <f aca="false">Convolution!O144</f>
        <v>0.00931392060618341</v>
      </c>
      <c r="S10" s="8" t="n">
        <f aca="false">Convolution!O145</f>
        <v>0</v>
      </c>
      <c r="T10" s="2" t="str">
        <f aca="false">INDEX($F$1:$S$1,MATCH(MAX(F10:S10),F10:S10,0))</f>
        <v>P(9)</v>
      </c>
      <c r="U10" s="8" t="n">
        <f aca="false">SUM(L10:S10)</f>
        <v>0.979896262985881</v>
      </c>
      <c r="V10" s="8" t="n">
        <f aca="false">SUM(P10:S10)</f>
        <v>0.234876977902115</v>
      </c>
      <c r="W10" s="2" t="n">
        <f aca="false">ROUND(SUM(F10:S10),6)</f>
        <v>1</v>
      </c>
    </row>
    <row r="11" customFormat="false" ht="15" hidden="false" customHeight="false" outlineLevel="0" collapsed="false">
      <c r="A11" s="2" t="n">
        <f aca="false">RANK(E11,$E$2:$E$139)</f>
        <v>13</v>
      </c>
      <c r="B11" s="2" t="s">
        <v>67</v>
      </c>
      <c r="C11" s="6" t="n">
        <f aca="false">Schedule!$B$11</f>
        <v>20.4</v>
      </c>
      <c r="D11" s="2" t="n">
        <v>12</v>
      </c>
      <c r="E11" s="7" t="n">
        <f aca="false">Schedule!$BQ$11</f>
        <v>8.53053727255091</v>
      </c>
      <c r="F11" s="8" t="n">
        <f aca="false">Convolution!O148</f>
        <v>4.53891733109996E-011</v>
      </c>
      <c r="G11" s="8" t="n">
        <f aca="false">Convolution!O149</f>
        <v>2.44338045575666E-007</v>
      </c>
      <c r="H11" s="8" t="n">
        <f aca="false">Convolution!O150</f>
        <v>1.63845145674215E-005</v>
      </c>
      <c r="I11" s="8" t="n">
        <f aca="false">Convolution!O151</f>
        <v>0.000319358720709045</v>
      </c>
      <c r="J11" s="8" t="n">
        <f aca="false">Convolution!O152</f>
        <v>0.00307045358738813</v>
      </c>
      <c r="K11" s="8" t="n">
        <f aca="false">Convolution!O153</f>
        <v>0.01739500352456</v>
      </c>
      <c r="L11" s="8" t="n">
        <f aca="false">Convolution!O154</f>
        <v>0.0629683219022623</v>
      </c>
      <c r="M11" s="8" t="n">
        <f aca="false">Convolution!O155</f>
        <v>0.151298622406101</v>
      </c>
      <c r="N11" s="8" t="n">
        <f aca="false">Convolution!O156</f>
        <v>0.244101362036283</v>
      </c>
      <c r="O11" s="8" t="n">
        <f aca="false">Convolution!O157</f>
        <v>0.261305057016403</v>
      </c>
      <c r="P11" s="8" t="n">
        <f aca="false">Convolution!O158</f>
        <v>0.17789396994582</v>
      </c>
      <c r="Q11" s="8" t="n">
        <f aca="false">Convolution!O159</f>
        <v>0.0696817096527748</v>
      </c>
      <c r="R11" s="8" t="n">
        <f aca="false">Convolution!O160</f>
        <v>0.0119495123096959</v>
      </c>
      <c r="S11" s="8" t="n">
        <f aca="false">Convolution!O161</f>
        <v>0</v>
      </c>
      <c r="T11" s="2" t="str">
        <f aca="false">INDEX($F$1:$S$1,MATCH(MAX(F11:S11),F11:S11,0))</f>
        <v>P(9)</v>
      </c>
      <c r="U11" s="8" t="n">
        <f aca="false">SUM(L11:S11)</f>
        <v>0.979198555269341</v>
      </c>
      <c r="V11" s="8" t="n">
        <f aca="false">SUM(P11:S11)</f>
        <v>0.259525191908291</v>
      </c>
      <c r="W11" s="2" t="n">
        <f aca="false">ROUND(SUM(F11:S11),6)</f>
        <v>1</v>
      </c>
    </row>
    <row r="12" customFormat="false" ht="15" hidden="false" customHeight="false" outlineLevel="0" collapsed="false">
      <c r="A12" s="2" t="n">
        <f aca="false">RANK(E12,$E$2:$E$139)</f>
        <v>42</v>
      </c>
      <c r="B12" s="2" t="s">
        <v>68</v>
      </c>
      <c r="C12" s="6" t="n">
        <f aca="false">Schedule!$B$12</f>
        <v>18.8</v>
      </c>
      <c r="D12" s="2" t="n">
        <v>12</v>
      </c>
      <c r="E12" s="7" t="n">
        <f aca="false">Schedule!$BQ$12</f>
        <v>7.54176470074744</v>
      </c>
      <c r="F12" s="8" t="n">
        <f aca="false">Convolution!O164</f>
        <v>5.36058522800357E-008</v>
      </c>
      <c r="G12" s="8" t="n">
        <f aca="false">Convolution!O165</f>
        <v>1.10371621476921E-005</v>
      </c>
      <c r="H12" s="8" t="n">
        <f aca="false">Convolution!O166</f>
        <v>0.000281680614366018</v>
      </c>
      <c r="I12" s="8" t="n">
        <f aca="false">Convolution!O167</f>
        <v>0.0030577589531055</v>
      </c>
      <c r="J12" s="8" t="n">
        <f aca="false">Convolution!O168</f>
        <v>0.0181674766863495</v>
      </c>
      <c r="K12" s="8" t="n">
        <f aca="false">Convolution!O169</f>
        <v>0.0659461499608162</v>
      </c>
      <c r="L12" s="8" t="n">
        <f aca="false">Convolution!O170</f>
        <v>0.154749012514372</v>
      </c>
      <c r="M12" s="8" t="n">
        <f aca="false">Convolution!O171</f>
        <v>0.241249968004059</v>
      </c>
      <c r="N12" s="8" t="n">
        <f aca="false">Convolution!O172</f>
        <v>0.251255367657153</v>
      </c>
      <c r="O12" s="8" t="n">
        <f aca="false">Convolution!O173</f>
        <v>0.171934184870777</v>
      </c>
      <c r="P12" s="8" t="n">
        <f aca="false">Convolution!O174</f>
        <v>0.0737224517958253</v>
      </c>
      <c r="Q12" s="8" t="n">
        <f aca="false">Convolution!O175</f>
        <v>0.0178009033214616</v>
      </c>
      <c r="R12" s="8" t="n">
        <f aca="false">Convolution!O176</f>
        <v>0.00182395485371417</v>
      </c>
      <c r="S12" s="8" t="n">
        <f aca="false">Convolution!O177</f>
        <v>0</v>
      </c>
      <c r="T12" s="2" t="str">
        <f aca="false">INDEX($F$1:$S$1,MATCH(MAX(F12:S12),F12:S12,0))</f>
        <v>P(8)</v>
      </c>
      <c r="U12" s="8" t="n">
        <f aca="false">SUM(L12:S12)</f>
        <v>0.912535843017363</v>
      </c>
      <c r="V12" s="8" t="n">
        <f aca="false">SUM(P12:S12)</f>
        <v>0.093347309971001</v>
      </c>
      <c r="W12" s="2" t="n">
        <f aca="false">ROUND(SUM(F12:S12),6)</f>
        <v>1</v>
      </c>
    </row>
    <row r="13" customFormat="false" ht="15" hidden="false" customHeight="false" outlineLevel="0" collapsed="false">
      <c r="A13" s="2" t="n">
        <f aca="false">RANK(E13,$E$2:$E$139)</f>
        <v>31</v>
      </c>
      <c r="B13" s="2" t="s">
        <v>69</v>
      </c>
      <c r="C13" s="6" t="n">
        <f aca="false">Schedule!$B$13</f>
        <v>17.7</v>
      </c>
      <c r="D13" s="2" t="n">
        <v>12</v>
      </c>
      <c r="E13" s="7" t="n">
        <f aca="false">Schedule!$BQ$13</f>
        <v>7.81365859833925</v>
      </c>
      <c r="F13" s="8" t="n">
        <f aca="false">Convolution!O180</f>
        <v>6.21687449734549E-009</v>
      </c>
      <c r="G13" s="8" t="n">
        <f aca="false">Convolution!O181</f>
        <v>8.91424234822181E-007</v>
      </c>
      <c r="H13" s="8" t="n">
        <f aca="false">Convolution!O182</f>
        <v>3.97623491613112E-005</v>
      </c>
      <c r="I13" s="8" t="n">
        <f aca="false">Convolution!O183</f>
        <v>0.00073137501880143</v>
      </c>
      <c r="J13" s="8" t="n">
        <f aca="false">Convolution!O184</f>
        <v>0.00686428508222749</v>
      </c>
      <c r="K13" s="8" t="n">
        <f aca="false">Convolution!O185</f>
        <v>0.0368482589589188</v>
      </c>
      <c r="L13" s="8" t="n">
        <f aca="false">Convolution!O186</f>
        <v>0.119448923153975</v>
      </c>
      <c r="M13" s="8" t="n">
        <f aca="false">Convolution!O187</f>
        <v>0.237906127657087</v>
      </c>
      <c r="N13" s="8" t="n">
        <f aca="false">Convolution!O188</f>
        <v>0.288579165684977</v>
      </c>
      <c r="O13" s="8" t="n">
        <f aca="false">Convolution!O189</f>
        <v>0.207072870845129</v>
      </c>
      <c r="P13" s="8" t="n">
        <f aca="false">Convolution!O190</f>
        <v>0.0836713163933891</v>
      </c>
      <c r="Q13" s="8" t="n">
        <f aca="false">Convolution!O191</f>
        <v>0.0173973440892341</v>
      </c>
      <c r="R13" s="8" t="n">
        <f aca="false">Convolution!O192</f>
        <v>0.00143967312599</v>
      </c>
      <c r="S13" s="8" t="n">
        <f aca="false">Convolution!O193</f>
        <v>0</v>
      </c>
      <c r="T13" s="2" t="str">
        <f aca="false">INDEX($F$1:$S$1,MATCH(MAX(F13:S13),F13:S13,0))</f>
        <v>P(8)</v>
      </c>
      <c r="U13" s="8" t="n">
        <f aca="false">SUM(L13:S13)</f>
        <v>0.955515420949782</v>
      </c>
      <c r="V13" s="8" t="n">
        <f aca="false">SUM(P13:S13)</f>
        <v>0.102508333608613</v>
      </c>
      <c r="W13" s="2" t="n">
        <f aca="false">ROUND(SUM(F13:S13),6)</f>
        <v>1</v>
      </c>
    </row>
    <row r="14" customFormat="false" ht="15" hidden="false" customHeight="false" outlineLevel="0" collapsed="false">
      <c r="A14" s="2" t="n">
        <f aca="false">RANK(E14,$E$2:$E$139)</f>
        <v>32</v>
      </c>
      <c r="B14" s="2" t="s">
        <v>70</v>
      </c>
      <c r="C14" s="6" t="n">
        <f aca="false">Schedule!$B$14</f>
        <v>17.6</v>
      </c>
      <c r="D14" s="2" t="n">
        <v>12</v>
      </c>
      <c r="E14" s="7" t="n">
        <f aca="false">Schedule!$BQ$14</f>
        <v>7.80064615811378</v>
      </c>
      <c r="F14" s="8" t="n">
        <f aca="false">Convolution!O196</f>
        <v>1.1361072251771E-008</v>
      </c>
      <c r="G14" s="8" t="n">
        <f aca="false">Convolution!O197</f>
        <v>6.05555844529194E-006</v>
      </c>
      <c r="H14" s="8" t="n">
        <f aca="false">Convolution!O198</f>
        <v>0.000170373851988376</v>
      </c>
      <c r="I14" s="8" t="n">
        <f aca="false">Convolution!O199</f>
        <v>0.00196056541234696</v>
      </c>
      <c r="J14" s="8" t="n">
        <f aca="false">Convolution!O200</f>
        <v>0.0124538460328626</v>
      </c>
      <c r="K14" s="8" t="n">
        <f aca="false">Convolution!O201</f>
        <v>0.0491708191984178</v>
      </c>
      <c r="L14" s="8" t="n">
        <f aca="false">Convolution!O202</f>
        <v>0.127495277665071</v>
      </c>
      <c r="M14" s="8" t="n">
        <f aca="false">Convolution!O203</f>
        <v>0.222061345908802</v>
      </c>
      <c r="N14" s="8" t="n">
        <f aca="false">Convolution!O204</f>
        <v>0.259916230179035</v>
      </c>
      <c r="O14" s="8" t="n">
        <f aca="false">Convolution!O205</f>
        <v>0.200325456109219</v>
      </c>
      <c r="P14" s="8" t="n">
        <f aca="false">Convolution!O206</f>
        <v>0.0968584749687173</v>
      </c>
      <c r="Q14" s="8" t="n">
        <f aca="false">Convolution!O207</f>
        <v>0.0264751300119553</v>
      </c>
      <c r="R14" s="8" t="n">
        <f aca="false">Convolution!O208</f>
        <v>0.00310641374206803</v>
      </c>
      <c r="S14" s="8" t="n">
        <f aca="false">Convolution!O209</f>
        <v>0</v>
      </c>
      <c r="T14" s="2" t="str">
        <f aca="false">INDEX($F$1:$S$1,MATCH(MAX(F14:S14),F14:S14,0))</f>
        <v>P(8)</v>
      </c>
      <c r="U14" s="8" t="n">
        <f aca="false">SUM(L14:S14)</f>
        <v>0.936238328584867</v>
      </c>
      <c r="V14" s="8" t="n">
        <f aca="false">SUM(P14:S14)</f>
        <v>0.126440018722741</v>
      </c>
      <c r="W14" s="2" t="n">
        <f aca="false">ROUND(SUM(F14:S14),6)</f>
        <v>1</v>
      </c>
    </row>
    <row r="15" customFormat="false" ht="15" hidden="false" customHeight="false" outlineLevel="0" collapsed="false">
      <c r="A15" s="2" t="n">
        <f aca="false">RANK(E15,$E$2:$E$139)</f>
        <v>28</v>
      </c>
      <c r="B15" s="2" t="s">
        <v>71</v>
      </c>
      <c r="C15" s="6" t="n">
        <f aca="false">Schedule!$B$15</f>
        <v>17.3</v>
      </c>
      <c r="D15" s="2" t="n">
        <v>12</v>
      </c>
      <c r="E15" s="7" t="n">
        <f aca="false">Schedule!$BQ$15</f>
        <v>7.91724383207629</v>
      </c>
      <c r="F15" s="8" t="n">
        <f aca="false">Convolution!O212</f>
        <v>2.75554218760811E-009</v>
      </c>
      <c r="G15" s="8" t="n">
        <f aca="false">Convolution!O213</f>
        <v>1.49033588253476E-006</v>
      </c>
      <c r="H15" s="8" t="n">
        <f aca="false">Convolution!O214</f>
        <v>8.91677855248531E-005</v>
      </c>
      <c r="I15" s="8" t="n">
        <f aca="false">Convolution!O215</f>
        <v>0.00134637352909993</v>
      </c>
      <c r="J15" s="8" t="n">
        <f aca="false">Convolution!O216</f>
        <v>0.00985458712726673</v>
      </c>
      <c r="K15" s="8" t="n">
        <f aca="false">Convolution!O217</f>
        <v>0.0424170230369311</v>
      </c>
      <c r="L15" s="8" t="n">
        <f aca="false">Convolution!O218</f>
        <v>0.116740970909491</v>
      </c>
      <c r="M15" s="8" t="n">
        <f aca="false">Convolution!O219</f>
        <v>0.213297813708349</v>
      </c>
      <c r="N15" s="8" t="n">
        <f aca="false">Convolution!O220</f>
        <v>0.261249741601711</v>
      </c>
      <c r="O15" s="8" t="n">
        <f aca="false">Convolution!O221</f>
        <v>0.211449836533306</v>
      </c>
      <c r="P15" s="8" t="n">
        <f aca="false">Convolution!O222</f>
        <v>0.108101962264163</v>
      </c>
      <c r="Q15" s="8" t="n">
        <f aca="false">Convolution!O223</f>
        <v>0.0314875487349148</v>
      </c>
      <c r="R15" s="8" t="n">
        <f aca="false">Convolution!O224</f>
        <v>0.00396348167781804</v>
      </c>
      <c r="S15" s="8" t="n">
        <f aca="false">Convolution!O225</f>
        <v>0</v>
      </c>
      <c r="T15" s="2" t="str">
        <f aca="false">INDEX($F$1:$S$1,MATCH(MAX(F15:S15),F15:S15,0))</f>
        <v>P(8)</v>
      </c>
      <c r="U15" s="8" t="n">
        <f aca="false">SUM(L15:S15)</f>
        <v>0.946291355429753</v>
      </c>
      <c r="V15" s="8" t="n">
        <f aca="false">SUM(P15:S15)</f>
        <v>0.143552992676896</v>
      </c>
      <c r="W15" s="2" t="n">
        <f aca="false">ROUND(SUM(F15:S15),6)</f>
        <v>1</v>
      </c>
    </row>
    <row r="16" customFormat="false" ht="15" hidden="false" customHeight="false" outlineLevel="0" collapsed="false">
      <c r="A16" s="2" t="n">
        <f aca="false">RANK(E16,$E$2:$E$139)</f>
        <v>44</v>
      </c>
      <c r="B16" s="2" t="s">
        <v>72</v>
      </c>
      <c r="C16" s="6" t="n">
        <f aca="false">Schedule!$B$16</f>
        <v>17</v>
      </c>
      <c r="D16" s="2" t="n">
        <v>12</v>
      </c>
      <c r="E16" s="7" t="n">
        <f aca="false">Schedule!$BQ$16</f>
        <v>7.44869268602149</v>
      </c>
      <c r="F16" s="8" t="n">
        <f aca="false">Convolution!O228</f>
        <v>2.80036267449053E-008</v>
      </c>
      <c r="G16" s="8" t="n">
        <f aca="false">Convolution!O229</f>
        <v>4.69767794842013E-006</v>
      </c>
      <c r="H16" s="8" t="n">
        <f aca="false">Convolution!O230</f>
        <v>0.000153515145024118</v>
      </c>
      <c r="I16" s="8" t="n">
        <f aca="false">Convolution!O231</f>
        <v>0.00207793610189317</v>
      </c>
      <c r="J16" s="8" t="n">
        <f aca="false">Convolution!O232</f>
        <v>0.0148754337829974</v>
      </c>
      <c r="K16" s="8" t="n">
        <f aca="false">Convolution!O233</f>
        <v>0.0626173515202735</v>
      </c>
      <c r="L16" s="8" t="n">
        <f aca="false">Convolution!O234</f>
        <v>0.162682633286116</v>
      </c>
      <c r="M16" s="8" t="n">
        <f aca="false">Convolution!O235</f>
        <v>0.264979227674014</v>
      </c>
      <c r="N16" s="8" t="n">
        <f aca="false">Convolution!O236</f>
        <v>0.267813254693988</v>
      </c>
      <c r="O16" s="8" t="n">
        <f aca="false">Convolution!O237</f>
        <v>0.161613237363258</v>
      </c>
      <c r="P16" s="8" t="n">
        <f aca="false">Convolution!O238</f>
        <v>0.0539465853472478</v>
      </c>
      <c r="Q16" s="8" t="n">
        <f aca="false">Convolution!O239</f>
        <v>0.00871595655739938</v>
      </c>
      <c r="R16" s="8" t="n">
        <f aca="false">Convolution!O240</f>
        <v>0.000520142846213947</v>
      </c>
      <c r="S16" s="8" t="n">
        <f aca="false">Convolution!O241</f>
        <v>0</v>
      </c>
      <c r="T16" s="2" t="str">
        <f aca="false">INDEX($F$1:$S$1,MATCH(MAX(F16:S16),F16:S16,0))</f>
        <v>P(8)</v>
      </c>
      <c r="U16" s="8" t="n">
        <f aca="false">SUM(L16:S16)</f>
        <v>0.920271037768237</v>
      </c>
      <c r="V16" s="8" t="n">
        <f aca="false">SUM(P16:S16)</f>
        <v>0.0631826847508612</v>
      </c>
      <c r="W16" s="2" t="n">
        <f aca="false">ROUND(SUM(F16:S16),6)</f>
        <v>1</v>
      </c>
    </row>
    <row r="17" customFormat="false" ht="15" hidden="false" customHeight="false" outlineLevel="0" collapsed="false">
      <c r="A17" s="2" t="n">
        <f aca="false">RANK(E17,$E$2:$E$139)</f>
        <v>51</v>
      </c>
      <c r="B17" s="2" t="s">
        <v>73</v>
      </c>
      <c r="C17" s="6" t="n">
        <f aca="false">Schedule!$B$17</f>
        <v>16.5</v>
      </c>
      <c r="D17" s="2" t="n">
        <v>12</v>
      </c>
      <c r="E17" s="7" t="n">
        <f aca="false">Schedule!$BQ$17</f>
        <v>7.24336723468996</v>
      </c>
      <c r="F17" s="8" t="n">
        <f aca="false">Convolution!O244</f>
        <v>1.17186186150833E-009</v>
      </c>
      <c r="G17" s="8" t="n">
        <f aca="false">Convolution!O245</f>
        <v>1.41402531290929E-006</v>
      </c>
      <c r="H17" s="8" t="n">
        <f aca="false">Convolution!O246</f>
        <v>0.000321079200036747</v>
      </c>
      <c r="I17" s="8" t="n">
        <f aca="false">Convolution!O247</f>
        <v>0.00445423216900061</v>
      </c>
      <c r="J17" s="8" t="n">
        <f aca="false">Convolution!O248</f>
        <v>0.0266411922787478</v>
      </c>
      <c r="K17" s="8" t="n">
        <f aca="false">Convolution!O249</f>
        <v>0.0896155910315669</v>
      </c>
      <c r="L17" s="8" t="n">
        <f aca="false">Convolution!O250</f>
        <v>0.187972813324181</v>
      </c>
      <c r="M17" s="8" t="n">
        <f aca="false">Convolution!O251</f>
        <v>0.257285235352772</v>
      </c>
      <c r="N17" s="8" t="n">
        <f aca="false">Convolution!O252</f>
        <v>0.232971790427583</v>
      </c>
      <c r="O17" s="8" t="n">
        <f aca="false">Convolution!O253</f>
        <v>0.13791813874457</v>
      </c>
      <c r="P17" s="8" t="n">
        <f aca="false">Convolution!O254</f>
        <v>0.0511247287285929</v>
      </c>
      <c r="Q17" s="8" t="n">
        <f aca="false">Convolution!O255</f>
        <v>0.0107255478867563</v>
      </c>
      <c r="R17" s="8" t="n">
        <f aca="false">Convolution!O256</f>
        <v>0.000968235659018068</v>
      </c>
      <c r="S17" s="8" t="n">
        <f aca="false">Convolution!O257</f>
        <v>0</v>
      </c>
      <c r="T17" s="2" t="str">
        <f aca="false">INDEX($F$1:$S$1,MATCH(MAX(F17:S17),F17:S17,0))</f>
        <v>P(7)</v>
      </c>
      <c r="U17" s="8" t="n">
        <f aca="false">SUM(L17:S17)</f>
        <v>0.878966490123473</v>
      </c>
      <c r="V17" s="8" t="n">
        <f aca="false">SUM(P17:S17)</f>
        <v>0.0628185122743674</v>
      </c>
      <c r="W17" s="2" t="n">
        <f aca="false">ROUND(SUM(F17:S17),6)</f>
        <v>1</v>
      </c>
    </row>
    <row r="18" customFormat="false" ht="15" hidden="false" customHeight="false" outlineLevel="0" collapsed="false">
      <c r="A18" s="2" t="n">
        <f aca="false">RANK(E18,$E$2:$E$139)</f>
        <v>8</v>
      </c>
      <c r="B18" s="2" t="s">
        <v>74</v>
      </c>
      <c r="C18" s="6" t="n">
        <f aca="false">Schedule!$B$18</f>
        <v>16.2</v>
      </c>
      <c r="D18" s="2" t="n">
        <v>12</v>
      </c>
      <c r="E18" s="7" t="n">
        <f aca="false">Schedule!$BQ$18</f>
        <v>9.00205351057012</v>
      </c>
      <c r="F18" s="8" t="n">
        <f aca="false">Convolution!O260</f>
        <v>6.91772513180285E-010</v>
      </c>
      <c r="G18" s="8" t="n">
        <f aca="false">Convolution!O261</f>
        <v>7.0698447346281E-008</v>
      </c>
      <c r="H18" s="8" t="n">
        <f aca="false">Convolution!O262</f>
        <v>2.8267650139294E-006</v>
      </c>
      <c r="I18" s="8" t="n">
        <f aca="false">Convolution!O263</f>
        <v>5.93562996243469E-005</v>
      </c>
      <c r="J18" s="8" t="n">
        <f aca="false">Convolution!O264</f>
        <v>0.000737398056685835</v>
      </c>
      <c r="K18" s="8" t="n">
        <f aca="false">Convolution!O265</f>
        <v>0.00575716727319138</v>
      </c>
      <c r="L18" s="8" t="n">
        <f aca="false">Convolution!O266</f>
        <v>0.0291427895219856</v>
      </c>
      <c r="M18" s="8" t="n">
        <f aca="false">Convolution!O267</f>
        <v>0.0967472001001643</v>
      </c>
      <c r="N18" s="8" t="n">
        <f aca="false">Convolution!O268</f>
        <v>0.209442494189278</v>
      </c>
      <c r="O18" s="8" t="n">
        <f aca="false">Convolution!O269</f>
        <v>0.288505361664129</v>
      </c>
      <c r="P18" s="8" t="n">
        <f aca="false">Convolution!O270</f>
        <v>0.240192308195631</v>
      </c>
      <c r="Q18" s="8" t="n">
        <f aca="false">Convolution!O271</f>
        <v>0.108920457959605</v>
      </c>
      <c r="R18" s="8" t="n">
        <f aca="false">Convolution!O272</f>
        <v>0.0204925685844706</v>
      </c>
      <c r="S18" s="8" t="n">
        <f aca="false">Convolution!O273</f>
        <v>0</v>
      </c>
      <c r="T18" s="2" t="str">
        <f aca="false">INDEX($F$1:$S$1,MATCH(MAX(F18:S18),F18:S18,0))</f>
        <v>P(9)</v>
      </c>
      <c r="U18" s="8" t="n">
        <f aca="false">SUM(L18:S18)</f>
        <v>0.993443180215265</v>
      </c>
      <c r="V18" s="8" t="n">
        <f aca="false">SUM(P18:S18)</f>
        <v>0.369605334739707</v>
      </c>
      <c r="W18" s="2" t="n">
        <f aca="false">ROUND(SUM(F18:S18),6)</f>
        <v>1</v>
      </c>
    </row>
    <row r="19" customFormat="false" ht="15" hidden="false" customHeight="false" outlineLevel="0" collapsed="false">
      <c r="A19" s="2" t="n">
        <f aca="false">RANK(E19,$E$2:$E$139)</f>
        <v>30</v>
      </c>
      <c r="B19" s="2" t="s">
        <v>75</v>
      </c>
      <c r="C19" s="6" t="n">
        <f aca="false">Schedule!$B$19</f>
        <v>15.8</v>
      </c>
      <c r="D19" s="2" t="n">
        <v>12</v>
      </c>
      <c r="E19" s="7" t="n">
        <f aca="false">Schedule!$BQ$19</f>
        <v>7.83927321068129</v>
      </c>
      <c r="F19" s="8" t="n">
        <f aca="false">Convolution!O276</f>
        <v>9.1994286708008E-009</v>
      </c>
      <c r="G19" s="8" t="n">
        <f aca="false">Convolution!O277</f>
        <v>1.35901096997539E-006</v>
      </c>
      <c r="H19" s="8" t="n">
        <f aca="false">Convolution!O278</f>
        <v>5.16136770097938E-005</v>
      </c>
      <c r="I19" s="8" t="n">
        <f aca="false">Convolution!O279</f>
        <v>0.000859866758834729</v>
      </c>
      <c r="J19" s="8" t="n">
        <f aca="false">Convolution!O280</f>
        <v>0.00753225481886973</v>
      </c>
      <c r="K19" s="8" t="n">
        <f aca="false">Convolution!O281</f>
        <v>0.0382675252317172</v>
      </c>
      <c r="L19" s="8" t="n">
        <f aca="false">Convolution!O282</f>
        <v>0.118847764428744</v>
      </c>
      <c r="M19" s="8" t="n">
        <f aca="false">Convolution!O283</f>
        <v>0.231012996568305</v>
      </c>
      <c r="N19" s="8" t="n">
        <f aca="false">Convolution!O284</f>
        <v>0.281382859513614</v>
      </c>
      <c r="O19" s="8" t="n">
        <f aca="false">Convolution!O285</f>
        <v>0.209872485333616</v>
      </c>
      <c r="P19" s="8" t="n">
        <f aca="false">Convolution!O286</f>
        <v>0.0905129350749579</v>
      </c>
      <c r="Q19" s="8" t="n">
        <f aca="false">Convolution!O287</f>
        <v>0.0199997434130968</v>
      </c>
      <c r="R19" s="8" t="n">
        <f aca="false">Convolution!O288</f>
        <v>0.00165858697083628</v>
      </c>
      <c r="S19" s="8" t="n">
        <f aca="false">Convolution!O289</f>
        <v>0</v>
      </c>
      <c r="T19" s="2" t="str">
        <f aca="false">INDEX($F$1:$S$1,MATCH(MAX(F19:S19),F19:S19,0))</f>
        <v>P(8)</v>
      </c>
      <c r="U19" s="8" t="n">
        <f aca="false">SUM(L19:S19)</f>
        <v>0.95328737130317</v>
      </c>
      <c r="V19" s="8" t="n">
        <f aca="false">SUM(P19:S19)</f>
        <v>0.112171265458891</v>
      </c>
      <c r="W19" s="2" t="n">
        <f aca="false">ROUND(SUM(F19:S19),6)</f>
        <v>1</v>
      </c>
    </row>
    <row r="20" customFormat="false" ht="15" hidden="false" customHeight="false" outlineLevel="0" collapsed="false">
      <c r="A20" s="2" t="n">
        <f aca="false">RANK(E20,$E$2:$E$139)</f>
        <v>49</v>
      </c>
      <c r="B20" s="2" t="s">
        <v>76</v>
      </c>
      <c r="C20" s="6" t="n">
        <f aca="false">Schedule!$B$20</f>
        <v>15.4</v>
      </c>
      <c r="D20" s="2" t="n">
        <v>12</v>
      </c>
      <c r="E20" s="7" t="n">
        <f aca="false">Schedule!$BQ$20</f>
        <v>7.28909986681057</v>
      </c>
      <c r="F20" s="8" t="n">
        <f aca="false">Convolution!O292</f>
        <v>1.05730371273668E-009</v>
      </c>
      <c r="G20" s="8" t="n">
        <f aca="false">Convolution!O293</f>
        <v>1.16979649472957E-005</v>
      </c>
      <c r="H20" s="8" t="n">
        <f aca="false">Convolution!O294</f>
        <v>0.000387098994919024</v>
      </c>
      <c r="I20" s="8" t="n">
        <f aca="false">Convolution!O295</f>
        <v>0.00433430452627846</v>
      </c>
      <c r="J20" s="8" t="n">
        <f aca="false">Convolution!O296</f>
        <v>0.0248056003578939</v>
      </c>
      <c r="K20" s="8" t="n">
        <f aca="false">Convolution!O297</f>
        <v>0.0842703646594993</v>
      </c>
      <c r="L20" s="8" t="n">
        <f aca="false">Convolution!O298</f>
        <v>0.181886623456519</v>
      </c>
      <c r="M20" s="8" t="n">
        <f aca="false">Convolution!O299</f>
        <v>0.256966855687603</v>
      </c>
      <c r="N20" s="8" t="n">
        <f aca="false">Convolution!O300</f>
        <v>0.238892809252831</v>
      </c>
      <c r="O20" s="8" t="n">
        <f aca="false">Convolution!O301</f>
        <v>0.143587374751686</v>
      </c>
      <c r="P20" s="8" t="n">
        <f aca="false">Convolution!O302</f>
        <v>0.0531186056098368</v>
      </c>
      <c r="Q20" s="8" t="n">
        <f aca="false">Convolution!O303</f>
        <v>0.0108297650588407</v>
      </c>
      <c r="R20" s="8" t="n">
        <f aca="false">Convolution!O304</f>
        <v>0.000908898621842846</v>
      </c>
      <c r="S20" s="8" t="n">
        <f aca="false">Convolution!O305</f>
        <v>0</v>
      </c>
      <c r="T20" s="2" t="str">
        <f aca="false">INDEX($F$1:$S$1,MATCH(MAX(F20:S20),F20:S20,0))</f>
        <v>P(7)</v>
      </c>
      <c r="U20" s="8" t="n">
        <f aca="false">SUM(L20:S20)</f>
        <v>0.886190932439158</v>
      </c>
      <c r="V20" s="8" t="n">
        <f aca="false">SUM(P20:S20)</f>
        <v>0.0648572692905203</v>
      </c>
      <c r="W20" s="2" t="n">
        <f aca="false">ROUND(SUM(F20:S20),6)</f>
        <v>1</v>
      </c>
    </row>
    <row r="21" customFormat="false" ht="15" hidden="false" customHeight="false" outlineLevel="0" collapsed="false">
      <c r="A21" s="2" t="n">
        <f aca="false">RANK(E21,$E$2:$E$139)</f>
        <v>59</v>
      </c>
      <c r="B21" s="2" t="s">
        <v>77</v>
      </c>
      <c r="C21" s="6" t="n">
        <f aca="false">Schedule!$B$21</f>
        <v>15.2</v>
      </c>
      <c r="D21" s="2" t="n">
        <v>12</v>
      </c>
      <c r="E21" s="7" t="n">
        <f aca="false">Schedule!$BQ$21</f>
        <v>6.98336906831279</v>
      </c>
      <c r="F21" s="8" t="n">
        <f aca="false">Convolution!O308</f>
        <v>1.21860208283322E-007</v>
      </c>
      <c r="G21" s="8" t="n">
        <f aca="false">Convolution!O309</f>
        <v>4.16316132613332E-005</v>
      </c>
      <c r="H21" s="8" t="n">
        <f aca="false">Convolution!O310</f>
        <v>0.00101534428824035</v>
      </c>
      <c r="I21" s="8" t="n">
        <f aca="false">Convolution!O311</f>
        <v>0.00887301248263852</v>
      </c>
      <c r="J21" s="8" t="n">
        <f aca="false">Convolution!O312</f>
        <v>0.0408443832927607</v>
      </c>
      <c r="K21" s="8" t="n">
        <f aca="false">Convolution!O313</f>
        <v>0.114526481422309</v>
      </c>
      <c r="L21" s="8" t="n">
        <f aca="false">Convolution!O314</f>
        <v>0.209063237582033</v>
      </c>
      <c r="M21" s="8" t="n">
        <f aca="false">Convolution!O315</f>
        <v>0.255623862093265</v>
      </c>
      <c r="N21" s="8" t="n">
        <f aca="false">Convolution!O316</f>
        <v>0.210024373135476</v>
      </c>
      <c r="O21" s="8" t="n">
        <f aca="false">Convolution!O317</f>
        <v>0.113630401852614</v>
      </c>
      <c r="P21" s="8" t="n">
        <f aca="false">Convolution!O318</f>
        <v>0.0384642510881501</v>
      </c>
      <c r="Q21" s="8" t="n">
        <f aca="false">Convolution!O319</f>
        <v>0.00730459385986209</v>
      </c>
      <c r="R21" s="8" t="n">
        <f aca="false">Convolution!O320</f>
        <v>0.000588305429181088</v>
      </c>
      <c r="S21" s="8" t="n">
        <f aca="false">Convolution!O321</f>
        <v>0</v>
      </c>
      <c r="T21" s="2" t="str">
        <f aca="false">INDEX($F$1:$S$1,MATCH(MAX(F21:S21),F21:S21,0))</f>
        <v>P(7)</v>
      </c>
      <c r="U21" s="8" t="n">
        <f aca="false">SUM(L21:S21)</f>
        <v>0.834699025040582</v>
      </c>
      <c r="V21" s="8" t="n">
        <f aca="false">SUM(P21:S21)</f>
        <v>0.0463571503771933</v>
      </c>
      <c r="W21" s="2" t="n">
        <f aca="false">ROUND(SUM(F21:S21),6)</f>
        <v>1</v>
      </c>
    </row>
    <row r="22" customFormat="false" ht="15" hidden="false" customHeight="false" outlineLevel="0" collapsed="false">
      <c r="A22" s="2" t="n">
        <f aca="false">RANK(E22,$E$2:$E$139)</f>
        <v>12</v>
      </c>
      <c r="B22" s="2" t="s">
        <v>78</v>
      </c>
      <c r="C22" s="6" t="n">
        <f aca="false">Schedule!$B$22</f>
        <v>14.9</v>
      </c>
      <c r="D22" s="2" t="n">
        <v>12</v>
      </c>
      <c r="E22" s="7" t="n">
        <f aca="false">Schedule!$BQ$22</f>
        <v>8.77670519352936</v>
      </c>
      <c r="F22" s="8" t="n">
        <f aca="false">Convolution!O324</f>
        <v>1.69372563888605E-010</v>
      </c>
      <c r="G22" s="8" t="n">
        <f aca="false">Convolution!O325</f>
        <v>2.14643986654438E-007</v>
      </c>
      <c r="H22" s="8" t="n">
        <f aca="false">Convolution!O326</f>
        <v>9.11475539620315E-006</v>
      </c>
      <c r="I22" s="8" t="n">
        <f aca="false">Convolution!O327</f>
        <v>0.000163747747393852</v>
      </c>
      <c r="J22" s="8" t="n">
        <f aca="false">Convolution!O328</f>
        <v>0.00164989646185083</v>
      </c>
      <c r="K22" s="8" t="n">
        <f aca="false">Convolution!O329</f>
        <v>0.0104158291808566</v>
      </c>
      <c r="L22" s="8" t="n">
        <f aca="false">Convolution!O330</f>
        <v>0.0433685176117773</v>
      </c>
      <c r="M22" s="8" t="n">
        <f aca="false">Convolution!O331</f>
        <v>0.121507752500009</v>
      </c>
      <c r="N22" s="8" t="n">
        <f aca="false">Convolution!O332</f>
        <v>0.22843332459348</v>
      </c>
      <c r="O22" s="8" t="n">
        <f aca="false">Convolution!O333</f>
        <v>0.280702379399808</v>
      </c>
      <c r="P22" s="8" t="n">
        <f aca="false">Convolution!O334</f>
        <v>0.212385684966336</v>
      </c>
      <c r="Q22" s="8" t="n">
        <f aca="false">Convolution!O335</f>
        <v>0.0872559154362793</v>
      </c>
      <c r="R22" s="8" t="n">
        <f aca="false">Convolution!O336</f>
        <v>0.0141076225334534</v>
      </c>
      <c r="S22" s="8" t="n">
        <f aca="false">Convolution!O337</f>
        <v>0</v>
      </c>
      <c r="T22" s="2" t="str">
        <f aca="false">INDEX($F$1:$S$1,MATCH(MAX(F22:S22),F22:S22,0))</f>
        <v>P(9)</v>
      </c>
      <c r="U22" s="8" t="n">
        <f aca="false">SUM(L22:S22)</f>
        <v>0.987761197041143</v>
      </c>
      <c r="V22" s="8" t="n">
        <f aca="false">SUM(P22:S22)</f>
        <v>0.313749222936069</v>
      </c>
      <c r="W22" s="2" t="n">
        <f aca="false">ROUND(SUM(F22:S22),6)</f>
        <v>1</v>
      </c>
    </row>
    <row r="23" customFormat="false" ht="15" hidden="false" customHeight="false" outlineLevel="0" collapsed="false">
      <c r="A23" s="2" t="n">
        <f aca="false">RANK(E23,$E$2:$E$139)</f>
        <v>24</v>
      </c>
      <c r="B23" s="2" t="s">
        <v>79</v>
      </c>
      <c r="C23" s="6" t="n">
        <f aca="false">Schedule!$B$23</f>
        <v>14.6</v>
      </c>
      <c r="D23" s="2" t="n">
        <v>12</v>
      </c>
      <c r="E23" s="7" t="n">
        <f aca="false">Schedule!$BQ$23</f>
        <v>8.00312179446434</v>
      </c>
      <c r="F23" s="8" t="n">
        <f aca="false">Convolution!O340</f>
        <v>5.88232773242036E-009</v>
      </c>
      <c r="G23" s="8" t="n">
        <f aca="false">Convolution!O341</f>
        <v>7.74873656898086E-007</v>
      </c>
      <c r="H23" s="8" t="n">
        <f aca="false">Convolution!O342</f>
        <v>3.3972573599281E-005</v>
      </c>
      <c r="I23" s="8" t="n">
        <f aca="false">Convolution!O343</f>
        <v>0.000611213437670336</v>
      </c>
      <c r="J23" s="8" t="n">
        <f aca="false">Convolution!O344</f>
        <v>0.00568890811828424</v>
      </c>
      <c r="K23" s="8" t="n">
        <f aca="false">Convolution!O345</f>
        <v>0.0306865443640131</v>
      </c>
      <c r="L23" s="8" t="n">
        <f aca="false">Convolution!O346</f>
        <v>0.101689364811642</v>
      </c>
      <c r="M23" s="8" t="n">
        <f aca="false">Convolution!O347</f>
        <v>0.212626238465052</v>
      </c>
      <c r="N23" s="8" t="n">
        <f aca="false">Convolution!O348</f>
        <v>0.281072863809174</v>
      </c>
      <c r="O23" s="8" t="n">
        <f aca="false">Convolution!O349</f>
        <v>0.229436875952184</v>
      </c>
      <c r="P23" s="8" t="n">
        <f aca="false">Convolution!O350</f>
        <v>0.10909504012131</v>
      </c>
      <c r="Q23" s="8" t="n">
        <f aca="false">Convolution!O351</f>
        <v>0.0266523446371326</v>
      </c>
      <c r="R23" s="8" t="n">
        <f aca="false">Convolution!O352</f>
        <v>0.00240585295395381</v>
      </c>
      <c r="S23" s="8" t="n">
        <f aca="false">Convolution!O353</f>
        <v>0</v>
      </c>
      <c r="T23" s="2" t="str">
        <f aca="false">INDEX($F$1:$S$1,MATCH(MAX(F23:S23),F23:S23,0))</f>
        <v>P(8)</v>
      </c>
      <c r="U23" s="8" t="n">
        <f aca="false">SUM(L23:S23)</f>
        <v>0.962978580750449</v>
      </c>
      <c r="V23" s="8" t="n">
        <f aca="false">SUM(P23:S23)</f>
        <v>0.138153237712397</v>
      </c>
      <c r="W23" s="2" t="n">
        <f aca="false">ROUND(SUM(F23:S23),6)</f>
        <v>1</v>
      </c>
    </row>
    <row r="24" customFormat="false" ht="15" hidden="false" customHeight="false" outlineLevel="0" collapsed="false">
      <c r="A24" s="2" t="n">
        <f aca="false">RANK(E24,$E$2:$E$139)</f>
        <v>26</v>
      </c>
      <c r="B24" s="2" t="s">
        <v>80</v>
      </c>
      <c r="C24" s="6" t="n">
        <f aca="false">Schedule!$B$24</f>
        <v>13.1</v>
      </c>
      <c r="D24" s="2" t="n">
        <v>12</v>
      </c>
      <c r="E24" s="7" t="n">
        <f aca="false">Schedule!$BQ$24</f>
        <v>7.93610456941867</v>
      </c>
      <c r="F24" s="8" t="n">
        <f aca="false">Convolution!O356</f>
        <v>2.37558906826777E-009</v>
      </c>
      <c r="G24" s="8" t="n">
        <f aca="false">Convolution!O357</f>
        <v>2.54342403828325E-006</v>
      </c>
      <c r="H24" s="8" t="n">
        <f aca="false">Convolution!O358</f>
        <v>9.48535344657618E-005</v>
      </c>
      <c r="I24" s="8" t="n">
        <f aca="false">Convolution!O359</f>
        <v>0.00128505748860429</v>
      </c>
      <c r="J24" s="8" t="n">
        <f aca="false">Convolution!O360</f>
        <v>0.00919581818539168</v>
      </c>
      <c r="K24" s="8" t="n">
        <f aca="false">Convolution!O361</f>
        <v>0.0400182530169893</v>
      </c>
      <c r="L24" s="8" t="n">
        <f aca="false">Convolution!O362</f>
        <v>0.112917693648758</v>
      </c>
      <c r="M24" s="8" t="n">
        <f aca="false">Convolution!O363</f>
        <v>0.212126251215451</v>
      </c>
      <c r="N24" s="8" t="n">
        <f aca="false">Convolution!O364</f>
        <v>0.265578910667802</v>
      </c>
      <c r="O24" s="8" t="n">
        <f aca="false">Convolution!O365</f>
        <v>0.216530818727334</v>
      </c>
      <c r="P24" s="8" t="n">
        <f aca="false">Convolution!O366</f>
        <v>0.108789765285577</v>
      </c>
      <c r="Q24" s="8" t="n">
        <f aca="false">Convolution!O367</f>
        <v>0.0300340076715184</v>
      </c>
      <c r="R24" s="8" t="n">
        <f aca="false">Convolution!O368</f>
        <v>0.00342602475848072</v>
      </c>
      <c r="S24" s="8" t="n">
        <f aca="false">Convolution!O369</f>
        <v>0</v>
      </c>
      <c r="T24" s="2" t="str">
        <f aca="false">INDEX($F$1:$S$1,MATCH(MAX(F24:S24),F24:S24,0))</f>
        <v>P(8)</v>
      </c>
      <c r="U24" s="8" t="n">
        <f aca="false">SUM(L24:S24)</f>
        <v>0.949403471974922</v>
      </c>
      <c r="V24" s="8" t="n">
        <f aca="false">SUM(P24:S24)</f>
        <v>0.142249797715576</v>
      </c>
      <c r="W24" s="2" t="n">
        <f aca="false">ROUND(SUM(F24:S24),6)</f>
        <v>1</v>
      </c>
    </row>
    <row r="25" customFormat="false" ht="15" hidden="false" customHeight="false" outlineLevel="0" collapsed="false">
      <c r="A25" s="2" t="n">
        <f aca="false">RANK(E25,$E$2:$E$139)</f>
        <v>70</v>
      </c>
      <c r="B25" s="2" t="s">
        <v>81</v>
      </c>
      <c r="C25" s="6" t="n">
        <f aca="false">Schedule!$B$25</f>
        <v>12.6</v>
      </c>
      <c r="D25" s="2" t="n">
        <v>12</v>
      </c>
      <c r="E25" s="7" t="n">
        <f aca="false">Schedule!$BQ$25</f>
        <v>6.5255292136748</v>
      </c>
      <c r="F25" s="8" t="n">
        <f aca="false">Convolution!O372</f>
        <v>6.16556288157864E-008</v>
      </c>
      <c r="G25" s="8" t="n">
        <f aca="false">Convolution!O373</f>
        <v>1.90987077391652E-005</v>
      </c>
      <c r="H25" s="8" t="n">
        <f aca="false">Convolution!O374</f>
        <v>0.00145386794809321</v>
      </c>
      <c r="I25" s="8" t="n">
        <f aca="false">Convolution!O375</f>
        <v>0.0147277112529319</v>
      </c>
      <c r="J25" s="8" t="n">
        <f aca="false">Convolution!O376</f>
        <v>0.0658235297172304</v>
      </c>
      <c r="K25" s="8" t="n">
        <f aca="false">Convolution!O377</f>
        <v>0.164014209116456</v>
      </c>
      <c r="L25" s="8" t="n">
        <f aca="false">Convolution!O378</f>
        <v>0.251511119172087</v>
      </c>
      <c r="M25" s="8" t="n">
        <f aca="false">Convolution!O379</f>
        <v>0.249170591054936</v>
      </c>
      <c r="N25" s="8" t="n">
        <f aca="false">Convolution!O380</f>
        <v>0.162481173057214</v>
      </c>
      <c r="O25" s="8" t="n">
        <f aca="false">Convolution!O381</f>
        <v>0.0692434440512113</v>
      </c>
      <c r="P25" s="8" t="n">
        <f aca="false">Convolution!O382</f>
        <v>0.0185411996373972</v>
      </c>
      <c r="Q25" s="8" t="n">
        <f aca="false">Convolution!O383</f>
        <v>0.00282708439768461</v>
      </c>
      <c r="R25" s="8" t="n">
        <f aca="false">Convolution!O384</f>
        <v>0.000186910231389692</v>
      </c>
      <c r="S25" s="8" t="n">
        <f aca="false">Convolution!O385</f>
        <v>0</v>
      </c>
      <c r="T25" s="2" t="str">
        <f aca="false">INDEX($F$1:$S$1,MATCH(MAX(F25:S25),F25:S25,0))</f>
        <v>P(6)</v>
      </c>
      <c r="U25" s="8" t="n">
        <f aca="false">SUM(L25:S25)</f>
        <v>0.75396152160192</v>
      </c>
      <c r="V25" s="8" t="n">
        <f aca="false">SUM(P25:S25)</f>
        <v>0.0215551942664715</v>
      </c>
      <c r="W25" s="2" t="n">
        <f aca="false">ROUND(SUM(F25:S25),6)</f>
        <v>1</v>
      </c>
    </row>
    <row r="26" customFormat="false" ht="15" hidden="false" customHeight="false" outlineLevel="0" collapsed="false">
      <c r="A26" s="2" t="n">
        <f aca="false">RANK(E26,$E$2:$E$139)</f>
        <v>16</v>
      </c>
      <c r="B26" s="2" t="s">
        <v>82</v>
      </c>
      <c r="C26" s="6" t="n">
        <f aca="false">Schedule!$B$26</f>
        <v>12.1</v>
      </c>
      <c r="D26" s="2" t="n">
        <v>12</v>
      </c>
      <c r="E26" s="7" t="n">
        <f aca="false">Schedule!$BQ$26</f>
        <v>8.29124582349763</v>
      </c>
      <c r="F26" s="8" t="n">
        <f aca="false">Convolution!O388</f>
        <v>6.68851403054729E-009</v>
      </c>
      <c r="G26" s="8" t="n">
        <f aca="false">Convolution!O389</f>
        <v>7.4108738476026E-007</v>
      </c>
      <c r="H26" s="8" t="n">
        <f aca="false">Convolution!O390</f>
        <v>2.73043499763191E-005</v>
      </c>
      <c r="I26" s="8" t="n">
        <f aca="false">Convolution!O391</f>
        <v>0.000442566229629056</v>
      </c>
      <c r="J26" s="8" t="n">
        <f aca="false">Convolution!O392</f>
        <v>0.00393916743097896</v>
      </c>
      <c r="K26" s="8" t="n">
        <f aca="false">Convolution!O393</f>
        <v>0.0214818109374394</v>
      </c>
      <c r="L26" s="8" t="n">
        <f aca="false">Convolution!O394</f>
        <v>0.0756967656383701</v>
      </c>
      <c r="M26" s="8" t="n">
        <f aca="false">Convolution!O395</f>
        <v>0.175852742265367</v>
      </c>
      <c r="N26" s="8" t="n">
        <f aca="false">Convolution!O396</f>
        <v>0.26792791015129</v>
      </c>
      <c r="O26" s="8" t="n">
        <f aca="false">Convolution!O397</f>
        <v>0.259289106612431</v>
      </c>
      <c r="P26" s="8" t="n">
        <f aca="false">Convolution!O398</f>
        <v>0.148325289196099</v>
      </c>
      <c r="Q26" s="8" t="n">
        <f aca="false">Convolution!O399</f>
        <v>0.0429299447109309</v>
      </c>
      <c r="R26" s="8" t="n">
        <f aca="false">Convolution!O400</f>
        <v>0.00408664470158953</v>
      </c>
      <c r="S26" s="8" t="n">
        <f aca="false">Convolution!O401</f>
        <v>0</v>
      </c>
      <c r="T26" s="2" t="str">
        <f aca="false">INDEX($F$1:$S$1,MATCH(MAX(F26:S26),F26:S26,0))</f>
        <v>P(8)</v>
      </c>
      <c r="U26" s="8" t="n">
        <f aca="false">SUM(L26:S26)</f>
        <v>0.974108403276078</v>
      </c>
      <c r="V26" s="8" t="n">
        <f aca="false">SUM(P26:S26)</f>
        <v>0.195341878608619</v>
      </c>
      <c r="W26" s="2" t="n">
        <f aca="false">ROUND(SUM(F26:S26),6)</f>
        <v>1</v>
      </c>
    </row>
    <row r="27" customFormat="false" ht="15" hidden="false" customHeight="false" outlineLevel="0" collapsed="false">
      <c r="A27" s="2" t="n">
        <f aca="false">RANK(E27,$E$2:$E$139)</f>
        <v>72</v>
      </c>
      <c r="B27" s="2" t="s">
        <v>83</v>
      </c>
      <c r="C27" s="6" t="n">
        <f aca="false">Schedule!$B$27</f>
        <v>11.5</v>
      </c>
      <c r="D27" s="2" t="n">
        <v>12</v>
      </c>
      <c r="E27" s="7" t="n">
        <f aca="false">Schedule!$BQ$27</f>
        <v>6.44421882939283</v>
      </c>
      <c r="F27" s="8" t="n">
        <f aca="false">Convolution!O404</f>
        <v>6.66901941650601E-008</v>
      </c>
      <c r="G27" s="8" t="n">
        <f aca="false">Convolution!O405</f>
        <v>2.73754588427748E-005</v>
      </c>
      <c r="H27" s="8" t="n">
        <f aca="false">Convolution!O406</f>
        <v>0.00174212376956302</v>
      </c>
      <c r="I27" s="8" t="n">
        <f aca="false">Convolution!O407</f>
        <v>0.0165015881566203</v>
      </c>
      <c r="J27" s="8" t="n">
        <f aca="false">Convolution!O408</f>
        <v>0.07073574539659</v>
      </c>
      <c r="K27" s="8" t="n">
        <f aca="false">Convolution!O409</f>
        <v>0.171655755769667</v>
      </c>
      <c r="L27" s="8" t="n">
        <f aca="false">Convolution!O410</f>
        <v>0.257523363254352</v>
      </c>
      <c r="M27" s="8" t="n">
        <f aca="false">Convolution!O411</f>
        <v>0.248015454201913</v>
      </c>
      <c r="N27" s="8" t="n">
        <f aca="false">Convolution!O412</f>
        <v>0.154844285918041</v>
      </c>
      <c r="O27" s="8" t="n">
        <f aca="false">Convolution!O413</f>
        <v>0.061790567697857</v>
      </c>
      <c r="P27" s="8" t="n">
        <f aca="false">Convolution!O414</f>
        <v>0.0150471514011938</v>
      </c>
      <c r="Q27" s="8" t="n">
        <f aca="false">Convolution!O415</f>
        <v>0.00200685550817423</v>
      </c>
      <c r="R27" s="8" t="n">
        <f aca="false">Convolution!O416</f>
        <v>0.000109666776991702</v>
      </c>
      <c r="S27" s="8" t="n">
        <f aca="false">Convolution!O417</f>
        <v>0</v>
      </c>
      <c r="T27" s="2" t="str">
        <f aca="false">INDEX($F$1:$S$1,MATCH(MAX(F27:S27),F27:S27,0))</f>
        <v>P(6)</v>
      </c>
      <c r="U27" s="8" t="n">
        <f aca="false">SUM(L27:S27)</f>
        <v>0.739337344758523</v>
      </c>
      <c r="V27" s="8" t="n">
        <f aca="false">SUM(P27:S27)</f>
        <v>0.0171636736863598</v>
      </c>
      <c r="W27" s="2" t="n">
        <f aca="false">ROUND(SUM(F27:S27),6)</f>
        <v>1</v>
      </c>
    </row>
    <row r="28" customFormat="false" ht="15" hidden="false" customHeight="false" outlineLevel="0" collapsed="false">
      <c r="A28" s="2" t="n">
        <f aca="false">RANK(E28,$E$2:$E$139)</f>
        <v>29</v>
      </c>
      <c r="B28" s="2" t="s">
        <v>84</v>
      </c>
      <c r="C28" s="6" t="n">
        <f aca="false">Schedule!$B$28</f>
        <v>11.1</v>
      </c>
      <c r="D28" s="2" t="n">
        <v>12</v>
      </c>
      <c r="E28" s="7" t="n">
        <f aca="false">Schedule!$BQ$28</f>
        <v>7.840158927372</v>
      </c>
      <c r="F28" s="8" t="n">
        <f aca="false">Convolution!O420</f>
        <v>2.74297058149232E-007</v>
      </c>
      <c r="G28" s="8" t="n">
        <f aca="false">Convolution!O421</f>
        <v>1.71550725695855E-005</v>
      </c>
      <c r="H28" s="8" t="n">
        <f aca="false">Convolution!O422</f>
        <v>0.000303887524449994</v>
      </c>
      <c r="I28" s="8" t="n">
        <f aca="false">Convolution!O423</f>
        <v>0.00270308698727134</v>
      </c>
      <c r="J28" s="8" t="n">
        <f aca="false">Convolution!O424</f>
        <v>0.0145293169204379</v>
      </c>
      <c r="K28" s="8" t="n">
        <f aca="false">Convolution!O425</f>
        <v>0.0513794784389873</v>
      </c>
      <c r="L28" s="8" t="n">
        <f aca="false">Convolution!O426</f>
        <v>0.124703624575043</v>
      </c>
      <c r="M28" s="8" t="n">
        <f aca="false">Convolution!O427</f>
        <v>0.211440468767906</v>
      </c>
      <c r="N28" s="8" t="n">
        <f aca="false">Convolution!O428</f>
        <v>0.250112592265077</v>
      </c>
      <c r="O28" s="8" t="n">
        <f aca="false">Convolution!O429</f>
        <v>0.202041870451391</v>
      </c>
      <c r="P28" s="8" t="n">
        <f aca="false">Convolution!O430</f>
        <v>0.105986712846495</v>
      </c>
      <c r="Q28" s="8" t="n">
        <f aca="false">Convolution!O431</f>
        <v>0.032418035301431</v>
      </c>
      <c r="R28" s="8" t="n">
        <f aca="false">Convolution!O432</f>
        <v>0.00436349655188407</v>
      </c>
      <c r="S28" s="8" t="n">
        <f aca="false">Convolution!O433</f>
        <v>0</v>
      </c>
      <c r="T28" s="2" t="str">
        <f aca="false">INDEX($F$1:$S$1,MATCH(MAX(F28:S28),F28:S28,0))</f>
        <v>P(8)</v>
      </c>
      <c r="U28" s="8" t="n">
        <f aca="false">SUM(L28:S28)</f>
        <v>0.931066800759226</v>
      </c>
      <c r="V28" s="8" t="n">
        <f aca="false">SUM(P28:S28)</f>
        <v>0.14276824469981</v>
      </c>
      <c r="W28" s="2" t="n">
        <f aca="false">ROUND(SUM(F28:S28),6)</f>
        <v>1</v>
      </c>
    </row>
    <row r="29" customFormat="false" ht="15" hidden="false" customHeight="false" outlineLevel="0" collapsed="false">
      <c r="A29" s="2" t="n">
        <f aca="false">RANK(E29,$E$2:$E$139)</f>
        <v>58</v>
      </c>
      <c r="B29" s="2" t="s">
        <v>85</v>
      </c>
      <c r="C29" s="6" t="n">
        <f aca="false">Schedule!$B$29</f>
        <v>10.4</v>
      </c>
      <c r="D29" s="2" t="n">
        <v>12</v>
      </c>
      <c r="E29" s="7" t="n">
        <f aca="false">Schedule!$BQ$29</f>
        <v>7.03308111481601</v>
      </c>
      <c r="F29" s="8" t="n">
        <f aca="false">Convolution!O436</f>
        <v>3.40361218515214E-007</v>
      </c>
      <c r="G29" s="8" t="n">
        <f aca="false">Convolution!O437</f>
        <v>2.46902518955146E-005</v>
      </c>
      <c r="H29" s="8" t="n">
        <f aca="false">Convolution!O438</f>
        <v>0.000599292674421368</v>
      </c>
      <c r="I29" s="8" t="n">
        <f aca="false">Convolution!O439</f>
        <v>0.00606694093127705</v>
      </c>
      <c r="J29" s="8" t="n">
        <f aca="false">Convolution!O440</f>
        <v>0.0323983295541823</v>
      </c>
      <c r="K29" s="8" t="n">
        <f aca="false">Convolution!O441</f>
        <v>0.103164346762123</v>
      </c>
      <c r="L29" s="8" t="n">
        <f aca="false">Convolution!O442</f>
        <v>0.207964632976479</v>
      </c>
      <c r="M29" s="8" t="n">
        <f aca="false">Convolution!O443</f>
        <v>0.271131531615562</v>
      </c>
      <c r="N29" s="8" t="n">
        <f aca="false">Convolution!O444</f>
        <v>0.226361115620095</v>
      </c>
      <c r="O29" s="8" t="n">
        <f aca="false">Convolution!O445</f>
        <v>0.115580340155589</v>
      </c>
      <c r="P29" s="8" t="n">
        <f aca="false">Convolution!O446</f>
        <v>0.0325235362303065</v>
      </c>
      <c r="Q29" s="8" t="n">
        <f aca="false">Convolution!O447</f>
        <v>0.00403273784004351</v>
      </c>
      <c r="R29" s="8" t="n">
        <f aca="false">Convolution!O448</f>
        <v>0.000152165026807254</v>
      </c>
      <c r="S29" s="8" t="n">
        <f aca="false">Convolution!O449</f>
        <v>0</v>
      </c>
      <c r="T29" s="2" t="str">
        <f aca="false">INDEX($F$1:$S$1,MATCH(MAX(F29:S29),F29:S29,0))</f>
        <v>P(7)</v>
      </c>
      <c r="U29" s="8" t="n">
        <f aca="false">SUM(L29:S29)</f>
        <v>0.857746059464882</v>
      </c>
      <c r="V29" s="8" t="n">
        <f aca="false">SUM(P29:S29)</f>
        <v>0.0367084390971573</v>
      </c>
      <c r="W29" s="2" t="n">
        <f aca="false">ROUND(SUM(F29:S29),6)</f>
        <v>1</v>
      </c>
    </row>
    <row r="30" customFormat="false" ht="15" hidden="false" customHeight="false" outlineLevel="0" collapsed="false">
      <c r="A30" s="2" t="n">
        <f aca="false">RANK(E30,$E$2:$E$139)</f>
        <v>75</v>
      </c>
      <c r="B30" s="2" t="s">
        <v>86</v>
      </c>
      <c r="C30" s="6" t="n">
        <f aca="false">Schedule!$B$30</f>
        <v>9.8</v>
      </c>
      <c r="D30" s="2" t="n">
        <v>12</v>
      </c>
      <c r="E30" s="7" t="n">
        <f aca="false">Schedule!$BQ$30</f>
        <v>6.34418414089186</v>
      </c>
      <c r="F30" s="8" t="n">
        <f aca="false">Convolution!O452</f>
        <v>2.61698969952639E-007</v>
      </c>
      <c r="G30" s="8" t="n">
        <f aca="false">Convolution!O453</f>
        <v>0.000119389214793066</v>
      </c>
      <c r="H30" s="8" t="n">
        <f aca="false">Convolution!O454</f>
        <v>0.00296348513989447</v>
      </c>
      <c r="I30" s="8" t="n">
        <f aca="false">Convolution!O455</f>
        <v>0.0220867274387977</v>
      </c>
      <c r="J30" s="8" t="n">
        <f aca="false">Convolution!O456</f>
        <v>0.0822573604805391</v>
      </c>
      <c r="K30" s="8" t="n">
        <f aca="false">Convolution!O457</f>
        <v>0.181330034447124</v>
      </c>
      <c r="L30" s="8" t="n">
        <f aca="false">Convolution!O458</f>
        <v>0.255031418238651</v>
      </c>
      <c r="M30" s="8" t="n">
        <f aca="false">Convolution!O459</f>
        <v>0.236468199469277</v>
      </c>
      <c r="N30" s="8" t="n">
        <f aca="false">Convolution!O460</f>
        <v>0.145365436948915</v>
      </c>
      <c r="O30" s="8" t="n">
        <f aca="false">Convolution!O461</f>
        <v>0.0580829526740221</v>
      </c>
      <c r="P30" s="8" t="n">
        <f aca="false">Convolution!O462</f>
        <v>0.0142812875079106</v>
      </c>
      <c r="Q30" s="8" t="n">
        <f aca="false">Convolution!O463</f>
        <v>0.00191222642363316</v>
      </c>
      <c r="R30" s="8" t="n">
        <f aca="false">Convolution!O464</f>
        <v>0.000101220317472293</v>
      </c>
      <c r="S30" s="8" t="n">
        <f aca="false">Convolution!O465</f>
        <v>0</v>
      </c>
      <c r="T30" s="2" t="str">
        <f aca="false">INDEX($F$1:$S$1,MATCH(MAX(F30:S30),F30:S30,0))</f>
        <v>P(6)</v>
      </c>
      <c r="U30" s="8" t="n">
        <f aca="false">SUM(L30:S30)</f>
        <v>0.711242741579881</v>
      </c>
      <c r="V30" s="8" t="n">
        <f aca="false">SUM(P30:S30)</f>
        <v>0.0162947342490161</v>
      </c>
      <c r="W30" s="2" t="n">
        <f aca="false">ROUND(SUM(F30:S30),6)</f>
        <v>1</v>
      </c>
    </row>
    <row r="31" customFormat="false" ht="15" hidden="false" customHeight="false" outlineLevel="0" collapsed="false">
      <c r="A31" s="2" t="n">
        <f aca="false">RANK(E31,$E$2:$E$139)</f>
        <v>27</v>
      </c>
      <c r="B31" s="2" t="s">
        <v>87</v>
      </c>
      <c r="C31" s="6" t="n">
        <f aca="false">Schedule!$B$31</f>
        <v>9.8</v>
      </c>
      <c r="D31" s="2" t="n">
        <v>12</v>
      </c>
      <c r="E31" s="7" t="n">
        <f aca="false">Schedule!$BQ$31</f>
        <v>7.93002363430844</v>
      </c>
      <c r="F31" s="8" t="n">
        <f aca="false">Convolution!O468</f>
        <v>2.41407057069563E-007</v>
      </c>
      <c r="G31" s="8" t="n">
        <f aca="false">Convolution!O469</f>
        <v>1.17291048522798E-005</v>
      </c>
      <c r="H31" s="8" t="n">
        <f aca="false">Convolution!O470</f>
        <v>0.000213765665720233</v>
      </c>
      <c r="I31" s="8" t="n">
        <f aca="false">Convolution!O471</f>
        <v>0.00204509851635131</v>
      </c>
      <c r="J31" s="8" t="n">
        <f aca="false">Convolution!O472</f>
        <v>0.0118640880548258</v>
      </c>
      <c r="K31" s="8" t="n">
        <f aca="false">Convolution!O473</f>
        <v>0.0449755407213577</v>
      </c>
      <c r="L31" s="8" t="n">
        <f aca="false">Convolution!O474</f>
        <v>0.115900698804121</v>
      </c>
      <c r="M31" s="8" t="n">
        <f aca="false">Convolution!O475</f>
        <v>0.206498599906465</v>
      </c>
      <c r="N31" s="8" t="n">
        <f aca="false">Convolution!O476</f>
        <v>0.254035194508394</v>
      </c>
      <c r="O31" s="8" t="n">
        <f aca="false">Convolution!O477</f>
        <v>0.211332058657132</v>
      </c>
      <c r="P31" s="8" t="n">
        <f aca="false">Convolution!O478</f>
        <v>0.113194013689432</v>
      </c>
      <c r="Q31" s="8" t="n">
        <f aca="false">Convolution!O479</f>
        <v>0.0351372421201402</v>
      </c>
      <c r="R31" s="8" t="n">
        <f aca="false">Convolution!O480</f>
        <v>0.00479172884415132</v>
      </c>
      <c r="S31" s="8" t="n">
        <f aca="false">Convolution!O481</f>
        <v>0</v>
      </c>
      <c r="T31" s="2" t="str">
        <f aca="false">INDEX($F$1:$S$1,MATCH(MAX(F31:S31),F31:S31,0))</f>
        <v>P(8)</v>
      </c>
      <c r="U31" s="8" t="n">
        <f aca="false">SUM(L31:S31)</f>
        <v>0.940889536529836</v>
      </c>
      <c r="V31" s="8" t="n">
        <f aca="false">SUM(P31:S31)</f>
        <v>0.153122984653723</v>
      </c>
      <c r="W31" s="2" t="n">
        <f aca="false">ROUND(SUM(F31:S31),6)</f>
        <v>1</v>
      </c>
    </row>
    <row r="32" customFormat="false" ht="15" hidden="false" customHeight="false" outlineLevel="0" collapsed="false">
      <c r="A32" s="2" t="n">
        <f aca="false">RANK(E32,$E$2:$E$139)</f>
        <v>40</v>
      </c>
      <c r="B32" s="2" t="s">
        <v>88</v>
      </c>
      <c r="C32" s="6" t="n">
        <f aca="false">Schedule!$B$32</f>
        <v>9.5</v>
      </c>
      <c r="D32" s="2" t="n">
        <v>12</v>
      </c>
      <c r="E32" s="7" t="n">
        <f aca="false">Schedule!$BQ$32</f>
        <v>7.62776163994748</v>
      </c>
      <c r="F32" s="8" t="n">
        <f aca="false">Convolution!O484</f>
        <v>4.45647358245589E-008</v>
      </c>
      <c r="G32" s="8" t="n">
        <f aca="false">Convolution!O485</f>
        <v>5.10997078089282E-006</v>
      </c>
      <c r="H32" s="8" t="n">
        <f aca="false">Convolution!O486</f>
        <v>0.000168951146112552</v>
      </c>
      <c r="I32" s="8" t="n">
        <f aca="false">Convolution!O487</f>
        <v>0.00213068617698445</v>
      </c>
      <c r="J32" s="8" t="n">
        <f aca="false">Convolution!O488</f>
        <v>0.0141263456822088</v>
      </c>
      <c r="K32" s="8" t="n">
        <f aca="false">Convolution!O489</f>
        <v>0.0563556939630418</v>
      </c>
      <c r="L32" s="8" t="n">
        <f aca="false">Convolution!O490</f>
        <v>0.143890550009048</v>
      </c>
      <c r="M32" s="8" t="n">
        <f aca="false">Convolution!O491</f>
        <v>0.2408356949903</v>
      </c>
      <c r="N32" s="8" t="n">
        <f aca="false">Convolution!O492</f>
        <v>0.263682246673973</v>
      </c>
      <c r="O32" s="8" t="n">
        <f aca="false">Convolution!O493</f>
        <v>0.18376767019765</v>
      </c>
      <c r="P32" s="8" t="n">
        <f aca="false">Convolution!O494</f>
        <v>0.0766767524643531</v>
      </c>
      <c r="Q32" s="8" t="n">
        <f aca="false">Convolution!O495</f>
        <v>0.0169080281208129</v>
      </c>
      <c r="R32" s="8" t="n">
        <f aca="false">Convolution!O496</f>
        <v>0.0014522260399987</v>
      </c>
      <c r="S32" s="8" t="n">
        <f aca="false">Convolution!O497</f>
        <v>0</v>
      </c>
      <c r="T32" s="2" t="str">
        <f aca="false">INDEX($F$1:$S$1,MATCH(MAX(F32:S32),F32:S32,0))</f>
        <v>P(8)</v>
      </c>
      <c r="U32" s="8" t="n">
        <f aca="false">SUM(L32:S32)</f>
        <v>0.927213168496135</v>
      </c>
      <c r="V32" s="8" t="n">
        <f aca="false">SUM(P32:S32)</f>
        <v>0.0950370066251647</v>
      </c>
      <c r="W32" s="2" t="n">
        <f aca="false">ROUND(SUM(F32:S32),6)</f>
        <v>1</v>
      </c>
    </row>
    <row r="33" customFormat="false" ht="15" hidden="false" customHeight="false" outlineLevel="0" collapsed="false">
      <c r="A33" s="2" t="n">
        <f aca="false">RANK(E33,$E$2:$E$139)</f>
        <v>45</v>
      </c>
      <c r="B33" s="2" t="s">
        <v>89</v>
      </c>
      <c r="C33" s="6" t="n">
        <f aca="false">Schedule!$B$33</f>
        <v>9.4</v>
      </c>
      <c r="D33" s="2" t="n">
        <v>12</v>
      </c>
      <c r="E33" s="7" t="n">
        <f aca="false">Schedule!$BQ$33</f>
        <v>7.43201583149957</v>
      </c>
      <c r="F33" s="8" t="n">
        <f aca="false">Convolution!O500</f>
        <v>1.39910265981629E-008</v>
      </c>
      <c r="G33" s="8" t="n">
        <f aca="false">Convolution!O501</f>
        <v>1.28696398964294E-005</v>
      </c>
      <c r="H33" s="8" t="n">
        <f aca="false">Convolution!O502</f>
        <v>0.000359516514739455</v>
      </c>
      <c r="I33" s="8" t="n">
        <f aca="false">Convolution!O503</f>
        <v>0.00380843609546462</v>
      </c>
      <c r="J33" s="8" t="n">
        <f aca="false">Convolution!O504</f>
        <v>0.0214949885333846</v>
      </c>
      <c r="K33" s="8" t="n">
        <f aca="false">Convolution!O505</f>
        <v>0.0739627542161861</v>
      </c>
      <c r="L33" s="8" t="n">
        <f aca="false">Convolution!O506</f>
        <v>0.165356995863596</v>
      </c>
      <c r="M33" s="8" t="n">
        <f aca="false">Convolution!O507</f>
        <v>0.246864606524051</v>
      </c>
      <c r="N33" s="8" t="n">
        <f aca="false">Convolution!O508</f>
        <v>0.246596156447495</v>
      </c>
      <c r="O33" s="8" t="n">
        <f aca="false">Convolution!O509</f>
        <v>0.161079903704286</v>
      </c>
      <c r="P33" s="8" t="n">
        <f aca="false">Convolution!O510</f>
        <v>0.0649555896878158</v>
      </c>
      <c r="Q33" s="8" t="n">
        <f aca="false">Convolution!O511</f>
        <v>0.014271632701994</v>
      </c>
      <c r="R33" s="8" t="n">
        <f aca="false">Convolution!O512</f>
        <v>0.00123653608006469</v>
      </c>
      <c r="S33" s="8" t="n">
        <f aca="false">Convolution!O513</f>
        <v>0</v>
      </c>
      <c r="T33" s="2" t="str">
        <f aca="false">INDEX($F$1:$S$1,MATCH(MAX(F33:S33),F33:S33,0))</f>
        <v>P(7)</v>
      </c>
      <c r="U33" s="8" t="n">
        <f aca="false">SUM(L33:S33)</f>
        <v>0.900361421009302</v>
      </c>
      <c r="V33" s="8" t="n">
        <f aca="false">SUM(P33:S33)</f>
        <v>0.0804637584698745</v>
      </c>
      <c r="W33" s="2" t="n">
        <f aca="false">ROUND(SUM(F33:S33),6)</f>
        <v>1</v>
      </c>
    </row>
    <row r="34" customFormat="false" ht="15" hidden="false" customHeight="false" outlineLevel="0" collapsed="false">
      <c r="A34" s="2" t="n">
        <f aca="false">RANK(E34,$E$2:$E$139)</f>
        <v>77</v>
      </c>
      <c r="B34" s="2" t="s">
        <v>90</v>
      </c>
      <c r="C34" s="6" t="n">
        <f aca="false">Schedule!$B$34</f>
        <v>9.3</v>
      </c>
      <c r="D34" s="2" t="n">
        <v>12</v>
      </c>
      <c r="E34" s="7" t="n">
        <f aca="false">Schedule!$BQ$34</f>
        <v>6.17263059140465</v>
      </c>
      <c r="F34" s="8" t="n">
        <f aca="false">Convolution!O516</f>
        <v>2.17000131455707E-006</v>
      </c>
      <c r="G34" s="8" t="n">
        <f aca="false">Convolution!O517</f>
        <v>0.000114609804173569</v>
      </c>
      <c r="H34" s="8" t="n">
        <f aca="false">Convolution!O518</f>
        <v>0.00222279861131654</v>
      </c>
      <c r="I34" s="8" t="n">
        <f aca="false">Convolution!O519</f>
        <v>0.0198153042377243</v>
      </c>
      <c r="J34" s="8" t="n">
        <f aca="false">Convolution!O520</f>
        <v>0.0859188034917446</v>
      </c>
      <c r="K34" s="8" t="n">
        <f aca="false">Convolution!O521</f>
        <v>0.204095547651642</v>
      </c>
      <c r="L34" s="8" t="n">
        <f aca="false">Convolution!O522</f>
        <v>0.284380381299321</v>
      </c>
      <c r="M34" s="8" t="n">
        <f aca="false">Convolution!O523</f>
        <v>0.239185147540807</v>
      </c>
      <c r="N34" s="8" t="n">
        <f aca="false">Convolution!O524</f>
        <v>0.121501210926205</v>
      </c>
      <c r="O34" s="8" t="n">
        <f aca="false">Convolution!O525</f>
        <v>0.0362749216000713</v>
      </c>
      <c r="P34" s="8" t="n">
        <f aca="false">Convolution!O526</f>
        <v>0.00598608361687565</v>
      </c>
      <c r="Q34" s="8" t="n">
        <f aca="false">Convolution!O527</f>
        <v>0.00048787374678442</v>
      </c>
      <c r="R34" s="8" t="n">
        <f aca="false">Convolution!O528</f>
        <v>1.51474720202378E-005</v>
      </c>
      <c r="S34" s="8" t="n">
        <f aca="false">Convolution!O529</f>
        <v>0</v>
      </c>
      <c r="T34" s="2" t="str">
        <f aca="false">INDEX($F$1:$S$1,MATCH(MAX(F34:S34),F34:S34,0))</f>
        <v>P(6)</v>
      </c>
      <c r="U34" s="8" t="n">
        <f aca="false">SUM(L34:S34)</f>
        <v>0.687830766202085</v>
      </c>
      <c r="V34" s="8" t="n">
        <f aca="false">SUM(P34:S34)</f>
        <v>0.00648910483568031</v>
      </c>
      <c r="W34" s="2" t="n">
        <f aca="false">ROUND(SUM(F34:S34),6)</f>
        <v>1</v>
      </c>
    </row>
    <row r="35" customFormat="false" ht="15" hidden="false" customHeight="false" outlineLevel="0" collapsed="false">
      <c r="A35" s="2" t="n">
        <f aca="false">RANK(E35,$E$2:$E$139)</f>
        <v>22</v>
      </c>
      <c r="B35" s="2" t="s">
        <v>91</v>
      </c>
      <c r="C35" s="6" t="n">
        <f aca="false">Schedule!$B$35</f>
        <v>9.2</v>
      </c>
      <c r="D35" s="2" t="n">
        <v>12</v>
      </c>
      <c r="E35" s="7" t="n">
        <f aca="false">Schedule!$BQ$35</f>
        <v>8.04363446644677</v>
      </c>
      <c r="F35" s="8" t="n">
        <f aca="false">Convolution!O532</f>
        <v>2.83948719144763E-008</v>
      </c>
      <c r="G35" s="8" t="n">
        <f aca="false">Convolution!O533</f>
        <v>6.87451361832879E-006</v>
      </c>
      <c r="H35" s="8" t="n">
        <f aca="false">Convolution!O534</f>
        <v>0.000159507625813445</v>
      </c>
      <c r="I35" s="8" t="n">
        <f aca="false">Convolution!O535</f>
        <v>0.00167089766569614</v>
      </c>
      <c r="J35" s="8" t="n">
        <f aca="false">Convolution!O536</f>
        <v>0.0101709674383025</v>
      </c>
      <c r="K35" s="8" t="n">
        <f aca="false">Convolution!O537</f>
        <v>0.0399118809792543</v>
      </c>
      <c r="L35" s="8" t="n">
        <f aca="false">Convolution!O538</f>
        <v>0.106222770342967</v>
      </c>
      <c r="M35" s="8" t="n">
        <f aca="false">Convolution!O539</f>
        <v>0.196115917894693</v>
      </c>
      <c r="N35" s="8" t="n">
        <f aca="false">Convolution!O540</f>
        <v>0.251697548720193</v>
      </c>
      <c r="O35" s="8" t="n">
        <f aca="false">Convolution!O541</f>
        <v>0.220405106585485</v>
      </c>
      <c r="P35" s="8" t="n">
        <f aca="false">Convolution!O542</f>
        <v>0.125547175944928</v>
      </c>
      <c r="Q35" s="8" t="n">
        <f aca="false">Convolution!O543</f>
        <v>0.0418894334960184</v>
      </c>
      <c r="R35" s="8" t="n">
        <f aca="false">Convolution!O544</f>
        <v>0.00620189039815883</v>
      </c>
      <c r="S35" s="8" t="n">
        <f aca="false">Convolution!O545</f>
        <v>0</v>
      </c>
      <c r="T35" s="2" t="str">
        <f aca="false">INDEX($F$1:$S$1,MATCH(MAX(F35:S35),F35:S35,0))</f>
        <v>P(8)</v>
      </c>
      <c r="U35" s="8" t="n">
        <f aca="false">SUM(L35:S35)</f>
        <v>0.948079843382444</v>
      </c>
      <c r="V35" s="8" t="n">
        <f aca="false">SUM(P35:S35)</f>
        <v>0.173638499839105</v>
      </c>
      <c r="W35" s="2" t="n">
        <f aca="false">ROUND(SUM(F35:S35),6)</f>
        <v>1</v>
      </c>
    </row>
    <row r="36" customFormat="false" ht="15" hidden="false" customHeight="false" outlineLevel="0" collapsed="false">
      <c r="A36" s="2" t="n">
        <f aca="false">RANK(E36,$E$2:$E$139)</f>
        <v>68</v>
      </c>
      <c r="B36" s="2" t="s">
        <v>92</v>
      </c>
      <c r="C36" s="6" t="n">
        <f aca="false">Schedule!$B$36</f>
        <v>9.1</v>
      </c>
      <c r="D36" s="2" t="n">
        <v>12</v>
      </c>
      <c r="E36" s="7" t="n">
        <f aca="false">Schedule!$BQ$36</f>
        <v>6.58429987356177</v>
      </c>
      <c r="F36" s="8" t="n">
        <f aca="false">Convolution!O548</f>
        <v>2.13669108454483E-007</v>
      </c>
      <c r="G36" s="8" t="n">
        <f aca="false">Convolution!O549</f>
        <v>4.72118085220889E-005</v>
      </c>
      <c r="H36" s="8" t="n">
        <f aca="false">Convolution!O550</f>
        <v>0.00171223523819165</v>
      </c>
      <c r="I36" s="8" t="n">
        <f aca="false">Convolution!O551</f>
        <v>0.0150175138648873</v>
      </c>
      <c r="J36" s="8" t="n">
        <f aca="false">Convolution!O552</f>
        <v>0.0632746288563618</v>
      </c>
      <c r="K36" s="8" t="n">
        <f aca="false">Convolution!O553</f>
        <v>0.155744968201692</v>
      </c>
      <c r="L36" s="8" t="n">
        <f aca="false">Convolution!O554</f>
        <v>0.243390308670334</v>
      </c>
      <c r="M36" s="8" t="n">
        <f aca="false">Convolution!O555</f>
        <v>0.250339432024869</v>
      </c>
      <c r="N36" s="8" t="n">
        <f aca="false">Convolution!O556</f>
        <v>0.1706684877745</v>
      </c>
      <c r="O36" s="8" t="n">
        <f aca="false">Convolution!O557</f>
        <v>0.0757051320476417</v>
      </c>
      <c r="P36" s="8" t="n">
        <f aca="false">Convolution!O558</f>
        <v>0.0207561752867673</v>
      </c>
      <c r="Q36" s="8" t="n">
        <f aca="false">Convolution!O559</f>
        <v>0.00314573712574268</v>
      </c>
      <c r="R36" s="8" t="n">
        <f aca="false">Convolution!O560</f>
        <v>0.000197955431382538</v>
      </c>
      <c r="S36" s="8" t="n">
        <f aca="false">Convolution!O561</f>
        <v>0</v>
      </c>
      <c r="T36" s="2" t="str">
        <f aca="false">INDEX($F$1:$S$1,MATCH(MAX(F36:S36),F36:S36,0))</f>
        <v>P(7)</v>
      </c>
      <c r="U36" s="8" t="n">
        <f aca="false">SUM(L36:S36)</f>
        <v>0.764203228361237</v>
      </c>
      <c r="V36" s="8" t="n">
        <f aca="false">SUM(P36:S36)</f>
        <v>0.0240998678438926</v>
      </c>
      <c r="W36" s="2" t="n">
        <f aca="false">ROUND(SUM(F36:S36),6)</f>
        <v>1</v>
      </c>
    </row>
    <row r="37" customFormat="false" ht="15" hidden="false" customHeight="false" outlineLevel="0" collapsed="false">
      <c r="A37" s="2" t="n">
        <f aca="false">RANK(E37,$E$2:$E$139)</f>
        <v>55</v>
      </c>
      <c r="B37" s="2" t="s">
        <v>93</v>
      </c>
      <c r="C37" s="6" t="n">
        <f aca="false">Schedule!$B$37</f>
        <v>8.6</v>
      </c>
      <c r="D37" s="2" t="n">
        <v>12</v>
      </c>
      <c r="E37" s="7" t="n">
        <f aca="false">Schedule!$BQ$37</f>
        <v>7.1372958185504</v>
      </c>
      <c r="F37" s="8" t="n">
        <f aca="false">Convolution!O564</f>
        <v>6.77745133949895E-008</v>
      </c>
      <c r="G37" s="8" t="n">
        <f aca="false">Convolution!O565</f>
        <v>3.56025443713996E-005</v>
      </c>
      <c r="H37" s="8" t="n">
        <f aca="false">Convolution!O566</f>
        <v>0.000743337806884075</v>
      </c>
      <c r="I37" s="8" t="n">
        <f aca="false">Convolution!O567</f>
        <v>0.00656027725315287</v>
      </c>
      <c r="J37" s="8" t="n">
        <f aca="false">Convolution!O568</f>
        <v>0.0322009244702024</v>
      </c>
      <c r="K37" s="8" t="n">
        <f aca="false">Convolution!O569</f>
        <v>0.0980491044281074</v>
      </c>
      <c r="L37" s="8" t="n">
        <f aca="false">Convolution!O570</f>
        <v>0.194919521543083</v>
      </c>
      <c r="M37" s="8" t="n">
        <f aca="false">Convolution!O571</f>
        <v>0.258087305044619</v>
      </c>
      <c r="N37" s="8" t="n">
        <f aca="false">Convolution!O572</f>
        <v>0.22688084652282</v>
      </c>
      <c r="O37" s="8" t="n">
        <f aca="false">Convolution!O573</f>
        <v>0.128931936407246</v>
      </c>
      <c r="P37" s="8" t="n">
        <f aca="false">Convolution!O574</f>
        <v>0.0446378678611271</v>
      </c>
      <c r="Q37" s="8" t="n">
        <f aca="false">Convolution!O575</f>
        <v>0.00833615454489433</v>
      </c>
      <c r="R37" s="8" t="n">
        <f aca="false">Convolution!O576</f>
        <v>0.00061705379897872</v>
      </c>
      <c r="S37" s="8" t="n">
        <f aca="false">Convolution!O577</f>
        <v>0</v>
      </c>
      <c r="T37" s="2" t="str">
        <f aca="false">INDEX($F$1:$S$1,MATCH(MAX(F37:S37),F37:S37,0))</f>
        <v>P(7)</v>
      </c>
      <c r="U37" s="8" t="n">
        <f aca="false">SUM(L37:S37)</f>
        <v>0.862410685722768</v>
      </c>
      <c r="V37" s="8" t="n">
        <f aca="false">SUM(P37:S37)</f>
        <v>0.0535910762050002</v>
      </c>
      <c r="W37" s="2" t="n">
        <f aca="false">ROUND(SUM(F37:S37),6)</f>
        <v>1</v>
      </c>
    </row>
    <row r="38" customFormat="false" ht="15" hidden="false" customHeight="false" outlineLevel="0" collapsed="false">
      <c r="A38" s="2" t="n">
        <f aca="false">RANK(E38,$E$2:$E$139)</f>
        <v>34</v>
      </c>
      <c r="B38" s="2" t="s">
        <v>94</v>
      </c>
      <c r="C38" s="6" t="n">
        <f aca="false">Schedule!$B$38</f>
        <v>8.1</v>
      </c>
      <c r="D38" s="2" t="n">
        <v>12</v>
      </c>
      <c r="E38" s="7" t="n">
        <f aca="false">Schedule!$BQ$38</f>
        <v>7.76529616305237</v>
      </c>
      <c r="F38" s="8" t="n">
        <f aca="false">Convolution!O580</f>
        <v>6.1258421715914E-009</v>
      </c>
      <c r="G38" s="8" t="n">
        <f aca="false">Convolution!O581</f>
        <v>6.50845083762278E-006</v>
      </c>
      <c r="H38" s="8" t="n">
        <f aca="false">Convolution!O582</f>
        <v>0.000191711514441669</v>
      </c>
      <c r="I38" s="8" t="n">
        <f aca="false">Convolution!O583</f>
        <v>0.0021964639320601</v>
      </c>
      <c r="J38" s="8" t="n">
        <f aca="false">Convolution!O584</f>
        <v>0.013640271922907</v>
      </c>
      <c r="K38" s="8" t="n">
        <f aca="false">Convolution!O585</f>
        <v>0.0523018686528625</v>
      </c>
      <c r="L38" s="8" t="n">
        <f aca="false">Convolution!O586</f>
        <v>0.131661045208975</v>
      </c>
      <c r="M38" s="8" t="n">
        <f aca="false">Convolution!O587</f>
        <v>0.22351250853778</v>
      </c>
      <c r="N38" s="8" t="n">
        <f aca="false">Convolution!O588</f>
        <v>0.256766920996693</v>
      </c>
      <c r="O38" s="8" t="n">
        <f aca="false">Convolution!O589</f>
        <v>0.19592631218129</v>
      </c>
      <c r="P38" s="8" t="n">
        <f aca="false">Convolution!O590</f>
        <v>0.0946395735012934</v>
      </c>
      <c r="Q38" s="8" t="n">
        <f aca="false">Convolution!O591</f>
        <v>0.0260570425160799</v>
      </c>
      <c r="R38" s="8" t="n">
        <f aca="false">Convolution!O592</f>
        <v>0.00309976645893833</v>
      </c>
      <c r="S38" s="8" t="n">
        <f aca="false">Convolution!O593</f>
        <v>0</v>
      </c>
      <c r="T38" s="2" t="str">
        <f aca="false">INDEX($F$1:$S$1,MATCH(MAX(F38:S38),F38:S38,0))</f>
        <v>P(8)</v>
      </c>
      <c r="U38" s="8" t="n">
        <f aca="false">SUM(L38:S38)</f>
        <v>0.931663169401049</v>
      </c>
      <c r="V38" s="8" t="n">
        <f aca="false">SUM(P38:S38)</f>
        <v>0.123796382476312</v>
      </c>
      <c r="W38" s="2" t="n">
        <f aca="false">ROUND(SUM(F38:S38),6)</f>
        <v>1</v>
      </c>
    </row>
    <row r="39" customFormat="false" ht="15" hidden="false" customHeight="false" outlineLevel="0" collapsed="false">
      <c r="A39" s="2" t="n">
        <f aca="false">RANK(E39,$E$2:$E$139)</f>
        <v>47</v>
      </c>
      <c r="B39" s="2" t="s">
        <v>95</v>
      </c>
      <c r="C39" s="6" t="n">
        <f aca="false">Schedule!$B$39</f>
        <v>7.4</v>
      </c>
      <c r="D39" s="2" t="n">
        <v>12</v>
      </c>
      <c r="E39" s="7" t="n">
        <f aca="false">Schedule!$BQ$39</f>
        <v>7.42783940097388</v>
      </c>
      <c r="F39" s="8" t="n">
        <f aca="false">Convolution!O596</f>
        <v>3.0896622255481E-008</v>
      </c>
      <c r="G39" s="8" t="n">
        <f aca="false">Convolution!O597</f>
        <v>1.89660769126013E-005</v>
      </c>
      <c r="H39" s="8" t="n">
        <f aca="false">Convolution!O598</f>
        <v>0.000416711834892871</v>
      </c>
      <c r="I39" s="8" t="n">
        <f aca="false">Convolution!O599</f>
        <v>0.00397486356719708</v>
      </c>
      <c r="J39" s="8" t="n">
        <f aca="false">Convolution!O600</f>
        <v>0.0215051586812443</v>
      </c>
      <c r="K39" s="8" t="n">
        <f aca="false">Convolution!O601</f>
        <v>0.0732165556209143</v>
      </c>
      <c r="L39" s="8" t="n">
        <f aca="false">Convolution!O602</f>
        <v>0.164454904624957</v>
      </c>
      <c r="M39" s="8" t="n">
        <f aca="false">Convolution!O603</f>
        <v>0.247825002189126</v>
      </c>
      <c r="N39" s="8" t="n">
        <f aca="false">Convolution!O604</f>
        <v>0.24898354011971</v>
      </c>
      <c r="O39" s="8" t="n">
        <f aca="false">Convolution!O605</f>
        <v>0.161740730446923</v>
      </c>
      <c r="P39" s="8" t="n">
        <f aca="false">Convolution!O606</f>
        <v>0.0636079800381834</v>
      </c>
      <c r="Q39" s="8" t="n">
        <f aca="false">Convolution!O607</f>
        <v>0.0132268015792109</v>
      </c>
      <c r="R39" s="8" t="n">
        <f aca="false">Convolution!O608</f>
        <v>0.0010287543241071</v>
      </c>
      <c r="S39" s="8" t="n">
        <f aca="false">Convolution!O609</f>
        <v>0</v>
      </c>
      <c r="T39" s="2" t="str">
        <f aca="false">INDEX($F$1:$S$1,MATCH(MAX(F39:S39),F39:S39,0))</f>
        <v>P(8)</v>
      </c>
      <c r="U39" s="8" t="n">
        <f aca="false">SUM(L39:S39)</f>
        <v>0.900867713322217</v>
      </c>
      <c r="V39" s="8" t="n">
        <f aca="false">SUM(P39:S39)</f>
        <v>0.0778635359415014</v>
      </c>
      <c r="W39" s="2" t="n">
        <f aca="false">ROUND(SUM(F39:S39),6)</f>
        <v>1</v>
      </c>
    </row>
    <row r="40" customFormat="false" ht="15" hidden="false" customHeight="false" outlineLevel="0" collapsed="false">
      <c r="A40" s="2" t="n">
        <f aca="false">RANK(E40,$E$2:$E$139)</f>
        <v>67</v>
      </c>
      <c r="B40" s="2" t="s">
        <v>96</v>
      </c>
      <c r="C40" s="6" t="n">
        <f aca="false">Schedule!$B$40</f>
        <v>6.9</v>
      </c>
      <c r="D40" s="2" t="n">
        <v>12</v>
      </c>
      <c r="E40" s="7" t="n">
        <f aca="false">Schedule!$BQ$40</f>
        <v>6.62569767140955</v>
      </c>
      <c r="F40" s="8" t="n">
        <f aca="false">Convolution!O612</f>
        <v>5.50989518312678E-006</v>
      </c>
      <c r="G40" s="8" t="n">
        <f aca="false">Convolution!O613</f>
        <v>0.000224739035869597</v>
      </c>
      <c r="H40" s="8" t="n">
        <f aca="false">Convolution!O614</f>
        <v>0.00272994455319915</v>
      </c>
      <c r="I40" s="8" t="n">
        <f aca="false">Convolution!O615</f>
        <v>0.0167641430689605</v>
      </c>
      <c r="J40" s="8" t="n">
        <f aca="false">Convolution!O616</f>
        <v>0.0617666732425856</v>
      </c>
      <c r="K40" s="8" t="n">
        <f aca="false">Convolution!O617</f>
        <v>0.14717513338692</v>
      </c>
      <c r="L40" s="8" t="n">
        <f aca="false">Convolution!O618</f>
        <v>0.234339277768064</v>
      </c>
      <c r="M40" s="8" t="n">
        <f aca="false">Convolution!O619</f>
        <v>0.251170813530899</v>
      </c>
      <c r="N40" s="8" t="n">
        <f aca="false">Convolution!O620</f>
        <v>0.178813391137064</v>
      </c>
      <c r="O40" s="8" t="n">
        <f aca="false">Convolution!O621</f>
        <v>0.0815311785297033</v>
      </c>
      <c r="P40" s="8" t="n">
        <f aca="false">Convolution!O622</f>
        <v>0.0221784709842009</v>
      </c>
      <c r="Q40" s="8" t="n">
        <f aca="false">Convolution!O623</f>
        <v>0.003134251283278</v>
      </c>
      <c r="R40" s="8" t="n">
        <f aca="false">Convolution!O624</f>
        <v>0.000166473584072377</v>
      </c>
      <c r="S40" s="8" t="n">
        <f aca="false">Convolution!O625</f>
        <v>0</v>
      </c>
      <c r="T40" s="2" t="str">
        <f aca="false">INDEX($F$1:$S$1,MATCH(MAX(F40:S40),F40:S40,0))</f>
        <v>P(7)</v>
      </c>
      <c r="U40" s="8" t="n">
        <f aca="false">SUM(L40:S40)</f>
        <v>0.771333856817282</v>
      </c>
      <c r="V40" s="8" t="n">
        <f aca="false">SUM(P40:S40)</f>
        <v>0.0254791958515513</v>
      </c>
      <c r="W40" s="2" t="n">
        <f aca="false">ROUND(SUM(F40:S40),6)</f>
        <v>1</v>
      </c>
    </row>
    <row r="41" customFormat="false" ht="15" hidden="false" customHeight="false" outlineLevel="0" collapsed="false">
      <c r="A41" s="2" t="n">
        <f aca="false">RANK(E41,$E$2:$E$139)</f>
        <v>80</v>
      </c>
      <c r="B41" s="2" t="s">
        <v>97</v>
      </c>
      <c r="C41" s="6" t="n">
        <f aca="false">Schedule!$B$41</f>
        <v>6.2</v>
      </c>
      <c r="D41" s="2" t="n">
        <v>12</v>
      </c>
      <c r="E41" s="7" t="n">
        <f aca="false">Schedule!$BQ$41</f>
        <v>6.06658349767067</v>
      </c>
      <c r="F41" s="8" t="n">
        <f aca="false">Convolution!O628</f>
        <v>1.07526944450315E-007</v>
      </c>
      <c r="G41" s="8" t="n">
        <f aca="false">Convolution!O629</f>
        <v>8.00927429194191E-005</v>
      </c>
      <c r="H41" s="8" t="n">
        <f aca="false">Convolution!O630</f>
        <v>0.00372030614617604</v>
      </c>
      <c r="I41" s="8" t="n">
        <f aca="false">Convolution!O631</f>
        <v>0.0290401645737747</v>
      </c>
      <c r="J41" s="8" t="n">
        <f aca="false">Convolution!O632</f>
        <v>0.104269453201969</v>
      </c>
      <c r="K41" s="8" t="n">
        <f aca="false">Convolution!O633</f>
        <v>0.21353428426052</v>
      </c>
      <c r="L41" s="8" t="n">
        <f aca="false">Convolution!O634</f>
        <v>0.27085667507111</v>
      </c>
      <c r="M41" s="8" t="n">
        <f aca="false">Convolution!O635</f>
        <v>0.219562181746859</v>
      </c>
      <c r="N41" s="8" t="n">
        <f aca="false">Convolution!O636</f>
        <v>0.11398420210867</v>
      </c>
      <c r="O41" s="8" t="n">
        <f aca="false">Convolution!O637</f>
        <v>0.037060188582273</v>
      </c>
      <c r="P41" s="8" t="n">
        <f aca="false">Convolution!O638</f>
        <v>0.00714136247470085</v>
      </c>
      <c r="Q41" s="8" t="n">
        <f aca="false">Convolution!O639</f>
        <v>0.000722975476911106</v>
      </c>
      <c r="R41" s="8" t="n">
        <f aca="false">Convolution!O640</f>
        <v>2.80060871737868E-005</v>
      </c>
      <c r="S41" s="8" t="n">
        <f aca="false">Convolution!O641</f>
        <v>0</v>
      </c>
      <c r="T41" s="2" t="str">
        <f aca="false">INDEX($F$1:$S$1,MATCH(MAX(F41:S41),F41:S41,0))</f>
        <v>P(6)</v>
      </c>
      <c r="U41" s="8" t="n">
        <f aca="false">SUM(L41:S41)</f>
        <v>0.649355591547697</v>
      </c>
      <c r="V41" s="8" t="n">
        <f aca="false">SUM(P41:S41)</f>
        <v>0.00789234403878574</v>
      </c>
      <c r="W41" s="2" t="n">
        <f aca="false">ROUND(SUM(F41:S41),6)</f>
        <v>1</v>
      </c>
    </row>
    <row r="42" customFormat="false" ht="15" hidden="false" customHeight="false" outlineLevel="0" collapsed="false">
      <c r="A42" s="2" t="n">
        <f aca="false">RANK(E42,$E$2:$E$139)</f>
        <v>61</v>
      </c>
      <c r="B42" s="2" t="s">
        <v>98</v>
      </c>
      <c r="C42" s="6" t="n">
        <f aca="false">Schedule!$B$42</f>
        <v>6.2</v>
      </c>
      <c r="D42" s="2" t="n">
        <v>12</v>
      </c>
      <c r="E42" s="7" t="n">
        <f aca="false">Schedule!$BQ$42</f>
        <v>6.88421986427242</v>
      </c>
      <c r="F42" s="8" t="n">
        <f aca="false">Convolution!O644</f>
        <v>4.49347684365736E-008</v>
      </c>
      <c r="G42" s="8" t="n">
        <f aca="false">Convolution!O645</f>
        <v>9.16144488577686E-005</v>
      </c>
      <c r="H42" s="8" t="n">
        <f aca="false">Convolution!O646</f>
        <v>0.00152986443521443</v>
      </c>
      <c r="I42" s="8" t="n">
        <f aca="false">Convolution!O647</f>
        <v>0.011127970890307</v>
      </c>
      <c r="J42" s="8" t="n">
        <f aca="false">Convolution!O648</f>
        <v>0.0463642116177147</v>
      </c>
      <c r="K42" s="8" t="n">
        <f aca="false">Convolution!O649</f>
        <v>0.122628515442861</v>
      </c>
      <c r="L42" s="8" t="n">
        <f aca="false">Convolution!O650</f>
        <v>0.215481698729588</v>
      </c>
      <c r="M42" s="8" t="n">
        <f aca="false">Convolution!O651</f>
        <v>0.255518853357726</v>
      </c>
      <c r="N42" s="8" t="n">
        <f aca="false">Convolution!O652</f>
        <v>0.203126706646671</v>
      </c>
      <c r="O42" s="8" t="n">
        <f aca="false">Convolution!O653</f>
        <v>0.105051725254686</v>
      </c>
      <c r="P42" s="8" t="n">
        <f aca="false">Convolution!O654</f>
        <v>0.0331401973594582</v>
      </c>
      <c r="Q42" s="8" t="n">
        <f aca="false">Convolution!O655</f>
        <v>0.00558129793044822</v>
      </c>
      <c r="R42" s="8" t="n">
        <f aca="false">Convolution!O656</f>
        <v>0.000357298951698587</v>
      </c>
      <c r="S42" s="8" t="n">
        <f aca="false">Convolution!O657</f>
        <v>0</v>
      </c>
      <c r="T42" s="2" t="str">
        <f aca="false">INDEX($F$1:$S$1,MATCH(MAX(F42:S42),F42:S42,0))</f>
        <v>P(7)</v>
      </c>
      <c r="U42" s="8" t="n">
        <f aca="false">SUM(L42:S42)</f>
        <v>0.818257778230277</v>
      </c>
      <c r="V42" s="8" t="n">
        <f aca="false">SUM(P42:S42)</f>
        <v>0.039078794241605</v>
      </c>
      <c r="W42" s="2" t="n">
        <f aca="false">ROUND(SUM(F42:S42),6)</f>
        <v>1</v>
      </c>
    </row>
    <row r="43" customFormat="false" ht="15" hidden="false" customHeight="false" outlineLevel="0" collapsed="false">
      <c r="A43" s="2" t="n">
        <f aca="false">RANK(E43,$E$2:$E$139)</f>
        <v>78</v>
      </c>
      <c r="B43" s="2" t="s">
        <v>99</v>
      </c>
      <c r="C43" s="6" t="n">
        <f aca="false">Schedule!$B$43</f>
        <v>5.9</v>
      </c>
      <c r="D43" s="2" t="n">
        <v>12</v>
      </c>
      <c r="E43" s="7" t="n">
        <f aca="false">Schedule!$BQ$43</f>
        <v>6.12510888951263</v>
      </c>
      <c r="F43" s="8" t="n">
        <f aca="false">Convolution!O660</f>
        <v>7.00342867837088E-006</v>
      </c>
      <c r="G43" s="8" t="n">
        <f aca="false">Convolution!O661</f>
        <v>0.000527415434590375</v>
      </c>
      <c r="H43" s="8" t="n">
        <f aca="false">Convolution!O662</f>
        <v>0.00615102890057958</v>
      </c>
      <c r="I43" s="8" t="n">
        <f aca="false">Convolution!O663</f>
        <v>0.0329864353710499</v>
      </c>
      <c r="J43" s="8" t="n">
        <f aca="false">Convolution!O664</f>
        <v>0.102004990764898</v>
      </c>
      <c r="K43" s="8" t="n">
        <f aca="false">Convolution!O665</f>
        <v>0.199311943403317</v>
      </c>
      <c r="L43" s="8" t="n">
        <f aca="false">Convolution!O666</f>
        <v>0.25640910516369</v>
      </c>
      <c r="M43" s="8" t="n">
        <f aca="false">Convolution!O667</f>
        <v>0.220184657296819</v>
      </c>
      <c r="N43" s="8" t="n">
        <f aca="false">Convolution!O668</f>
        <v>0.125299675107317</v>
      </c>
      <c r="O43" s="8" t="n">
        <f aca="false">Convolution!O669</f>
        <v>0.0458325354128494</v>
      </c>
      <c r="P43" s="8" t="n">
        <f aca="false">Convolution!O670</f>
        <v>0.0100815942470931</v>
      </c>
      <c r="Q43" s="8" t="n">
        <f aca="false">Convolution!O671</f>
        <v>0.00115634964684926</v>
      </c>
      <c r="R43" s="8" t="n">
        <f aca="false">Convolution!O672</f>
        <v>4.72658222686526E-005</v>
      </c>
      <c r="S43" s="8" t="n">
        <f aca="false">Convolution!O673</f>
        <v>0</v>
      </c>
      <c r="T43" s="2" t="str">
        <f aca="false">INDEX($F$1:$S$1,MATCH(MAX(F43:S43),F43:S43,0))</f>
        <v>P(6)</v>
      </c>
      <c r="U43" s="8" t="n">
        <f aca="false">SUM(L43:S43)</f>
        <v>0.659011182696887</v>
      </c>
      <c r="V43" s="8" t="n">
        <f aca="false">SUM(P43:S43)</f>
        <v>0.011285209716211</v>
      </c>
      <c r="W43" s="2" t="n">
        <f aca="false">ROUND(SUM(F43:S43),6)</f>
        <v>1</v>
      </c>
    </row>
    <row r="44" customFormat="false" ht="15" hidden="false" customHeight="false" outlineLevel="0" collapsed="false">
      <c r="A44" s="2" t="n">
        <f aca="false">RANK(E44,$E$2:$E$139)</f>
        <v>56</v>
      </c>
      <c r="B44" s="2" t="s">
        <v>100</v>
      </c>
      <c r="C44" s="6" t="n">
        <f aca="false">Schedule!$B$44</f>
        <v>5.7</v>
      </c>
      <c r="D44" s="2" t="n">
        <v>12</v>
      </c>
      <c r="E44" s="7" t="n">
        <f aca="false">Schedule!$BQ$44</f>
        <v>7.05158542903262</v>
      </c>
      <c r="F44" s="8" t="n">
        <f aca="false">Convolution!O676</f>
        <v>1.2942018858258E-006</v>
      </c>
      <c r="G44" s="8" t="n">
        <f aca="false">Convolution!O677</f>
        <v>7.09380011241465E-005</v>
      </c>
      <c r="H44" s="8" t="n">
        <f aca="false">Convolution!O678</f>
        <v>0.00117513240144187</v>
      </c>
      <c r="I44" s="8" t="n">
        <f aca="false">Convolution!O679</f>
        <v>0.00903661248950441</v>
      </c>
      <c r="J44" s="8" t="n">
        <f aca="false">Convolution!O680</f>
        <v>0.0395922838066052</v>
      </c>
      <c r="K44" s="8" t="n">
        <f aca="false">Convolution!O681</f>
        <v>0.10935936685445</v>
      </c>
      <c r="L44" s="8" t="n">
        <f aca="false">Convolution!O682</f>
        <v>0.200630996208899</v>
      </c>
      <c r="M44" s="8" t="n">
        <f aca="false">Convolution!O683</f>
        <v>0.250385668554853</v>
      </c>
      <c r="N44" s="8" t="n">
        <f aca="false">Convolution!O684</f>
        <v>0.213227026892748</v>
      </c>
      <c r="O44" s="8" t="n">
        <f aca="false">Convolution!O685</f>
        <v>0.121753379878037</v>
      </c>
      <c r="P44" s="8" t="n">
        <f aca="false">Convolution!O686</f>
        <v>0.0445037141833835</v>
      </c>
      <c r="Q44" s="8" t="n">
        <f aca="false">Convolution!O687</f>
        <v>0.00939405207890548</v>
      </c>
      <c r="R44" s="8" t="n">
        <f aca="false">Convolution!O688</f>
        <v>0.000869534448162602</v>
      </c>
      <c r="S44" s="8" t="n">
        <f aca="false">Convolution!O689</f>
        <v>0</v>
      </c>
      <c r="T44" s="2" t="str">
        <f aca="false">INDEX($F$1:$S$1,MATCH(MAX(F44:S44),F44:S44,0))</f>
        <v>P(7)</v>
      </c>
      <c r="U44" s="8" t="n">
        <f aca="false">SUM(L44:S44)</f>
        <v>0.840764372244989</v>
      </c>
      <c r="V44" s="8" t="n">
        <f aca="false">SUM(P44:S44)</f>
        <v>0.0547673007104516</v>
      </c>
      <c r="W44" s="2" t="n">
        <f aca="false">ROUND(SUM(F44:S44),6)</f>
        <v>1</v>
      </c>
    </row>
    <row r="45" customFormat="false" ht="15" hidden="false" customHeight="false" outlineLevel="0" collapsed="false">
      <c r="A45" s="2" t="n">
        <f aca="false">RANK(E45,$E$2:$E$139)</f>
        <v>116</v>
      </c>
      <c r="B45" s="2" t="s">
        <v>101</v>
      </c>
      <c r="C45" s="6" t="n">
        <f aca="false">Schedule!$B$45</f>
        <v>5.6</v>
      </c>
      <c r="D45" s="2" t="n">
        <v>12</v>
      </c>
      <c r="E45" s="7" t="n">
        <f aca="false">Schedule!$BQ$45</f>
        <v>4.36815318024371</v>
      </c>
      <c r="F45" s="8" t="n">
        <f aca="false">Convolution!O692</f>
        <v>4.57252643602767E-005</v>
      </c>
      <c r="G45" s="8" t="n">
        <f aca="false">Convolution!O693</f>
        <v>0.00927996871044835</v>
      </c>
      <c r="H45" s="8" t="n">
        <f aca="false">Convolution!O694</f>
        <v>0.0723008874222319</v>
      </c>
      <c r="I45" s="8" t="n">
        <f aca="false">Convolution!O695</f>
        <v>0.195520417751292</v>
      </c>
      <c r="J45" s="8" t="n">
        <f aca="false">Convolution!O696</f>
        <v>0.277678566883844</v>
      </c>
      <c r="K45" s="8" t="n">
        <f aca="false">Convolution!O697</f>
        <v>0.240776027458561</v>
      </c>
      <c r="L45" s="8" t="n">
        <f aca="false">Convolution!O698</f>
        <v>0.136440034944083</v>
      </c>
      <c r="M45" s="8" t="n">
        <f aca="false">Convolution!O699</f>
        <v>0.0520168490815395</v>
      </c>
      <c r="N45" s="8" t="n">
        <f aca="false">Convolution!O700</f>
        <v>0.0133938272027138</v>
      </c>
      <c r="O45" s="8" t="n">
        <f aca="false">Convolution!O701</f>
        <v>0.00228584357626882</v>
      </c>
      <c r="P45" s="8" t="n">
        <f aca="false">Convolution!O702</f>
        <v>0.000246352547830473</v>
      </c>
      <c r="Q45" s="8" t="n">
        <f aca="false">Convolution!O703</f>
        <v>1.50997968922099E-005</v>
      </c>
      <c r="R45" s="8" t="n">
        <f aca="false">Convolution!O704</f>
        <v>3.99359935185275E-007</v>
      </c>
      <c r="S45" s="8" t="n">
        <f aca="false">Convolution!O705</f>
        <v>0</v>
      </c>
      <c r="T45" s="2" t="str">
        <f aca="false">INDEX($F$1:$S$1,MATCH(MAX(F45:S45),F45:S45,0))</f>
        <v>P(4)</v>
      </c>
      <c r="U45" s="8" t="n">
        <f aca="false">SUM(L45:S45)</f>
        <v>0.204398406509263</v>
      </c>
      <c r="V45" s="8" t="n">
        <f aca="false">SUM(P45:S45)</f>
        <v>0.000261851704657868</v>
      </c>
      <c r="W45" s="2" t="n">
        <f aca="false">ROUND(SUM(F45:S45),6)</f>
        <v>1</v>
      </c>
    </row>
    <row r="46" customFormat="false" ht="15" hidden="false" customHeight="false" outlineLevel="0" collapsed="false">
      <c r="A46" s="2" t="n">
        <f aca="false">RANK(E46,$E$2:$E$139)</f>
        <v>74</v>
      </c>
      <c r="B46" s="2" t="s">
        <v>102</v>
      </c>
      <c r="C46" s="6" t="n">
        <f aca="false">Schedule!$B$46</f>
        <v>5.6</v>
      </c>
      <c r="D46" s="2" t="n">
        <v>12</v>
      </c>
      <c r="E46" s="7" t="n">
        <f aca="false">Schedule!$BQ$46</f>
        <v>6.40835846497933</v>
      </c>
      <c r="F46" s="8" t="n">
        <f aca="false">Convolution!O708</f>
        <v>6.26585071381559E-006</v>
      </c>
      <c r="G46" s="8" t="n">
        <f aca="false">Convolution!O709</f>
        <v>0.000298615238076183</v>
      </c>
      <c r="H46" s="8" t="n">
        <f aca="false">Convolution!O710</f>
        <v>0.00372299322148889</v>
      </c>
      <c r="I46" s="8" t="n">
        <f aca="false">Convolution!O711</f>
        <v>0.0223906333905177</v>
      </c>
      <c r="J46" s="8" t="n">
        <f aca="false">Convolution!O712</f>
        <v>0.0780965928700447</v>
      </c>
      <c r="K46" s="8" t="n">
        <f aca="false">Convolution!O713</f>
        <v>0.171566865823292</v>
      </c>
      <c r="L46" s="8" t="n">
        <f aca="false">Convolution!O714</f>
        <v>0.247506968615421</v>
      </c>
      <c r="M46" s="8" t="n">
        <f aca="false">Convolution!O715</f>
        <v>0.238765273464351</v>
      </c>
      <c r="N46" s="8" t="n">
        <f aca="false">Convolution!O716</f>
        <v>0.153812098152924</v>
      </c>
      <c r="O46" s="8" t="n">
        <f aca="false">Convolution!O717</f>
        <v>0.0646250599720023</v>
      </c>
      <c r="P46" s="8" t="n">
        <f aca="false">Convolution!O718</f>
        <v>0.016724887696071</v>
      </c>
      <c r="Q46" s="8" t="n">
        <f aca="false">Convolution!O719</f>
        <v>0.00235361380619376</v>
      </c>
      <c r="R46" s="8" t="n">
        <f aca="false">Convolution!O720</f>
        <v>0.000130131898903536</v>
      </c>
      <c r="S46" s="8" t="n">
        <f aca="false">Convolution!O721</f>
        <v>0</v>
      </c>
      <c r="T46" s="2" t="str">
        <f aca="false">INDEX($F$1:$S$1,MATCH(MAX(F46:S46),F46:S46,0))</f>
        <v>P(6)</v>
      </c>
      <c r="U46" s="8" t="n">
        <f aca="false">SUM(L46:S46)</f>
        <v>0.723918033605866</v>
      </c>
      <c r="V46" s="8" t="n">
        <f aca="false">SUM(P46:S46)</f>
        <v>0.0192086334011683</v>
      </c>
      <c r="W46" s="2" t="n">
        <f aca="false">ROUND(SUM(F46:S46),6)</f>
        <v>1</v>
      </c>
    </row>
    <row r="47" customFormat="false" ht="15" hidden="false" customHeight="false" outlineLevel="0" collapsed="false">
      <c r="A47" s="2" t="n">
        <f aca="false">RANK(E47,$E$2:$E$139)</f>
        <v>89</v>
      </c>
      <c r="B47" s="2" t="s">
        <v>103</v>
      </c>
      <c r="C47" s="6" t="n">
        <f aca="false">Schedule!$B$47</f>
        <v>5.4</v>
      </c>
      <c r="D47" s="2" t="n">
        <v>12</v>
      </c>
      <c r="E47" s="7" t="n">
        <f aca="false">Schedule!$BQ$47</f>
        <v>5.84559311278303</v>
      </c>
      <c r="F47" s="8" t="n">
        <f aca="false">Convolution!O724</f>
        <v>7.03668745163727E-005</v>
      </c>
      <c r="G47" s="8" t="n">
        <f aca="false">Convolution!O725</f>
        <v>0.00141702433817787</v>
      </c>
      <c r="H47" s="8" t="n">
        <f aca="false">Convolution!O726</f>
        <v>0.0112611116841724</v>
      </c>
      <c r="I47" s="8" t="n">
        <f aca="false">Convolution!O727</f>
        <v>0.0485219759149219</v>
      </c>
      <c r="J47" s="8" t="n">
        <f aca="false">Convolution!O728</f>
        <v>0.12831711422557</v>
      </c>
      <c r="K47" s="8" t="n">
        <f aca="false">Convolution!O729</f>
        <v>0.220880288744029</v>
      </c>
      <c r="L47" s="8" t="n">
        <f aca="false">Convolution!O730</f>
        <v>0.25408439513478</v>
      </c>
      <c r="M47" s="8" t="n">
        <f aca="false">Convolution!O731</f>
        <v>0.196186959941271</v>
      </c>
      <c r="N47" s="8" t="n">
        <f aca="false">Convolution!O732</f>
        <v>0.100102224358809</v>
      </c>
      <c r="O47" s="8" t="n">
        <f aca="false">Convolution!O733</f>
        <v>0.032414508357771</v>
      </c>
      <c r="P47" s="8" t="n">
        <f aca="false">Convolution!O734</f>
        <v>0.00614726774264769</v>
      </c>
      <c r="Q47" s="8" t="n">
        <f aca="false">Convolution!O735</f>
        <v>0.000579253405156066</v>
      </c>
      <c r="R47" s="8" t="n">
        <f aca="false">Convolution!O736</f>
        <v>1.75092781781904E-005</v>
      </c>
      <c r="S47" s="8" t="n">
        <f aca="false">Convolution!O737</f>
        <v>0</v>
      </c>
      <c r="T47" s="2" t="str">
        <f aca="false">INDEX($F$1:$S$1,MATCH(MAX(F47:S47),F47:S47,0))</f>
        <v>P(6)</v>
      </c>
      <c r="U47" s="8" t="n">
        <f aca="false">SUM(L47:S47)</f>
        <v>0.589532118218613</v>
      </c>
      <c r="V47" s="8" t="n">
        <f aca="false">SUM(P47:S47)</f>
        <v>0.00674403042598194</v>
      </c>
      <c r="W47" s="2" t="n">
        <f aca="false">ROUND(SUM(F47:S47),6)</f>
        <v>1</v>
      </c>
    </row>
    <row r="48" customFormat="false" ht="15" hidden="false" customHeight="false" outlineLevel="0" collapsed="false">
      <c r="A48" s="2" t="n">
        <f aca="false">RANK(E48,$E$2:$E$139)</f>
        <v>115</v>
      </c>
      <c r="B48" s="2" t="s">
        <v>104</v>
      </c>
      <c r="C48" s="6" t="n">
        <f aca="false">Schedule!$B$48</f>
        <v>5.2</v>
      </c>
      <c r="D48" s="2" t="n">
        <v>12</v>
      </c>
      <c r="E48" s="7" t="n">
        <f aca="false">Schedule!$BQ$48</f>
        <v>4.45257608063059</v>
      </c>
      <c r="F48" s="8" t="n">
        <f aca="false">Convolution!O740</f>
        <v>0.000279013668632797</v>
      </c>
      <c r="G48" s="8" t="n">
        <f aca="false">Convolution!O741</f>
        <v>0.00750131419552713</v>
      </c>
      <c r="H48" s="8" t="n">
        <f aca="false">Convolution!O742</f>
        <v>0.0634445591169448</v>
      </c>
      <c r="I48" s="8" t="n">
        <f aca="false">Convolution!O743</f>
        <v>0.184263968057968</v>
      </c>
      <c r="J48" s="8" t="n">
        <f aca="false">Convolution!O744</f>
        <v>0.275407676019111</v>
      </c>
      <c r="K48" s="8" t="n">
        <f aca="false">Convolution!O745</f>
        <v>0.24821168343076</v>
      </c>
      <c r="L48" s="8" t="n">
        <f aca="false">Convolution!O746</f>
        <v>0.145317936259321</v>
      </c>
      <c r="M48" s="8" t="n">
        <f aca="false">Convolution!O747</f>
        <v>0.0572173055986791</v>
      </c>
      <c r="N48" s="8" t="n">
        <f aca="false">Convolution!O748</f>
        <v>0.0152889460560691</v>
      </c>
      <c r="O48" s="8" t="n">
        <f aca="false">Convolution!O749</f>
        <v>0.00273355187044365</v>
      </c>
      <c r="P48" s="8" t="n">
        <f aca="false">Convolution!O750</f>
        <v>0.000312771650503143</v>
      </c>
      <c r="Q48" s="8" t="n">
        <f aca="false">Convolution!O751</f>
        <v>2.06746497214964E-005</v>
      </c>
      <c r="R48" s="8" t="n">
        <f aca="false">Convolution!O752</f>
        <v>5.99426319633287E-007</v>
      </c>
      <c r="S48" s="8" t="n">
        <f aca="false">Convolution!O753</f>
        <v>0</v>
      </c>
      <c r="T48" s="2" t="str">
        <f aca="false">INDEX($F$1:$S$1,MATCH(MAX(F48:S48),F48:S48,0))</f>
        <v>P(4)</v>
      </c>
      <c r="U48" s="8" t="n">
        <f aca="false">SUM(L48:S48)</f>
        <v>0.220891785511057</v>
      </c>
      <c r="V48" s="8" t="n">
        <f aca="false">SUM(P48:S48)</f>
        <v>0.000334045726544273</v>
      </c>
      <c r="W48" s="2" t="n">
        <f aca="false">ROUND(SUM(F48:S48),6)</f>
        <v>1</v>
      </c>
    </row>
    <row r="49" customFormat="false" ht="15" hidden="false" customHeight="false" outlineLevel="0" collapsed="false">
      <c r="A49" s="2" t="n">
        <f aca="false">RANK(E49,$E$2:$E$139)</f>
        <v>83</v>
      </c>
      <c r="B49" s="2" t="s">
        <v>105</v>
      </c>
      <c r="C49" s="6" t="n">
        <f aca="false">Schedule!$B$49</f>
        <v>5.2</v>
      </c>
      <c r="D49" s="2" t="n">
        <v>12</v>
      </c>
      <c r="E49" s="7" t="n">
        <f aca="false">Schedule!$BQ$49</f>
        <v>5.95088160070845</v>
      </c>
      <c r="F49" s="8" t="n">
        <f aca="false">Convolution!O756</f>
        <v>8.95487909950409E-006</v>
      </c>
      <c r="G49" s="8" t="n">
        <f aca="false">Convolution!O757</f>
        <v>0.000620184296921242</v>
      </c>
      <c r="H49" s="8" t="n">
        <f aca="false">Convolution!O758</f>
        <v>0.00737016061270305</v>
      </c>
      <c r="I49" s="8" t="n">
        <f aca="false">Convolution!O759</f>
        <v>0.0390902274295309</v>
      </c>
      <c r="J49" s="8" t="n">
        <f aca="false">Convolution!O760</f>
        <v>0.116938899404947</v>
      </c>
      <c r="K49" s="8" t="n">
        <f aca="false">Convolution!O761</f>
        <v>0.217481056937765</v>
      </c>
      <c r="L49" s="8" t="n">
        <f aca="false">Convolution!O762</f>
        <v>0.262499130849032</v>
      </c>
      <c r="M49" s="8" t="n">
        <f aca="false">Convolution!O763</f>
        <v>0.208094747538538</v>
      </c>
      <c r="N49" s="8" t="n">
        <f aca="false">Convolution!O764</f>
        <v>0.106951677911174</v>
      </c>
      <c r="O49" s="8" t="n">
        <f aca="false">Convolution!O765</f>
        <v>0.0341839981151096</v>
      </c>
      <c r="P49" s="8" t="n">
        <f aca="false">Convolution!O766</f>
        <v>0.0062199214443</v>
      </c>
      <c r="Q49" s="8" t="n">
        <f aca="false">Convolution!O767</f>
        <v>0.000529595013979297</v>
      </c>
      <c r="R49" s="8" t="n">
        <f aca="false">Convolution!O768</f>
        <v>1.1445566900929E-005</v>
      </c>
      <c r="S49" s="8" t="n">
        <f aca="false">Convolution!O769</f>
        <v>0</v>
      </c>
      <c r="T49" s="2" t="str">
        <f aca="false">INDEX($F$1:$S$1,MATCH(MAX(F49:S49),F49:S49,0))</f>
        <v>P(6)</v>
      </c>
      <c r="U49" s="8" t="n">
        <f aca="false">SUM(L49:S49)</f>
        <v>0.618490516439033</v>
      </c>
      <c r="V49" s="8" t="n">
        <f aca="false">SUM(P49:S49)</f>
        <v>0.00676096202518023</v>
      </c>
      <c r="W49" s="2" t="n">
        <f aca="false">ROUND(SUM(F49:S49),6)</f>
        <v>1</v>
      </c>
    </row>
    <row r="50" customFormat="false" ht="15" hidden="false" customHeight="false" outlineLevel="0" collapsed="false">
      <c r="A50" s="2" t="n">
        <f aca="false">RANK(E50,$E$2:$E$139)</f>
        <v>19</v>
      </c>
      <c r="B50" s="2" t="s">
        <v>106</v>
      </c>
      <c r="C50" s="6" t="n">
        <f aca="false">Schedule!$B$50</f>
        <v>5.1</v>
      </c>
      <c r="D50" s="2" t="n">
        <v>12</v>
      </c>
      <c r="E50" s="7" t="n">
        <f aca="false">Schedule!$BQ$50</f>
        <v>8.19572669377522</v>
      </c>
      <c r="F50" s="8" t="n">
        <f aca="false">Convolution!O772</f>
        <v>1.42295745175998E-007</v>
      </c>
      <c r="G50" s="8" t="n">
        <f aca="false">Convolution!O773</f>
        <v>5.76390181962087E-006</v>
      </c>
      <c r="H50" s="8" t="n">
        <f aca="false">Convolution!O774</f>
        <v>0.000100288974568152</v>
      </c>
      <c r="I50" s="8" t="n">
        <f aca="false">Convolution!O775</f>
        <v>0.00100208080227264</v>
      </c>
      <c r="J50" s="8" t="n">
        <f aca="false">Convolution!O776</f>
        <v>0.00643936604854852</v>
      </c>
      <c r="K50" s="8" t="n">
        <f aca="false">Convolution!O777</f>
        <v>0.0280937450184664</v>
      </c>
      <c r="L50" s="8" t="n">
        <f aca="false">Convolution!O778</f>
        <v>0.0852616729551543</v>
      </c>
      <c r="M50" s="8" t="n">
        <f aca="false">Convolution!O779</f>
        <v>0.180633837703491</v>
      </c>
      <c r="N50" s="8" t="n">
        <f aca="false">Convolution!O780</f>
        <v>0.262755899476404</v>
      </c>
      <c r="O50" s="8" t="n">
        <f aca="false">Convolution!O781</f>
        <v>0.251227158572763</v>
      </c>
      <c r="P50" s="8" t="n">
        <f aca="false">Convolution!O782</f>
        <v>0.143733857620718</v>
      </c>
      <c r="Q50" s="8" t="n">
        <f aca="false">Convolution!O783</f>
        <v>0.0391034201583182</v>
      </c>
      <c r="R50" s="8" t="n">
        <f aca="false">Convolution!O784</f>
        <v>0.00164276647173189</v>
      </c>
      <c r="S50" s="8" t="n">
        <f aca="false">Convolution!O785</f>
        <v>0</v>
      </c>
      <c r="T50" s="2" t="str">
        <f aca="false">INDEX($F$1:$S$1,MATCH(MAX(F50:S50),F50:S50,0))</f>
        <v>P(8)</v>
      </c>
      <c r="U50" s="8" t="n">
        <f aca="false">SUM(L50:S50)</f>
        <v>0.96435861295858</v>
      </c>
      <c r="V50" s="8" t="n">
        <f aca="false">SUM(P50:S50)</f>
        <v>0.184480044250768</v>
      </c>
      <c r="W50" s="2" t="n">
        <f aca="false">ROUND(SUM(F50:S50),6)</f>
        <v>1</v>
      </c>
    </row>
    <row r="51" customFormat="false" ht="15" hidden="false" customHeight="false" outlineLevel="0" collapsed="false">
      <c r="A51" s="2" t="n">
        <f aca="false">RANK(E51,$E$2:$E$139)</f>
        <v>104</v>
      </c>
      <c r="B51" s="2" t="s">
        <v>107</v>
      </c>
      <c r="C51" s="6" t="n">
        <f aca="false">Schedule!$B$51</f>
        <v>5.1</v>
      </c>
      <c r="D51" s="2" t="n">
        <v>12</v>
      </c>
      <c r="E51" s="7" t="n">
        <f aca="false">Schedule!$BQ$51</f>
        <v>5.27368621198963</v>
      </c>
      <c r="F51" s="8" t="n">
        <f aca="false">Convolution!O788</f>
        <v>2.10463292953401E-005</v>
      </c>
      <c r="G51" s="8" t="n">
        <f aca="false">Convolution!O789</f>
        <v>0.00130851679978972</v>
      </c>
      <c r="H51" s="8" t="n">
        <f aca="false">Convolution!O790</f>
        <v>0.0159900317787199</v>
      </c>
      <c r="I51" s="8" t="n">
        <f aca="false">Convolution!O791</f>
        <v>0.0773059374313795</v>
      </c>
      <c r="J51" s="8" t="n">
        <f aca="false">Convolution!O792</f>
        <v>0.193516855026231</v>
      </c>
      <c r="K51" s="8" t="n">
        <f aca="false">Convolution!O793</f>
        <v>0.280630192666258</v>
      </c>
      <c r="L51" s="8" t="n">
        <f aca="false">Convolution!O794</f>
        <v>0.24714982002561</v>
      </c>
      <c r="M51" s="8" t="n">
        <f aca="false">Convolution!O795</f>
        <v>0.133179339315833</v>
      </c>
      <c r="N51" s="8" t="n">
        <f aca="false">Convolution!O796</f>
        <v>0.0426740311354558</v>
      </c>
      <c r="O51" s="8" t="n">
        <f aca="false">Convolution!O797</f>
        <v>0.0075527604204891</v>
      </c>
      <c r="P51" s="8" t="n">
        <f aca="false">Convolution!O798</f>
        <v>0.000646445282154879</v>
      </c>
      <c r="Q51" s="8" t="n">
        <f aca="false">Convolution!O799</f>
        <v>2.46906174421112E-005</v>
      </c>
      <c r="R51" s="8" t="n">
        <f aca="false">Convolution!O800</f>
        <v>3.33171341291824E-007</v>
      </c>
      <c r="S51" s="8" t="n">
        <f aca="false">Convolution!O801</f>
        <v>0</v>
      </c>
      <c r="T51" s="2" t="str">
        <f aca="false">INDEX($F$1:$S$1,MATCH(MAX(F51:S51),F51:S51,0))</f>
        <v>P(5)</v>
      </c>
      <c r="U51" s="8" t="n">
        <f aca="false">SUM(L51:S51)</f>
        <v>0.431227419968327</v>
      </c>
      <c r="V51" s="8" t="n">
        <f aca="false">SUM(P51:S51)</f>
        <v>0.000671469070938282</v>
      </c>
      <c r="W51" s="2" t="n">
        <f aca="false">ROUND(SUM(F51:S51),6)</f>
        <v>1</v>
      </c>
    </row>
    <row r="52" customFormat="false" ht="15" hidden="false" customHeight="false" outlineLevel="0" collapsed="false">
      <c r="A52" s="2" t="n">
        <f aca="false">RANK(E52,$E$2:$E$139)</f>
        <v>91</v>
      </c>
      <c r="B52" s="2" t="s">
        <v>108</v>
      </c>
      <c r="C52" s="6" t="n">
        <f aca="false">Schedule!$B$52</f>
        <v>4.9</v>
      </c>
      <c r="D52" s="2" t="n">
        <v>12</v>
      </c>
      <c r="E52" s="7" t="n">
        <f aca="false">Schedule!$BQ$52</f>
        <v>5.79201126565864</v>
      </c>
      <c r="F52" s="8" t="n">
        <f aca="false">Convolution!O804</f>
        <v>5.85254328027369E-007</v>
      </c>
      <c r="G52" s="8" t="n">
        <f aca="false">Convolution!O805</f>
        <v>0.000895585338872169</v>
      </c>
      <c r="H52" s="8" t="n">
        <f aca="false">Convolution!O806</f>
        <v>0.0100965070735694</v>
      </c>
      <c r="I52" s="8" t="n">
        <f aca="false">Convolution!O807</f>
        <v>0.0489713511834419</v>
      </c>
      <c r="J52" s="8" t="n">
        <f aca="false">Convolution!O808</f>
        <v>0.134316950914531</v>
      </c>
      <c r="K52" s="8" t="n">
        <f aca="false">Convolution!O809</f>
        <v>0.230475131031378</v>
      </c>
      <c r="L52" s="8" t="n">
        <f aca="false">Convolution!O810</f>
        <v>0.258190503255446</v>
      </c>
      <c r="M52" s="8" t="n">
        <f aca="false">Convolution!O811</f>
        <v>0.191035135975655</v>
      </c>
      <c r="N52" s="8" t="n">
        <f aca="false">Convolution!O812</f>
        <v>0.0922950993350838</v>
      </c>
      <c r="O52" s="8" t="n">
        <f aca="false">Convolution!O813</f>
        <v>0.0281380339817574</v>
      </c>
      <c r="P52" s="8" t="n">
        <f aca="false">Convolution!O814</f>
        <v>0.00508177299254614</v>
      </c>
      <c r="Q52" s="8" t="n">
        <f aca="false">Convolution!O815</f>
        <v>0.000484771957623285</v>
      </c>
      <c r="R52" s="8" t="n">
        <f aca="false">Convolution!O816</f>
        <v>1.85717057687877E-005</v>
      </c>
      <c r="S52" s="8" t="n">
        <f aca="false">Convolution!O817</f>
        <v>0</v>
      </c>
      <c r="T52" s="2" t="str">
        <f aca="false">INDEX($F$1:$S$1,MATCH(MAX(F52:S52),F52:S52,0))</f>
        <v>P(6)</v>
      </c>
      <c r="U52" s="8" t="n">
        <f aca="false">SUM(L52:S52)</f>
        <v>0.57524388920388</v>
      </c>
      <c r="V52" s="8" t="n">
        <f aca="false">SUM(P52:S52)</f>
        <v>0.00558511665593821</v>
      </c>
      <c r="W52" s="2" t="n">
        <f aca="false">ROUND(SUM(F52:S52),6)</f>
        <v>1</v>
      </c>
    </row>
    <row r="53" customFormat="false" ht="15" hidden="false" customHeight="false" outlineLevel="0" collapsed="false">
      <c r="A53" s="2" t="n">
        <f aca="false">RANK(E53,$E$2:$E$139)</f>
        <v>110</v>
      </c>
      <c r="B53" s="2" t="s">
        <v>109</v>
      </c>
      <c r="C53" s="6" t="n">
        <f aca="false">Schedule!$B$53</f>
        <v>4.8</v>
      </c>
      <c r="D53" s="2" t="n">
        <v>12</v>
      </c>
      <c r="E53" s="7" t="n">
        <f aca="false">Schedule!$BQ$53</f>
        <v>4.70000115602007</v>
      </c>
      <c r="F53" s="8" t="n">
        <f aca="false">Convolution!O820</f>
        <v>2.17826921021688E-006</v>
      </c>
      <c r="G53" s="8" t="n">
        <f aca="false">Convolution!O821</f>
        <v>0.000631101613553423</v>
      </c>
      <c r="H53" s="8" t="n">
        <f aca="false">Convolution!O822</f>
        <v>0.0393132590130158</v>
      </c>
      <c r="I53" s="8" t="n">
        <f aca="false">Convolution!O823</f>
        <v>0.153626125703934</v>
      </c>
      <c r="J53" s="8" t="n">
        <f aca="false">Convolution!O824</f>
        <v>0.26798616211479</v>
      </c>
      <c r="K53" s="8" t="n">
        <f aca="false">Convolution!O825</f>
        <v>0.269376885823864</v>
      </c>
      <c r="L53" s="8" t="n">
        <f aca="false">Convolution!O826</f>
        <v>0.17186544070323</v>
      </c>
      <c r="M53" s="8" t="n">
        <f aca="false">Convolution!O827</f>
        <v>0.0725070455084426</v>
      </c>
      <c r="N53" s="8" t="n">
        <f aca="false">Convolution!O828</f>
        <v>0.0204332449771599</v>
      </c>
      <c r="O53" s="8" t="n">
        <f aca="false">Convolution!O829</f>
        <v>0.00378800343997955</v>
      </c>
      <c r="P53" s="8" t="n">
        <f aca="false">Convolution!O830</f>
        <v>0.000440767303528352</v>
      </c>
      <c r="Q53" s="8" t="n">
        <f aca="false">Convolution!O831</f>
        <v>2.8971252161304E-005</v>
      </c>
      <c r="R53" s="8" t="n">
        <f aca="false">Convolution!O832</f>
        <v>8.14277131351162E-007</v>
      </c>
      <c r="S53" s="8" t="n">
        <f aca="false">Convolution!O833</f>
        <v>0</v>
      </c>
      <c r="T53" s="2" t="str">
        <f aca="false">INDEX($F$1:$S$1,MATCH(MAX(F53:S53),F53:S53,0))</f>
        <v>P(5)</v>
      </c>
      <c r="U53" s="8" t="n">
        <f aca="false">SUM(L53:S53)</f>
        <v>0.269064287461633</v>
      </c>
      <c r="V53" s="8" t="n">
        <f aca="false">SUM(P53:S53)</f>
        <v>0.000470552832821007</v>
      </c>
      <c r="W53" s="2" t="n">
        <f aca="false">ROUND(SUM(F53:S53),6)</f>
        <v>1</v>
      </c>
    </row>
    <row r="54" customFormat="false" ht="15" hidden="false" customHeight="false" outlineLevel="0" collapsed="false">
      <c r="A54" s="2" t="n">
        <f aca="false">RANK(E54,$E$2:$E$139)</f>
        <v>94</v>
      </c>
      <c r="B54" s="2" t="s">
        <v>110</v>
      </c>
      <c r="C54" s="6" t="n">
        <f aca="false">Schedule!$B$54</f>
        <v>3.8</v>
      </c>
      <c r="D54" s="2" t="n">
        <v>12</v>
      </c>
      <c r="E54" s="7" t="n">
        <f aca="false">Schedule!$BQ$54</f>
        <v>5.63896835725539</v>
      </c>
      <c r="F54" s="8" t="n">
        <f aca="false">Convolution!O836</f>
        <v>2.56333357631025E-005</v>
      </c>
      <c r="G54" s="8" t="n">
        <f aca="false">Convolution!O837</f>
        <v>0.000910726716973698</v>
      </c>
      <c r="H54" s="8" t="n">
        <f aca="false">Convolution!O838</f>
        <v>0.0108897337606984</v>
      </c>
      <c r="I54" s="8" t="n">
        <f aca="false">Convolution!O839</f>
        <v>0.0552738414526948</v>
      </c>
      <c r="J54" s="8" t="n">
        <f aca="false">Convolution!O840</f>
        <v>0.150988451683753</v>
      </c>
      <c r="K54" s="8" t="n">
        <f aca="false">Convolution!O841</f>
        <v>0.248253693970372</v>
      </c>
      <c r="L54" s="8" t="n">
        <f aca="false">Convolution!O842</f>
        <v>0.258880669856435</v>
      </c>
      <c r="M54" s="8" t="n">
        <f aca="false">Convolution!O843</f>
        <v>0.174577768875649</v>
      </c>
      <c r="N54" s="8" t="n">
        <f aca="false">Convolution!O844</f>
        <v>0.0758500375627097</v>
      </c>
      <c r="O54" s="8" t="n">
        <f aca="false">Convolution!O845</f>
        <v>0.0206959829347871</v>
      </c>
      <c r="P54" s="8" t="n">
        <f aca="false">Convolution!O846</f>
        <v>0.00335589743652294</v>
      </c>
      <c r="Q54" s="8" t="n">
        <f aca="false">Convolution!O847</f>
        <v>0.000287909439781803</v>
      </c>
      <c r="R54" s="8" t="n">
        <f aca="false">Convolution!O848</f>
        <v>9.65297386050608E-006</v>
      </c>
      <c r="S54" s="8" t="n">
        <f aca="false">Convolution!O849</f>
        <v>0</v>
      </c>
      <c r="T54" s="2" t="str">
        <f aca="false">INDEX($F$1:$S$1,MATCH(MAX(F54:S54),F54:S54,0))</f>
        <v>P(6)</v>
      </c>
      <c r="U54" s="8" t="n">
        <f aca="false">SUM(L54:S54)</f>
        <v>0.533657919079746</v>
      </c>
      <c r="V54" s="8" t="n">
        <f aca="false">SUM(P54:S54)</f>
        <v>0.00365345985016525</v>
      </c>
      <c r="W54" s="2" t="n">
        <f aca="false">ROUND(SUM(F54:S54),6)</f>
        <v>1</v>
      </c>
    </row>
    <row r="55" customFormat="false" ht="15" hidden="false" customHeight="false" outlineLevel="0" collapsed="false">
      <c r="A55" s="2" t="n">
        <f aca="false">RANK(E55,$E$2:$E$139)</f>
        <v>85</v>
      </c>
      <c r="B55" s="2" t="s">
        <v>111</v>
      </c>
      <c r="C55" s="6" t="n">
        <f aca="false">Schedule!$B$55</f>
        <v>3.8</v>
      </c>
      <c r="D55" s="2" t="n">
        <v>12</v>
      </c>
      <c r="E55" s="7" t="n">
        <f aca="false">Schedule!$BQ$55</f>
        <v>5.93510339132248</v>
      </c>
      <c r="F55" s="8" t="n">
        <f aca="false">Convolution!O852</f>
        <v>7.39403208470016E-007</v>
      </c>
      <c r="G55" s="8" t="n">
        <f aca="false">Convolution!O853</f>
        <v>0.000591737379103382</v>
      </c>
      <c r="H55" s="8" t="n">
        <f aca="false">Convolution!O854</f>
        <v>0.00780945248563607</v>
      </c>
      <c r="I55" s="8" t="n">
        <f aca="false">Convolution!O855</f>
        <v>0.0417551093135229</v>
      </c>
      <c r="J55" s="8" t="n">
        <f aca="false">Convolution!O856</f>
        <v>0.121981090799751</v>
      </c>
      <c r="K55" s="8" t="n">
        <f aca="false">Convolution!O857</f>
        <v>0.219248076995737</v>
      </c>
      <c r="L55" s="8" t="n">
        <f aca="false">Convolution!O858</f>
        <v>0.25678581860676</v>
      </c>
      <c r="M55" s="8" t="n">
        <f aca="false">Convolution!O859</f>
        <v>0.201046276353379</v>
      </c>
      <c r="N55" s="8" t="n">
        <f aca="false">Convolution!O860</f>
        <v>0.105518149136891</v>
      </c>
      <c r="O55" s="8" t="n">
        <f aca="false">Convolution!O861</f>
        <v>0.0364067890128192</v>
      </c>
      <c r="P55" s="8" t="n">
        <f aca="false">Convolution!O862</f>
        <v>0.00785582670848751</v>
      </c>
      <c r="Q55" s="8" t="n">
        <f aca="false">Convolution!O863</f>
        <v>0.000951940212187909</v>
      </c>
      <c r="R55" s="8" t="n">
        <f aca="false">Convolution!O864</f>
        <v>4.89935925160281E-005</v>
      </c>
      <c r="S55" s="8" t="n">
        <f aca="false">Convolution!O865</f>
        <v>0</v>
      </c>
      <c r="T55" s="2" t="str">
        <f aca="false">INDEX($F$1:$S$1,MATCH(MAX(F55:S55),F55:S55,0))</f>
        <v>P(6)</v>
      </c>
      <c r="U55" s="8" t="n">
        <f aca="false">SUM(L55:S55)</f>
        <v>0.608613793623041</v>
      </c>
      <c r="V55" s="8" t="n">
        <f aca="false">SUM(P55:S55)</f>
        <v>0.00885676051319145</v>
      </c>
      <c r="W55" s="2" t="n">
        <f aca="false">ROUND(SUM(F55:S55),6)</f>
        <v>1</v>
      </c>
    </row>
    <row r="56" customFormat="false" ht="15" hidden="false" customHeight="false" outlineLevel="0" collapsed="false">
      <c r="A56" s="2" t="n">
        <f aca="false">RANK(E56,$E$2:$E$139)</f>
        <v>11</v>
      </c>
      <c r="B56" s="2" t="s">
        <v>112</v>
      </c>
      <c r="C56" s="6" t="n">
        <f aca="false">Schedule!$B$56</f>
        <v>3.6</v>
      </c>
      <c r="D56" s="2" t="n">
        <v>12</v>
      </c>
      <c r="E56" s="7" t="n">
        <f aca="false">Schedule!$BQ$56</f>
        <v>8.8539808219114</v>
      </c>
      <c r="F56" s="8" t="n">
        <f aca="false">Convolution!O868</f>
        <v>1.05647749094719E-008</v>
      </c>
      <c r="G56" s="8" t="n">
        <f aca="false">Convolution!O869</f>
        <v>6.13701069883327E-007</v>
      </c>
      <c r="H56" s="8" t="n">
        <f aca="false">Convolution!O870</f>
        <v>1.5193984796178E-005</v>
      </c>
      <c r="I56" s="8" t="n">
        <f aca="false">Convolution!O871</f>
        <v>0.000211894598297837</v>
      </c>
      <c r="J56" s="8" t="n">
        <f aca="false">Convolution!O872</f>
        <v>0.00185595134187606</v>
      </c>
      <c r="K56" s="8" t="n">
        <f aca="false">Convolution!O873</f>
        <v>0.0107732786432556</v>
      </c>
      <c r="L56" s="8" t="n">
        <f aca="false">Convolution!O874</f>
        <v>0.0425912598810479</v>
      </c>
      <c r="M56" s="8" t="n">
        <f aca="false">Convolution!O875</f>
        <v>0.115912358954805</v>
      </c>
      <c r="N56" s="8" t="n">
        <f aca="false">Convolution!O876</f>
        <v>0.216401583007993</v>
      </c>
      <c r="O56" s="8" t="n">
        <f aca="false">Convolution!O877</f>
        <v>0.271536416109211</v>
      </c>
      <c r="P56" s="8" t="n">
        <f aca="false">Convolution!O878</f>
        <v>0.218402550250238</v>
      </c>
      <c r="Q56" s="8" t="n">
        <f aca="false">Convolution!O879</f>
        <v>0.101562713208702</v>
      </c>
      <c r="R56" s="8" t="n">
        <f aca="false">Convolution!O880</f>
        <v>0.0207361757539328</v>
      </c>
      <c r="S56" s="8" t="n">
        <f aca="false">Convolution!O881</f>
        <v>0</v>
      </c>
      <c r="T56" s="2" t="str">
        <f aca="false">INDEX($F$1:$S$1,MATCH(MAX(F56:S56),F56:S56,0))</f>
        <v>P(9)</v>
      </c>
      <c r="U56" s="8" t="n">
        <f aca="false">SUM(L56:S56)</f>
        <v>0.98714305716593</v>
      </c>
      <c r="V56" s="8" t="n">
        <f aca="false">SUM(P56:S56)</f>
        <v>0.340701439212873</v>
      </c>
      <c r="W56" s="2" t="n">
        <f aca="false">ROUND(SUM(F56:S56),6)</f>
        <v>1</v>
      </c>
    </row>
    <row r="57" customFormat="false" ht="15" hidden="false" customHeight="false" outlineLevel="0" collapsed="false">
      <c r="A57" s="2" t="n">
        <f aca="false">RANK(E57,$E$2:$E$139)</f>
        <v>102</v>
      </c>
      <c r="B57" s="2" t="s">
        <v>113</v>
      </c>
      <c r="C57" s="6" t="n">
        <f aca="false">Schedule!$B$57</f>
        <v>3.5</v>
      </c>
      <c r="D57" s="2" t="n">
        <v>12</v>
      </c>
      <c r="E57" s="7" t="n">
        <f aca="false">Schedule!$BQ$57</f>
        <v>5.27710441763838</v>
      </c>
      <c r="F57" s="8" t="n">
        <f aca="false">Convolution!O884</f>
        <v>2.39760622037497E-005</v>
      </c>
      <c r="G57" s="8" t="n">
        <f aca="false">Convolution!O885</f>
        <v>0.00218828031284738</v>
      </c>
      <c r="H57" s="8" t="n">
        <f aca="false">Convolution!O886</f>
        <v>0.0213272114792557</v>
      </c>
      <c r="I57" s="8" t="n">
        <f aca="false">Convolution!O887</f>
        <v>0.0872448036293559</v>
      </c>
      <c r="J57" s="8" t="n">
        <f aca="false">Convolution!O888</f>
        <v>0.193995611682838</v>
      </c>
      <c r="K57" s="8" t="n">
        <f aca="false">Convolution!O889</f>
        <v>0.263098560442701</v>
      </c>
      <c r="L57" s="8" t="n">
        <f aca="false">Convolution!O890</f>
        <v>0.230690555617487</v>
      </c>
      <c r="M57" s="8" t="n">
        <f aca="false">Convolution!O891</f>
        <v>0.134220498829821</v>
      </c>
      <c r="N57" s="8" t="n">
        <f aca="false">Convolution!O892</f>
        <v>0.051926369816912</v>
      </c>
      <c r="O57" s="8" t="n">
        <f aca="false">Convolution!O893</f>
        <v>0.0130732708928336</v>
      </c>
      <c r="P57" s="8" t="n">
        <f aca="false">Convolution!O894</f>
        <v>0.00203080055315128</v>
      </c>
      <c r="Q57" s="8" t="n">
        <f aca="false">Convolution!O895</f>
        <v>0.000173901249013926</v>
      </c>
      <c r="R57" s="8" t="n">
        <f aca="false">Convolution!O896</f>
        <v>6.15943157991003E-006</v>
      </c>
      <c r="S57" s="8" t="n">
        <f aca="false">Convolution!O897</f>
        <v>0</v>
      </c>
      <c r="T57" s="2" t="str">
        <f aca="false">INDEX($F$1:$S$1,MATCH(MAX(F57:S57),F57:S57,0))</f>
        <v>P(5)</v>
      </c>
      <c r="U57" s="8" t="n">
        <f aca="false">SUM(L57:S57)</f>
        <v>0.432121556390799</v>
      </c>
      <c r="V57" s="8" t="n">
        <f aca="false">SUM(P57:S57)</f>
        <v>0.00221086123374512</v>
      </c>
      <c r="W57" s="2" t="n">
        <f aca="false">ROUND(SUM(F57:S57),6)</f>
        <v>1</v>
      </c>
    </row>
    <row r="58" customFormat="false" ht="15" hidden="false" customHeight="false" outlineLevel="0" collapsed="false">
      <c r="A58" s="2" t="n">
        <f aca="false">RANK(E58,$E$2:$E$139)</f>
        <v>81</v>
      </c>
      <c r="B58" s="2" t="s">
        <v>114</v>
      </c>
      <c r="C58" s="6" t="n">
        <f aca="false">Schedule!$B$58</f>
        <v>3.4</v>
      </c>
      <c r="D58" s="2" t="n">
        <v>12</v>
      </c>
      <c r="E58" s="7" t="n">
        <f aca="false">Schedule!$BQ$58</f>
        <v>6.05684127829602</v>
      </c>
      <c r="F58" s="8" t="n">
        <f aca="false">Convolution!O900</f>
        <v>1.14955290790501E-007</v>
      </c>
      <c r="G58" s="8" t="n">
        <f aca="false">Convolution!O901</f>
        <v>0.000130521594458159</v>
      </c>
      <c r="H58" s="8" t="n">
        <f aca="false">Convolution!O902</f>
        <v>0.00448260888748475</v>
      </c>
      <c r="I58" s="8" t="n">
        <f aca="false">Convolution!O903</f>
        <v>0.0323145081057856</v>
      </c>
      <c r="J58" s="8" t="n">
        <f aca="false">Convolution!O904</f>
        <v>0.109161017987658</v>
      </c>
      <c r="K58" s="8" t="n">
        <f aca="false">Convolution!O905</f>
        <v>0.213163853843692</v>
      </c>
      <c r="L58" s="8" t="n">
        <f aca="false">Convolution!O906</f>
        <v>0.262939023554526</v>
      </c>
      <c r="M58" s="8" t="n">
        <f aca="false">Convolution!O907</f>
        <v>0.213076627984474</v>
      </c>
      <c r="N58" s="8" t="n">
        <f aca="false">Convolution!O908</f>
        <v>0.114554173952101</v>
      </c>
      <c r="O58" s="8" t="n">
        <f aca="false">Convolution!O909</f>
        <v>0.0402338109780535</v>
      </c>
      <c r="P58" s="8" t="n">
        <f aca="false">Convolution!O910</f>
        <v>0.00880684407612266</v>
      </c>
      <c r="Q58" s="8" t="n">
        <f aca="false">Convolution!O911</f>
        <v>0.00108072392309775</v>
      </c>
      <c r="R58" s="8" t="n">
        <f aca="false">Convolution!O912</f>
        <v>5.61701572567247E-005</v>
      </c>
      <c r="S58" s="8" t="n">
        <f aca="false">Convolution!O913</f>
        <v>0</v>
      </c>
      <c r="T58" s="2" t="str">
        <f aca="false">INDEX($F$1:$S$1,MATCH(MAX(F58:S58),F58:S58,0))</f>
        <v>P(6)</v>
      </c>
      <c r="U58" s="8" t="n">
        <f aca="false">SUM(L58:S58)</f>
        <v>0.640747374625632</v>
      </c>
      <c r="V58" s="8" t="n">
        <f aca="false">SUM(P58:S58)</f>
        <v>0.00994373815647713</v>
      </c>
      <c r="W58" s="2" t="n">
        <f aca="false">ROUND(SUM(F58:S58),6)</f>
        <v>1</v>
      </c>
    </row>
    <row r="59" customFormat="false" ht="15" hidden="false" customHeight="false" outlineLevel="0" collapsed="false">
      <c r="A59" s="2" t="n">
        <f aca="false">RANK(E59,$E$2:$E$139)</f>
        <v>86</v>
      </c>
      <c r="B59" s="2" t="s">
        <v>115</v>
      </c>
      <c r="C59" s="6" t="n">
        <f aca="false">Schedule!$B$59</f>
        <v>3.3</v>
      </c>
      <c r="D59" s="2" t="n">
        <v>12</v>
      </c>
      <c r="E59" s="7" t="n">
        <f aca="false">Schedule!$BQ$59</f>
        <v>5.93384404787908</v>
      </c>
      <c r="F59" s="8" t="n">
        <f aca="false">Convolution!O916</f>
        <v>3.43841779307551E-008</v>
      </c>
      <c r="G59" s="8" t="n">
        <f aca="false">Convolution!O917</f>
        <v>0.000113620385451736</v>
      </c>
      <c r="H59" s="8" t="n">
        <f aca="false">Convolution!O918</f>
        <v>0.00586542156190946</v>
      </c>
      <c r="I59" s="8" t="n">
        <f aca="false">Convolution!O919</f>
        <v>0.0397986414633181</v>
      </c>
      <c r="J59" s="8" t="n">
        <f aca="false">Convolution!O920</f>
        <v>0.123991068055563</v>
      </c>
      <c r="K59" s="8" t="n">
        <f aca="false">Convolution!O921</f>
        <v>0.224336180816728</v>
      </c>
      <c r="L59" s="8" t="n">
        <f aca="false">Convolution!O922</f>
        <v>0.258981271180449</v>
      </c>
      <c r="M59" s="8" t="n">
        <f aca="false">Convolution!O923</f>
        <v>0.199030661520252</v>
      </c>
      <c r="N59" s="8" t="n">
        <f aca="false">Convolution!O924</f>
        <v>0.103197935380696</v>
      </c>
      <c r="O59" s="8" t="n">
        <f aca="false">Convolution!O925</f>
        <v>0.0357073513736968</v>
      </c>
      <c r="P59" s="8" t="n">
        <f aca="false">Convolution!O926</f>
        <v>0.00790665962213128</v>
      </c>
      <c r="Q59" s="8" t="n">
        <f aca="false">Convolution!O927</f>
        <v>0.0010138667481681</v>
      </c>
      <c r="R59" s="8" t="n">
        <f aca="false">Convolution!O928</f>
        <v>5.72875074583238E-005</v>
      </c>
      <c r="S59" s="8" t="n">
        <f aca="false">Convolution!O929</f>
        <v>0</v>
      </c>
      <c r="T59" s="2" t="str">
        <f aca="false">INDEX($F$1:$S$1,MATCH(MAX(F59:S59),F59:S59,0))</f>
        <v>P(6)</v>
      </c>
      <c r="U59" s="8" t="n">
        <f aca="false">SUM(L59:S59)</f>
        <v>0.605895033332852</v>
      </c>
      <c r="V59" s="8" t="n">
        <f aca="false">SUM(P59:S59)</f>
        <v>0.00897781387775771</v>
      </c>
      <c r="W59" s="2" t="n">
        <f aca="false">ROUND(SUM(F59:S59),6)</f>
        <v>1</v>
      </c>
    </row>
    <row r="60" customFormat="false" ht="15" hidden="false" customHeight="false" outlineLevel="0" collapsed="false">
      <c r="A60" s="2" t="n">
        <f aca="false">RANK(E60,$E$2:$E$139)</f>
        <v>90</v>
      </c>
      <c r="B60" s="2" t="s">
        <v>116</v>
      </c>
      <c r="C60" s="6" t="n">
        <f aca="false">Schedule!$B$60</f>
        <v>3</v>
      </c>
      <c r="D60" s="2" t="n">
        <v>12</v>
      </c>
      <c r="E60" s="7" t="n">
        <f aca="false">Schedule!$BQ$60</f>
        <v>5.80090513774092</v>
      </c>
      <c r="F60" s="8" t="n">
        <f aca="false">Convolution!O932</f>
        <v>5.66799926178047E-006</v>
      </c>
      <c r="G60" s="8" t="n">
        <f aca="false">Convolution!O933</f>
        <v>0.00105306020747966</v>
      </c>
      <c r="H60" s="8" t="n">
        <f aca="false">Convolution!O934</f>
        <v>0.0110197899735274</v>
      </c>
      <c r="I60" s="8" t="n">
        <f aca="false">Convolution!O935</f>
        <v>0.0510298148178856</v>
      </c>
      <c r="J60" s="8" t="n">
        <f aca="false">Convolution!O936</f>
        <v>0.135377202204337</v>
      </c>
      <c r="K60" s="8" t="n">
        <f aca="false">Convolution!O937</f>
        <v>0.227220012531779</v>
      </c>
      <c r="L60" s="8" t="n">
        <f aca="false">Convolution!O938</f>
        <v>0.252401147125276</v>
      </c>
      <c r="M60" s="8" t="n">
        <f aca="false">Convolution!O939</f>
        <v>0.188764189123797</v>
      </c>
      <c r="N60" s="8" t="n">
        <f aca="false">Convolution!O940</f>
        <v>0.0947669921018277</v>
      </c>
      <c r="O60" s="8" t="n">
        <f aca="false">Convolution!O941</f>
        <v>0.0312013136503255</v>
      </c>
      <c r="P60" s="8" t="n">
        <f aca="false">Convolution!O942</f>
        <v>0.00639402213522357</v>
      </c>
      <c r="Q60" s="8" t="n">
        <f aca="false">Convolution!O943</f>
        <v>0.0007314635328921</v>
      </c>
      <c r="R60" s="8" t="n">
        <f aca="false">Convolution!O944</f>
        <v>3.53245963873132E-005</v>
      </c>
      <c r="S60" s="8" t="n">
        <f aca="false">Convolution!O945</f>
        <v>0</v>
      </c>
      <c r="T60" s="2" t="str">
        <f aca="false">INDEX($F$1:$S$1,MATCH(MAX(F60:S60),F60:S60,0))</f>
        <v>P(6)</v>
      </c>
      <c r="U60" s="8" t="n">
        <f aca="false">SUM(L60:S60)</f>
        <v>0.57429445226573</v>
      </c>
      <c r="V60" s="8" t="n">
        <f aca="false">SUM(P60:S60)</f>
        <v>0.00716081026450298</v>
      </c>
      <c r="W60" s="2" t="n">
        <f aca="false">ROUND(SUM(F60:S60),6)</f>
        <v>1</v>
      </c>
    </row>
    <row r="61" customFormat="false" ht="15" hidden="false" customHeight="false" outlineLevel="0" collapsed="false">
      <c r="A61" s="2" t="n">
        <f aca="false">RANK(E61,$E$2:$E$139)</f>
        <v>88</v>
      </c>
      <c r="B61" s="2" t="s">
        <v>117</v>
      </c>
      <c r="C61" s="6" t="n">
        <f aca="false">Schedule!$B$61</f>
        <v>3</v>
      </c>
      <c r="D61" s="2" t="n">
        <v>12</v>
      </c>
      <c r="E61" s="7" t="n">
        <f aca="false">Schedule!$BQ$61</f>
        <v>5.87156796803781</v>
      </c>
      <c r="F61" s="8" t="n">
        <f aca="false">Convolution!O948</f>
        <v>3.89685982793276E-007</v>
      </c>
      <c r="G61" s="8" t="n">
        <f aca="false">Convolution!O949</f>
        <v>0.00118682712791968</v>
      </c>
      <c r="H61" s="8" t="n">
        <f aca="false">Convolution!O950</f>
        <v>0.0117742134111481</v>
      </c>
      <c r="I61" s="8" t="n">
        <f aca="false">Convolution!O951</f>
        <v>0.0514907952418124</v>
      </c>
      <c r="J61" s="8" t="n">
        <f aca="false">Convolution!O952</f>
        <v>0.1312010869229</v>
      </c>
      <c r="K61" s="8" t="n">
        <f aca="false">Convolution!O953</f>
        <v>0.216703157906904</v>
      </c>
      <c r="L61" s="8" t="n">
        <f aca="false">Convolution!O954</f>
        <v>0.243821499646697</v>
      </c>
      <c r="M61" s="8" t="n">
        <f aca="false">Convolution!O955</f>
        <v>0.190786292321039</v>
      </c>
      <c r="N61" s="8" t="n">
        <f aca="false">Convolution!O956</f>
        <v>0.103843981760642</v>
      </c>
      <c r="O61" s="8" t="n">
        <f aca="false">Convolution!O957</f>
        <v>0.0385286261472538</v>
      </c>
      <c r="P61" s="8" t="n">
        <f aca="false">Convolution!O958</f>
        <v>0.00927779945324767</v>
      </c>
      <c r="Q61" s="8" t="n">
        <f aca="false">Convolution!O959</f>
        <v>0.0013043014277635</v>
      </c>
      <c r="R61" s="8" t="n">
        <f aca="false">Convolution!O960</f>
        <v>8.10289466906233E-005</v>
      </c>
      <c r="S61" s="8" t="n">
        <f aca="false">Convolution!O961</f>
        <v>0</v>
      </c>
      <c r="T61" s="2" t="str">
        <f aca="false">INDEX($F$1:$S$1,MATCH(MAX(F61:S61),F61:S61,0))</f>
        <v>P(6)</v>
      </c>
      <c r="U61" s="8" t="n">
        <f aca="false">SUM(L61:S61)</f>
        <v>0.587643529703333</v>
      </c>
      <c r="V61" s="8" t="n">
        <f aca="false">SUM(P61:S61)</f>
        <v>0.0106631298277018</v>
      </c>
      <c r="W61" s="2" t="n">
        <f aca="false">ROUND(SUM(F61:S61),6)</f>
        <v>1</v>
      </c>
    </row>
    <row r="62" customFormat="false" ht="15" hidden="false" customHeight="false" outlineLevel="0" collapsed="false">
      <c r="A62" s="2" t="n">
        <f aca="false">RANK(E62,$E$2:$E$139)</f>
        <v>99</v>
      </c>
      <c r="B62" s="2" t="s">
        <v>118</v>
      </c>
      <c r="C62" s="6" t="n">
        <f aca="false">Schedule!$B$62</f>
        <v>2.7</v>
      </c>
      <c r="D62" s="2" t="n">
        <v>12</v>
      </c>
      <c r="E62" s="7" t="n">
        <f aca="false">Schedule!$BQ$62</f>
        <v>5.40213218571903</v>
      </c>
      <c r="F62" s="8" t="n">
        <f aca="false">Convolution!O964</f>
        <v>2.84748602187553E-007</v>
      </c>
      <c r="G62" s="8" t="n">
        <f aca="false">Convolution!O965</f>
        <v>0.000133461847701939</v>
      </c>
      <c r="H62" s="8" t="n">
        <f aca="false">Convolution!O966</f>
        <v>0.0121863582935151</v>
      </c>
      <c r="I62" s="8" t="n">
        <f aca="false">Convolution!O967</f>
        <v>0.0716655971742838</v>
      </c>
      <c r="J62" s="8" t="n">
        <f aca="false">Convolution!O968</f>
        <v>0.184892854185735</v>
      </c>
      <c r="K62" s="8" t="n">
        <f aca="false">Convolution!O969</f>
        <v>0.269826994648832</v>
      </c>
      <c r="L62" s="8" t="n">
        <f aca="false">Convolution!O970</f>
        <v>0.245225391152727</v>
      </c>
      <c r="M62" s="8" t="n">
        <f aca="false">Convolution!O971</f>
        <v>0.144442374281144</v>
      </c>
      <c r="N62" s="8" t="n">
        <f aca="false">Convolution!O972</f>
        <v>0.0556113068375724</v>
      </c>
      <c r="O62" s="8" t="n">
        <f aca="false">Convolution!O973</f>
        <v>0.0137551858997906</v>
      </c>
      <c r="P62" s="8" t="n">
        <f aca="false">Convolution!O974</f>
        <v>0.00208131391496823</v>
      </c>
      <c r="Q62" s="8" t="n">
        <f aca="false">Convolution!O975</f>
        <v>0.000172932239938192</v>
      </c>
      <c r="R62" s="8" t="n">
        <f aca="false">Convolution!O976</f>
        <v>5.94477519028404E-006</v>
      </c>
      <c r="S62" s="8" t="n">
        <f aca="false">Convolution!O977</f>
        <v>0</v>
      </c>
      <c r="T62" s="2" t="str">
        <f aca="false">INDEX($F$1:$S$1,MATCH(MAX(F62:S62),F62:S62,0))</f>
        <v>P(5)</v>
      </c>
      <c r="U62" s="8" t="n">
        <f aca="false">SUM(L62:S62)</f>
        <v>0.46129444910133</v>
      </c>
      <c r="V62" s="8" t="n">
        <f aca="false">SUM(P62:S62)</f>
        <v>0.00226019093009671</v>
      </c>
      <c r="W62" s="2" t="n">
        <f aca="false">ROUND(SUM(F62:S62),6)</f>
        <v>1</v>
      </c>
    </row>
    <row r="63" customFormat="false" ht="15" hidden="false" customHeight="false" outlineLevel="0" collapsed="false">
      <c r="A63" s="2" t="n">
        <f aca="false">RANK(E63,$E$2:$E$139)</f>
        <v>113</v>
      </c>
      <c r="B63" s="2" t="s">
        <v>119</v>
      </c>
      <c r="C63" s="6" t="n">
        <f aca="false">Schedule!$B$63</f>
        <v>2.2</v>
      </c>
      <c r="D63" s="2" t="n">
        <v>12</v>
      </c>
      <c r="E63" s="7" t="n">
        <f aca="false">Schedule!$BQ$63</f>
        <v>4.62558548277933</v>
      </c>
      <c r="F63" s="8" t="n">
        <f aca="false">Convolution!O980</f>
        <v>0.000481634644203707</v>
      </c>
      <c r="G63" s="8" t="n">
        <f aca="false">Convolution!O981</f>
        <v>0.008768961871814</v>
      </c>
      <c r="H63" s="8" t="n">
        <f aca="false">Convolution!O982</f>
        <v>0.0539726448348966</v>
      </c>
      <c r="I63" s="8" t="n">
        <f aca="false">Convolution!O983</f>
        <v>0.155980055097167</v>
      </c>
      <c r="J63" s="8" t="n">
        <f aca="false">Convolution!O984</f>
        <v>0.255104910087623</v>
      </c>
      <c r="K63" s="8" t="n">
        <f aca="false">Convolution!O985</f>
        <v>0.258810999527442</v>
      </c>
      <c r="L63" s="8" t="n">
        <f aca="false">Convolution!O986</f>
        <v>0.169903104818375</v>
      </c>
      <c r="M63" s="8" t="n">
        <f aca="false">Convolution!O987</f>
        <v>0.0729665785769933</v>
      </c>
      <c r="N63" s="8" t="n">
        <f aca="false">Convolution!O988</f>
        <v>0.0202001861130654</v>
      </c>
      <c r="O63" s="8" t="n">
        <f aca="false">Convolution!O989</f>
        <v>0.00345612251897712</v>
      </c>
      <c r="P63" s="8" t="n">
        <f aca="false">Convolution!O990</f>
        <v>0.000337970556527114</v>
      </c>
      <c r="Q63" s="8" t="n">
        <f aca="false">Convolution!O991</f>
        <v>1.65243662612601E-005</v>
      </c>
      <c r="R63" s="8" t="n">
        <f aca="false">Convolution!O992</f>
        <v>3.06986654383054E-007</v>
      </c>
      <c r="S63" s="8" t="n">
        <f aca="false">Convolution!O993</f>
        <v>0</v>
      </c>
      <c r="T63" s="2" t="str">
        <f aca="false">INDEX($F$1:$S$1,MATCH(MAX(F63:S63),F63:S63,0))</f>
        <v>P(5)</v>
      </c>
      <c r="U63" s="8" t="n">
        <f aca="false">SUM(L63:S63)</f>
        <v>0.266880793936853</v>
      </c>
      <c r="V63" s="8" t="n">
        <f aca="false">SUM(P63:S63)</f>
        <v>0.000354801909442758</v>
      </c>
      <c r="W63" s="2" t="n">
        <f aca="false">ROUND(SUM(F63:S63),6)</f>
        <v>1</v>
      </c>
    </row>
    <row r="64" customFormat="false" ht="15" hidden="false" customHeight="false" outlineLevel="0" collapsed="false">
      <c r="A64" s="2" t="n">
        <f aca="false">RANK(E64,$E$2:$E$139)</f>
        <v>82</v>
      </c>
      <c r="B64" s="2" t="s">
        <v>120</v>
      </c>
      <c r="C64" s="6" t="n">
        <f aca="false">Schedule!$B$64</f>
        <v>1.7</v>
      </c>
      <c r="D64" s="2" t="n">
        <v>12</v>
      </c>
      <c r="E64" s="7" t="n">
        <f aca="false">Schedule!$BQ$64</f>
        <v>6.01865163468711</v>
      </c>
      <c r="F64" s="8" t="n">
        <f aca="false">Convolution!O996</f>
        <v>4.31218282557749E-007</v>
      </c>
      <c r="G64" s="8" t="n">
        <f aca="false">Convolution!O997</f>
        <v>0.000112138005035507</v>
      </c>
      <c r="H64" s="8" t="n">
        <f aca="false">Convolution!O998</f>
        <v>0.00545037338508192</v>
      </c>
      <c r="I64" s="8" t="n">
        <f aca="false">Convolution!O999</f>
        <v>0.0369472969791718</v>
      </c>
      <c r="J64" s="8" t="n">
        <f aca="false">Convolution!O1000</f>
        <v>0.116307403032479</v>
      </c>
      <c r="K64" s="8" t="n">
        <f aca="false">Convolution!O1001</f>
        <v>0.21494896861327</v>
      </c>
      <c r="L64" s="8" t="n">
        <f aca="false">Convolution!O1002</f>
        <v>0.256256250557752</v>
      </c>
      <c r="M64" s="8" t="n">
        <f aca="false">Convolution!O1003</f>
        <v>0.205483965033147</v>
      </c>
      <c r="N64" s="8" t="n">
        <f aca="false">Convolution!O1004</f>
        <v>0.112179708204482</v>
      </c>
      <c r="O64" s="8" t="n">
        <f aca="false">Convolution!O1005</f>
        <v>0.0411723519307928</v>
      </c>
      <c r="P64" s="8" t="n">
        <f aca="false">Convolution!O1006</f>
        <v>0.00972488594536115</v>
      </c>
      <c r="Q64" s="8" t="n">
        <f aca="false">Convolution!O1007</f>
        <v>0.00133527240874881</v>
      </c>
      <c r="R64" s="8" t="n">
        <f aca="false">Convolution!O1008</f>
        <v>8.09546863955733E-005</v>
      </c>
      <c r="S64" s="8" t="n">
        <f aca="false">Convolution!O1009</f>
        <v>0</v>
      </c>
      <c r="T64" s="2" t="str">
        <f aca="false">INDEX($F$1:$S$1,MATCH(MAX(F64:S64),F64:S64,0))</f>
        <v>P(6)</v>
      </c>
      <c r="U64" s="8" t="n">
        <f aca="false">SUM(L64:S64)</f>
        <v>0.626233388766679</v>
      </c>
      <c r="V64" s="8" t="n">
        <f aca="false">SUM(P64:S64)</f>
        <v>0.0111411130405055</v>
      </c>
      <c r="W64" s="2" t="n">
        <f aca="false">ROUND(SUM(F64:S64),6)</f>
        <v>1</v>
      </c>
    </row>
    <row r="65" customFormat="false" ht="15" hidden="false" customHeight="false" outlineLevel="0" collapsed="false">
      <c r="A65" s="2" t="n">
        <f aca="false">RANK(E65,$E$2:$E$139)</f>
        <v>25</v>
      </c>
      <c r="B65" s="2" t="s">
        <v>121</v>
      </c>
      <c r="C65" s="6" t="n">
        <f aca="false">Schedule!$B$65</f>
        <v>1.2</v>
      </c>
      <c r="D65" s="2" t="n">
        <v>12</v>
      </c>
      <c r="E65" s="7" t="n">
        <f aca="false">Schedule!$BQ$65</f>
        <v>7.97438142000781</v>
      </c>
      <c r="F65" s="8" t="n">
        <f aca="false">Convolution!O1012</f>
        <v>5.19460980376084E-008</v>
      </c>
      <c r="G65" s="8" t="n">
        <f aca="false">Convolution!O1013</f>
        <v>3.42651041106087E-006</v>
      </c>
      <c r="H65" s="8" t="n">
        <f aca="false">Convolution!O1014</f>
        <v>8.289478756047E-005</v>
      </c>
      <c r="I65" s="8" t="n">
        <f aca="false">Convolution!O1015</f>
        <v>0.00102732904208594</v>
      </c>
      <c r="J65" s="8" t="n">
        <f aca="false">Convolution!O1016</f>
        <v>0.00750312976513903</v>
      </c>
      <c r="K65" s="8" t="n">
        <f aca="false">Convolution!O1017</f>
        <v>0.0346388050959874</v>
      </c>
      <c r="L65" s="8" t="n">
        <f aca="false">Convolution!O1018</f>
        <v>0.104674757948722</v>
      </c>
      <c r="M65" s="8" t="n">
        <f aca="false">Convolution!O1019</f>
        <v>0.209538494385806</v>
      </c>
      <c r="N65" s="8" t="n">
        <f aca="false">Convolution!O1020</f>
        <v>0.27540075507351</v>
      </c>
      <c r="O65" s="8" t="n">
        <f aca="false">Convolution!O1021</f>
        <v>0.229279441355939</v>
      </c>
      <c r="P65" s="8" t="n">
        <f aca="false">Convolution!O1022</f>
        <v>0.111157048204338</v>
      </c>
      <c r="Q65" s="8" t="n">
        <f aca="false">Convolution!O1023</f>
        <v>0.0255122215851982</v>
      </c>
      <c r="R65" s="8" t="n">
        <f aca="false">Convolution!O1024</f>
        <v>0.00118164429920477</v>
      </c>
      <c r="S65" s="8" t="n">
        <f aca="false">Convolution!O1025</f>
        <v>0</v>
      </c>
      <c r="T65" s="2" t="str">
        <f aca="false">INDEX($F$1:$S$1,MATCH(MAX(F65:S65),F65:S65,0))</f>
        <v>P(8)</v>
      </c>
      <c r="U65" s="8" t="n">
        <f aca="false">SUM(L65:S65)</f>
        <v>0.956744362852718</v>
      </c>
      <c r="V65" s="8" t="n">
        <f aca="false">SUM(P65:S65)</f>
        <v>0.137850914088741</v>
      </c>
      <c r="W65" s="2" t="n">
        <f aca="false">ROUND(SUM(F65:S65),6)</f>
        <v>1</v>
      </c>
    </row>
    <row r="66" customFormat="false" ht="15" hidden="false" customHeight="false" outlineLevel="0" collapsed="false">
      <c r="A66" s="2" t="n">
        <f aca="false">RANK(E66,$E$2:$E$139)</f>
        <v>48</v>
      </c>
      <c r="B66" s="2" t="s">
        <v>122</v>
      </c>
      <c r="C66" s="6" t="n">
        <f aca="false">Schedule!$B$66</f>
        <v>0.7</v>
      </c>
      <c r="D66" s="2" t="n">
        <v>12</v>
      </c>
      <c r="E66" s="7" t="n">
        <f aca="false">Schedule!$BQ$66</f>
        <v>7.37890476431345</v>
      </c>
      <c r="F66" s="8" t="n">
        <f aca="false">Convolution!O1028</f>
        <v>1.84161581655367E-006</v>
      </c>
      <c r="G66" s="8" t="n">
        <f aca="false">Convolution!O1029</f>
        <v>6.79843211295374E-005</v>
      </c>
      <c r="H66" s="8" t="n">
        <f aca="false">Convolution!O1030</f>
        <v>0.000898782562248675</v>
      </c>
      <c r="I66" s="8" t="n">
        <f aca="false">Convolution!O1031</f>
        <v>0.00636286723445555</v>
      </c>
      <c r="J66" s="8" t="n">
        <f aca="false">Convolution!O1032</f>
        <v>0.0280190827085668</v>
      </c>
      <c r="K66" s="8" t="n">
        <f aca="false">Convolution!O1033</f>
        <v>0.082380432193802</v>
      </c>
      <c r="L66" s="8" t="n">
        <f aca="false">Convolution!O1034</f>
        <v>0.167357273103279</v>
      </c>
      <c r="M66" s="8" t="n">
        <f aca="false">Convolution!O1035</f>
        <v>0.237726833012953</v>
      </c>
      <c r="N66" s="8" t="n">
        <f aca="false">Convolution!O1036</f>
        <v>0.234666224538235</v>
      </c>
      <c r="O66" s="8" t="n">
        <f aca="false">Convolution!O1037</f>
        <v>0.156888089178981</v>
      </c>
      <c r="P66" s="8" t="n">
        <f aca="false">Convolution!O1038</f>
        <v>0.0672875791885885</v>
      </c>
      <c r="Q66" s="8" t="n">
        <f aca="false">Convolution!O1039</f>
        <v>0.0165738632550918</v>
      </c>
      <c r="R66" s="8" t="n">
        <f aca="false">Convolution!O1040</f>
        <v>0.00176914708685291</v>
      </c>
      <c r="S66" s="8" t="n">
        <f aca="false">Convolution!O1041</f>
        <v>0</v>
      </c>
      <c r="T66" s="2" t="str">
        <f aca="false">INDEX($F$1:$S$1,MATCH(MAX(F66:S66),F66:S66,0))</f>
        <v>P(7)</v>
      </c>
      <c r="U66" s="8" t="n">
        <f aca="false">SUM(L66:S66)</f>
        <v>0.882269009363981</v>
      </c>
      <c r="V66" s="8" t="n">
        <f aca="false">SUM(P66:S66)</f>
        <v>0.0856305895305332</v>
      </c>
      <c r="W66" s="2" t="n">
        <f aca="false">ROUND(SUM(F66:S66),6)</f>
        <v>1</v>
      </c>
    </row>
    <row r="67" customFormat="false" ht="15" hidden="false" customHeight="false" outlineLevel="0" collapsed="false">
      <c r="A67" s="2" t="n">
        <f aca="false">RANK(E67,$E$2:$E$139)</f>
        <v>111</v>
      </c>
      <c r="B67" s="2" t="s">
        <v>123</v>
      </c>
      <c r="C67" s="6" t="n">
        <f aca="false">Schedule!$B$67</f>
        <v>0.7</v>
      </c>
      <c r="D67" s="2" t="n">
        <v>12</v>
      </c>
      <c r="E67" s="7" t="n">
        <f aca="false">Schedule!$BQ$67</f>
        <v>4.69207920449981</v>
      </c>
      <c r="F67" s="8" t="n">
        <f aca="false">Convolution!O1044</f>
        <v>0.000726376639181534</v>
      </c>
      <c r="G67" s="8" t="n">
        <f aca="false">Convolution!O1045</f>
        <v>0.0124893352397156</v>
      </c>
      <c r="H67" s="8" t="n">
        <f aca="false">Convolution!O1046</f>
        <v>0.0611820317286201</v>
      </c>
      <c r="I67" s="8" t="n">
        <f aca="false">Convolution!O1047</f>
        <v>0.153070885293703</v>
      </c>
      <c r="J67" s="8" t="n">
        <f aca="false">Convolution!O1048</f>
        <v>0.235120098029227</v>
      </c>
      <c r="K67" s="8" t="n">
        <f aca="false">Convolution!O1049</f>
        <v>0.24092379804437</v>
      </c>
      <c r="L67" s="8" t="n">
        <f aca="false">Convolution!O1050</f>
        <v>0.171453856218511</v>
      </c>
      <c r="M67" s="8" t="n">
        <f aca="false">Convolution!O1051</f>
        <v>0.0860650239554741</v>
      </c>
      <c r="N67" s="8" t="n">
        <f aca="false">Convolution!O1052</f>
        <v>0.0303594084876242</v>
      </c>
      <c r="O67" s="8" t="n">
        <f aca="false">Convolution!O1053</f>
        <v>0.00734522640611237</v>
      </c>
      <c r="P67" s="8" t="n">
        <f aca="false">Convolution!O1054</f>
        <v>0.00115455922461258</v>
      </c>
      <c r="Q67" s="8" t="n">
        <f aca="false">Convolution!O1055</f>
        <v>0.000105244012713734</v>
      </c>
      <c r="R67" s="8" t="n">
        <f aca="false">Convolution!O1056</f>
        <v>4.15672013571529E-006</v>
      </c>
      <c r="S67" s="8" t="n">
        <f aca="false">Convolution!O1057</f>
        <v>0</v>
      </c>
      <c r="T67" s="2" t="str">
        <f aca="false">INDEX($F$1:$S$1,MATCH(MAX(F67:S67),F67:S67,0))</f>
        <v>P(5)</v>
      </c>
      <c r="U67" s="8" t="n">
        <f aca="false">SUM(L67:S67)</f>
        <v>0.296487475025183</v>
      </c>
      <c r="V67" s="8" t="n">
        <f aca="false">SUM(P67:S67)</f>
        <v>0.00126395995746203</v>
      </c>
      <c r="W67" s="2" t="n">
        <f aca="false">ROUND(SUM(F67:S67),6)</f>
        <v>1</v>
      </c>
    </row>
    <row r="68" customFormat="false" ht="15" hidden="false" customHeight="false" outlineLevel="0" collapsed="false">
      <c r="A68" s="2" t="n">
        <f aca="false">RANK(E68,$E$2:$E$139)</f>
        <v>33</v>
      </c>
      <c r="B68" s="2" t="s">
        <v>124</v>
      </c>
      <c r="C68" s="6" t="n">
        <f aca="false">Schedule!$B$68</f>
        <v>0.3</v>
      </c>
      <c r="D68" s="2" t="n">
        <v>12</v>
      </c>
      <c r="E68" s="7" t="n">
        <f aca="false">Schedule!$BQ$68</f>
        <v>7.77954859290289</v>
      </c>
      <c r="F68" s="8" t="n">
        <f aca="false">Convolution!O1060</f>
        <v>3.20388445456058E-008</v>
      </c>
      <c r="G68" s="8" t="n">
        <f aca="false">Convolution!O1061</f>
        <v>4.06290154067698E-006</v>
      </c>
      <c r="H68" s="8" t="n">
        <f aca="false">Convolution!O1062</f>
        <v>0.000117583588204159</v>
      </c>
      <c r="I68" s="8" t="n">
        <f aca="false">Convolution!O1063</f>
        <v>0.00153740533469895</v>
      </c>
      <c r="J68" s="8" t="n">
        <f aca="false">Convolution!O1064</f>
        <v>0.0110227259785773</v>
      </c>
      <c r="K68" s="8" t="n">
        <f aca="false">Convolution!O1065</f>
        <v>0.0475101689276596</v>
      </c>
      <c r="L68" s="8" t="n">
        <f aca="false">Convolution!O1066</f>
        <v>0.129475905386754</v>
      </c>
      <c r="M68" s="8" t="n">
        <f aca="false">Convolution!O1067</f>
        <v>0.229129509226444</v>
      </c>
      <c r="N68" s="8" t="n">
        <f aca="false">Convolution!O1068</f>
        <v>0.265233069596942</v>
      </c>
      <c r="O68" s="8" t="n">
        <f aca="false">Convolution!O1069</f>
        <v>0.198150466214838</v>
      </c>
      <c r="P68" s="8" t="n">
        <f aca="false">Convolution!O1070</f>
        <v>0.091543060641041</v>
      </c>
      <c r="Q68" s="8" t="n">
        <f aca="false">Convolution!O1071</f>
        <v>0.0236680797303526</v>
      </c>
      <c r="R68" s="8" t="n">
        <f aca="false">Convolution!O1072</f>
        <v>0.00260793043410376</v>
      </c>
      <c r="S68" s="8" t="n">
        <f aca="false">Convolution!O1073</f>
        <v>0</v>
      </c>
      <c r="T68" s="2" t="str">
        <f aca="false">INDEX($F$1:$S$1,MATCH(MAX(F68:S68),F68:S68,0))</f>
        <v>P(8)</v>
      </c>
      <c r="U68" s="8" t="n">
        <f aca="false">SUM(L68:S68)</f>
        <v>0.939808021230475</v>
      </c>
      <c r="V68" s="8" t="n">
        <f aca="false">SUM(P68:S68)</f>
        <v>0.117819070805497</v>
      </c>
      <c r="W68" s="2" t="n">
        <f aca="false">ROUND(SUM(F68:S68),6)</f>
        <v>1</v>
      </c>
    </row>
    <row r="69" customFormat="false" ht="15" hidden="false" customHeight="false" outlineLevel="0" collapsed="false">
      <c r="A69" s="2" t="n">
        <f aca="false">RANK(E69,$E$2:$E$139)</f>
        <v>20</v>
      </c>
      <c r="B69" s="2" t="s">
        <v>125</v>
      </c>
      <c r="C69" s="6" t="n">
        <f aca="false">Schedule!$B$69</f>
        <v>0</v>
      </c>
      <c r="D69" s="2" t="n">
        <v>12</v>
      </c>
      <c r="E69" s="7" t="n">
        <f aca="false">Schedule!$BQ$69</f>
        <v>8.14148501153408</v>
      </c>
      <c r="F69" s="8" t="n">
        <f aca="false">Convolution!O1076</f>
        <v>1.41101701276737E-010</v>
      </c>
      <c r="G69" s="8" t="n">
        <f aca="false">Convolution!O1077</f>
        <v>1.10762944249629E-006</v>
      </c>
      <c r="H69" s="8" t="n">
        <f aca="false">Convolution!O1078</f>
        <v>4.0080275784356E-005</v>
      </c>
      <c r="I69" s="8" t="n">
        <f aca="false">Convolution!O1079</f>
        <v>0.000608172549611724</v>
      </c>
      <c r="J69" s="8" t="n">
        <f aca="false">Convolution!O1080</f>
        <v>0.00511057272044368</v>
      </c>
      <c r="K69" s="8" t="n">
        <f aca="false">Convolution!O1081</f>
        <v>0.0264210697260746</v>
      </c>
      <c r="L69" s="8" t="n">
        <f aca="false">Convolution!O1082</f>
        <v>0.088122281638706</v>
      </c>
      <c r="M69" s="8" t="n">
        <f aca="false">Convolution!O1083</f>
        <v>0.192864195610793</v>
      </c>
      <c r="N69" s="8" t="n">
        <f aca="false">Convolution!O1084</f>
        <v>0.275106208542157</v>
      </c>
      <c r="O69" s="8" t="n">
        <f aca="false">Convolution!O1085</f>
        <v>0.247212062686009</v>
      </c>
      <c r="P69" s="8" t="n">
        <f aca="false">Convolution!O1086</f>
        <v>0.129393785373524</v>
      </c>
      <c r="Q69" s="8" t="n">
        <f aca="false">Convolution!O1087</f>
        <v>0.0328931164385052</v>
      </c>
      <c r="R69" s="8" t="n">
        <f aca="false">Convolution!O1088</f>
        <v>0.0022273466678471</v>
      </c>
      <c r="S69" s="8" t="n">
        <f aca="false">Convolution!O1089</f>
        <v>0</v>
      </c>
      <c r="T69" s="2" t="str">
        <f aca="false">INDEX($F$1:$S$1,MATCH(MAX(F69:S69),F69:S69,0))</f>
        <v>P(8)</v>
      </c>
      <c r="U69" s="8" t="n">
        <f aca="false">SUM(L69:S69)</f>
        <v>0.967818996957542</v>
      </c>
      <c r="V69" s="8" t="n">
        <f aca="false">SUM(P69:S69)</f>
        <v>0.164514248479876</v>
      </c>
      <c r="W69" s="2" t="n">
        <f aca="false">ROUND(SUM(F69:S69),6)</f>
        <v>1</v>
      </c>
    </row>
    <row r="70" customFormat="false" ht="15" hidden="false" customHeight="false" outlineLevel="0" collapsed="false">
      <c r="A70" s="2" t="n">
        <f aca="false">RANK(E70,$E$2:$E$139)</f>
        <v>107</v>
      </c>
      <c r="B70" s="2" t="s">
        <v>126</v>
      </c>
      <c r="C70" s="6" t="n">
        <f aca="false">Schedule!$B$70</f>
        <v>-0.4</v>
      </c>
      <c r="D70" s="2" t="n">
        <v>12</v>
      </c>
      <c r="E70" s="7" t="n">
        <f aca="false">Schedule!$BQ$70</f>
        <v>5.15361596853874</v>
      </c>
      <c r="F70" s="8" t="n">
        <f aca="false">Convolution!O1092</f>
        <v>1.06561562281446E-005</v>
      </c>
      <c r="G70" s="8" t="n">
        <f aca="false">Convolution!O1093</f>
        <v>0.0022014029140466</v>
      </c>
      <c r="H70" s="8" t="n">
        <f aca="false">Convolution!O1094</f>
        <v>0.0246728144114419</v>
      </c>
      <c r="I70" s="8" t="n">
        <f aca="false">Convolution!O1095</f>
        <v>0.0994920097999466</v>
      </c>
      <c r="J70" s="8" t="n">
        <f aca="false">Convolution!O1096</f>
        <v>0.209684610751332</v>
      </c>
      <c r="K70" s="8" t="n">
        <f aca="false">Convolution!O1097</f>
        <v>0.266967661011613</v>
      </c>
      <c r="L70" s="8" t="n">
        <f aca="false">Convolution!O1098</f>
        <v>0.219766809108595</v>
      </c>
      <c r="M70" s="8" t="n">
        <f aca="false">Convolution!O1099</f>
        <v>0.120533658106289</v>
      </c>
      <c r="N70" s="8" t="n">
        <f aca="false">Convolution!O1100</f>
        <v>0.0442497126441946</v>
      </c>
      <c r="O70" s="8" t="n">
        <f aca="false">Convolution!O1101</f>
        <v>0.0106707511075476</v>
      </c>
      <c r="P70" s="8" t="n">
        <f aca="false">Convolution!O1102</f>
        <v>0.00160872989808976</v>
      </c>
      <c r="Q70" s="8" t="n">
        <f aca="false">Convolution!O1103</f>
        <v>0.000136271247513808</v>
      </c>
      <c r="R70" s="8" t="n">
        <f aca="false">Convolution!O1104</f>
        <v>4.91284316253633E-006</v>
      </c>
      <c r="S70" s="8" t="n">
        <f aca="false">Convolution!O1105</f>
        <v>0</v>
      </c>
      <c r="T70" s="2" t="str">
        <f aca="false">INDEX($F$1:$S$1,MATCH(MAX(F70:S70),F70:S70,0))</f>
        <v>P(5)</v>
      </c>
      <c r="U70" s="8" t="n">
        <f aca="false">SUM(L70:S70)</f>
        <v>0.396970844955392</v>
      </c>
      <c r="V70" s="8" t="n">
        <f aca="false">SUM(P70:S70)</f>
        <v>0.00174991398876611</v>
      </c>
      <c r="W70" s="2" t="n">
        <f aca="false">ROUND(SUM(F70:S70),6)</f>
        <v>1</v>
      </c>
    </row>
    <row r="71" customFormat="false" ht="15" hidden="false" customHeight="false" outlineLevel="0" collapsed="false">
      <c r="A71" s="2" t="n">
        <f aca="false">RANK(E71,$E$2:$E$139)</f>
        <v>10</v>
      </c>
      <c r="B71" s="2" t="s">
        <v>127</v>
      </c>
      <c r="C71" s="6" t="n">
        <f aca="false">Schedule!$B$71</f>
        <v>-0.9</v>
      </c>
      <c r="D71" s="2" t="n">
        <v>12</v>
      </c>
      <c r="E71" s="7" t="n">
        <f aca="false">Schedule!$BQ$71</f>
        <v>8.88647445177503</v>
      </c>
      <c r="F71" s="8" t="n">
        <f aca="false">Convolution!O1108</f>
        <v>7.42422788700356E-011</v>
      </c>
      <c r="G71" s="8" t="n">
        <f aca="false">Convolution!O1109</f>
        <v>9.96423309624844E-008</v>
      </c>
      <c r="H71" s="8" t="n">
        <f aca="false">Convolution!O1110</f>
        <v>6.22134661896056E-006</v>
      </c>
      <c r="I71" s="8" t="n">
        <f aca="false">Convolution!O1111</f>
        <v>0.000130644738455091</v>
      </c>
      <c r="J71" s="8" t="n">
        <f aca="false">Convolution!O1112</f>
        <v>0.00141541857797233</v>
      </c>
      <c r="K71" s="8" t="n">
        <f aca="false">Convolution!O1113</f>
        <v>0.00925539922909493</v>
      </c>
      <c r="L71" s="8" t="n">
        <f aca="false">Convolution!O1114</f>
        <v>0.039293911674051</v>
      </c>
      <c r="M71" s="8" t="n">
        <f aca="false">Convolution!O1115</f>
        <v>0.111971003215342</v>
      </c>
      <c r="N71" s="8" t="n">
        <f aca="false">Convolution!O1116</f>
        <v>0.215678368098071</v>
      </c>
      <c r="O71" s="8" t="n">
        <f aca="false">Convolution!O1117</f>
        <v>0.276053707444023</v>
      </c>
      <c r="P71" s="8" t="n">
        <f aca="false">Convolution!O1118</f>
        <v>0.223528454395058</v>
      </c>
      <c r="Q71" s="8" t="n">
        <f aca="false">Convolution!O1119</f>
        <v>0.102625302293201</v>
      </c>
      <c r="R71" s="8" t="n">
        <f aca="false">Convolution!O1120</f>
        <v>0.020041469271538</v>
      </c>
      <c r="S71" s="8" t="n">
        <f aca="false">Convolution!O1121</f>
        <v>0</v>
      </c>
      <c r="T71" s="2" t="str">
        <f aca="false">INDEX($F$1:$S$1,MATCH(MAX(F71:S71),F71:S71,0))</f>
        <v>P(9)</v>
      </c>
      <c r="U71" s="8" t="n">
        <f aca="false">SUM(L71:S71)</f>
        <v>0.989192216391285</v>
      </c>
      <c r="V71" s="8" t="n">
        <f aca="false">SUM(P71:S71)</f>
        <v>0.346195225959798</v>
      </c>
      <c r="W71" s="2" t="n">
        <f aca="false">ROUND(SUM(F71:S71),6)</f>
        <v>1</v>
      </c>
    </row>
    <row r="72" customFormat="false" ht="15" hidden="false" customHeight="false" outlineLevel="0" collapsed="false">
      <c r="A72" s="2" t="n">
        <f aca="false">RANK(E72,$E$2:$E$139)</f>
        <v>43</v>
      </c>
      <c r="B72" s="2" t="s">
        <v>128</v>
      </c>
      <c r="C72" s="6" t="n">
        <f aca="false">Schedule!$B$72</f>
        <v>-1.1</v>
      </c>
      <c r="D72" s="2" t="n">
        <v>12</v>
      </c>
      <c r="E72" s="7" t="n">
        <f aca="false">Schedule!$BQ$72</f>
        <v>7.50673729946991</v>
      </c>
      <c r="F72" s="8" t="n">
        <f aca="false">Convolution!O1124</f>
        <v>8.10787639850958E-008</v>
      </c>
      <c r="G72" s="8" t="n">
        <f aca="false">Convolution!O1125</f>
        <v>1.57898811555802E-005</v>
      </c>
      <c r="H72" s="8" t="n">
        <f aca="false">Convolution!O1126</f>
        <v>0.00033733369981398</v>
      </c>
      <c r="I72" s="8" t="n">
        <f aca="false">Convolution!O1127</f>
        <v>0.0032769446606808</v>
      </c>
      <c r="J72" s="8" t="n">
        <f aca="false">Convolution!O1128</f>
        <v>0.0184039924465301</v>
      </c>
      <c r="K72" s="8" t="n">
        <f aca="false">Convolution!O1129</f>
        <v>0.0656307158898613</v>
      </c>
      <c r="L72" s="8" t="n">
        <f aca="false">Convolution!O1130</f>
        <v>0.15488937511689</v>
      </c>
      <c r="M72" s="8" t="n">
        <f aca="false">Convolution!O1131</f>
        <v>0.245078412363641</v>
      </c>
      <c r="N72" s="8" t="n">
        <f aca="false">Convolution!O1132</f>
        <v>0.257484627899468</v>
      </c>
      <c r="O72" s="8" t="n">
        <f aca="false">Convolution!O1133</f>
        <v>0.173080264232306</v>
      </c>
      <c r="P72" s="8" t="n">
        <f aca="false">Convolution!O1134</f>
        <v>0.0683748841450328</v>
      </c>
      <c r="Q72" s="8" t="n">
        <f aca="false">Convolution!O1135</f>
        <v>0.0129178640422671</v>
      </c>
      <c r="R72" s="8" t="n">
        <f aca="false">Convolution!O1136</f>
        <v>0.000509714543589021</v>
      </c>
      <c r="S72" s="8" t="n">
        <f aca="false">Convolution!O1137</f>
        <v>0</v>
      </c>
      <c r="T72" s="2" t="str">
        <f aca="false">INDEX($F$1:$S$1,MATCH(MAX(F72:S72),F72:S72,0))</f>
        <v>P(8)</v>
      </c>
      <c r="U72" s="8" t="n">
        <f aca="false">SUM(L72:S72)</f>
        <v>0.912335142343194</v>
      </c>
      <c r="V72" s="8" t="n">
        <f aca="false">SUM(P72:S72)</f>
        <v>0.0818024627308889</v>
      </c>
      <c r="W72" s="2" t="n">
        <f aca="false">ROUND(SUM(F72:S72),6)</f>
        <v>1</v>
      </c>
    </row>
    <row r="73" customFormat="false" ht="15" hidden="false" customHeight="false" outlineLevel="0" collapsed="false">
      <c r="A73" s="2" t="n">
        <f aca="false">RANK(E73,$E$2:$E$139)</f>
        <v>109</v>
      </c>
      <c r="B73" s="2" t="s">
        <v>129</v>
      </c>
      <c r="C73" s="6" t="n">
        <f aca="false">Schedule!$B$73</f>
        <v>-1.3</v>
      </c>
      <c r="D73" s="2" t="n">
        <v>12</v>
      </c>
      <c r="E73" s="7" t="n">
        <f aca="false">Schedule!$BQ$73</f>
        <v>4.89235386889607</v>
      </c>
      <c r="F73" s="8" t="n">
        <f aca="false">Convolution!O1140</f>
        <v>4.94540567956324E-005</v>
      </c>
      <c r="G73" s="8" t="n">
        <f aca="false">Convolution!O1141</f>
        <v>0.00400615086778214</v>
      </c>
      <c r="H73" s="8" t="n">
        <f aca="false">Convolution!O1142</f>
        <v>0.0371274399557541</v>
      </c>
      <c r="I73" s="8" t="n">
        <f aca="false">Convolution!O1143</f>
        <v>0.128205526340507</v>
      </c>
      <c r="J73" s="8" t="n">
        <f aca="false">Convolution!O1144</f>
        <v>0.235754245408844</v>
      </c>
      <c r="K73" s="8" t="n">
        <f aca="false">Convolution!O1145</f>
        <v>0.265321390716744</v>
      </c>
      <c r="L73" s="8" t="n">
        <f aca="false">Convolution!O1146</f>
        <v>0.194738572678202</v>
      </c>
      <c r="M73" s="8" t="n">
        <f aca="false">Convolution!O1147</f>
        <v>0.0956616172555819</v>
      </c>
      <c r="N73" s="8" t="n">
        <f aca="false">Convolution!O1148</f>
        <v>0.0314457176621253</v>
      </c>
      <c r="O73" s="8" t="n">
        <f aca="false">Convolution!O1149</f>
        <v>0.00674060037963529</v>
      </c>
      <c r="P73" s="8" t="n">
        <f aca="false">Convolution!O1150</f>
        <v>0.000885357989425173</v>
      </c>
      <c r="Q73" s="8" t="n">
        <f aca="false">Convolution!O1151</f>
        <v>6.22778533324375E-005</v>
      </c>
      <c r="R73" s="8" t="n">
        <f aca="false">Convolution!O1152</f>
        <v>1.64883527131028E-006</v>
      </c>
      <c r="S73" s="8" t="n">
        <f aca="false">Convolution!O1153</f>
        <v>0</v>
      </c>
      <c r="T73" s="2" t="str">
        <f aca="false">INDEX($F$1:$S$1,MATCH(MAX(F73:S73),F73:S73,0))</f>
        <v>P(5)</v>
      </c>
      <c r="U73" s="8" t="n">
        <f aca="false">SUM(L73:S73)</f>
        <v>0.329535792653573</v>
      </c>
      <c r="V73" s="8" t="n">
        <f aca="false">SUM(P73:S73)</f>
        <v>0.000949284678028921</v>
      </c>
      <c r="W73" s="2" t="n">
        <f aca="false">ROUND(SUM(F73:S73),6)</f>
        <v>1</v>
      </c>
    </row>
    <row r="74" customFormat="false" ht="15" hidden="false" customHeight="false" outlineLevel="0" collapsed="false">
      <c r="A74" s="2" t="n">
        <f aca="false">RANK(E74,$E$2:$E$139)</f>
        <v>60</v>
      </c>
      <c r="B74" s="2" t="s">
        <v>130</v>
      </c>
      <c r="C74" s="6" t="n">
        <f aca="false">Schedule!$B$74</f>
        <v>-1.4</v>
      </c>
      <c r="D74" s="2" t="n">
        <v>12</v>
      </c>
      <c r="E74" s="7" t="n">
        <f aca="false">Schedule!$BQ$74</f>
        <v>6.95321677149019</v>
      </c>
      <c r="F74" s="8" t="n">
        <f aca="false">Convolution!O1156</f>
        <v>2.80249892170988E-006</v>
      </c>
      <c r="G74" s="8" t="n">
        <f aca="false">Convolution!O1157</f>
        <v>9.87830198849672E-005</v>
      </c>
      <c r="H74" s="8" t="n">
        <f aca="false">Convolution!O1158</f>
        <v>0.00133796656868406</v>
      </c>
      <c r="I74" s="8" t="n">
        <f aca="false">Convolution!O1159</f>
        <v>0.00960111626639726</v>
      </c>
      <c r="J74" s="8" t="n">
        <f aca="false">Convolution!O1160</f>
        <v>0.041465370021245</v>
      </c>
      <c r="K74" s="8" t="n">
        <f aca="false">Convolution!O1161</f>
        <v>0.114821939138235</v>
      </c>
      <c r="L74" s="8" t="n">
        <f aca="false">Convolution!O1162</f>
        <v>0.21053702040143</v>
      </c>
      <c r="M74" s="8" t="n">
        <f aca="false">Convolution!O1163</f>
        <v>0.258585428020216</v>
      </c>
      <c r="N74" s="8" t="n">
        <f aca="false">Convolution!O1164</f>
        <v>0.211169566757258</v>
      </c>
      <c r="O74" s="8" t="n">
        <f aca="false">Convolution!O1165</f>
        <v>0.111160916304732</v>
      </c>
      <c r="P74" s="8" t="n">
        <f aca="false">Convolution!O1166</f>
        <v>0.0351773256243554</v>
      </c>
      <c r="Q74" s="8" t="n">
        <f aca="false">Convolution!O1167</f>
        <v>0.00573180938040388</v>
      </c>
      <c r="R74" s="8" t="n">
        <f aca="false">Convolution!O1168</f>
        <v>0.000309955998238048</v>
      </c>
      <c r="S74" s="8" t="n">
        <f aca="false">Convolution!O1169</f>
        <v>0</v>
      </c>
      <c r="T74" s="2" t="str">
        <f aca="false">INDEX($F$1:$S$1,MATCH(MAX(F74:S74),F74:S74,0))</f>
        <v>P(7)</v>
      </c>
      <c r="U74" s="8" t="n">
        <f aca="false">SUM(L74:S74)</f>
        <v>0.832672022486632</v>
      </c>
      <c r="V74" s="8" t="n">
        <f aca="false">SUM(P74:S74)</f>
        <v>0.0412190910029973</v>
      </c>
      <c r="W74" s="2" t="n">
        <f aca="false">ROUND(SUM(F74:S74),6)</f>
        <v>1</v>
      </c>
    </row>
    <row r="75" customFormat="false" ht="15" hidden="false" customHeight="false" outlineLevel="0" collapsed="false">
      <c r="A75" s="2" t="n">
        <f aca="false">RANK(E75,$E$2:$E$139)</f>
        <v>21</v>
      </c>
      <c r="B75" s="2" t="s">
        <v>131</v>
      </c>
      <c r="C75" s="6" t="n">
        <f aca="false">Schedule!$B$75</f>
        <v>-1.7</v>
      </c>
      <c r="D75" s="2" t="n">
        <v>12</v>
      </c>
      <c r="E75" s="7" t="n">
        <f aca="false">Schedule!$BQ$75</f>
        <v>8.12610673094654</v>
      </c>
      <c r="F75" s="8" t="n">
        <f aca="false">Convolution!O1172</f>
        <v>3.83484250206347E-009</v>
      </c>
      <c r="G75" s="8" t="n">
        <f aca="false">Convolution!O1173</f>
        <v>1.63686643389264E-006</v>
      </c>
      <c r="H75" s="8" t="n">
        <f aca="false">Convolution!O1174</f>
        <v>5.66602819425746E-005</v>
      </c>
      <c r="I75" s="8" t="n">
        <f aca="false">Convolution!O1175</f>
        <v>0.000821684217762279</v>
      </c>
      <c r="J75" s="8" t="n">
        <f aca="false">Convolution!O1176</f>
        <v>0.00649046086651589</v>
      </c>
      <c r="K75" s="8" t="n">
        <f aca="false">Convolution!O1177</f>
        <v>0.0311371614393664</v>
      </c>
      <c r="L75" s="8" t="n">
        <f aca="false">Convolution!O1178</f>
        <v>0.0958710871499128</v>
      </c>
      <c r="M75" s="8" t="n">
        <f aca="false">Convolution!O1179</f>
        <v>0.194687075457871</v>
      </c>
      <c r="N75" s="8" t="n">
        <f aca="false">Convolution!O1180</f>
        <v>0.262662066480973</v>
      </c>
      <c r="O75" s="8" t="n">
        <f aca="false">Convolution!O1181</f>
        <v>0.232392521953698</v>
      </c>
      <c r="P75" s="8" t="n">
        <f aca="false">Convolution!O1182</f>
        <v>0.129290975192601</v>
      </c>
      <c r="Q75" s="8" t="n">
        <f aca="false">Convolution!O1183</f>
        <v>0.040959957358577</v>
      </c>
      <c r="R75" s="8" t="n">
        <f aca="false">Convolution!O1184</f>
        <v>0.00562870889950285</v>
      </c>
      <c r="S75" s="8" t="n">
        <f aca="false">Convolution!O1185</f>
        <v>0</v>
      </c>
      <c r="T75" s="2" t="str">
        <f aca="false">INDEX($F$1:$S$1,MATCH(MAX(F75:S75),F75:S75,0))</f>
        <v>P(8)</v>
      </c>
      <c r="U75" s="8" t="n">
        <f aca="false">SUM(L75:S75)</f>
        <v>0.961492392493137</v>
      </c>
      <c r="V75" s="8" t="n">
        <f aca="false">SUM(P75:S75)</f>
        <v>0.175879641450681</v>
      </c>
      <c r="W75" s="2" t="n">
        <f aca="false">ROUND(SUM(F75:S75),6)</f>
        <v>1</v>
      </c>
    </row>
    <row r="76" customFormat="false" ht="15" hidden="false" customHeight="false" outlineLevel="0" collapsed="false">
      <c r="A76" s="2" t="n">
        <f aca="false">RANK(E76,$E$2:$E$139)</f>
        <v>17</v>
      </c>
      <c r="B76" s="2" t="s">
        <v>132</v>
      </c>
      <c r="C76" s="6" t="n">
        <f aca="false">Schedule!$B$76</f>
        <v>-1.8</v>
      </c>
      <c r="D76" s="2" t="n">
        <v>12</v>
      </c>
      <c r="E76" s="7" t="n">
        <f aca="false">Schedule!$BQ$76</f>
        <v>8.28790492295924</v>
      </c>
      <c r="F76" s="8" t="n">
        <f aca="false">Convolution!O1188</f>
        <v>1.8454436101845E-009</v>
      </c>
      <c r="G76" s="8" t="n">
        <f aca="false">Convolution!O1189</f>
        <v>7.76438135710142E-007</v>
      </c>
      <c r="H76" s="8" t="n">
        <f aca="false">Convolution!O1190</f>
        <v>2.7876404830368E-005</v>
      </c>
      <c r="I76" s="8" t="n">
        <f aca="false">Convolution!O1191</f>
        <v>0.000440905667513293</v>
      </c>
      <c r="J76" s="8" t="n">
        <f aca="false">Convolution!O1192</f>
        <v>0.00392780223029465</v>
      </c>
      <c r="K76" s="8" t="n">
        <f aca="false">Convolution!O1193</f>
        <v>0.0216513067242939</v>
      </c>
      <c r="L76" s="8" t="n">
        <f aca="false">Convolution!O1194</f>
        <v>0.0769287356918351</v>
      </c>
      <c r="M76" s="8" t="n">
        <f aca="false">Convolution!O1195</f>
        <v>0.178418153136653</v>
      </c>
      <c r="N76" s="8" t="n">
        <f aca="false">Convolution!O1196</f>
        <v>0.268100576776645</v>
      </c>
      <c r="O76" s="8" t="n">
        <f aca="false">Convolution!O1197</f>
        <v>0.254421403356491</v>
      </c>
      <c r="P76" s="8" t="n">
        <f aca="false">Convolution!O1198</f>
        <v>0.145233033567684</v>
      </c>
      <c r="Q76" s="8" t="n">
        <f aca="false">Convolution!O1199</f>
        <v>0.0450622699619124</v>
      </c>
      <c r="R76" s="8" t="n">
        <f aca="false">Convolution!O1200</f>
        <v>0.00578715819826788</v>
      </c>
      <c r="S76" s="8" t="n">
        <f aca="false">Convolution!O1201</f>
        <v>0</v>
      </c>
      <c r="T76" s="2" t="str">
        <f aca="false">INDEX($F$1:$S$1,MATCH(MAX(F76:S76),F76:S76,0))</f>
        <v>P(8)</v>
      </c>
      <c r="U76" s="8" t="n">
        <f aca="false">SUM(L76:S76)</f>
        <v>0.973951330689489</v>
      </c>
      <c r="V76" s="8" t="n">
        <f aca="false">SUM(P76:S76)</f>
        <v>0.196082461727865</v>
      </c>
      <c r="W76" s="2" t="n">
        <f aca="false">ROUND(SUM(F76:S76),6)</f>
        <v>1</v>
      </c>
    </row>
    <row r="77" customFormat="false" ht="15" hidden="false" customHeight="false" outlineLevel="0" collapsed="false">
      <c r="A77" s="2" t="n">
        <f aca="false">RANK(E77,$E$2:$E$139)</f>
        <v>117</v>
      </c>
      <c r="B77" s="2" t="s">
        <v>133</v>
      </c>
      <c r="C77" s="6" t="n">
        <f aca="false">Schedule!$B$77</f>
        <v>-1.9</v>
      </c>
      <c r="D77" s="2" t="n">
        <v>12</v>
      </c>
      <c r="E77" s="7" t="n">
        <f aca="false">Schedule!$BQ$77</f>
        <v>4.33317902416729</v>
      </c>
      <c r="F77" s="8" t="n">
        <f aca="false">Convolution!O1204</f>
        <v>0.000589213534685384</v>
      </c>
      <c r="G77" s="8" t="n">
        <f aca="false">Convolution!O1205</f>
        <v>0.0152609981516053</v>
      </c>
      <c r="H77" s="8" t="n">
        <f aca="false">Convolution!O1206</f>
        <v>0.0808271277771914</v>
      </c>
      <c r="I77" s="8" t="n">
        <f aca="false">Convolution!O1207</f>
        <v>0.19476893169927</v>
      </c>
      <c r="J77" s="8" t="n">
        <f aca="false">Convolution!O1208</f>
        <v>0.268280131329426</v>
      </c>
      <c r="K77" s="8" t="n">
        <f aca="false">Convolution!O1209</f>
        <v>0.233867052942238</v>
      </c>
      <c r="L77" s="8" t="n">
        <f aca="false">Convolution!O1210</f>
        <v>0.135691994166389</v>
      </c>
      <c r="M77" s="8" t="n">
        <f aca="false">Convolution!O1211</f>
        <v>0.0535288530137356</v>
      </c>
      <c r="N77" s="8" t="n">
        <f aca="false">Convolution!O1212</f>
        <v>0.0143412320170812</v>
      </c>
      <c r="O77" s="8" t="n">
        <f aca="false">Convolution!O1213</f>
        <v>0.00254516296732618</v>
      </c>
      <c r="P77" s="8" t="n">
        <f aca="false">Convolution!O1214</f>
        <v>0.000281804589010633</v>
      </c>
      <c r="Q77" s="8" t="n">
        <f aca="false">Convolution!O1215</f>
        <v>1.70932370640469E-005</v>
      </c>
      <c r="R77" s="8" t="n">
        <f aca="false">Convolution!O1216</f>
        <v>4.04574976546518E-007</v>
      </c>
      <c r="S77" s="8" t="n">
        <f aca="false">Convolution!O1217</f>
        <v>0</v>
      </c>
      <c r="T77" s="2" t="str">
        <f aca="false">INDEX($F$1:$S$1,MATCH(MAX(F77:S77),F77:S77,0))</f>
        <v>P(4)</v>
      </c>
      <c r="U77" s="8" t="n">
        <f aca="false">SUM(L77:S77)</f>
        <v>0.206406544565583</v>
      </c>
      <c r="V77" s="8" t="n">
        <f aca="false">SUM(P77:S77)</f>
        <v>0.000299302401051226</v>
      </c>
      <c r="W77" s="2" t="n">
        <f aca="false">ROUND(SUM(F77:S77),6)</f>
        <v>1</v>
      </c>
    </row>
    <row r="78" customFormat="false" ht="15" hidden="false" customHeight="false" outlineLevel="0" collapsed="false">
      <c r="A78" s="2" t="n">
        <f aca="false">RANK(E78,$E$2:$E$139)</f>
        <v>63</v>
      </c>
      <c r="B78" s="2" t="s">
        <v>134</v>
      </c>
      <c r="C78" s="6" t="n">
        <f aca="false">Schedule!$B$78</f>
        <v>-2.1</v>
      </c>
      <c r="D78" s="2" t="n">
        <v>12</v>
      </c>
      <c r="E78" s="7" t="n">
        <f aca="false">Schedule!$BQ$78</f>
        <v>6.7935671268459</v>
      </c>
      <c r="F78" s="8" t="n">
        <f aca="false">Convolution!O1220</f>
        <v>2.48558339346458E-006</v>
      </c>
      <c r="G78" s="8" t="n">
        <f aca="false">Convolution!O1221</f>
        <v>0.000126897360229852</v>
      </c>
      <c r="H78" s="8" t="n">
        <f aca="false">Convolution!O1222</f>
        <v>0.00176807640140167</v>
      </c>
      <c r="I78" s="8" t="n">
        <f aca="false">Convolution!O1223</f>
        <v>0.0121651366094367</v>
      </c>
      <c r="J78" s="8" t="n">
        <f aca="false">Convolution!O1224</f>
        <v>0.0495573664676682</v>
      </c>
      <c r="K78" s="8" t="n">
        <f aca="false">Convolution!O1225</f>
        <v>0.129343859595221</v>
      </c>
      <c r="L78" s="8" t="n">
        <f aca="false">Convolution!O1226</f>
        <v>0.223973069245767</v>
      </c>
      <c r="M78" s="8" t="n">
        <f aca="false">Convolution!O1227</f>
        <v>0.259415879166116</v>
      </c>
      <c r="N78" s="8" t="n">
        <f aca="false">Convolution!O1228</f>
        <v>0.198019215786148</v>
      </c>
      <c r="O78" s="8" t="n">
        <f aca="false">Convolution!O1229</f>
        <v>0.0954481990295531</v>
      </c>
      <c r="P78" s="8" t="n">
        <f aca="false">Convolution!O1230</f>
        <v>0.0265673879914223</v>
      </c>
      <c r="Q78" s="8" t="n">
        <f aca="false">Convolution!O1231</f>
        <v>0.00350018526273059</v>
      </c>
      <c r="R78" s="8" t="n">
        <f aca="false">Convolution!O1232</f>
        <v>0.000112241500912488</v>
      </c>
      <c r="S78" s="8" t="n">
        <f aca="false">Convolution!O1233</f>
        <v>0</v>
      </c>
      <c r="T78" s="2" t="str">
        <f aca="false">INDEX($F$1:$S$1,MATCH(MAX(F78:S78),F78:S78,0))</f>
        <v>P(7)</v>
      </c>
      <c r="U78" s="8" t="n">
        <f aca="false">SUM(L78:S78)</f>
        <v>0.807036177982649</v>
      </c>
      <c r="V78" s="8" t="n">
        <f aca="false">SUM(P78:S78)</f>
        <v>0.0301798147550654</v>
      </c>
      <c r="W78" s="2" t="n">
        <f aca="false">ROUND(SUM(F78:S78),6)</f>
        <v>1</v>
      </c>
    </row>
    <row r="79" customFormat="false" ht="15" hidden="false" customHeight="false" outlineLevel="0" collapsed="false">
      <c r="A79" s="2" t="n">
        <f aca="false">RANK(E79,$E$2:$E$139)</f>
        <v>131</v>
      </c>
      <c r="B79" s="2" t="s">
        <v>135</v>
      </c>
      <c r="C79" s="6" t="n">
        <f aca="false">Schedule!$B$79</f>
        <v>-2.2</v>
      </c>
      <c r="D79" s="2" t="n">
        <v>12</v>
      </c>
      <c r="E79" s="7" t="n">
        <f aca="false">Schedule!$BQ$79</f>
        <v>3.35020030989312</v>
      </c>
      <c r="F79" s="8" t="n">
        <f aca="false">Convolution!O1236</f>
        <v>0.00577308959398589</v>
      </c>
      <c r="G79" s="8" t="n">
        <f aca="false">Convolution!O1237</f>
        <v>0.0662185225610317</v>
      </c>
      <c r="H79" s="8" t="n">
        <f aca="false">Convolution!O1238</f>
        <v>0.1992770190073</v>
      </c>
      <c r="I79" s="8" t="n">
        <f aca="false">Convolution!O1239</f>
        <v>0.291188595592314</v>
      </c>
      <c r="J79" s="8" t="n">
        <f aca="false">Convolution!O1240</f>
        <v>0.247565695723479</v>
      </c>
      <c r="K79" s="8" t="n">
        <f aca="false">Convolution!O1241</f>
        <v>0.132150034263276</v>
      </c>
      <c r="L79" s="8" t="n">
        <f aca="false">Convolution!O1242</f>
        <v>0.0457728011784164</v>
      </c>
      <c r="M79" s="8" t="n">
        <f aca="false">Convolution!O1243</f>
        <v>0.0103790585444508</v>
      </c>
      <c r="N79" s="8" t="n">
        <f aca="false">Convolution!O1244</f>
        <v>0.00152604459603573</v>
      </c>
      <c r="O79" s="8" t="n">
        <f aca="false">Convolution!O1245</f>
        <v>0.000141181732372071</v>
      </c>
      <c r="P79" s="8" t="n">
        <f aca="false">Convolution!O1246</f>
        <v>7.73268104528272E-006</v>
      </c>
      <c r="Q79" s="8" t="n">
        <f aca="false">Convolution!O1247</f>
        <v>2.22036999320492E-007</v>
      </c>
      <c r="R79" s="8" t="n">
        <f aca="false">Convolution!O1248</f>
        <v>2.48929262327276E-009</v>
      </c>
      <c r="S79" s="8" t="n">
        <f aca="false">Convolution!O1249</f>
        <v>0</v>
      </c>
      <c r="T79" s="2" t="str">
        <f aca="false">INDEX($F$1:$S$1,MATCH(MAX(F79:S79),F79:S79,0))</f>
        <v>P(3)</v>
      </c>
      <c r="U79" s="8" t="n">
        <f aca="false">SUM(L79:S79)</f>
        <v>0.0578270432586122</v>
      </c>
      <c r="V79" s="8" t="n">
        <f aca="false">SUM(P79:S79)</f>
        <v>7.95720733722648E-006</v>
      </c>
      <c r="W79" s="2" t="n">
        <f aca="false">ROUND(SUM(F79:S79),6)</f>
        <v>1</v>
      </c>
    </row>
    <row r="80" customFormat="false" ht="15" hidden="false" customHeight="false" outlineLevel="0" collapsed="false">
      <c r="A80" s="2" t="n">
        <f aca="false">RANK(E80,$E$2:$E$139)</f>
        <v>124</v>
      </c>
      <c r="B80" s="2" t="s">
        <v>136</v>
      </c>
      <c r="C80" s="6" t="n">
        <f aca="false">Schedule!$B$80</f>
        <v>-2.3</v>
      </c>
      <c r="D80" s="2" t="n">
        <v>12</v>
      </c>
      <c r="E80" s="7" t="n">
        <f aca="false">Schedule!$BQ$80</f>
        <v>3.8215695640876</v>
      </c>
      <c r="F80" s="8" t="n">
        <f aca="false">Convolution!O1252</f>
        <v>0.00144938111949376</v>
      </c>
      <c r="G80" s="8" t="n">
        <f aca="false">Convolution!O1253</f>
        <v>0.0337154903801312</v>
      </c>
      <c r="H80" s="8" t="n">
        <f aca="false">Convolution!O1254</f>
        <v>0.136486057092541</v>
      </c>
      <c r="I80" s="8" t="n">
        <f aca="false">Convolution!O1255</f>
        <v>0.253938530230164</v>
      </c>
      <c r="J80" s="8" t="n">
        <f aca="false">Convolution!O1256</f>
        <v>0.272762524467801</v>
      </c>
      <c r="K80" s="8" t="n">
        <f aca="false">Convolution!O1257</f>
        <v>0.186038336280522</v>
      </c>
      <c r="L80" s="8" t="n">
        <f aca="false">Convolution!O1258</f>
        <v>0.0841309256976963</v>
      </c>
      <c r="M80" s="8" t="n">
        <f aca="false">Convolution!O1259</f>
        <v>0.0255749285169054</v>
      </c>
      <c r="N80" s="8" t="n">
        <f aca="false">Convolution!O1260</f>
        <v>0.00517631391309103</v>
      </c>
      <c r="O80" s="8" t="n">
        <f aca="false">Convolution!O1261</f>
        <v>0.000673220193800961</v>
      </c>
      <c r="P80" s="8" t="n">
        <f aca="false">Convolution!O1262</f>
        <v>5.21985896926064E-005</v>
      </c>
      <c r="Q80" s="8" t="n">
        <f aca="false">Convolution!O1263</f>
        <v>2.06541022835953E-006</v>
      </c>
      <c r="R80" s="8" t="n">
        <f aca="false">Convolution!O1264</f>
        <v>2.81079324408331E-008</v>
      </c>
      <c r="S80" s="8" t="n">
        <f aca="false">Convolution!O1265</f>
        <v>0</v>
      </c>
      <c r="T80" s="2" t="str">
        <f aca="false">INDEX($F$1:$S$1,MATCH(MAX(F80:S80),F80:S80,0))</f>
        <v>P(4)</v>
      </c>
      <c r="U80" s="8" t="n">
        <f aca="false">SUM(L80:S80)</f>
        <v>0.115609680429347</v>
      </c>
      <c r="V80" s="8" t="n">
        <f aca="false">SUM(P80:S80)</f>
        <v>5.42921078534068E-005</v>
      </c>
      <c r="W80" s="2" t="n">
        <f aca="false">ROUND(SUM(F80:S80),6)</f>
        <v>1</v>
      </c>
    </row>
    <row r="81" customFormat="false" ht="15" hidden="false" customHeight="false" outlineLevel="0" collapsed="false">
      <c r="A81" s="2" t="n">
        <f aca="false">RANK(E81,$E$2:$E$139)</f>
        <v>37</v>
      </c>
      <c r="B81" s="2" t="s">
        <v>137</v>
      </c>
      <c r="C81" s="6" t="n">
        <f aca="false">Schedule!$B$81</f>
        <v>-2.3</v>
      </c>
      <c r="D81" s="2" t="n">
        <v>12</v>
      </c>
      <c r="E81" s="7" t="n">
        <f aca="false">Schedule!$BQ$81</f>
        <v>7.65709454843347</v>
      </c>
      <c r="F81" s="8" t="n">
        <f aca="false">Convolution!O1268</f>
        <v>3.85135257760584E-008</v>
      </c>
      <c r="G81" s="8" t="n">
        <f aca="false">Convolution!O1269</f>
        <v>6.45488705047632E-006</v>
      </c>
      <c r="H81" s="8" t="n">
        <f aca="false">Convolution!O1270</f>
        <v>0.000166401825937029</v>
      </c>
      <c r="I81" s="8" t="n">
        <f aca="false">Convolution!O1271</f>
        <v>0.00193749109126266</v>
      </c>
      <c r="J81" s="8" t="n">
        <f aca="false">Convolution!O1272</f>
        <v>0.0127829538514756</v>
      </c>
      <c r="K81" s="8" t="n">
        <f aca="false">Convolution!O1273</f>
        <v>0.0523678183738763</v>
      </c>
      <c r="L81" s="8" t="n">
        <f aca="false">Convolution!O1274</f>
        <v>0.138705466342731</v>
      </c>
      <c r="M81" s="8" t="n">
        <f aca="false">Convolution!O1275</f>
        <v>0.240458904827543</v>
      </c>
      <c r="N81" s="8" t="n">
        <f aca="false">Convolution!O1276</f>
        <v>0.270171478638997</v>
      </c>
      <c r="O81" s="8" t="n">
        <f aca="false">Convolution!O1277</f>
        <v>0.189916283873197</v>
      </c>
      <c r="P81" s="8" t="n">
        <f aca="false">Convolution!O1278</f>
        <v>0.077308127343856</v>
      </c>
      <c r="Q81" s="8" t="n">
        <f aca="false">Convolution!O1279</f>
        <v>0.015315845079602</v>
      </c>
      <c r="R81" s="8" t="n">
        <f aca="false">Convolution!O1280</f>
        <v>0.000862735350946947</v>
      </c>
      <c r="S81" s="8" t="n">
        <f aca="false">Convolution!O1281</f>
        <v>0</v>
      </c>
      <c r="T81" s="2" t="str">
        <f aca="false">INDEX($F$1:$S$1,MATCH(MAX(F81:S81),F81:S81,0))</f>
        <v>P(8)</v>
      </c>
      <c r="U81" s="8" t="n">
        <f aca="false">SUM(L81:S81)</f>
        <v>0.932738841456872</v>
      </c>
      <c r="V81" s="8" t="n">
        <f aca="false">SUM(P81:S81)</f>
        <v>0.093486707774405</v>
      </c>
      <c r="W81" s="2" t="n">
        <f aca="false">ROUND(SUM(F81:S81),6)</f>
        <v>1</v>
      </c>
    </row>
    <row r="82" customFormat="false" ht="15" hidden="false" customHeight="false" outlineLevel="0" collapsed="false">
      <c r="A82" s="2" t="n">
        <f aca="false">RANK(E82,$E$2:$E$139)</f>
        <v>53</v>
      </c>
      <c r="B82" s="2" t="s">
        <v>138</v>
      </c>
      <c r="C82" s="6" t="n">
        <f aca="false">Schedule!$B$82</f>
        <v>-2.4</v>
      </c>
      <c r="D82" s="2" t="n">
        <v>12</v>
      </c>
      <c r="E82" s="7" t="n">
        <f aca="false">Schedule!$BQ$82</f>
        <v>7.15652716078985</v>
      </c>
      <c r="F82" s="8" t="n">
        <f aca="false">Convolution!O1284</f>
        <v>4.15215005622215E-006</v>
      </c>
      <c r="G82" s="8" t="n">
        <f aca="false">Convolution!O1285</f>
        <v>0.000141442663877484</v>
      </c>
      <c r="H82" s="8" t="n">
        <f aca="false">Convolution!O1286</f>
        <v>0.00164879505885636</v>
      </c>
      <c r="I82" s="8" t="n">
        <f aca="false">Convolution!O1287</f>
        <v>0.0102135538177074</v>
      </c>
      <c r="J82" s="8" t="n">
        <f aca="false">Convolution!O1288</f>
        <v>0.0394419986424209</v>
      </c>
      <c r="K82" s="8" t="n">
        <f aca="false">Convolution!O1289</f>
        <v>0.10240752514248</v>
      </c>
      <c r="L82" s="8" t="n">
        <f aca="false">Convolution!O1290</f>
        <v>0.185611719547526</v>
      </c>
      <c r="M82" s="8" t="n">
        <f aca="false">Convolution!O1291</f>
        <v>0.238348469190685</v>
      </c>
      <c r="N82" s="8" t="n">
        <f aca="false">Convolution!O1292</f>
        <v>0.216163760050641</v>
      </c>
      <c r="O82" s="8" t="n">
        <f aca="false">Convolution!O1293</f>
        <v>0.135387298827433</v>
      </c>
      <c r="P82" s="8" t="n">
        <f aca="false">Convolution!O1294</f>
        <v>0.0556686183111162</v>
      </c>
      <c r="Q82" s="8" t="n">
        <f aca="false">Convolution!O1295</f>
        <v>0.0135017074764924</v>
      </c>
      <c r="R82" s="8" t="n">
        <f aca="false">Convolution!O1296</f>
        <v>0.00146095912070818</v>
      </c>
      <c r="S82" s="8" t="n">
        <f aca="false">Convolution!O1297</f>
        <v>0</v>
      </c>
      <c r="T82" s="2" t="str">
        <f aca="false">INDEX($F$1:$S$1,MATCH(MAX(F82:S82),F82:S82,0))</f>
        <v>P(7)</v>
      </c>
      <c r="U82" s="8" t="n">
        <f aca="false">SUM(L82:S82)</f>
        <v>0.846142532524601</v>
      </c>
      <c r="V82" s="8" t="n">
        <f aca="false">SUM(P82:S82)</f>
        <v>0.0706312849083168</v>
      </c>
      <c r="W82" s="2" t="n">
        <f aca="false">ROUND(SUM(F82:S82),6)</f>
        <v>1</v>
      </c>
    </row>
    <row r="83" customFormat="false" ht="15" hidden="false" customHeight="false" outlineLevel="0" collapsed="false">
      <c r="A83" s="2" t="n">
        <f aca="false">RANK(E83,$E$2:$E$139)</f>
        <v>123</v>
      </c>
      <c r="B83" s="2" t="s">
        <v>139</v>
      </c>
      <c r="C83" s="6" t="n">
        <f aca="false">Schedule!$B$83</f>
        <v>-2.5</v>
      </c>
      <c r="D83" s="2" t="n">
        <v>12</v>
      </c>
      <c r="E83" s="7" t="n">
        <f aca="false">Schedule!$BQ$83</f>
        <v>3.88065105318576</v>
      </c>
      <c r="F83" s="8" t="n">
        <f aca="false">Convolution!O1300</f>
        <v>0.00135803081332158</v>
      </c>
      <c r="G83" s="8" t="n">
        <f aca="false">Convolution!O1301</f>
        <v>0.0310751877391794</v>
      </c>
      <c r="H83" s="8" t="n">
        <f aca="false">Convolution!O1302</f>
        <v>0.128484812194344</v>
      </c>
      <c r="I83" s="8" t="n">
        <f aca="false">Convolution!O1303</f>
        <v>0.246837984739589</v>
      </c>
      <c r="J83" s="8" t="n">
        <f aca="false">Convolution!O1304</f>
        <v>0.274567674255786</v>
      </c>
      <c r="K83" s="8" t="n">
        <f aca="false">Convolution!O1305</f>
        <v>0.193574757963648</v>
      </c>
      <c r="L83" s="8" t="n">
        <f aca="false">Convolution!O1306</f>
        <v>0.0899456237442228</v>
      </c>
      <c r="M83" s="8" t="n">
        <f aca="false">Convolution!O1307</f>
        <v>0.027786137998468</v>
      </c>
      <c r="N83" s="8" t="n">
        <f aca="false">Convolution!O1308</f>
        <v>0.00561102581912018</v>
      </c>
      <c r="O83" s="8" t="n">
        <f aca="false">Convolution!O1309</f>
        <v>0.000706519845449656</v>
      </c>
      <c r="P83" s="8" t="n">
        <f aca="false">Convolution!O1310</f>
        <v>5.05078421056526E-005</v>
      </c>
      <c r="Q83" s="8" t="n">
        <f aca="false">Convolution!O1311</f>
        <v>1.71657711588946E-006</v>
      </c>
      <c r="R83" s="8" t="n">
        <f aca="false">Convolution!O1312</f>
        <v>2.0467649016576E-008</v>
      </c>
      <c r="S83" s="8" t="n">
        <f aca="false">Convolution!O1313</f>
        <v>0</v>
      </c>
      <c r="T83" s="2" t="str">
        <f aca="false">INDEX($F$1:$S$1,MATCH(MAX(F83:S83),F83:S83,0))</f>
        <v>P(4)</v>
      </c>
      <c r="U83" s="8" t="n">
        <f aca="false">SUM(L83:S83)</f>
        <v>0.124101552294131</v>
      </c>
      <c r="V83" s="8" t="n">
        <f aca="false">SUM(P83:S83)</f>
        <v>5.22448868705586E-005</v>
      </c>
      <c r="W83" s="2" t="n">
        <f aca="false">ROUND(SUM(F83:S83),6)</f>
        <v>1</v>
      </c>
    </row>
    <row r="84" customFormat="false" ht="15" hidden="false" customHeight="false" outlineLevel="0" collapsed="false">
      <c r="A84" s="2" t="n">
        <f aca="false">RANK(E84,$E$2:$E$139)</f>
        <v>36</v>
      </c>
      <c r="B84" s="2" t="s">
        <v>140</v>
      </c>
      <c r="C84" s="6" t="n">
        <f aca="false">Schedule!$B$84</f>
        <v>-2.6</v>
      </c>
      <c r="D84" s="2" t="n">
        <v>12</v>
      </c>
      <c r="E84" s="7" t="n">
        <f aca="false">Schedule!$BQ$84</f>
        <v>7.66941873111988</v>
      </c>
      <c r="F84" s="8" t="n">
        <f aca="false">Convolution!O1316</f>
        <v>4.39939541398081E-007</v>
      </c>
      <c r="G84" s="8" t="n">
        <f aca="false">Convolution!O1317</f>
        <v>1.77334313331223E-005</v>
      </c>
      <c r="H84" s="8" t="n">
        <f aca="false">Convolution!O1318</f>
        <v>0.000296106207083707</v>
      </c>
      <c r="I84" s="8" t="n">
        <f aca="false">Convolution!O1319</f>
        <v>0.00272576641894459</v>
      </c>
      <c r="J84" s="8" t="n">
        <f aca="false">Convolution!O1320</f>
        <v>0.0154537476308681</v>
      </c>
      <c r="K84" s="8" t="n">
        <f aca="false">Convolution!O1321</f>
        <v>0.0569390601596775</v>
      </c>
      <c r="L84" s="8" t="n">
        <f aca="false">Convolution!O1322</f>
        <v>0.139999995960338</v>
      </c>
      <c r="M84" s="8" t="n">
        <f aca="false">Convolution!O1323</f>
        <v>0.231893112224098</v>
      </c>
      <c r="N84" s="8" t="n">
        <f aca="false">Convolution!O1324</f>
        <v>0.257372465004499</v>
      </c>
      <c r="O84" s="8" t="n">
        <f aca="false">Convolution!O1325</f>
        <v>0.187048532192494</v>
      </c>
      <c r="P84" s="8" t="n">
        <f aca="false">Convolution!O1326</f>
        <v>0.0846039019249846</v>
      </c>
      <c r="Q84" s="8" t="n">
        <f aca="false">Convolution!O1327</f>
        <v>0.0213757625269636</v>
      </c>
      <c r="R84" s="8" t="n">
        <f aca="false">Convolution!O1328</f>
        <v>0.00227337637917381</v>
      </c>
      <c r="S84" s="8" t="n">
        <f aca="false">Convolution!O1329</f>
        <v>0</v>
      </c>
      <c r="T84" s="2" t="str">
        <f aca="false">INDEX($F$1:$S$1,MATCH(MAX(F84:S84),F84:S84,0))</f>
        <v>P(8)</v>
      </c>
      <c r="U84" s="8" t="n">
        <f aca="false">SUM(L84:S84)</f>
        <v>0.924567146212552</v>
      </c>
      <c r="V84" s="8" t="n">
        <f aca="false">SUM(P84:S84)</f>
        <v>0.108253040831122</v>
      </c>
      <c r="W84" s="2" t="n">
        <f aca="false">ROUND(SUM(F84:S84),6)</f>
        <v>1</v>
      </c>
    </row>
    <row r="85" customFormat="false" ht="15" hidden="false" customHeight="false" outlineLevel="0" collapsed="false">
      <c r="A85" s="2" t="n">
        <f aca="false">RANK(E85,$E$2:$E$139)</f>
        <v>38</v>
      </c>
      <c r="B85" s="2" t="s">
        <v>141</v>
      </c>
      <c r="C85" s="6" t="n">
        <f aca="false">Schedule!$B$85</f>
        <v>-3.2</v>
      </c>
      <c r="D85" s="2" t="n">
        <v>12</v>
      </c>
      <c r="E85" s="7" t="n">
        <f aca="false">Schedule!$BQ$85</f>
        <v>7.64625919733599</v>
      </c>
      <c r="F85" s="8" t="n">
        <f aca="false">Convolution!O1332</f>
        <v>3.20845749179009E-008</v>
      </c>
      <c r="G85" s="8" t="n">
        <f aca="false">Convolution!O1333</f>
        <v>1.02205404653448E-005</v>
      </c>
      <c r="H85" s="8" t="n">
        <f aca="false">Convolution!O1334</f>
        <v>0.000249840391511871</v>
      </c>
      <c r="I85" s="8" t="n">
        <f aca="false">Convolution!O1335</f>
        <v>0.00265684643227075</v>
      </c>
      <c r="J85" s="8" t="n">
        <f aca="false">Convolution!O1336</f>
        <v>0.0158782305065787</v>
      </c>
      <c r="K85" s="8" t="n">
        <f aca="false">Convolution!O1337</f>
        <v>0.0590736381843307</v>
      </c>
      <c r="L85" s="8" t="n">
        <f aca="false">Convolution!O1338</f>
        <v>0.143710029397012</v>
      </c>
      <c r="M85" s="8" t="n">
        <f aca="false">Convolution!O1339</f>
        <v>0.233704068091605</v>
      </c>
      <c r="N85" s="8" t="n">
        <f aca="false">Convolution!O1340</f>
        <v>0.254779191782072</v>
      </c>
      <c r="O85" s="8" t="n">
        <f aca="false">Convolution!O1341</f>
        <v>0.183127561433091</v>
      </c>
      <c r="P85" s="8" t="n">
        <f aca="false">Convolution!O1342</f>
        <v>0.0829846338940722</v>
      </c>
      <c r="Q85" s="8" t="n">
        <f aca="false">Convolution!O1343</f>
        <v>0.0214274224996877</v>
      </c>
      <c r="R85" s="8" t="n">
        <f aca="false">Convolution!O1344</f>
        <v>0.00239828476272733</v>
      </c>
      <c r="S85" s="8" t="n">
        <f aca="false">Convolution!O1345</f>
        <v>0</v>
      </c>
      <c r="T85" s="2" t="str">
        <f aca="false">INDEX($F$1:$S$1,MATCH(MAX(F85:S85),F85:S85,0))</f>
        <v>P(8)</v>
      </c>
      <c r="U85" s="8" t="n">
        <f aca="false">SUM(L85:S85)</f>
        <v>0.922131191860268</v>
      </c>
      <c r="V85" s="8" t="n">
        <f aca="false">SUM(P85:S85)</f>
        <v>0.106810341156487</v>
      </c>
      <c r="W85" s="2" t="n">
        <f aca="false">ROUND(SUM(F85:S85),6)</f>
        <v>1</v>
      </c>
    </row>
    <row r="86" customFormat="false" ht="15" hidden="false" customHeight="false" outlineLevel="0" collapsed="false">
      <c r="A86" s="2" t="n">
        <f aca="false">RANK(E86,$E$2:$E$139)</f>
        <v>14</v>
      </c>
      <c r="B86" s="2" t="s">
        <v>142</v>
      </c>
      <c r="C86" s="6" t="n">
        <f aca="false">Schedule!$B$86</f>
        <v>-4</v>
      </c>
      <c r="D86" s="2" t="n">
        <v>12</v>
      </c>
      <c r="E86" s="7" t="n">
        <f aca="false">Schedule!$BQ$86</f>
        <v>8.46781672929093</v>
      </c>
      <c r="F86" s="8" t="n">
        <f aca="false">Convolution!O1348</f>
        <v>1.76363200899055E-009</v>
      </c>
      <c r="G86" s="8" t="n">
        <f aca="false">Convolution!O1349</f>
        <v>2.73787861655247E-007</v>
      </c>
      <c r="H86" s="8" t="n">
        <f aca="false">Convolution!O1350</f>
        <v>1.12752977779551E-005</v>
      </c>
      <c r="I86" s="8" t="n">
        <f aca="false">Convolution!O1351</f>
        <v>0.000212669756544324</v>
      </c>
      <c r="J86" s="8" t="n">
        <f aca="false">Convolution!O1352</f>
        <v>0.00223052647519917</v>
      </c>
      <c r="K86" s="8" t="n">
        <f aca="false">Convolution!O1353</f>
        <v>0.0142860868274444</v>
      </c>
      <c r="L86" s="8" t="n">
        <f aca="false">Convolution!O1354</f>
        <v>0.0584825636001374</v>
      </c>
      <c r="M86" s="8" t="n">
        <f aca="false">Convolution!O1355</f>
        <v>0.155325216645313</v>
      </c>
      <c r="N86" s="8" t="n">
        <f aca="false">Convolution!O1356</f>
        <v>0.264833696084185</v>
      </c>
      <c r="O86" s="8" t="n">
        <f aca="false">Convolution!O1357</f>
        <v>0.279033982570773</v>
      </c>
      <c r="P86" s="8" t="n">
        <f aca="false">Convolution!O1358</f>
        <v>0.168585802509813</v>
      </c>
      <c r="Q86" s="8" t="n">
        <f aca="false">Convolution!O1359</f>
        <v>0.0511768356025505</v>
      </c>
      <c r="R86" s="8" t="n">
        <f aca="false">Convolution!O1360</f>
        <v>0.00582106907876896</v>
      </c>
      <c r="S86" s="8" t="n">
        <f aca="false">Convolution!O1361</f>
        <v>0</v>
      </c>
      <c r="T86" s="2" t="str">
        <f aca="false">INDEX($F$1:$S$1,MATCH(MAX(F86:S86),F86:S86,0))</f>
        <v>P(9)</v>
      </c>
      <c r="U86" s="8" t="n">
        <f aca="false">SUM(L86:S86)</f>
        <v>0.983259166091541</v>
      </c>
      <c r="V86" s="8" t="n">
        <f aca="false">SUM(P86:S86)</f>
        <v>0.225583707191132</v>
      </c>
      <c r="W86" s="2" t="n">
        <f aca="false">ROUND(SUM(F86:S86),6)</f>
        <v>1</v>
      </c>
    </row>
    <row r="87" customFormat="false" ht="15" hidden="false" customHeight="false" outlineLevel="0" collapsed="false">
      <c r="A87" s="2" t="n">
        <f aca="false">RANK(E87,$E$2:$E$139)</f>
        <v>100</v>
      </c>
      <c r="B87" s="2" t="s">
        <v>143</v>
      </c>
      <c r="C87" s="6" t="n">
        <f aca="false">Schedule!$B$87</f>
        <v>-4.3</v>
      </c>
      <c r="D87" s="2" t="n">
        <v>12</v>
      </c>
      <c r="E87" s="7" t="n">
        <f aca="false">Schedule!$BQ$87</f>
        <v>5.32194152339325</v>
      </c>
      <c r="F87" s="8" t="n">
        <f aca="false">Convolution!O1364</f>
        <v>9.62262528158253E-006</v>
      </c>
      <c r="G87" s="8" t="n">
        <f aca="false">Convolution!O1365</f>
        <v>0.00238426782814305</v>
      </c>
      <c r="H87" s="8" t="n">
        <f aca="false">Convolution!O1366</f>
        <v>0.0217219949073273</v>
      </c>
      <c r="I87" s="8" t="n">
        <f aca="false">Convolution!O1367</f>
        <v>0.0849073259658258</v>
      </c>
      <c r="J87" s="8" t="n">
        <f aca="false">Convolution!O1368</f>
        <v>0.186932569781609</v>
      </c>
      <c r="K87" s="8" t="n">
        <f aca="false">Convolution!O1369</f>
        <v>0.257503347651002</v>
      </c>
      <c r="L87" s="8" t="n">
        <f aca="false">Convolution!O1370</f>
        <v>0.232749941256201</v>
      </c>
      <c r="M87" s="8" t="n">
        <f aca="false">Convolution!O1371</f>
        <v>0.140442024205031</v>
      </c>
      <c r="N87" s="8" t="n">
        <f aca="false">Convolution!O1372</f>
        <v>0.0562877504147121</v>
      </c>
      <c r="O87" s="8" t="n">
        <f aca="false">Convolution!O1373</f>
        <v>0.0145695080615411</v>
      </c>
      <c r="P87" s="8" t="n">
        <f aca="false">Convolution!O1374</f>
        <v>0.0022916934924776</v>
      </c>
      <c r="Q87" s="8" t="n">
        <f aca="false">Convolution!O1375</f>
        <v>0.000193503027423386</v>
      </c>
      <c r="R87" s="8" t="n">
        <f aca="false">Convolution!O1376</f>
        <v>6.45078342531259E-006</v>
      </c>
      <c r="S87" s="8" t="n">
        <f aca="false">Convolution!O1377</f>
        <v>0</v>
      </c>
      <c r="T87" s="2" t="str">
        <f aca="false">INDEX($F$1:$S$1,MATCH(MAX(F87:S87),F87:S87,0))</f>
        <v>P(5)</v>
      </c>
      <c r="U87" s="8" t="n">
        <f aca="false">SUM(L87:S87)</f>
        <v>0.446540871240812</v>
      </c>
      <c r="V87" s="8" t="n">
        <f aca="false">SUM(P87:S87)</f>
        <v>0.0024916473033263</v>
      </c>
      <c r="W87" s="2" t="n">
        <f aca="false">ROUND(SUM(F87:S87),6)</f>
        <v>1</v>
      </c>
    </row>
    <row r="88" customFormat="false" ht="15" hidden="false" customHeight="false" outlineLevel="0" collapsed="false">
      <c r="A88" s="2" t="n">
        <f aca="false">RANK(E88,$E$2:$E$139)</f>
        <v>66</v>
      </c>
      <c r="B88" s="2" t="s">
        <v>144</v>
      </c>
      <c r="C88" s="6" t="n">
        <f aca="false">Schedule!$B$88</f>
        <v>-4.3</v>
      </c>
      <c r="D88" s="2" t="n">
        <v>12</v>
      </c>
      <c r="E88" s="7" t="n">
        <f aca="false">Schedule!$BQ$88</f>
        <v>6.64259448335862</v>
      </c>
      <c r="F88" s="8" t="n">
        <f aca="false">Convolution!O1380</f>
        <v>7.95214186363403E-006</v>
      </c>
      <c r="G88" s="8" t="n">
        <f aca="false">Convolution!O1381</f>
        <v>0.000217498372647872</v>
      </c>
      <c r="H88" s="8" t="n">
        <f aca="false">Convolution!O1382</f>
        <v>0.00247965929313013</v>
      </c>
      <c r="I88" s="8" t="n">
        <f aca="false">Convolution!O1383</f>
        <v>0.0155251597114896</v>
      </c>
      <c r="J88" s="8" t="n">
        <f aca="false">Convolution!O1384</f>
        <v>0.0593570520464449</v>
      </c>
      <c r="K88" s="8" t="n">
        <f aca="false">Convolution!O1385</f>
        <v>0.145851583603748</v>
      </c>
      <c r="L88" s="8" t="n">
        <f aca="false">Convolution!O1386</f>
        <v>0.236054432009059</v>
      </c>
      <c r="M88" s="8" t="n">
        <f aca="false">Convolution!O1387</f>
        <v>0.253556628665555</v>
      </c>
      <c r="N88" s="8" t="n">
        <f aca="false">Convolution!O1388</f>
        <v>0.179422984275033</v>
      </c>
      <c r="O88" s="8" t="n">
        <f aca="false">Convolution!O1389</f>
        <v>0.0814897714617194</v>
      </c>
      <c r="P88" s="8" t="n">
        <f aca="false">Convolution!O1390</f>
        <v>0.0224736022053357</v>
      </c>
      <c r="Q88" s="8" t="n">
        <f aca="false">Convolution!O1391</f>
        <v>0.00335888562929471</v>
      </c>
      <c r="R88" s="8" t="n">
        <f aca="false">Convolution!O1392</f>
        <v>0.000204790584678584</v>
      </c>
      <c r="S88" s="8" t="n">
        <f aca="false">Convolution!O1393</f>
        <v>0</v>
      </c>
      <c r="T88" s="2" t="str">
        <f aca="false">INDEX($F$1:$S$1,MATCH(MAX(F88:S88),F88:S88,0))</f>
        <v>P(7)</v>
      </c>
      <c r="U88" s="8" t="n">
        <f aca="false">SUM(L88:S88)</f>
        <v>0.776561094830676</v>
      </c>
      <c r="V88" s="8" t="n">
        <f aca="false">SUM(P88:S88)</f>
        <v>0.026037278419309</v>
      </c>
      <c r="W88" s="2" t="n">
        <f aca="false">ROUND(SUM(F88:S88),6)</f>
        <v>1</v>
      </c>
    </row>
    <row r="89" customFormat="false" ht="15" hidden="false" customHeight="false" outlineLevel="0" collapsed="false">
      <c r="A89" s="2" t="n">
        <f aca="false">RANK(E89,$E$2:$E$139)</f>
        <v>9</v>
      </c>
      <c r="B89" s="2" t="s">
        <v>145</v>
      </c>
      <c r="C89" s="6" t="n">
        <f aca="false">Schedule!$B$89</f>
        <v>-5.3</v>
      </c>
      <c r="D89" s="2" t="n">
        <v>12</v>
      </c>
      <c r="E89" s="7" t="n">
        <f aca="false">Schedule!$BQ$89</f>
        <v>8.88658366045359</v>
      </c>
      <c r="F89" s="8" t="n">
        <f aca="false">Convolution!O1396</f>
        <v>1.81774204012774E-009</v>
      </c>
      <c r="G89" s="8" t="n">
        <f aca="false">Convolution!O1397</f>
        <v>1.6760222490103E-007</v>
      </c>
      <c r="H89" s="8" t="n">
        <f aca="false">Convolution!O1398</f>
        <v>5.94734206100797E-006</v>
      </c>
      <c r="I89" s="8" t="n">
        <f aca="false">Convolution!O1399</f>
        <v>0.000110481965158241</v>
      </c>
      <c r="J89" s="8" t="n">
        <f aca="false">Convolution!O1400</f>
        <v>0.00121007051616451</v>
      </c>
      <c r="K89" s="8" t="n">
        <f aca="false">Convolution!O1401</f>
        <v>0.00830915978356214</v>
      </c>
      <c r="L89" s="8" t="n">
        <f aca="false">Convolution!O1402</f>
        <v>0.0371642493331521</v>
      </c>
      <c r="M89" s="8" t="n">
        <f aca="false">Convolution!O1403</f>
        <v>0.110448092694307</v>
      </c>
      <c r="N89" s="8" t="n">
        <f aca="false">Convolution!O1404</f>
        <v>0.218456205185875</v>
      </c>
      <c r="O89" s="8" t="n">
        <f aca="false">Convolution!O1405</f>
        <v>0.281887181842655</v>
      </c>
      <c r="P89" s="8" t="n">
        <f aca="false">Convolution!O1406</f>
        <v>0.225248289771147</v>
      </c>
      <c r="Q89" s="8" t="n">
        <f aca="false">Convolution!O1407</f>
        <v>0.0993070751035387</v>
      </c>
      <c r="R89" s="8" t="n">
        <f aca="false">Convolution!O1408</f>
        <v>0.0178530770424122</v>
      </c>
      <c r="S89" s="8" t="n">
        <f aca="false">Convolution!O1409</f>
        <v>0</v>
      </c>
      <c r="T89" s="2" t="str">
        <f aca="false">INDEX($F$1:$S$1,MATCH(MAX(F89:S89),F89:S89,0))</f>
        <v>P(9)</v>
      </c>
      <c r="U89" s="8" t="n">
        <f aca="false">SUM(L89:S89)</f>
        <v>0.990364170973087</v>
      </c>
      <c r="V89" s="8" t="n">
        <f aca="false">SUM(P89:S89)</f>
        <v>0.342408441917098</v>
      </c>
      <c r="W89" s="2" t="n">
        <f aca="false">ROUND(SUM(F89:S89),6)</f>
        <v>1</v>
      </c>
    </row>
    <row r="90" customFormat="false" ht="15" hidden="false" customHeight="false" outlineLevel="0" collapsed="false">
      <c r="A90" s="2" t="n">
        <f aca="false">RANK(E90,$E$2:$E$139)</f>
        <v>101</v>
      </c>
      <c r="B90" s="2" t="s">
        <v>146</v>
      </c>
      <c r="C90" s="6" t="n">
        <f aca="false">Schedule!$B$90</f>
        <v>-5.6</v>
      </c>
      <c r="D90" s="2" t="n">
        <v>12</v>
      </c>
      <c r="E90" s="7" t="n">
        <f aca="false">Schedule!$BQ$90</f>
        <v>5.31979991596699</v>
      </c>
      <c r="F90" s="8" t="n">
        <f aca="false">Convolution!O1412</f>
        <v>0.000313819339282436</v>
      </c>
      <c r="G90" s="8" t="n">
        <f aca="false">Convolution!O1413</f>
        <v>0.00438574726648127</v>
      </c>
      <c r="H90" s="8" t="n">
        <f aca="false">Convolution!O1414</f>
        <v>0.026058793738623</v>
      </c>
      <c r="I90" s="8" t="n">
        <f aca="false">Convolution!O1415</f>
        <v>0.0869466453232061</v>
      </c>
      <c r="J90" s="8" t="n">
        <f aca="false">Convolution!O1416</f>
        <v>0.181420222718112</v>
      </c>
      <c r="K90" s="8" t="n">
        <f aca="false">Convolution!O1417</f>
        <v>0.249142488551918</v>
      </c>
      <c r="L90" s="8" t="n">
        <f aca="false">Convolution!O1418</f>
        <v>0.230269354195125</v>
      </c>
      <c r="M90" s="8" t="n">
        <f aca="false">Convolution!O1419</f>
        <v>0.143584732334445</v>
      </c>
      <c r="N90" s="8" t="n">
        <f aca="false">Convolution!O1420</f>
        <v>0.0594521628707934</v>
      </c>
      <c r="O90" s="8" t="n">
        <f aca="false">Convolution!O1421</f>
        <v>0.0157380708774236</v>
      </c>
      <c r="P90" s="8" t="n">
        <f aca="false">Convolution!O1422</f>
        <v>0.00247952542996467</v>
      </c>
      <c r="Q90" s="8" t="n">
        <f aca="false">Convolution!O1423</f>
        <v>0.000202383308577312</v>
      </c>
      <c r="R90" s="8" t="n">
        <f aca="false">Convolution!O1424</f>
        <v>6.05404604871887E-006</v>
      </c>
      <c r="S90" s="8" t="n">
        <f aca="false">Convolution!O1425</f>
        <v>0</v>
      </c>
      <c r="T90" s="2" t="str">
        <f aca="false">INDEX($F$1:$S$1,MATCH(MAX(F90:S90),F90:S90,0))</f>
        <v>P(5)</v>
      </c>
      <c r="U90" s="8" t="n">
        <f aca="false">SUM(L90:S90)</f>
        <v>0.451732283062378</v>
      </c>
      <c r="V90" s="8" t="n">
        <f aca="false">SUM(P90:S90)</f>
        <v>0.0026879627845907</v>
      </c>
      <c r="W90" s="2" t="n">
        <f aca="false">ROUND(SUM(F90:S90),6)</f>
        <v>1</v>
      </c>
    </row>
    <row r="91" customFormat="false" ht="15" hidden="false" customHeight="false" outlineLevel="0" collapsed="false">
      <c r="A91" s="2" t="n">
        <f aca="false">RANK(E91,$E$2:$E$139)</f>
        <v>46</v>
      </c>
      <c r="B91" s="2" t="s">
        <v>147</v>
      </c>
      <c r="C91" s="6" t="n">
        <f aca="false">Schedule!$B$91</f>
        <v>-6</v>
      </c>
      <c r="D91" s="2" t="n">
        <v>12</v>
      </c>
      <c r="E91" s="7" t="n">
        <f aca="false">Schedule!$BQ$91</f>
        <v>7.42826269651413</v>
      </c>
      <c r="F91" s="8" t="n">
        <f aca="false">Convolution!O1428</f>
        <v>9.79613130845569E-007</v>
      </c>
      <c r="G91" s="8" t="n">
        <f aca="false">Convolution!O1429</f>
        <v>3.31531922142898E-005</v>
      </c>
      <c r="H91" s="8" t="n">
        <f aca="false">Convolution!O1430</f>
        <v>0.000482163833838834</v>
      </c>
      <c r="I91" s="8" t="n">
        <f aca="false">Convolution!O1431</f>
        <v>0.00397188408614206</v>
      </c>
      <c r="J91" s="8" t="n">
        <f aca="false">Convolution!O1432</f>
        <v>0.0205750746448195</v>
      </c>
      <c r="K91" s="8" t="n">
        <f aca="false">Convolution!O1433</f>
        <v>0.0703363760412415</v>
      </c>
      <c r="L91" s="8" t="n">
        <f aca="false">Convolution!O1434</f>
        <v>0.161848377823802</v>
      </c>
      <c r="M91" s="8" t="n">
        <f aca="false">Convolution!O1435</f>
        <v>0.250625217765866</v>
      </c>
      <c r="N91" s="8" t="n">
        <f aca="false">Convolution!O1436</f>
        <v>0.256004768777693</v>
      </c>
      <c r="O91" s="8" t="n">
        <f aca="false">Convolution!O1437</f>
        <v>0.164627806015948</v>
      </c>
      <c r="P91" s="8" t="n">
        <f aca="false">Convolution!O1438</f>
        <v>0.0606564742978639</v>
      </c>
      <c r="Q91" s="8" t="n">
        <f aca="false">Convolution!O1439</f>
        <v>0.0104052409265478</v>
      </c>
      <c r="R91" s="8" t="n">
        <f aca="false">Convolution!O1440</f>
        <v>0.000432482980892791</v>
      </c>
      <c r="S91" s="8" t="n">
        <f aca="false">Convolution!O1441</f>
        <v>0</v>
      </c>
      <c r="T91" s="2" t="str">
        <f aca="false">INDEX($F$1:$S$1,MATCH(MAX(F91:S91),F91:S91,0))</f>
        <v>P(8)</v>
      </c>
      <c r="U91" s="8" t="n">
        <f aca="false">SUM(L91:S91)</f>
        <v>0.904600368588613</v>
      </c>
      <c r="V91" s="8" t="n">
        <f aca="false">SUM(P91:S91)</f>
        <v>0.0714941982053045</v>
      </c>
      <c r="W91" s="2" t="n">
        <f aca="false">ROUND(SUM(F91:S91),6)</f>
        <v>1</v>
      </c>
    </row>
    <row r="92" customFormat="false" ht="15" hidden="false" customHeight="false" outlineLevel="0" collapsed="false">
      <c r="A92" s="2" t="n">
        <f aca="false">RANK(E92,$E$2:$E$139)</f>
        <v>71</v>
      </c>
      <c r="B92" s="2" t="s">
        <v>148</v>
      </c>
      <c r="C92" s="6" t="n">
        <f aca="false">Schedule!$B$92</f>
        <v>-6.1</v>
      </c>
      <c r="D92" s="2" t="n">
        <v>12</v>
      </c>
      <c r="E92" s="7" t="n">
        <f aca="false">Schedule!$BQ$92</f>
        <v>6.45891165143637</v>
      </c>
      <c r="F92" s="8" t="n">
        <f aca="false">Convolution!O1444</f>
        <v>8.69155404902283E-007</v>
      </c>
      <c r="G92" s="8" t="n">
        <f aca="false">Convolution!O1445</f>
        <v>0.000123072327403</v>
      </c>
      <c r="H92" s="8" t="n">
        <f aca="false">Convolution!O1446</f>
        <v>0.00230786853538468</v>
      </c>
      <c r="I92" s="8" t="n">
        <f aca="false">Convolution!O1447</f>
        <v>0.0175541866481186</v>
      </c>
      <c r="J92" s="8" t="n">
        <f aca="false">Convolution!O1448</f>
        <v>0.0705686086952877</v>
      </c>
      <c r="K92" s="8" t="n">
        <f aca="false">Convolution!O1449</f>
        <v>0.168253270470675</v>
      </c>
      <c r="L92" s="8" t="n">
        <f aca="false">Convolution!O1450</f>
        <v>0.253099684909979</v>
      </c>
      <c r="M92" s="8" t="n">
        <f aca="false">Convolution!O1451</f>
        <v>0.247583138464149</v>
      </c>
      <c r="N92" s="8" t="n">
        <f aca="false">Convolution!O1452</f>
        <v>0.15820864246243</v>
      </c>
      <c r="O92" s="8" t="n">
        <f aca="false">Convolution!O1453</f>
        <v>0.0645177445270199</v>
      </c>
      <c r="P92" s="8" t="n">
        <f aca="false">Convolution!O1454</f>
        <v>0.015732685946802</v>
      </c>
      <c r="Q92" s="8" t="n">
        <f aca="false">Convolution!O1455</f>
        <v>0.00196901794838961</v>
      </c>
      <c r="R92" s="8" t="n">
        <f aca="false">Convolution!O1456</f>
        <v>8.12099089558611E-005</v>
      </c>
      <c r="S92" s="8" t="n">
        <f aca="false">Convolution!O1457</f>
        <v>0</v>
      </c>
      <c r="T92" s="2" t="str">
        <f aca="false">INDEX($F$1:$S$1,MATCH(MAX(F92:S92),F92:S92,0))</f>
        <v>P(6)</v>
      </c>
      <c r="U92" s="8" t="n">
        <f aca="false">SUM(L92:S92)</f>
        <v>0.741192124167726</v>
      </c>
      <c r="V92" s="8" t="n">
        <f aca="false">SUM(P92:S92)</f>
        <v>0.0177829138041475</v>
      </c>
      <c r="W92" s="2" t="n">
        <f aca="false">ROUND(SUM(F92:S92),6)</f>
        <v>1</v>
      </c>
    </row>
    <row r="93" customFormat="false" ht="15" hidden="false" customHeight="false" outlineLevel="0" collapsed="false">
      <c r="A93" s="2" t="n">
        <f aca="false">RANK(E93,$E$2:$E$139)</f>
        <v>69</v>
      </c>
      <c r="B93" s="2" t="s">
        <v>149</v>
      </c>
      <c r="C93" s="6" t="n">
        <f aca="false">Schedule!$B$93</f>
        <v>-6.1</v>
      </c>
      <c r="D93" s="2" t="n">
        <v>12</v>
      </c>
      <c r="E93" s="7" t="n">
        <f aca="false">Schedule!$BQ$93</f>
        <v>6.56105068833914</v>
      </c>
      <c r="F93" s="8" t="n">
        <f aca="false">Convolution!O1460</f>
        <v>8.20417886112549E-007</v>
      </c>
      <c r="G93" s="8" t="n">
        <f aca="false">Convolution!O1461</f>
        <v>7.95132960757226E-005</v>
      </c>
      <c r="H93" s="8" t="n">
        <f aca="false">Convolution!O1462</f>
        <v>0.00159737907615491</v>
      </c>
      <c r="I93" s="8" t="n">
        <f aca="false">Convolution!O1463</f>
        <v>0.0136563824330191</v>
      </c>
      <c r="J93" s="8" t="n">
        <f aca="false">Convolution!O1464</f>
        <v>0.0608073759145839</v>
      </c>
      <c r="K93" s="8" t="n">
        <f aca="false">Convolution!O1465</f>
        <v>0.157375132213892</v>
      </c>
      <c r="L93" s="8" t="n">
        <f aca="false">Convolution!O1466</f>
        <v>0.251539918252543</v>
      </c>
      <c r="M93" s="8" t="n">
        <f aca="false">Convolution!O1467</f>
        <v>0.25621751107142</v>
      </c>
      <c r="N93" s="8" t="n">
        <f aca="false">Convolution!O1468</f>
        <v>0.168007098561611</v>
      </c>
      <c r="O93" s="8" t="n">
        <f aca="false">Convolution!O1469</f>
        <v>0.0701380465258932</v>
      </c>
      <c r="P93" s="8" t="n">
        <f aca="false">Convolution!O1470</f>
        <v>0.0178992140573612</v>
      </c>
      <c r="Q93" s="8" t="n">
        <f aca="false">Convolution!O1471</f>
        <v>0.00253062810555736</v>
      </c>
      <c r="R93" s="8" t="n">
        <f aca="false">Convolution!O1472</f>
        <v>0.000150980074003207</v>
      </c>
      <c r="S93" s="8" t="n">
        <f aca="false">Convolution!O1473</f>
        <v>0</v>
      </c>
      <c r="T93" s="2" t="str">
        <f aca="false">INDEX($F$1:$S$1,MATCH(MAX(F93:S93),F93:S93,0))</f>
        <v>P(7)</v>
      </c>
      <c r="U93" s="8" t="n">
        <f aca="false">SUM(L93:S93)</f>
        <v>0.766483396648389</v>
      </c>
      <c r="V93" s="8" t="n">
        <f aca="false">SUM(P93:S93)</f>
        <v>0.0205808222369217</v>
      </c>
      <c r="W93" s="2" t="n">
        <f aca="false">ROUND(SUM(F93:S93),6)</f>
        <v>1</v>
      </c>
    </row>
    <row r="94" customFormat="false" ht="15" hidden="false" customHeight="false" outlineLevel="0" collapsed="false">
      <c r="A94" s="2" t="n">
        <f aca="false">RANK(E94,$E$2:$E$139)</f>
        <v>52</v>
      </c>
      <c r="B94" s="2" t="s">
        <v>150</v>
      </c>
      <c r="C94" s="6" t="n">
        <f aca="false">Schedule!$B$94</f>
        <v>-6.9</v>
      </c>
      <c r="D94" s="2" t="n">
        <v>12</v>
      </c>
      <c r="E94" s="7" t="n">
        <f aca="false">Schedule!$BQ$94</f>
        <v>7.2306231563346</v>
      </c>
      <c r="F94" s="8" t="n">
        <f aca="false">Convolution!O1476</f>
        <v>3.41552587125191E-007</v>
      </c>
      <c r="G94" s="8" t="n">
        <f aca="false">Convolution!O1477</f>
        <v>3.02714458669354E-005</v>
      </c>
      <c r="H94" s="8" t="n">
        <f aca="false">Convolution!O1478</f>
        <v>0.000613589735893761</v>
      </c>
      <c r="I94" s="8" t="n">
        <f aca="false">Convolution!O1479</f>
        <v>0.00562064567770731</v>
      </c>
      <c r="J94" s="8" t="n">
        <f aca="false">Convolution!O1480</f>
        <v>0.0286599358866831</v>
      </c>
      <c r="K94" s="8" t="n">
        <f aca="false">Convolution!O1481</f>
        <v>0.0902789268455231</v>
      </c>
      <c r="L94" s="8" t="n">
        <f aca="false">Convolution!O1482</f>
        <v>0.185516214596945</v>
      </c>
      <c r="M94" s="8" t="n">
        <f aca="false">Convolution!O1483</f>
        <v>0.254699211297909</v>
      </c>
      <c r="N94" s="8" t="n">
        <f aca="false">Convolution!O1484</f>
        <v>0.233584520651724</v>
      </c>
      <c r="O94" s="8" t="n">
        <f aca="false">Convolution!O1485</f>
        <v>0.139474811694901</v>
      </c>
      <c r="P94" s="8" t="n">
        <f aca="false">Convolution!O1486</f>
        <v>0.0509170485311041</v>
      </c>
      <c r="Q94" s="8" t="n">
        <f aca="false">Convolution!O1487</f>
        <v>0.00989611683437472</v>
      </c>
      <c r="R94" s="8" t="n">
        <f aca="false">Convolution!O1488</f>
        <v>0.000708365248781534</v>
      </c>
      <c r="S94" s="8" t="n">
        <f aca="false">Convolution!O1489</f>
        <v>0</v>
      </c>
      <c r="T94" s="2" t="str">
        <f aca="false">INDEX($F$1:$S$1,MATCH(MAX(F94:S94),F94:S94,0))</f>
        <v>P(7)</v>
      </c>
      <c r="U94" s="8" t="n">
        <f aca="false">SUM(L94:S94)</f>
        <v>0.874796288855739</v>
      </c>
      <c r="V94" s="8" t="n">
        <f aca="false">SUM(P94:S94)</f>
        <v>0.0615215306142604</v>
      </c>
      <c r="W94" s="2" t="n">
        <f aca="false">ROUND(SUM(F94:S94),6)</f>
        <v>1</v>
      </c>
    </row>
    <row r="95" customFormat="false" ht="15" hidden="false" customHeight="false" outlineLevel="0" collapsed="false">
      <c r="A95" s="2" t="n">
        <f aca="false">RANK(E95,$E$2:$E$139)</f>
        <v>54</v>
      </c>
      <c r="B95" s="2" t="s">
        <v>151</v>
      </c>
      <c r="C95" s="6" t="n">
        <f aca="false">Schedule!$B$95</f>
        <v>-7.3</v>
      </c>
      <c r="D95" s="2" t="n">
        <v>12</v>
      </c>
      <c r="E95" s="7" t="n">
        <f aca="false">Schedule!$BQ$95</f>
        <v>7.13940924065596</v>
      </c>
      <c r="F95" s="8" t="n">
        <f aca="false">Convolution!O1492</f>
        <v>9.30703308962363E-009</v>
      </c>
      <c r="G95" s="8" t="n">
        <f aca="false">Convolution!O1493</f>
        <v>1.37746202410763E-005</v>
      </c>
      <c r="H95" s="8" t="n">
        <f aca="false">Convolution!O1494</f>
        <v>0.000350608901045117</v>
      </c>
      <c r="I95" s="8" t="n">
        <f aca="false">Convolution!O1495</f>
        <v>0.00380334450737381</v>
      </c>
      <c r="J95" s="8" t="n">
        <f aca="false">Convolution!O1496</f>
        <v>0.0229017978800437</v>
      </c>
      <c r="K95" s="8" t="n">
        <f aca="false">Convolution!O1497</f>
        <v>0.0841257832213703</v>
      </c>
      <c r="L95" s="8" t="n">
        <f aca="false">Convolution!O1498</f>
        <v>0.195225167138392</v>
      </c>
      <c r="M95" s="8" t="n">
        <f aca="false">Convolution!O1499</f>
        <v>0.285923805151333</v>
      </c>
      <c r="N95" s="8" t="n">
        <f aca="false">Convolution!O1500</f>
        <v>0.254703401082009</v>
      </c>
      <c r="O95" s="8" t="n">
        <f aca="false">Convolution!O1501</f>
        <v>0.125544272212749</v>
      </c>
      <c r="P95" s="8" t="n">
        <f aca="false">Convolution!O1502</f>
        <v>0.0267873430444503</v>
      </c>
      <c r="Q95" s="8" t="n">
        <f aca="false">Convolution!O1503</f>
        <v>0.000616936028031587</v>
      </c>
      <c r="R95" s="8" t="n">
        <f aca="false">Convolution!O1504</f>
        <v>3.75690592724163E-006</v>
      </c>
      <c r="S95" s="8" t="n">
        <f aca="false">Convolution!O1505</f>
        <v>0</v>
      </c>
      <c r="T95" s="2" t="str">
        <f aca="false">INDEX($F$1:$S$1,MATCH(MAX(F95:S95),F95:S95,0))</f>
        <v>P(7)</v>
      </c>
      <c r="U95" s="8" t="n">
        <f aca="false">SUM(L95:S95)</f>
        <v>0.888804681562893</v>
      </c>
      <c r="V95" s="8" t="n">
        <f aca="false">SUM(P95:S95)</f>
        <v>0.0274080359784092</v>
      </c>
      <c r="W95" s="2" t="n">
        <f aca="false">ROUND(SUM(F95:S95),6)</f>
        <v>1</v>
      </c>
    </row>
    <row r="96" customFormat="false" ht="15" hidden="false" customHeight="false" outlineLevel="0" collapsed="false">
      <c r="A96" s="2" t="n">
        <f aca="false">RANK(E96,$E$2:$E$139)</f>
        <v>23</v>
      </c>
      <c r="B96" s="2" t="s">
        <v>152</v>
      </c>
      <c r="C96" s="6" t="n">
        <f aca="false">Schedule!$B$96</f>
        <v>-7.8</v>
      </c>
      <c r="D96" s="2" t="n">
        <v>12</v>
      </c>
      <c r="E96" s="7" t="n">
        <f aca="false">Schedule!$BQ$96</f>
        <v>8.01100644219977</v>
      </c>
      <c r="F96" s="8" t="n">
        <f aca="false">Convolution!O1508</f>
        <v>8.1620294170976E-008</v>
      </c>
      <c r="G96" s="8" t="n">
        <f aca="false">Convolution!O1509</f>
        <v>4.7034971433824E-006</v>
      </c>
      <c r="H96" s="8" t="n">
        <f aca="false">Convolution!O1510</f>
        <v>0.000105063474241393</v>
      </c>
      <c r="I96" s="8" t="n">
        <f aca="false">Convolution!O1511</f>
        <v>0.00122801170492689</v>
      </c>
      <c r="J96" s="8" t="n">
        <f aca="false">Convolution!O1512</f>
        <v>0.0084808282954539</v>
      </c>
      <c r="K96" s="8" t="n">
        <f aca="false">Convolution!O1513</f>
        <v>0.0370269745405628</v>
      </c>
      <c r="L96" s="8" t="n">
        <f aca="false">Convolution!O1514</f>
        <v>0.106276354025157</v>
      </c>
      <c r="M96" s="8" t="n">
        <f aca="false">Convolution!O1515</f>
        <v>0.204308640833098</v>
      </c>
      <c r="N96" s="8" t="n">
        <f aca="false">Convolution!O1516</f>
        <v>0.263171795560333</v>
      </c>
      <c r="O96" s="8" t="n">
        <f aca="false">Convolution!O1517</f>
        <v>0.222618315875455</v>
      </c>
      <c r="P96" s="8" t="n">
        <f aca="false">Convolution!O1518</f>
        <v>0.117623235112241</v>
      </c>
      <c r="Q96" s="8" t="n">
        <f aca="false">Convolution!O1519</f>
        <v>0.0348127232451873</v>
      </c>
      <c r="R96" s="8" t="n">
        <f aca="false">Convolution!O1520</f>
        <v>0.00434327221590583</v>
      </c>
      <c r="S96" s="8" t="n">
        <f aca="false">Convolution!O1521</f>
        <v>0</v>
      </c>
      <c r="T96" s="2" t="str">
        <f aca="false">INDEX($F$1:$S$1,MATCH(MAX(F96:S96),F96:S96,0))</f>
        <v>P(8)</v>
      </c>
      <c r="U96" s="8" t="n">
        <f aca="false">SUM(L96:S96)</f>
        <v>0.953154336867378</v>
      </c>
      <c r="V96" s="8" t="n">
        <f aca="false">SUM(P96:S96)</f>
        <v>0.156779230573334</v>
      </c>
      <c r="W96" s="2" t="n">
        <f aca="false">ROUND(SUM(F96:S96),6)</f>
        <v>1</v>
      </c>
    </row>
    <row r="97" customFormat="false" ht="15" hidden="false" customHeight="false" outlineLevel="0" collapsed="false">
      <c r="A97" s="2" t="n">
        <f aca="false">RANK(E97,$E$2:$E$139)</f>
        <v>114</v>
      </c>
      <c r="B97" s="2" t="s">
        <v>153</v>
      </c>
      <c r="C97" s="6" t="n">
        <f aca="false">Schedule!$B$97</f>
        <v>-7.9</v>
      </c>
      <c r="D97" s="2" t="n">
        <v>12</v>
      </c>
      <c r="E97" s="7" t="n">
        <f aca="false">Schedule!$BQ$97</f>
        <v>4.45786253364784</v>
      </c>
      <c r="F97" s="8" t="n">
        <f aca="false">Convolution!O1524</f>
        <v>0.00112163968947334</v>
      </c>
      <c r="G97" s="8" t="n">
        <f aca="false">Convolution!O1525</f>
        <v>0.0147868241976947</v>
      </c>
      <c r="H97" s="8" t="n">
        <f aca="false">Convolution!O1526</f>
        <v>0.0706368959064485</v>
      </c>
      <c r="I97" s="8" t="n">
        <f aca="false">Convolution!O1527</f>
        <v>0.175037632317693</v>
      </c>
      <c r="J97" s="8" t="n">
        <f aca="false">Convolution!O1528</f>
        <v>0.258748331641718</v>
      </c>
      <c r="K97" s="8" t="n">
        <f aca="false">Convolution!O1529</f>
        <v>0.244159860676727</v>
      </c>
      <c r="L97" s="8" t="n">
        <f aca="false">Convolution!O1530</f>
        <v>0.151945078515484</v>
      </c>
      <c r="M97" s="8" t="n">
        <f aca="false">Convolution!O1531</f>
        <v>0.0629854477933391</v>
      </c>
      <c r="N97" s="8" t="n">
        <f aca="false">Convolution!O1532</f>
        <v>0.0172295234095736</v>
      </c>
      <c r="O97" s="8" t="n">
        <f aca="false">Convolution!O1533</f>
        <v>0.00301437904597754</v>
      </c>
      <c r="P97" s="8" t="n">
        <f aca="false">Convolution!O1534</f>
        <v>0.000316446991823503</v>
      </c>
      <c r="Q97" s="8" t="n">
        <f aca="false">Convolution!O1535</f>
        <v>1.7561289810421E-005</v>
      </c>
      <c r="R97" s="8" t="n">
        <f aca="false">Convolution!O1536</f>
        <v>3.78524236999462E-007</v>
      </c>
      <c r="S97" s="8" t="n">
        <f aca="false">Convolution!O1537</f>
        <v>0</v>
      </c>
      <c r="T97" s="2" t="str">
        <f aca="false">INDEX($F$1:$S$1,MATCH(MAX(F97:S97),F97:S97,0))</f>
        <v>P(4)</v>
      </c>
      <c r="U97" s="8" t="n">
        <f aca="false">SUM(L97:S97)</f>
        <v>0.235508815570245</v>
      </c>
      <c r="V97" s="8" t="n">
        <f aca="false">SUM(P97:S97)</f>
        <v>0.000334386805870923</v>
      </c>
      <c r="W97" s="2" t="n">
        <f aca="false">ROUND(SUM(F97:S97),6)</f>
        <v>1</v>
      </c>
    </row>
    <row r="98" customFormat="false" ht="15" hidden="false" customHeight="false" outlineLevel="0" collapsed="false">
      <c r="A98" s="2" t="n">
        <f aca="false">RANK(E98,$E$2:$E$139)</f>
        <v>50</v>
      </c>
      <c r="B98" s="2" t="s">
        <v>154</v>
      </c>
      <c r="C98" s="6" t="n">
        <f aca="false">Schedule!$B$98</f>
        <v>-8</v>
      </c>
      <c r="D98" s="2" t="n">
        <v>12</v>
      </c>
      <c r="E98" s="7" t="n">
        <f aca="false">Schedule!$BQ$98</f>
        <v>7.25808439995502</v>
      </c>
      <c r="F98" s="8" t="n">
        <f aca="false">Convolution!O1540</f>
        <v>7.66801735877729E-008</v>
      </c>
      <c r="G98" s="8" t="n">
        <f aca="false">Convolution!O1541</f>
        <v>9.39302750452383E-006</v>
      </c>
      <c r="H98" s="8" t="n">
        <f aca="false">Convolution!O1542</f>
        <v>0.000269241323240206</v>
      </c>
      <c r="I98" s="8" t="n">
        <f aca="false">Convolution!O1543</f>
        <v>0.00335039826347756</v>
      </c>
      <c r="J98" s="8" t="n">
        <f aca="false">Convolution!O1544</f>
        <v>0.0217601574413385</v>
      </c>
      <c r="K98" s="8" t="n">
        <f aca="false">Convolution!O1545</f>
        <v>0.081310281445162</v>
      </c>
      <c r="L98" s="8" t="n">
        <f aca="false">Convolution!O1546</f>
        <v>0.186152717461673</v>
      </c>
      <c r="M98" s="8" t="n">
        <f aca="false">Convolution!O1547</f>
        <v>0.269430774927299</v>
      </c>
      <c r="N98" s="8" t="n">
        <f aca="false">Convolution!O1548</f>
        <v>0.247072125810863</v>
      </c>
      <c r="O98" s="8" t="n">
        <f aca="false">Convolution!O1549</f>
        <v>0.139236356030298</v>
      </c>
      <c r="P98" s="8" t="n">
        <f aca="false">Convolution!O1550</f>
        <v>0.0444907764770938</v>
      </c>
      <c r="Q98" s="8" t="n">
        <f aca="false">Convolution!O1551</f>
        <v>0.00666282563473964</v>
      </c>
      <c r="R98" s="8" t="n">
        <f aca="false">Convolution!O1552</f>
        <v>0.000254875477136581</v>
      </c>
      <c r="S98" s="8" t="n">
        <f aca="false">Convolution!O1553</f>
        <v>0</v>
      </c>
      <c r="T98" s="2" t="str">
        <f aca="false">INDEX($F$1:$S$1,MATCH(MAX(F98:S98),F98:S98,0))</f>
        <v>P(7)</v>
      </c>
      <c r="U98" s="8" t="n">
        <f aca="false">SUM(L98:S98)</f>
        <v>0.893300451819103</v>
      </c>
      <c r="V98" s="8" t="n">
        <f aca="false">SUM(P98:S98)</f>
        <v>0.05140847758897</v>
      </c>
      <c r="W98" s="2" t="n">
        <f aca="false">ROUND(SUM(F98:S98),6)</f>
        <v>1</v>
      </c>
    </row>
    <row r="99" customFormat="false" ht="15" hidden="false" customHeight="false" outlineLevel="0" collapsed="false">
      <c r="A99" s="2" t="n">
        <f aca="false">RANK(E99,$E$2:$E$139)</f>
        <v>35</v>
      </c>
      <c r="B99" s="2" t="s">
        <v>155</v>
      </c>
      <c r="C99" s="6" t="n">
        <f aca="false">Schedule!$B$99</f>
        <v>-8.2</v>
      </c>
      <c r="D99" s="2" t="n">
        <v>12</v>
      </c>
      <c r="E99" s="7" t="n">
        <f aca="false">Schedule!$BQ$99</f>
        <v>7.68547562691023</v>
      </c>
      <c r="F99" s="8" t="n">
        <f aca="false">Convolution!O1556</f>
        <v>5.6371410419255E-008</v>
      </c>
      <c r="G99" s="8" t="n">
        <f aca="false">Convolution!O1557</f>
        <v>3.71146807341459E-006</v>
      </c>
      <c r="H99" s="8" t="n">
        <f aca="false">Convolution!O1558</f>
        <v>9.5182313425106E-005</v>
      </c>
      <c r="I99" s="8" t="n">
        <f aca="false">Convolution!O1559</f>
        <v>0.00126342923086874</v>
      </c>
      <c r="J99" s="8" t="n">
        <f aca="false">Convolution!O1560</f>
        <v>0.00968038049738233</v>
      </c>
      <c r="K99" s="8" t="n">
        <f aca="false">Convolution!O1561</f>
        <v>0.0452164621595518</v>
      </c>
      <c r="L99" s="8" t="n">
        <f aca="false">Convolution!O1562</f>
        <v>0.132632012941446</v>
      </c>
      <c r="M99" s="8" t="n">
        <f aca="false">Convolution!O1563</f>
        <v>0.246178486023013</v>
      </c>
      <c r="N99" s="8" t="n">
        <f aca="false">Convolution!O1564</f>
        <v>0.284485274669835</v>
      </c>
      <c r="O99" s="8" t="n">
        <f aca="false">Convolution!O1565</f>
        <v>0.195440857999429</v>
      </c>
      <c r="P99" s="8" t="n">
        <f aca="false">Convolution!O1566</f>
        <v>0.0726772023673966</v>
      </c>
      <c r="Q99" s="8" t="n">
        <f aca="false">Convolution!O1567</f>
        <v>0.0118993199998905</v>
      </c>
      <c r="R99" s="8" t="n">
        <f aca="false">Convolution!O1568</f>
        <v>0.000427623958279581</v>
      </c>
      <c r="S99" s="8" t="n">
        <f aca="false">Convolution!O1569</f>
        <v>0</v>
      </c>
      <c r="T99" s="2" t="str">
        <f aca="false">INDEX($F$1:$S$1,MATCH(MAX(F99:S99),F99:S99,0))</f>
        <v>P(8)</v>
      </c>
      <c r="U99" s="8" t="n">
        <f aca="false">SUM(L99:S99)</f>
        <v>0.943740777959288</v>
      </c>
      <c r="V99" s="8" t="n">
        <f aca="false">SUM(P99:S99)</f>
        <v>0.0850041463255667</v>
      </c>
      <c r="W99" s="2" t="n">
        <f aca="false">ROUND(SUM(F99:S99),6)</f>
        <v>1</v>
      </c>
    </row>
    <row r="100" customFormat="false" ht="15" hidden="false" customHeight="false" outlineLevel="0" collapsed="false">
      <c r="A100" s="2" t="n">
        <f aca="false">RANK(E100,$E$2:$E$139)</f>
        <v>73</v>
      </c>
      <c r="B100" s="2" t="s">
        <v>156</v>
      </c>
      <c r="C100" s="6" t="n">
        <f aca="false">Schedule!$B$100</f>
        <v>-9.1</v>
      </c>
      <c r="D100" s="2" t="n">
        <v>12</v>
      </c>
      <c r="E100" s="7" t="n">
        <f aca="false">Schedule!$BQ$100</f>
        <v>6.43107176508425</v>
      </c>
      <c r="F100" s="8" t="n">
        <f aca="false">Convolution!O1572</f>
        <v>2.70305740828912E-006</v>
      </c>
      <c r="G100" s="8" t="n">
        <f aca="false">Convolution!O1573</f>
        <v>0.000173326556026175</v>
      </c>
      <c r="H100" s="8" t="n">
        <f aca="false">Convolution!O1574</f>
        <v>0.00265082864814431</v>
      </c>
      <c r="I100" s="8" t="n">
        <f aca="false">Convolution!O1575</f>
        <v>0.018461506590712</v>
      </c>
      <c r="J100" s="8" t="n">
        <f aca="false">Convolution!O1576</f>
        <v>0.0713664074947938</v>
      </c>
      <c r="K100" s="8" t="n">
        <f aca="false">Convolution!O1577</f>
        <v>0.168510418127164</v>
      </c>
      <c r="L100" s="8" t="n">
        <f aca="false">Convolution!O1578</f>
        <v>0.254728824640958</v>
      </c>
      <c r="M100" s="8" t="n">
        <f aca="false">Convolution!O1579</f>
        <v>0.250359968377307</v>
      </c>
      <c r="N100" s="8" t="n">
        <f aca="false">Convolution!O1580</f>
        <v>0.158080738188498</v>
      </c>
      <c r="O100" s="8" t="n">
        <f aca="false">Convolution!O1581</f>
        <v>0.0612680002799456</v>
      </c>
      <c r="P100" s="8" t="n">
        <f aca="false">Convolution!O1582</f>
        <v>0.0131483142700244</v>
      </c>
      <c r="Q100" s="8" t="n">
        <f aca="false">Convolution!O1583</f>
        <v>0.00122680159805381</v>
      </c>
      <c r="R100" s="8" t="n">
        <f aca="false">Convolution!O1584</f>
        <v>2.21621709642872E-005</v>
      </c>
      <c r="S100" s="8" t="n">
        <f aca="false">Convolution!O1585</f>
        <v>0</v>
      </c>
      <c r="T100" s="2" t="str">
        <f aca="false">INDEX($F$1:$S$1,MATCH(MAX(F100:S100),F100:S100,0))</f>
        <v>P(6)</v>
      </c>
      <c r="U100" s="8" t="n">
        <f aca="false">SUM(L100:S100)</f>
        <v>0.738834809525751</v>
      </c>
      <c r="V100" s="8" t="n">
        <f aca="false">SUM(P100:S100)</f>
        <v>0.0143972780390425</v>
      </c>
      <c r="W100" s="2" t="n">
        <f aca="false">ROUND(SUM(F100:S100),6)</f>
        <v>1</v>
      </c>
    </row>
    <row r="101" customFormat="false" ht="15" hidden="false" customHeight="false" outlineLevel="0" collapsed="false">
      <c r="A101" s="2" t="n">
        <f aca="false">RANK(E101,$E$2:$E$139)</f>
        <v>93</v>
      </c>
      <c r="B101" s="2" t="s">
        <v>157</v>
      </c>
      <c r="C101" s="6" t="n">
        <f aca="false">Schedule!$B$101</f>
        <v>-9.1</v>
      </c>
      <c r="D101" s="2" t="n">
        <v>12</v>
      </c>
      <c r="E101" s="7" t="n">
        <f aca="false">Schedule!$BQ$101</f>
        <v>5.68408754548397</v>
      </c>
      <c r="F101" s="8" t="n">
        <f aca="false">Convolution!O1588</f>
        <v>6.20809480143987E-005</v>
      </c>
      <c r="G101" s="8" t="n">
        <f aca="false">Convolution!O1589</f>
        <v>0.00131854848696974</v>
      </c>
      <c r="H101" s="8" t="n">
        <f aca="false">Convolution!O1590</f>
        <v>0.0114068498473726</v>
      </c>
      <c r="I101" s="8" t="n">
        <f aca="false">Convolution!O1591</f>
        <v>0.0526808883008157</v>
      </c>
      <c r="J101" s="8" t="n">
        <f aca="false">Convolution!O1592</f>
        <v>0.143711878848183</v>
      </c>
      <c r="K101" s="8" t="n">
        <f aca="false">Convolution!O1593</f>
        <v>0.242896165397208</v>
      </c>
      <c r="L101" s="8" t="n">
        <f aca="false">Convolution!O1594</f>
        <v>0.26082287152126</v>
      </c>
      <c r="M101" s="8" t="n">
        <f aca="false">Convolution!O1595</f>
        <v>0.18028346419738</v>
      </c>
      <c r="N101" s="8" t="n">
        <f aca="false">Convolution!O1596</f>
        <v>0.0801850669591431</v>
      </c>
      <c r="O101" s="8" t="n">
        <f aca="false">Convolution!O1597</f>
        <v>0.0225010035298723</v>
      </c>
      <c r="P101" s="8" t="n">
        <f aca="false">Convolution!O1598</f>
        <v>0.0037814676517217</v>
      </c>
      <c r="Q101" s="8" t="n">
        <f aca="false">Convolution!O1599</f>
        <v>0.000338004192112496</v>
      </c>
      <c r="R101" s="8" t="n">
        <f aca="false">Convolution!O1600</f>
        <v>1.17101199473702E-005</v>
      </c>
      <c r="S101" s="8" t="n">
        <f aca="false">Convolution!O1601</f>
        <v>0</v>
      </c>
      <c r="T101" s="2" t="str">
        <f aca="false">INDEX($F$1:$S$1,MATCH(MAX(F101:S101),F101:S101,0))</f>
        <v>P(6)</v>
      </c>
      <c r="U101" s="8" t="n">
        <f aca="false">SUM(L101:S101)</f>
        <v>0.547923588171437</v>
      </c>
      <c r="V101" s="8" t="n">
        <f aca="false">SUM(P101:S101)</f>
        <v>0.00413118196378157</v>
      </c>
      <c r="W101" s="2" t="n">
        <f aca="false">ROUND(SUM(F101:S101),6)</f>
        <v>1</v>
      </c>
    </row>
    <row r="102" customFormat="false" ht="15" hidden="false" customHeight="false" outlineLevel="0" collapsed="false">
      <c r="A102" s="2" t="n">
        <f aca="false">RANK(E102,$E$2:$E$139)</f>
        <v>41</v>
      </c>
      <c r="B102" s="2" t="s">
        <v>158</v>
      </c>
      <c r="C102" s="6" t="n">
        <f aca="false">Schedule!$B$102</f>
        <v>-9.1</v>
      </c>
      <c r="D102" s="2" t="n">
        <v>12</v>
      </c>
      <c r="E102" s="7" t="n">
        <f aca="false">Schedule!$BQ$102</f>
        <v>7.54591111237292</v>
      </c>
      <c r="F102" s="8" t="n">
        <f aca="false">Convolution!O1604</f>
        <v>2.31096378177528E-008</v>
      </c>
      <c r="G102" s="8" t="n">
        <f aca="false">Convolution!O1605</f>
        <v>6.55153163645943E-006</v>
      </c>
      <c r="H102" s="8" t="n">
        <f aca="false">Convolution!O1606</f>
        <v>0.000216382262835669</v>
      </c>
      <c r="I102" s="8" t="n">
        <f aca="false">Convolution!O1607</f>
        <v>0.0026286465696048</v>
      </c>
      <c r="J102" s="8" t="n">
        <f aca="false">Convolution!O1608</f>
        <v>0.0166611429975942</v>
      </c>
      <c r="K102" s="8" t="n">
        <f aca="false">Convolution!O1609</f>
        <v>0.0632741020044004</v>
      </c>
      <c r="L102" s="8" t="n">
        <f aca="false">Convolution!O1610</f>
        <v>0.15357179885983</v>
      </c>
      <c r="M102" s="8" t="n">
        <f aca="false">Convolution!O1611</f>
        <v>0.244846567348934</v>
      </c>
      <c r="N102" s="8" t="n">
        <f aca="false">Convolution!O1612</f>
        <v>0.256930991715228</v>
      </c>
      <c r="O102" s="8" t="n">
        <f aca="false">Convolution!O1613</f>
        <v>0.173458857057625</v>
      </c>
      <c r="P102" s="8" t="n">
        <f aca="false">Convolution!O1614</f>
        <v>0.0712187849536696</v>
      </c>
      <c r="Q102" s="8" t="n">
        <f aca="false">Convolution!O1615</f>
        <v>0.0157853058522992</v>
      </c>
      <c r="R102" s="8" t="n">
        <f aca="false">Convolution!O1616</f>
        <v>0.00140084573670623</v>
      </c>
      <c r="S102" s="8" t="n">
        <f aca="false">Convolution!O1617</f>
        <v>0</v>
      </c>
      <c r="T102" s="2" t="str">
        <f aca="false">INDEX($F$1:$S$1,MATCH(MAX(F102:S102),F102:S102,0))</f>
        <v>P(8)</v>
      </c>
      <c r="U102" s="8" t="n">
        <f aca="false">SUM(L102:S102)</f>
        <v>0.917213151524291</v>
      </c>
      <c r="V102" s="8" t="n">
        <f aca="false">SUM(P102:S102)</f>
        <v>0.0884049365426751</v>
      </c>
      <c r="W102" s="2" t="n">
        <f aca="false">ROUND(SUM(F102:S102),6)</f>
        <v>1</v>
      </c>
    </row>
    <row r="103" customFormat="false" ht="15" hidden="false" customHeight="false" outlineLevel="0" collapsed="false">
      <c r="A103" s="2" t="n">
        <f aca="false">RANK(E103,$E$2:$E$139)</f>
        <v>39</v>
      </c>
      <c r="B103" s="2" t="s">
        <v>159</v>
      </c>
      <c r="C103" s="6" t="n">
        <f aca="false">Schedule!$B$103</f>
        <v>-10.6</v>
      </c>
      <c r="D103" s="2" t="n">
        <v>12</v>
      </c>
      <c r="E103" s="7" t="n">
        <f aca="false">Schedule!$BQ$103</f>
        <v>7.64444093276646</v>
      </c>
      <c r="F103" s="8" t="n">
        <f aca="false">Convolution!O1620</f>
        <v>2.05817490381688E-007</v>
      </c>
      <c r="G103" s="8" t="n">
        <f aca="false">Convolution!O1621</f>
        <v>1.27204977852463E-005</v>
      </c>
      <c r="H103" s="8" t="n">
        <f aca="false">Convolution!O1622</f>
        <v>0.000247567340090703</v>
      </c>
      <c r="I103" s="8" t="n">
        <f aca="false">Convolution!O1623</f>
        <v>0.00244307790330631</v>
      </c>
      <c r="J103" s="8" t="n">
        <f aca="false">Convolution!O1624</f>
        <v>0.0144112911117943</v>
      </c>
      <c r="K103" s="8" t="n">
        <f aca="false">Convolution!O1625</f>
        <v>0.0547782813208849</v>
      </c>
      <c r="L103" s="8" t="n">
        <f aca="false">Convolution!O1626</f>
        <v>0.138851662745283</v>
      </c>
      <c r="M103" s="8" t="n">
        <f aca="false">Convolution!O1627</f>
        <v>0.236676947703209</v>
      </c>
      <c r="N103" s="8" t="n">
        <f aca="false">Convolution!O1628</f>
        <v>0.267299844498241</v>
      </c>
      <c r="O103" s="8" t="n">
        <f aca="false">Convolution!O1629</f>
        <v>0.191379404318086</v>
      </c>
      <c r="P103" s="8" t="n">
        <f aca="false">Convolution!O1630</f>
        <v>0.0788364149355405</v>
      </c>
      <c r="Q103" s="8" t="n">
        <f aca="false">Convolution!O1631</f>
        <v>0.0147098634707611</v>
      </c>
      <c r="R103" s="8" t="n">
        <f aca="false">Convolution!O1632</f>
        <v>0.000352718337527028</v>
      </c>
      <c r="S103" s="8" t="n">
        <f aca="false">Convolution!O1633</f>
        <v>0</v>
      </c>
      <c r="T103" s="2" t="str">
        <f aca="false">INDEX($F$1:$S$1,MATCH(MAX(F103:S103),F103:S103,0))</f>
        <v>P(8)</v>
      </c>
      <c r="U103" s="8" t="n">
        <f aca="false">SUM(L103:S103)</f>
        <v>0.928106856008648</v>
      </c>
      <c r="V103" s="8" t="n">
        <f aca="false">SUM(P103:S103)</f>
        <v>0.0938989967438286</v>
      </c>
      <c r="W103" s="2" t="n">
        <f aca="false">ROUND(SUM(F103:S103),6)</f>
        <v>1</v>
      </c>
    </row>
    <row r="104" customFormat="false" ht="15" hidden="false" customHeight="false" outlineLevel="0" collapsed="false">
      <c r="A104" s="2" t="n">
        <f aca="false">RANK(E104,$E$2:$E$139)</f>
        <v>96</v>
      </c>
      <c r="B104" s="2" t="s">
        <v>160</v>
      </c>
      <c r="C104" s="6" t="n">
        <f aca="false">Schedule!$B$104</f>
        <v>-10.8</v>
      </c>
      <c r="D104" s="2" t="n">
        <v>12</v>
      </c>
      <c r="E104" s="7" t="n">
        <f aca="false">Schedule!$BQ$104</f>
        <v>5.56277636573744</v>
      </c>
      <c r="F104" s="8" t="n">
        <f aca="false">Convolution!O1636</f>
        <v>5.32910659612988E-005</v>
      </c>
      <c r="G104" s="8" t="n">
        <f aca="false">Convolution!O1637</f>
        <v>0.00159722709203784</v>
      </c>
      <c r="H104" s="8" t="n">
        <f aca="false">Convolution!O1638</f>
        <v>0.0148546169801715</v>
      </c>
      <c r="I104" s="8" t="n">
        <f aca="false">Convolution!O1639</f>
        <v>0.0646398672176122</v>
      </c>
      <c r="J104" s="8" t="n">
        <f aca="false">Convolution!O1640</f>
        <v>0.159766061098681</v>
      </c>
      <c r="K104" s="8" t="n">
        <f aca="false">Convolution!O1641</f>
        <v>0.246467867243101</v>
      </c>
      <c r="L104" s="8" t="n">
        <f aca="false">Convolution!O1642</f>
        <v>0.248447693314505</v>
      </c>
      <c r="M104" s="8" t="n">
        <f aca="false">Convolution!O1643</f>
        <v>0.166349871104783</v>
      </c>
      <c r="N104" s="8" t="n">
        <f aca="false">Convolution!O1644</f>
        <v>0.0734353424805131</v>
      </c>
      <c r="O104" s="8" t="n">
        <f aca="false">Convolution!O1645</f>
        <v>0.0206571535029613</v>
      </c>
      <c r="P104" s="8" t="n">
        <f aca="false">Convolution!O1646</f>
        <v>0.00343487261738468</v>
      </c>
      <c r="Q104" s="8" t="n">
        <f aca="false">Convolution!O1647</f>
        <v>0.000288018130581555</v>
      </c>
      <c r="R104" s="8" t="n">
        <f aca="false">Convolution!O1648</f>
        <v>8.11815170710131E-006</v>
      </c>
      <c r="S104" s="8" t="n">
        <f aca="false">Convolution!O1649</f>
        <v>0</v>
      </c>
      <c r="T104" s="2" t="str">
        <f aca="false">INDEX($F$1:$S$1,MATCH(MAX(F104:S104),F104:S104,0))</f>
        <v>P(6)</v>
      </c>
      <c r="U104" s="8" t="n">
        <f aca="false">SUM(L104:S104)</f>
        <v>0.512621069302436</v>
      </c>
      <c r="V104" s="8" t="n">
        <f aca="false">SUM(P104:S104)</f>
        <v>0.00373100889967333</v>
      </c>
      <c r="W104" s="2" t="n">
        <f aca="false">ROUND(SUM(F104:S104),6)</f>
        <v>1</v>
      </c>
    </row>
    <row r="105" customFormat="false" ht="15" hidden="false" customHeight="false" outlineLevel="0" collapsed="false">
      <c r="A105" s="2" t="n">
        <f aca="false">RANK(E105,$E$2:$E$139)</f>
        <v>92</v>
      </c>
      <c r="B105" s="2" t="s">
        <v>161</v>
      </c>
      <c r="C105" s="6" t="n">
        <f aca="false">Schedule!$B$105</f>
        <v>-10.8</v>
      </c>
      <c r="D105" s="2" t="n">
        <v>12</v>
      </c>
      <c r="E105" s="7" t="n">
        <f aca="false">Schedule!$BQ$105</f>
        <v>5.74846994025482</v>
      </c>
      <c r="F105" s="8" t="n">
        <f aca="false">Convolution!O1652</f>
        <v>0.000148982173710372</v>
      </c>
      <c r="G105" s="8" t="n">
        <f aca="false">Convolution!O1653</f>
        <v>0.00233756491829292</v>
      </c>
      <c r="H105" s="8" t="n">
        <f aca="false">Convolution!O1654</f>
        <v>0.0155678110376143</v>
      </c>
      <c r="I105" s="8" t="n">
        <f aca="false">Convolution!O1655</f>
        <v>0.0586501075274181</v>
      </c>
      <c r="J105" s="8" t="n">
        <f aca="false">Convolution!O1656</f>
        <v>0.139815138424954</v>
      </c>
      <c r="K105" s="8" t="n">
        <f aca="false">Convolution!O1657</f>
        <v>0.222657090823696</v>
      </c>
      <c r="L105" s="8" t="n">
        <f aca="false">Convolution!O1658</f>
        <v>0.243036463219558</v>
      </c>
      <c r="M105" s="8" t="n">
        <f aca="false">Convolution!O1659</f>
        <v>0.183117460602565</v>
      </c>
      <c r="N105" s="8" t="n">
        <f aca="false">Convolution!O1660</f>
        <v>0.0943915182599094</v>
      </c>
      <c r="O105" s="8" t="n">
        <f aca="false">Convolution!O1661</f>
        <v>0.0323880218409792</v>
      </c>
      <c r="P105" s="8" t="n">
        <f aca="false">Convolution!O1662</f>
        <v>0.00699666439681191</v>
      </c>
      <c r="Q105" s="8" t="n">
        <f aca="false">Convolution!O1663</f>
        <v>0.000849688584650612</v>
      </c>
      <c r="R105" s="8" t="n">
        <f aca="false">Convolution!O1664</f>
        <v>4.34881898399916E-005</v>
      </c>
      <c r="S105" s="8" t="n">
        <f aca="false">Convolution!O1665</f>
        <v>0</v>
      </c>
      <c r="T105" s="2" t="str">
        <f aca="false">INDEX($F$1:$S$1,MATCH(MAX(F105:S105),F105:S105,0))</f>
        <v>P(6)</v>
      </c>
      <c r="U105" s="8" t="n">
        <f aca="false">SUM(L105:S105)</f>
        <v>0.560823305094314</v>
      </c>
      <c r="V105" s="8" t="n">
        <f aca="false">SUM(P105:S105)</f>
        <v>0.00788984117130252</v>
      </c>
      <c r="W105" s="2" t="n">
        <f aca="false">ROUND(SUM(F105:S105),6)</f>
        <v>1</v>
      </c>
    </row>
    <row r="106" customFormat="false" ht="15" hidden="false" customHeight="false" outlineLevel="0" collapsed="false">
      <c r="A106" s="2" t="n">
        <f aca="false">RANK(E106,$E$2:$E$139)</f>
        <v>108</v>
      </c>
      <c r="B106" s="2" t="s">
        <v>162</v>
      </c>
      <c r="C106" s="6" t="n">
        <f aca="false">Schedule!$B$106</f>
        <v>-11.6</v>
      </c>
      <c r="D106" s="2" t="n">
        <v>12</v>
      </c>
      <c r="E106" s="7" t="n">
        <f aca="false">Schedule!$BQ$106</f>
        <v>4.94555895938669</v>
      </c>
      <c r="F106" s="8" t="n">
        <f aca="false">Convolution!O1668</f>
        <v>0.000125700275085382</v>
      </c>
      <c r="G106" s="8" t="n">
        <f aca="false">Convolution!O1669</f>
        <v>0.00342525615554687</v>
      </c>
      <c r="H106" s="8" t="n">
        <f aca="false">Convolution!O1670</f>
        <v>0.0291000988306509</v>
      </c>
      <c r="I106" s="8" t="n">
        <f aca="false">Convolution!O1671</f>
        <v>0.113098514749838</v>
      </c>
      <c r="J106" s="8" t="n">
        <f aca="false">Convolution!O1672</f>
        <v>0.234707589447747</v>
      </c>
      <c r="K106" s="8" t="n">
        <f aca="false">Convolution!O1673</f>
        <v>0.281979308501087</v>
      </c>
      <c r="L106" s="8" t="n">
        <f aca="false">Convolution!O1674</f>
        <v>0.207322200244</v>
      </c>
      <c r="M106" s="8" t="n">
        <f aca="false">Convolution!O1675</f>
        <v>0.0962242295711878</v>
      </c>
      <c r="N106" s="8" t="n">
        <f aca="false">Convolution!O1676</f>
        <v>0.0283237211122679</v>
      </c>
      <c r="O106" s="8" t="n">
        <f aca="false">Convolution!O1677</f>
        <v>0.005140071513189</v>
      </c>
      <c r="P106" s="8" t="n">
        <f aca="false">Convolution!O1678</f>
        <v>0.000528701092958149</v>
      </c>
      <c r="Q106" s="8" t="n">
        <f aca="false">Convolution!O1679</f>
        <v>2.4472962142578E-005</v>
      </c>
      <c r="R106" s="8" t="n">
        <f aca="false">Convolution!O1680</f>
        <v>1.35544299448278E-007</v>
      </c>
      <c r="S106" s="8" t="n">
        <f aca="false">Convolution!O1681</f>
        <v>0</v>
      </c>
      <c r="T106" s="2" t="str">
        <f aca="false">INDEX($F$1:$S$1,MATCH(MAX(F106:S106),F106:S106,0))</f>
        <v>P(5)</v>
      </c>
      <c r="U106" s="8" t="n">
        <f aca="false">SUM(L106:S106)</f>
        <v>0.337563532040044</v>
      </c>
      <c r="V106" s="8" t="n">
        <f aca="false">SUM(P106:S106)</f>
        <v>0.000553309599400175</v>
      </c>
      <c r="W106" s="2" t="n">
        <f aca="false">ROUND(SUM(F106:S106),6)</f>
        <v>1</v>
      </c>
    </row>
    <row r="107" customFormat="false" ht="15" hidden="false" customHeight="false" outlineLevel="0" collapsed="false">
      <c r="A107" s="2" t="n">
        <f aca="false">RANK(E107,$E$2:$E$139)</f>
        <v>64</v>
      </c>
      <c r="B107" s="2" t="s">
        <v>163</v>
      </c>
      <c r="C107" s="6" t="n">
        <f aca="false">Schedule!$B$107</f>
        <v>-11.6</v>
      </c>
      <c r="D107" s="2" t="n">
        <v>12</v>
      </c>
      <c r="E107" s="7" t="n">
        <f aca="false">Schedule!$BQ$107</f>
        <v>6.69791668134009</v>
      </c>
      <c r="F107" s="8" t="n">
        <f aca="false">Convolution!O1684</f>
        <v>4.95673597683788E-007</v>
      </c>
      <c r="G107" s="8" t="n">
        <f aca="false">Convolution!O1685</f>
        <v>5.2112033902308E-005</v>
      </c>
      <c r="H107" s="8" t="n">
        <f aca="false">Convolution!O1686</f>
        <v>0.00113497635177923</v>
      </c>
      <c r="I107" s="8" t="n">
        <f aca="false">Convolution!O1687</f>
        <v>0.0105087837272897</v>
      </c>
      <c r="J107" s="8" t="n">
        <f aca="false">Convolution!O1688</f>
        <v>0.0502575094727465</v>
      </c>
      <c r="K107" s="8" t="n">
        <f aca="false">Convolution!O1689</f>
        <v>0.139922490406872</v>
      </c>
      <c r="L107" s="8" t="n">
        <f aca="false">Convolution!O1690</f>
        <v>0.241756513656032</v>
      </c>
      <c r="M107" s="8" t="n">
        <f aca="false">Convolution!O1691</f>
        <v>0.266343903606264</v>
      </c>
      <c r="N107" s="8" t="n">
        <f aca="false">Convolution!O1692</f>
        <v>0.186790757723452</v>
      </c>
      <c r="O107" s="8" t="n">
        <f aca="false">Convolution!O1693</f>
        <v>0.0807694713358295</v>
      </c>
      <c r="P107" s="8" t="n">
        <f aca="false">Convolution!O1694</f>
        <v>0.0199621718384253</v>
      </c>
      <c r="Q107" s="8" t="n">
        <f aca="false">Convolution!O1695</f>
        <v>0.00240342396468825</v>
      </c>
      <c r="R107" s="8" t="n">
        <f aca="false">Convolution!O1696</f>
        <v>9.73902091226976E-005</v>
      </c>
      <c r="S107" s="8" t="n">
        <f aca="false">Convolution!O1697</f>
        <v>0</v>
      </c>
      <c r="T107" s="2" t="str">
        <f aca="false">INDEX($F$1:$S$1,MATCH(MAX(F107:S107),F107:S107,0))</f>
        <v>P(7)</v>
      </c>
      <c r="U107" s="8" t="n">
        <f aca="false">SUM(L107:S107)</f>
        <v>0.798123632333813</v>
      </c>
      <c r="V107" s="8" t="n">
        <f aca="false">SUM(P107:S107)</f>
        <v>0.0224629860122362</v>
      </c>
      <c r="W107" s="2" t="n">
        <f aca="false">ROUND(SUM(F107:S107),6)</f>
        <v>1</v>
      </c>
    </row>
    <row r="108" customFormat="false" ht="15" hidden="false" customHeight="false" outlineLevel="0" collapsed="false">
      <c r="A108" s="2" t="n">
        <f aca="false">RANK(E108,$E$2:$E$139)</f>
        <v>121</v>
      </c>
      <c r="B108" s="2" t="s">
        <v>164</v>
      </c>
      <c r="C108" s="6" t="n">
        <f aca="false">Schedule!$B$108</f>
        <v>-11.6</v>
      </c>
      <c r="D108" s="2" t="n">
        <v>12</v>
      </c>
      <c r="E108" s="7" t="n">
        <f aca="false">Schedule!$BQ$108</f>
        <v>4.01114666247414</v>
      </c>
      <c r="F108" s="8" t="n">
        <f aca="false">Convolution!O1700</f>
        <v>0.00153774819005547</v>
      </c>
      <c r="G108" s="8" t="n">
        <f aca="false">Convolution!O1701</f>
        <v>0.0285702333673906</v>
      </c>
      <c r="H108" s="8" t="n">
        <f aca="false">Convolution!O1702</f>
        <v>0.116926148017781</v>
      </c>
      <c r="I108" s="8" t="n">
        <f aca="false">Convolution!O1703</f>
        <v>0.230003427156602</v>
      </c>
      <c r="J108" s="8" t="n">
        <f aca="false">Convolution!O1704</f>
        <v>0.26812525209647</v>
      </c>
      <c r="K108" s="8" t="n">
        <f aca="false">Convolution!O1705</f>
        <v>0.202949934415599</v>
      </c>
      <c r="L108" s="8" t="n">
        <f aca="false">Convolution!O1706</f>
        <v>0.10424053308336</v>
      </c>
      <c r="M108" s="8" t="n">
        <f aca="false">Convolution!O1707</f>
        <v>0.0369722962328463</v>
      </c>
      <c r="N108" s="8" t="n">
        <f aca="false">Convolution!O1708</f>
        <v>0.00902919863050767</v>
      </c>
      <c r="O108" s="8" t="n">
        <f aca="false">Convolution!O1709</f>
        <v>0.00148150542408847</v>
      </c>
      <c r="P108" s="8" t="n">
        <f aca="false">Convolution!O1710</f>
        <v>0.000154418562497967</v>
      </c>
      <c r="Q108" s="8" t="n">
        <f aca="false">Convolution!O1711</f>
        <v>9.08235203712859E-006</v>
      </c>
      <c r="R108" s="8" t="n">
        <f aca="false">Convolution!O1712</f>
        <v>2.22470765011273E-007</v>
      </c>
      <c r="S108" s="8" t="n">
        <f aca="false">Convolution!O1713</f>
        <v>0</v>
      </c>
      <c r="T108" s="2" t="str">
        <f aca="false">INDEX($F$1:$S$1,MATCH(MAX(F108:S108),F108:S108,0))</f>
        <v>P(4)</v>
      </c>
      <c r="U108" s="8" t="n">
        <f aca="false">SUM(L108:S108)</f>
        <v>0.151887256756103</v>
      </c>
      <c r="V108" s="8" t="n">
        <f aca="false">SUM(P108:S108)</f>
        <v>0.000163723385300106</v>
      </c>
      <c r="W108" s="2" t="n">
        <f aca="false">ROUND(SUM(F108:S108),6)</f>
        <v>1</v>
      </c>
    </row>
    <row r="109" customFormat="false" ht="15" hidden="false" customHeight="false" outlineLevel="0" collapsed="false">
      <c r="A109" s="2" t="n">
        <f aca="false">RANK(E109,$E$2:$E$139)</f>
        <v>106</v>
      </c>
      <c r="B109" s="2" t="s">
        <v>165</v>
      </c>
      <c r="C109" s="6" t="n">
        <f aca="false">Schedule!$B$109</f>
        <v>-11.7</v>
      </c>
      <c r="D109" s="2" t="n">
        <v>12</v>
      </c>
      <c r="E109" s="7" t="n">
        <f aca="false">Schedule!$BQ$109</f>
        <v>5.16923623900584</v>
      </c>
      <c r="F109" s="8" t="n">
        <f aca="false">Convolution!O1716</f>
        <v>0.000436499328853814</v>
      </c>
      <c r="G109" s="8" t="n">
        <f aca="false">Convolution!O1717</f>
        <v>0.00571548637475634</v>
      </c>
      <c r="H109" s="8" t="n">
        <f aca="false">Convolution!O1718</f>
        <v>0.0318670427709099</v>
      </c>
      <c r="I109" s="8" t="n">
        <f aca="false">Convolution!O1719</f>
        <v>0.100029837246038</v>
      </c>
      <c r="J109" s="8" t="n">
        <f aca="false">Convolution!O1720</f>
        <v>0.196437618259819</v>
      </c>
      <c r="K109" s="8" t="n">
        <f aca="false">Convolution!O1721</f>
        <v>0.253410484987067</v>
      </c>
      <c r="L109" s="8" t="n">
        <f aca="false">Convolution!O1722</f>
        <v>0.219427389304855</v>
      </c>
      <c r="M109" s="8" t="n">
        <f aca="false">Convolution!O1723</f>
        <v>0.128087167282913</v>
      </c>
      <c r="N109" s="8" t="n">
        <f aca="false">Convolution!O1724</f>
        <v>0.0498748624107531</v>
      </c>
      <c r="O109" s="8" t="n">
        <f aca="false">Convolution!O1725</f>
        <v>0.0125925566051222</v>
      </c>
      <c r="P109" s="8" t="n">
        <f aca="false">Convolution!O1726</f>
        <v>0.00194960565665781</v>
      </c>
      <c r="Q109" s="8" t="n">
        <f aca="false">Convolution!O1727</f>
        <v>0.00016561199875216</v>
      </c>
      <c r="R109" s="8" t="n">
        <f aca="false">Convolution!O1728</f>
        <v>5.83777350419152E-006</v>
      </c>
      <c r="S109" s="8" t="n">
        <f aca="false">Convolution!O1729</f>
        <v>0</v>
      </c>
      <c r="T109" s="2" t="str">
        <f aca="false">INDEX($F$1:$S$1,MATCH(MAX(F109:S109),F109:S109,0))</f>
        <v>P(5)</v>
      </c>
      <c r="U109" s="8" t="n">
        <f aca="false">SUM(L109:S109)</f>
        <v>0.412103031032557</v>
      </c>
      <c r="V109" s="8" t="n">
        <f aca="false">SUM(P109:S109)</f>
        <v>0.00212105542891416</v>
      </c>
      <c r="W109" s="2" t="n">
        <f aca="false">ROUND(SUM(F109:S109),6)</f>
        <v>1</v>
      </c>
    </row>
    <row r="110" customFormat="false" ht="15" hidden="false" customHeight="false" outlineLevel="0" collapsed="false">
      <c r="A110" s="2" t="n">
        <f aca="false">RANK(E110,$E$2:$E$139)</f>
        <v>57</v>
      </c>
      <c r="B110" s="2" t="s">
        <v>166</v>
      </c>
      <c r="C110" s="6" t="n">
        <f aca="false">Schedule!$B$110</f>
        <v>-11.8</v>
      </c>
      <c r="D110" s="2" t="n">
        <v>12</v>
      </c>
      <c r="E110" s="7" t="n">
        <f aca="false">Schedule!$BQ$110</f>
        <v>7.0511938512134</v>
      </c>
      <c r="F110" s="8" t="n">
        <f aca="false">Convolution!O1732</f>
        <v>8.09984688839383E-008</v>
      </c>
      <c r="G110" s="8" t="n">
        <f aca="false">Convolution!O1733</f>
        <v>4.75869553944545E-005</v>
      </c>
      <c r="H110" s="8" t="n">
        <f aca="false">Convolution!O1734</f>
        <v>0.000906395225981056</v>
      </c>
      <c r="I110" s="8" t="n">
        <f aca="false">Convolution!O1735</f>
        <v>0.00749015011586967</v>
      </c>
      <c r="J110" s="8" t="n">
        <f aca="false">Convolution!O1736</f>
        <v>0.035184229492751</v>
      </c>
      <c r="K110" s="8" t="n">
        <f aca="false">Convolution!O1737</f>
        <v>0.104047419465403</v>
      </c>
      <c r="L110" s="8" t="n">
        <f aca="false">Convolution!O1738</f>
        <v>0.202391587465056</v>
      </c>
      <c r="M110" s="8" t="n">
        <f aca="false">Convolution!O1739</f>
        <v>0.262197314191766</v>
      </c>
      <c r="N110" s="8" t="n">
        <f aca="false">Convolution!O1740</f>
        <v>0.223503844478235</v>
      </c>
      <c r="O110" s="8" t="n">
        <f aca="false">Convolution!O1741</f>
        <v>0.120466007612023</v>
      </c>
      <c r="P110" s="8" t="n">
        <f aca="false">Convolution!O1742</f>
        <v>0.0377498182460208</v>
      </c>
      <c r="Q110" s="8" t="n">
        <f aca="false">Convolution!O1743</f>
        <v>0.00575151180294579</v>
      </c>
      <c r="R110" s="8" t="n">
        <f aca="false">Convolution!O1744</f>
        <v>0.000264053950085032</v>
      </c>
      <c r="S110" s="8" t="n">
        <f aca="false">Convolution!O1745</f>
        <v>0</v>
      </c>
      <c r="T110" s="2" t="str">
        <f aca="false">INDEX($F$1:$S$1,MATCH(MAX(F110:S110),F110:S110,0))</f>
        <v>P(7)</v>
      </c>
      <c r="U110" s="8" t="n">
        <f aca="false">SUM(L110:S110)</f>
        <v>0.852324137746132</v>
      </c>
      <c r="V110" s="8" t="n">
        <f aca="false">SUM(P110:S110)</f>
        <v>0.0437653839990516</v>
      </c>
      <c r="W110" s="2" t="n">
        <f aca="false">ROUND(SUM(F110:S110),6)</f>
        <v>1</v>
      </c>
    </row>
    <row r="111" customFormat="false" ht="15" hidden="false" customHeight="false" outlineLevel="0" collapsed="false">
      <c r="A111" s="2" t="n">
        <f aca="false">RANK(E111,$E$2:$E$139)</f>
        <v>103</v>
      </c>
      <c r="B111" s="2" t="s">
        <v>167</v>
      </c>
      <c r="C111" s="6" t="n">
        <f aca="false">Schedule!$B$111</f>
        <v>-11.9</v>
      </c>
      <c r="D111" s="2" t="n">
        <v>12</v>
      </c>
      <c r="E111" s="7" t="n">
        <f aca="false">Schedule!$BQ$111</f>
        <v>5.27700440754715</v>
      </c>
      <c r="F111" s="8" t="n">
        <f aca="false">Convolution!O1748</f>
        <v>2.8710043551914E-005</v>
      </c>
      <c r="G111" s="8" t="n">
        <f aca="false">Convolution!O1749</f>
        <v>0.00141213935090896</v>
      </c>
      <c r="H111" s="8" t="n">
        <f aca="false">Convolution!O1750</f>
        <v>0.0191816039097307</v>
      </c>
      <c r="I111" s="8" t="n">
        <f aca="false">Convolution!O1751</f>
        <v>0.0871655314097821</v>
      </c>
      <c r="J111" s="8" t="n">
        <f aca="false">Convolution!O1752</f>
        <v>0.197950314207373</v>
      </c>
      <c r="K111" s="8" t="n">
        <f aca="false">Convolution!O1753</f>
        <v>0.265956527747376</v>
      </c>
      <c r="L111" s="8" t="n">
        <f aca="false">Convolution!O1754</f>
        <v>0.22933872389449</v>
      </c>
      <c r="M111" s="8" t="n">
        <f aca="false">Convolution!O1755</f>
        <v>0.131973816537663</v>
      </c>
      <c r="N111" s="8" t="n">
        <f aca="false">Convolution!O1756</f>
        <v>0.0512817809554108</v>
      </c>
      <c r="O111" s="8" t="n">
        <f aca="false">Convolution!O1757</f>
        <v>0.0132912031208193</v>
      </c>
      <c r="P111" s="8" t="n">
        <f aca="false">Convolution!O1758</f>
        <v>0.00220051893679847</v>
      </c>
      <c r="Q111" s="8" t="n">
        <f aca="false">Convolution!O1759</f>
        <v>0.000210312281312806</v>
      </c>
      <c r="R111" s="8" t="n">
        <f aca="false">Convolution!O1760</f>
        <v>8.81760478301882E-006</v>
      </c>
      <c r="S111" s="8" t="n">
        <f aca="false">Convolution!O1761</f>
        <v>0</v>
      </c>
      <c r="T111" s="2" t="str">
        <f aca="false">INDEX($F$1:$S$1,MATCH(MAX(F111:S111),F111:S111,0))</f>
        <v>P(5)</v>
      </c>
      <c r="U111" s="8" t="n">
        <f aca="false">SUM(L111:S111)</f>
        <v>0.428305173331277</v>
      </c>
      <c r="V111" s="8" t="n">
        <f aca="false">SUM(P111:S111)</f>
        <v>0.00241964882289429</v>
      </c>
      <c r="W111" s="2" t="n">
        <f aca="false">ROUND(SUM(F111:S111),6)</f>
        <v>1</v>
      </c>
    </row>
    <row r="112" customFormat="false" ht="15" hidden="false" customHeight="false" outlineLevel="0" collapsed="false">
      <c r="A112" s="2" t="n">
        <f aca="false">RANK(E112,$E$2:$E$139)</f>
        <v>62</v>
      </c>
      <c r="B112" s="2" t="s">
        <v>168</v>
      </c>
      <c r="C112" s="6" t="n">
        <f aca="false">Schedule!$B$112</f>
        <v>-12.7</v>
      </c>
      <c r="D112" s="2" t="n">
        <v>12</v>
      </c>
      <c r="E112" s="7" t="n">
        <f aca="false">Schedule!$BQ$112</f>
        <v>6.84421268434775</v>
      </c>
      <c r="F112" s="8" t="n">
        <f aca="false">Convolution!O1764</f>
        <v>1.58354764137915E-006</v>
      </c>
      <c r="G112" s="8" t="n">
        <f aca="false">Convolution!O1765</f>
        <v>6.53195594609806E-005</v>
      </c>
      <c r="H112" s="8" t="n">
        <f aca="false">Convolution!O1766</f>
        <v>0.00105337010728917</v>
      </c>
      <c r="I112" s="8" t="n">
        <f aca="false">Convolution!O1767</f>
        <v>0.00870217523917422</v>
      </c>
      <c r="J112" s="8" t="n">
        <f aca="false">Convolution!O1768</f>
        <v>0.0414737904107577</v>
      </c>
      <c r="K112" s="8" t="n">
        <f aca="false">Convolution!O1769</f>
        <v>0.121689276249843</v>
      </c>
      <c r="L112" s="8" t="n">
        <f aca="false">Convolution!O1770</f>
        <v>0.227122141087438</v>
      </c>
      <c r="M112" s="8" t="n">
        <f aca="false">Convolution!O1771</f>
        <v>0.271972015125003</v>
      </c>
      <c r="N112" s="8" t="n">
        <f aca="false">Convolution!O1772</f>
        <v>0.206096311308091</v>
      </c>
      <c r="O112" s="8" t="n">
        <f aca="false">Convolution!O1773</f>
        <v>0.0948203416861717</v>
      </c>
      <c r="P112" s="8" t="n">
        <f aca="false">Convolution!O1774</f>
        <v>0.0241943372551875</v>
      </c>
      <c r="Q112" s="8" t="n">
        <f aca="false">Convolution!O1775</f>
        <v>0.00275339571515711</v>
      </c>
      <c r="R112" s="8" t="n">
        <f aca="false">Convolution!O1776</f>
        <v>5.59427087848391E-005</v>
      </c>
      <c r="S112" s="8" t="n">
        <f aca="false">Convolution!O1777</f>
        <v>0</v>
      </c>
      <c r="T112" s="2" t="str">
        <f aca="false">INDEX($F$1:$S$1,MATCH(MAX(F112:S112),F112:S112,0))</f>
        <v>P(7)</v>
      </c>
      <c r="U112" s="8" t="n">
        <f aca="false">SUM(L112:S112)</f>
        <v>0.827014484885833</v>
      </c>
      <c r="V112" s="8" t="n">
        <f aca="false">SUM(P112:S112)</f>
        <v>0.0270036756791295</v>
      </c>
      <c r="W112" s="2" t="n">
        <f aca="false">ROUND(SUM(F112:S112),6)</f>
        <v>1</v>
      </c>
    </row>
    <row r="113" customFormat="false" ht="15" hidden="false" customHeight="false" outlineLevel="0" collapsed="false">
      <c r="A113" s="2" t="n">
        <f aca="false">RANK(E113,$E$2:$E$139)</f>
        <v>79</v>
      </c>
      <c r="B113" s="2" t="s">
        <v>169</v>
      </c>
      <c r="C113" s="6" t="n">
        <f aca="false">Schedule!$B$113</f>
        <v>-12.7</v>
      </c>
      <c r="D113" s="2" t="n">
        <v>12</v>
      </c>
      <c r="E113" s="7" t="n">
        <f aca="false">Schedule!$BQ$113</f>
        <v>6.1079968895353</v>
      </c>
      <c r="F113" s="8" t="n">
        <f aca="false">Convolution!O1780</f>
        <v>1.40941781043536E-005</v>
      </c>
      <c r="G113" s="8" t="n">
        <f aca="false">Convolution!O1781</f>
        <v>0.000405043191285649</v>
      </c>
      <c r="H113" s="8" t="n">
        <f aca="false">Convolution!O1782</f>
        <v>0.00470703859205857</v>
      </c>
      <c r="I113" s="8" t="n">
        <f aca="false">Convolution!O1783</f>
        <v>0.0286286530130276</v>
      </c>
      <c r="J113" s="8" t="n">
        <f aca="false">Convolution!O1784</f>
        <v>0.099525452198274</v>
      </c>
      <c r="K113" s="8" t="n">
        <f aca="false">Convolution!O1785</f>
        <v>0.206808248624417</v>
      </c>
      <c r="L113" s="8" t="n">
        <f aca="false">Convolution!O1786</f>
        <v>0.268100573911007</v>
      </c>
      <c r="M113" s="8" t="n">
        <f aca="false">Convolution!O1787</f>
        <v>0.222768247253969</v>
      </c>
      <c r="N113" s="8" t="n">
        <f aca="false">Convolution!O1788</f>
        <v>0.119367927414997</v>
      </c>
      <c r="O113" s="8" t="n">
        <f aca="false">Convolution!O1789</f>
        <v>0.0404943322208637</v>
      </c>
      <c r="P113" s="8" t="n">
        <f aca="false">Convolution!O1790</f>
        <v>0.00824712239425725</v>
      </c>
      <c r="Q113" s="8" t="n">
        <f aca="false">Convolution!O1791</f>
        <v>0.000895253381383616</v>
      </c>
      <c r="R113" s="8" t="n">
        <f aca="false">Convolution!O1792</f>
        <v>3.80136263548691E-005</v>
      </c>
      <c r="S113" s="8" t="n">
        <f aca="false">Convolution!O1793</f>
        <v>0</v>
      </c>
      <c r="T113" s="2" t="str">
        <f aca="false">INDEX($F$1:$S$1,MATCH(MAX(F113:S113),F113:S113,0))</f>
        <v>P(6)</v>
      </c>
      <c r="U113" s="8" t="n">
        <f aca="false">SUM(L113:S113)</f>
        <v>0.659911470202833</v>
      </c>
      <c r="V113" s="8" t="n">
        <f aca="false">SUM(P113:S113)</f>
        <v>0.00918038940199573</v>
      </c>
      <c r="W113" s="2" t="n">
        <f aca="false">ROUND(SUM(F113:S113),6)</f>
        <v>1</v>
      </c>
    </row>
    <row r="114" customFormat="false" ht="15" hidden="false" customHeight="false" outlineLevel="0" collapsed="false">
      <c r="A114" s="2" t="n">
        <f aca="false">RANK(E114,$E$2:$E$139)</f>
        <v>87</v>
      </c>
      <c r="B114" s="2" t="s">
        <v>170</v>
      </c>
      <c r="C114" s="6" t="n">
        <f aca="false">Schedule!$B$114</f>
        <v>-12.9</v>
      </c>
      <c r="D114" s="2" t="n">
        <v>12</v>
      </c>
      <c r="E114" s="7" t="n">
        <f aca="false">Schedule!$BQ$114</f>
        <v>5.91203476245741</v>
      </c>
      <c r="F114" s="8" t="n">
        <f aca="false">Convolution!O1796</f>
        <v>1.02401733410447E-005</v>
      </c>
      <c r="G114" s="8" t="n">
        <f aca="false">Convolution!O1797</f>
        <v>0.00069247653004406</v>
      </c>
      <c r="H114" s="8" t="n">
        <f aca="false">Convolution!O1798</f>
        <v>0.00781722363306439</v>
      </c>
      <c r="I114" s="8" t="n">
        <f aca="false">Convolution!O1799</f>
        <v>0.040459857441356</v>
      </c>
      <c r="J114" s="8" t="n">
        <f aca="false">Convolution!O1800</f>
        <v>0.119678817906066</v>
      </c>
      <c r="K114" s="8" t="n">
        <f aca="false">Convolution!O1801</f>
        <v>0.220997554983056</v>
      </c>
      <c r="L114" s="8" t="n">
        <f aca="false">Convolution!O1802</f>
        <v>0.264349631186895</v>
      </c>
      <c r="M114" s="8" t="n">
        <f aca="false">Convolution!O1803</f>
        <v>0.20622766847523</v>
      </c>
      <c r="N114" s="8" t="n">
        <f aca="false">Convolution!O1804</f>
        <v>0.102947569161934</v>
      </c>
      <c r="O114" s="8" t="n">
        <f aca="false">Convolution!O1805</f>
        <v>0.0312389021860772</v>
      </c>
      <c r="P114" s="8" t="n">
        <f aca="false">Convolution!O1806</f>
        <v>0.0051874355797197</v>
      </c>
      <c r="Q114" s="8" t="n">
        <f aca="false">Convolution!O1807</f>
        <v>0.000382748336314701</v>
      </c>
      <c r="R114" s="8" t="n">
        <f aca="false">Convolution!O1808</f>
        <v>9.87440690155883E-006</v>
      </c>
      <c r="S114" s="8" t="n">
        <f aca="false">Convolution!O1809</f>
        <v>0</v>
      </c>
      <c r="T114" s="2" t="str">
        <f aca="false">INDEX($F$1:$S$1,MATCH(MAX(F114:S114),F114:S114,0))</f>
        <v>P(6)</v>
      </c>
      <c r="U114" s="8" t="n">
        <f aca="false">SUM(L114:S114)</f>
        <v>0.610343829333072</v>
      </c>
      <c r="V114" s="8" t="n">
        <f aca="false">SUM(P114:S114)</f>
        <v>0.00558005832293596</v>
      </c>
      <c r="W114" s="2" t="n">
        <f aca="false">ROUND(SUM(F114:S114),6)</f>
        <v>1</v>
      </c>
    </row>
    <row r="115" customFormat="false" ht="15" hidden="false" customHeight="false" outlineLevel="0" collapsed="false">
      <c r="A115" s="2" t="n">
        <f aca="false">RANK(E115,$E$2:$E$139)</f>
        <v>65</v>
      </c>
      <c r="B115" s="2" t="s">
        <v>171</v>
      </c>
      <c r="C115" s="6" t="n">
        <f aca="false">Schedule!$B$115</f>
        <v>-12.9</v>
      </c>
      <c r="D115" s="2" t="n">
        <v>12</v>
      </c>
      <c r="E115" s="7" t="n">
        <f aca="false">Schedule!$BQ$115</f>
        <v>6.66623463827472</v>
      </c>
      <c r="F115" s="8" t="n">
        <f aca="false">Convolution!O1812</f>
        <v>1.14225934794248E-006</v>
      </c>
      <c r="G115" s="8" t="n">
        <f aca="false">Convolution!O1813</f>
        <v>9.66570262582841E-005</v>
      </c>
      <c r="H115" s="8" t="n">
        <f aca="false">Convolution!O1814</f>
        <v>0.00167438586483354</v>
      </c>
      <c r="I115" s="8" t="n">
        <f aca="false">Convolution!O1815</f>
        <v>0.012873707863297</v>
      </c>
      <c r="J115" s="8" t="n">
        <f aca="false">Convolution!O1816</f>
        <v>0.0548817347885332</v>
      </c>
      <c r="K115" s="8" t="n">
        <f aca="false">Convolution!O1817</f>
        <v>0.143075853245285</v>
      </c>
      <c r="L115" s="8" t="n">
        <f aca="false">Convolution!O1818</f>
        <v>0.23910700915248</v>
      </c>
      <c r="M115" s="8" t="n">
        <f aca="false">Convolution!O1819</f>
        <v>0.260621438149593</v>
      </c>
      <c r="N115" s="8" t="n">
        <f aca="false">Convolution!O1820</f>
        <v>0.183918643182912</v>
      </c>
      <c r="O115" s="8" t="n">
        <f aca="false">Convolution!O1821</f>
        <v>0.0809942097776398</v>
      </c>
      <c r="P115" s="8" t="n">
        <f aca="false">Convolution!O1822</f>
        <v>0.0203754008746118</v>
      </c>
      <c r="Q115" s="8" t="n">
        <f aca="false">Convolution!O1823</f>
        <v>0.00233909740435072</v>
      </c>
      <c r="R115" s="8" t="n">
        <f aca="false">Convolution!O1824</f>
        <v>4.0720410856903E-005</v>
      </c>
      <c r="S115" s="8" t="n">
        <f aca="false">Convolution!O1825</f>
        <v>0</v>
      </c>
      <c r="T115" s="2" t="str">
        <f aca="false">INDEX($F$1:$S$1,MATCH(MAX(F115:S115),F115:S115,0))</f>
        <v>P(7)</v>
      </c>
      <c r="U115" s="8" t="n">
        <f aca="false">SUM(L115:S115)</f>
        <v>0.787396518952445</v>
      </c>
      <c r="V115" s="8" t="n">
        <f aca="false">SUM(P115:S115)</f>
        <v>0.0227552186898194</v>
      </c>
      <c r="W115" s="2" t="n">
        <f aca="false">ROUND(SUM(F115:S115),6)</f>
        <v>1</v>
      </c>
    </row>
    <row r="116" customFormat="false" ht="15" hidden="false" customHeight="false" outlineLevel="0" collapsed="false">
      <c r="A116" s="2" t="n">
        <f aca="false">RANK(E116,$E$2:$E$139)</f>
        <v>76</v>
      </c>
      <c r="B116" s="2" t="s">
        <v>172</v>
      </c>
      <c r="C116" s="6" t="n">
        <f aca="false">Schedule!$B$116</f>
        <v>-14.5</v>
      </c>
      <c r="D116" s="2" t="n">
        <v>12</v>
      </c>
      <c r="E116" s="7" t="n">
        <f aca="false">Schedule!$BQ$116</f>
        <v>6.1930395439547</v>
      </c>
      <c r="F116" s="8" t="n">
        <f aca="false">Convolution!O1828</f>
        <v>2.4359747973847E-006</v>
      </c>
      <c r="G116" s="8" t="n">
        <f aca="false">Convolution!O1829</f>
        <v>0.000272105840469931</v>
      </c>
      <c r="H116" s="8" t="n">
        <f aca="false">Convolution!O1830</f>
        <v>0.00405702434511117</v>
      </c>
      <c r="I116" s="8" t="n">
        <f aca="false">Convolution!O1831</f>
        <v>0.0262679617899043</v>
      </c>
      <c r="J116" s="8" t="n">
        <f aca="false">Convolution!O1832</f>
        <v>0.0928474755484667</v>
      </c>
      <c r="K116" s="8" t="n">
        <f aca="false">Convolution!O1833</f>
        <v>0.19723102957619</v>
      </c>
      <c r="L116" s="8" t="n">
        <f aca="false">Convolution!O1834</f>
        <v>0.264232870400865</v>
      </c>
      <c r="M116" s="8" t="n">
        <f aca="false">Convolution!O1835</f>
        <v>0.228655388019646</v>
      </c>
      <c r="N116" s="8" t="n">
        <f aca="false">Convolution!O1836</f>
        <v>0.128549605662427</v>
      </c>
      <c r="O116" s="8" t="n">
        <f aca="false">Convolution!O1837</f>
        <v>0.0463104381099098</v>
      </c>
      <c r="P116" s="8" t="n">
        <f aca="false">Convolution!O1838</f>
        <v>0.0102472379549034</v>
      </c>
      <c r="Q116" s="8" t="n">
        <f aca="false">Convolution!O1839</f>
        <v>0.00126077372857688</v>
      </c>
      <c r="R116" s="8" t="n">
        <f aca="false">Convolution!O1840</f>
        <v>6.5653048730911E-005</v>
      </c>
      <c r="S116" s="8" t="n">
        <f aca="false">Convolution!O1841</f>
        <v>0</v>
      </c>
      <c r="T116" s="2" t="str">
        <f aca="false">INDEX($F$1:$S$1,MATCH(MAX(F116:S116),F116:S116,0))</f>
        <v>P(6)</v>
      </c>
      <c r="U116" s="8" t="n">
        <f aca="false">SUM(L116:S116)</f>
        <v>0.67932196692506</v>
      </c>
      <c r="V116" s="8" t="n">
        <f aca="false">SUM(P116:S116)</f>
        <v>0.0115736647322112</v>
      </c>
      <c r="W116" s="2" t="n">
        <f aca="false">ROUND(SUM(F116:S116),6)</f>
        <v>1</v>
      </c>
    </row>
    <row r="117" customFormat="false" ht="15" hidden="false" customHeight="false" outlineLevel="0" collapsed="false">
      <c r="A117" s="2" t="n">
        <f aca="false">RANK(E117,$E$2:$E$139)</f>
        <v>98</v>
      </c>
      <c r="B117" s="2" t="s">
        <v>173</v>
      </c>
      <c r="C117" s="6" t="n">
        <f aca="false">Schedule!$B$117</f>
        <v>-14.6</v>
      </c>
      <c r="D117" s="2" t="n">
        <v>12</v>
      </c>
      <c r="E117" s="7" t="n">
        <f aca="false">Schedule!$BQ$117</f>
        <v>5.47897145073943</v>
      </c>
      <c r="F117" s="8" t="n">
        <f aca="false">Convolution!O1844</f>
        <v>9.42225159582394E-005</v>
      </c>
      <c r="G117" s="8" t="n">
        <f aca="false">Convolution!O1845</f>
        <v>0.00218884399906475</v>
      </c>
      <c r="H117" s="8" t="n">
        <f aca="false">Convolution!O1846</f>
        <v>0.0181690622206101</v>
      </c>
      <c r="I117" s="8" t="n">
        <f aca="false">Convolution!O1847</f>
        <v>0.0730596518673826</v>
      </c>
      <c r="J117" s="8" t="n">
        <f aca="false">Convolution!O1848</f>
        <v>0.169381561161627</v>
      </c>
      <c r="K117" s="8" t="n">
        <f aca="false">Convolution!O1849</f>
        <v>0.247960144575517</v>
      </c>
      <c r="L117" s="8" t="n">
        <f aca="false">Convolution!O1850</f>
        <v>0.240117697514987</v>
      </c>
      <c r="M117" s="8" t="n">
        <f aca="false">Convolution!O1851</f>
        <v>0.156735095752096</v>
      </c>
      <c r="N117" s="8" t="n">
        <f aca="false">Convolution!O1852</f>
        <v>0.0687422534133955</v>
      </c>
      <c r="O117" s="8" t="n">
        <f aca="false">Convolution!O1853</f>
        <v>0.0197235059340193</v>
      </c>
      <c r="P117" s="8" t="n">
        <f aca="false">Convolution!O1854</f>
        <v>0.00348283183717019</v>
      </c>
      <c r="Q117" s="8" t="n">
        <f aca="false">Convolution!O1855</f>
        <v>0.000332745764801272</v>
      </c>
      <c r="R117" s="8" t="n">
        <f aca="false">Convolution!O1856</f>
        <v>1.23834433709036E-005</v>
      </c>
      <c r="S117" s="8" t="n">
        <f aca="false">Convolution!O1857</f>
        <v>0</v>
      </c>
      <c r="T117" s="2" t="str">
        <f aca="false">INDEX($F$1:$S$1,MATCH(MAX(F117:S117),F117:S117,0))</f>
        <v>P(5)</v>
      </c>
      <c r="U117" s="8" t="n">
        <f aca="false">SUM(L117:S117)</f>
        <v>0.48914651365984</v>
      </c>
      <c r="V117" s="8" t="n">
        <f aca="false">SUM(P117:S117)</f>
        <v>0.00382796104534236</v>
      </c>
      <c r="W117" s="2" t="n">
        <f aca="false">ROUND(SUM(F117:S117),6)</f>
        <v>1</v>
      </c>
    </row>
    <row r="118" customFormat="false" ht="15" hidden="false" customHeight="false" outlineLevel="0" collapsed="false">
      <c r="A118" s="2" t="n">
        <f aca="false">RANK(E118,$E$2:$E$139)</f>
        <v>105</v>
      </c>
      <c r="B118" s="2" t="s">
        <v>174</v>
      </c>
      <c r="C118" s="6" t="n">
        <f aca="false">Schedule!$B$118</f>
        <v>-14.7</v>
      </c>
      <c r="D118" s="2" t="n">
        <v>12</v>
      </c>
      <c r="E118" s="7" t="n">
        <f aca="false">Schedule!$BQ$118</f>
        <v>5.25310145044653</v>
      </c>
      <c r="F118" s="8" t="n">
        <f aca="false">Convolution!O1860</f>
        <v>6.01712688664013E-005</v>
      </c>
      <c r="G118" s="8" t="n">
        <f aca="false">Convolution!O1861</f>
        <v>0.00306958883145217</v>
      </c>
      <c r="H118" s="8" t="n">
        <f aca="false">Convolution!O1862</f>
        <v>0.0255598413370089</v>
      </c>
      <c r="I118" s="8" t="n">
        <f aca="false">Convolution!O1863</f>
        <v>0.0936408162173765</v>
      </c>
      <c r="J118" s="8" t="n">
        <f aca="false">Convolution!O1864</f>
        <v>0.194493866662305</v>
      </c>
      <c r="K118" s="8" t="n">
        <f aca="false">Convolution!O1865</f>
        <v>0.255349617365689</v>
      </c>
      <c r="L118" s="8" t="n">
        <f aca="false">Convolution!O1866</f>
        <v>0.223346049013936</v>
      </c>
      <c r="M118" s="8" t="n">
        <f aca="false">Convolution!O1867</f>
        <v>0.133069345263222</v>
      </c>
      <c r="N118" s="8" t="n">
        <f aca="false">Convolution!O1868</f>
        <v>0.0540208325671038</v>
      </c>
      <c r="O118" s="8" t="n">
        <f aca="false">Convolution!O1869</f>
        <v>0.0146260251990115</v>
      </c>
      <c r="P118" s="8" t="n">
        <f aca="false">Convolution!O1870</f>
        <v>0.00250897677751727</v>
      </c>
      <c r="Q118" s="8" t="n">
        <f aca="false">Convolution!O1871</f>
        <v>0.000244623176151258</v>
      </c>
      <c r="R118" s="8" t="n">
        <f aca="false">Convolution!O1872</f>
        <v>1.02463203600705E-005</v>
      </c>
      <c r="S118" s="8" t="n">
        <f aca="false">Convolution!O1873</f>
        <v>0</v>
      </c>
      <c r="T118" s="2" t="str">
        <f aca="false">INDEX($F$1:$S$1,MATCH(MAX(F118:S118),F118:S118,0))</f>
        <v>P(5)</v>
      </c>
      <c r="U118" s="8" t="n">
        <f aca="false">SUM(L118:S118)</f>
        <v>0.427826098317302</v>
      </c>
      <c r="V118" s="8" t="n">
        <f aca="false">SUM(P118:S118)</f>
        <v>0.0027638462740286</v>
      </c>
      <c r="W118" s="2" t="n">
        <f aca="false">ROUND(SUM(F118:S118),6)</f>
        <v>1</v>
      </c>
    </row>
    <row r="119" customFormat="false" ht="15" hidden="false" customHeight="false" outlineLevel="0" collapsed="false">
      <c r="A119" s="2" t="n">
        <f aca="false">RANK(E119,$E$2:$E$139)</f>
        <v>97</v>
      </c>
      <c r="B119" s="2" t="s">
        <v>175</v>
      </c>
      <c r="C119" s="6" t="n">
        <f aca="false">Schedule!$B$119</f>
        <v>-15</v>
      </c>
      <c r="D119" s="2" t="n">
        <v>12</v>
      </c>
      <c r="E119" s="7" t="n">
        <f aca="false">Schedule!$BQ$119</f>
        <v>5.50695422319775</v>
      </c>
      <c r="F119" s="8" t="n">
        <f aca="false">Convolution!O1876</f>
        <v>5.10464446975844E-005</v>
      </c>
      <c r="G119" s="8" t="n">
        <f aca="false">Convolution!O1877</f>
        <v>0.00122748394399918</v>
      </c>
      <c r="H119" s="8" t="n">
        <f aca="false">Convolution!O1878</f>
        <v>0.0116263019419977</v>
      </c>
      <c r="I119" s="8" t="n">
        <f aca="false">Convolution!O1879</f>
        <v>0.0573643523627584</v>
      </c>
      <c r="J119" s="8" t="n">
        <f aca="false">Convolution!O1880</f>
        <v>0.161829350847299</v>
      </c>
      <c r="K119" s="8" t="n">
        <f aca="false">Convolution!O1881</f>
        <v>0.268924017822364</v>
      </c>
      <c r="L119" s="8" t="n">
        <f aca="false">Convolution!O1882</f>
        <v>0.265534605796246</v>
      </c>
      <c r="M119" s="8" t="n">
        <f aca="false">Convolution!O1883</f>
        <v>0.15939057925569</v>
      </c>
      <c r="N119" s="8" t="n">
        <f aca="false">Convolution!O1884</f>
        <v>0.0589354419413541</v>
      </c>
      <c r="O119" s="8" t="n">
        <f aca="false">Convolution!O1885</f>
        <v>0.0132701355191119</v>
      </c>
      <c r="P119" s="8" t="n">
        <f aca="false">Convolution!O1886</f>
        <v>0.00172912653443058</v>
      </c>
      <c r="Q119" s="8" t="n">
        <f aca="false">Convolution!O1887</f>
        <v>0.000114815414604931</v>
      </c>
      <c r="R119" s="8" t="n">
        <f aca="false">Convolution!O1888</f>
        <v>2.74217544683121E-006</v>
      </c>
      <c r="S119" s="8" t="n">
        <f aca="false">Convolution!O1889</f>
        <v>0</v>
      </c>
      <c r="T119" s="2" t="str">
        <f aca="false">INDEX($F$1:$S$1,MATCH(MAX(F119:S119),F119:S119,0))</f>
        <v>P(5)</v>
      </c>
      <c r="U119" s="8" t="n">
        <f aca="false">SUM(L119:S119)</f>
        <v>0.498977446636884</v>
      </c>
      <c r="V119" s="8" t="n">
        <f aca="false">SUM(P119:S119)</f>
        <v>0.00184668412448234</v>
      </c>
      <c r="W119" s="2" t="n">
        <f aca="false">ROUND(SUM(F119:S119),6)</f>
        <v>1</v>
      </c>
    </row>
    <row r="120" customFormat="false" ht="15" hidden="false" customHeight="false" outlineLevel="0" collapsed="false">
      <c r="A120" s="2" t="n">
        <f aca="false">RANK(E120,$E$2:$E$139)</f>
        <v>95</v>
      </c>
      <c r="B120" s="2" t="s">
        <v>176</v>
      </c>
      <c r="C120" s="6" t="n">
        <f aca="false">Schedule!$B$120</f>
        <v>-15.1</v>
      </c>
      <c r="D120" s="2" t="n">
        <v>12</v>
      </c>
      <c r="E120" s="7" t="n">
        <f aca="false">Schedule!$BQ$120</f>
        <v>5.61730071828797</v>
      </c>
      <c r="F120" s="8" t="n">
        <f aca="false">Convolution!O1892</f>
        <v>4.22123230503705E-005</v>
      </c>
      <c r="G120" s="8" t="n">
        <f aca="false">Convolution!O1893</f>
        <v>0.00132557815341297</v>
      </c>
      <c r="H120" s="8" t="n">
        <f aca="false">Convolution!O1894</f>
        <v>0.0124997000427367</v>
      </c>
      <c r="I120" s="8" t="n">
        <f aca="false">Convolution!O1895</f>
        <v>0.0574765641176103</v>
      </c>
      <c r="J120" s="8" t="n">
        <f aca="false">Convolution!O1896</f>
        <v>0.15159309725027</v>
      </c>
      <c r="K120" s="8" t="n">
        <f aca="false">Convolution!O1897</f>
        <v>0.246971086847659</v>
      </c>
      <c r="L120" s="8" t="n">
        <f aca="false">Convolution!O1898</f>
        <v>0.257707343154779</v>
      </c>
      <c r="M120" s="8" t="n">
        <f aca="false">Convolution!O1899</f>
        <v>0.174178558658283</v>
      </c>
      <c r="N120" s="8" t="n">
        <f aca="false">Convolution!O1900</f>
        <v>0.0752701470379704</v>
      </c>
      <c r="O120" s="8" t="n">
        <f aca="false">Convolution!O1901</f>
        <v>0.0198727478278927</v>
      </c>
      <c r="P120" s="8" t="n">
        <f aca="false">Convolution!O1902</f>
        <v>0.0028853225982195</v>
      </c>
      <c r="Q120" s="8" t="n">
        <f aca="false">Convolution!O1903</f>
        <v>0.000176581674160249</v>
      </c>
      <c r="R120" s="8" t="n">
        <f aca="false">Convolution!O1904</f>
        <v>1.06031395543965E-006</v>
      </c>
      <c r="S120" s="8" t="n">
        <f aca="false">Convolution!O1905</f>
        <v>0</v>
      </c>
      <c r="T120" s="2" t="str">
        <f aca="false">INDEX($F$1:$S$1,MATCH(MAX(F120:S120),F120:S120,0))</f>
        <v>P(6)</v>
      </c>
      <c r="U120" s="8" t="n">
        <f aca="false">SUM(L120:S120)</f>
        <v>0.53009176126526</v>
      </c>
      <c r="V120" s="8" t="n">
        <f aca="false">SUM(P120:S120)</f>
        <v>0.00306296458633519</v>
      </c>
      <c r="W120" s="2" t="n">
        <f aca="false">ROUND(SUM(F120:S120),6)</f>
        <v>1</v>
      </c>
    </row>
    <row r="121" customFormat="false" ht="15" hidden="false" customHeight="false" outlineLevel="0" collapsed="false">
      <c r="A121" s="2" t="n">
        <f aca="false">RANK(E121,$E$2:$E$139)</f>
        <v>129</v>
      </c>
      <c r="B121" s="2" t="s">
        <v>177</v>
      </c>
      <c r="C121" s="6" t="n">
        <f aca="false">Schedule!$B$121</f>
        <v>-15.3</v>
      </c>
      <c r="D121" s="2" t="n">
        <v>12</v>
      </c>
      <c r="E121" s="7" t="n">
        <f aca="false">Schedule!$BQ$121</f>
        <v>3.56495749225076</v>
      </c>
      <c r="F121" s="8" t="n">
        <f aca="false">Convolution!O1908</f>
        <v>0.00405580453552242</v>
      </c>
      <c r="G121" s="8" t="n">
        <f aca="false">Convolution!O1909</f>
        <v>0.0548585729616641</v>
      </c>
      <c r="H121" s="8" t="n">
        <f aca="false">Convolution!O1910</f>
        <v>0.173110813273219</v>
      </c>
      <c r="I121" s="8" t="n">
        <f aca="false">Convolution!O1911</f>
        <v>0.269669012935347</v>
      </c>
      <c r="J121" s="8" t="n">
        <f aca="false">Convolution!O1912</f>
        <v>0.253350000809297</v>
      </c>
      <c r="K121" s="8" t="n">
        <f aca="false">Convolution!O1913</f>
        <v>0.156193784174515</v>
      </c>
      <c r="L121" s="8" t="n">
        <f aca="false">Convolution!O1914</f>
        <v>0.0655969723756163</v>
      </c>
      <c r="M121" s="8" t="n">
        <f aca="false">Convolution!O1915</f>
        <v>0.0189464404474932</v>
      </c>
      <c r="N121" s="8" t="n">
        <f aca="false">Convolution!O1916</f>
        <v>0.00371061149962818</v>
      </c>
      <c r="O121" s="8" t="n">
        <f aca="false">Convolution!O1917</f>
        <v>0.000471555549469261</v>
      </c>
      <c r="P121" s="8" t="n">
        <f aca="false">Convolution!O1918</f>
        <v>3.52284374787567E-005</v>
      </c>
      <c r="Q121" s="8" t="n">
        <f aca="false">Convolution!O1919</f>
        <v>1.1998853340972E-006</v>
      </c>
      <c r="R121" s="8" t="n">
        <f aca="false">Convolution!O1920</f>
        <v>3.11541654459858E-009</v>
      </c>
      <c r="S121" s="8" t="n">
        <f aca="false">Convolution!O1921</f>
        <v>0</v>
      </c>
      <c r="T121" s="2" t="str">
        <f aca="false">INDEX($F$1:$S$1,MATCH(MAX(F121:S121),F121:S121,0))</f>
        <v>P(3)</v>
      </c>
      <c r="U121" s="8" t="n">
        <f aca="false">SUM(L121:S121)</f>
        <v>0.0887620113104364</v>
      </c>
      <c r="V121" s="8" t="n">
        <f aca="false">SUM(P121:S121)</f>
        <v>3.64314382293985E-005</v>
      </c>
      <c r="W121" s="2" t="n">
        <f aca="false">ROUND(SUM(F121:S121),6)</f>
        <v>1</v>
      </c>
    </row>
    <row r="122" customFormat="false" ht="15" hidden="false" customHeight="false" outlineLevel="0" collapsed="false">
      <c r="A122" s="2" t="n">
        <f aca="false">RANK(E122,$E$2:$E$139)</f>
        <v>118</v>
      </c>
      <c r="B122" s="2" t="s">
        <v>178</v>
      </c>
      <c r="C122" s="6" t="n">
        <f aca="false">Schedule!$B$122</f>
        <v>-15.7</v>
      </c>
      <c r="D122" s="2" t="n">
        <v>13</v>
      </c>
      <c r="E122" s="7" t="n">
        <f aca="false">Schedule!$BQ$122</f>
        <v>4.25794577328371</v>
      </c>
      <c r="F122" s="8" t="n">
        <f aca="false">Convolution!O1924</f>
        <v>0.00282142608136732</v>
      </c>
      <c r="G122" s="8" t="n">
        <f aca="false">Convolution!O1925</f>
        <v>0.0250844519642527</v>
      </c>
      <c r="H122" s="8" t="n">
        <f aca="false">Convolution!O1926</f>
        <v>0.0936099853720624</v>
      </c>
      <c r="I122" s="8" t="n">
        <f aca="false">Convolution!O1927</f>
        <v>0.195500506733681</v>
      </c>
      <c r="J122" s="8" t="n">
        <f aca="false">Convolution!O1928</f>
        <v>0.25593403958114</v>
      </c>
      <c r="K122" s="8" t="n">
        <f aca="false">Convolution!O1929</f>
        <v>0.222272685901911</v>
      </c>
      <c r="L122" s="8" t="n">
        <f aca="false">Convolution!O1930</f>
        <v>0.131901415656232</v>
      </c>
      <c r="M122" s="8" t="n">
        <f aca="false">Convolution!O1931</f>
        <v>0.0541580893896896</v>
      </c>
      <c r="N122" s="8" t="n">
        <f aca="false">Convolution!O1932</f>
        <v>0.0153608948695702</v>
      </c>
      <c r="O122" s="8" t="n">
        <f aca="false">Convolution!O1933</f>
        <v>0.0029569515103034</v>
      </c>
      <c r="P122" s="8" t="n">
        <f aca="false">Convolution!O1934</f>
        <v>0.000370724221588357</v>
      </c>
      <c r="Q122" s="8" t="n">
        <f aca="false">Convolution!O1935</f>
        <v>2.77956594696835E-005</v>
      </c>
      <c r="R122" s="8" t="n">
        <f aca="false">Convolution!O1936</f>
        <v>1.02390791272649E-006</v>
      </c>
      <c r="S122" s="8" t="n">
        <f aca="false">Convolution!O1937</f>
        <v>9.15082005800473E-009</v>
      </c>
      <c r="T122" s="2" t="str">
        <f aca="false">INDEX($F$1:$S$1,MATCH(MAX(F122:S122),F122:S122,0))</f>
        <v>P(4)</v>
      </c>
      <c r="U122" s="8" t="n">
        <f aca="false">SUM(L122:S122)</f>
        <v>0.204776904365586</v>
      </c>
      <c r="V122" s="8" t="n">
        <f aca="false">SUM(P122:S122)</f>
        <v>0.000399552939790825</v>
      </c>
      <c r="W122" s="2" t="n">
        <f aca="false">ROUND(SUM(F122:S122),6)</f>
        <v>1</v>
      </c>
    </row>
    <row r="123" customFormat="false" ht="15" hidden="false" customHeight="false" outlineLevel="0" collapsed="false">
      <c r="A123" s="2" t="n">
        <f aca="false">RANK(E123,$E$2:$E$139)</f>
        <v>84</v>
      </c>
      <c r="B123" s="2" t="s">
        <v>179</v>
      </c>
      <c r="C123" s="6" t="n">
        <f aca="false">Schedule!$B$123</f>
        <v>-16.1</v>
      </c>
      <c r="D123" s="2" t="n">
        <v>12</v>
      </c>
      <c r="E123" s="7" t="n">
        <f aca="false">Schedule!$BQ$123</f>
        <v>5.94777120433265</v>
      </c>
      <c r="F123" s="8" t="n">
        <f aca="false">Convolution!O1940</f>
        <v>2.01009148980204E-005</v>
      </c>
      <c r="G123" s="8" t="n">
        <f aca="false">Convolution!O1941</f>
        <v>0.000635237991853722</v>
      </c>
      <c r="H123" s="8" t="n">
        <f aca="false">Convolution!O1942</f>
        <v>0.00682200792563908</v>
      </c>
      <c r="I123" s="8" t="n">
        <f aca="false">Convolution!O1943</f>
        <v>0.0366910788130113</v>
      </c>
      <c r="J123" s="8" t="n">
        <f aca="false">Convolution!O1944</f>
        <v>0.114209273941104</v>
      </c>
      <c r="K123" s="8" t="n">
        <f aca="false">Convolution!O1945</f>
        <v>0.219836066563917</v>
      </c>
      <c r="L123" s="8" t="n">
        <f aca="false">Convolution!O1946</f>
        <v>0.269379278330887</v>
      </c>
      <c r="M123" s="8" t="n">
        <f aca="false">Convolution!O1947</f>
        <v>0.211202612253077</v>
      </c>
      <c r="N123" s="8" t="n">
        <f aca="false">Convolution!O1948</f>
        <v>0.104303735509418</v>
      </c>
      <c r="O123" s="8" t="n">
        <f aca="false">Convolution!O1949</f>
        <v>0.0311948918704158</v>
      </c>
      <c r="P123" s="8" t="n">
        <f aca="false">Convolution!O1950</f>
        <v>0.00525335804596593</v>
      </c>
      <c r="Q123" s="8" t="n">
        <f aca="false">Convolution!O1951</f>
        <v>0.000438455736874963</v>
      </c>
      <c r="R123" s="8" t="n">
        <f aca="false">Convolution!O1952</f>
        <v>1.39021029375032E-005</v>
      </c>
      <c r="S123" s="8" t="n">
        <f aca="false">Convolution!O1953</f>
        <v>0</v>
      </c>
      <c r="T123" s="2" t="str">
        <f aca="false">INDEX($F$1:$S$1,MATCH(MAX(F123:S123),F123:S123,0))</f>
        <v>P(6)</v>
      </c>
      <c r="U123" s="8" t="n">
        <f aca="false">SUM(L123:S123)</f>
        <v>0.621786233849576</v>
      </c>
      <c r="V123" s="8" t="n">
        <f aca="false">SUM(P123:S123)</f>
        <v>0.0057057158857784</v>
      </c>
      <c r="W123" s="2" t="n">
        <f aca="false">ROUND(SUM(F123:S123),6)</f>
        <v>1</v>
      </c>
    </row>
    <row r="124" customFormat="false" ht="15" hidden="false" customHeight="false" outlineLevel="0" collapsed="false">
      <c r="A124" s="2" t="n">
        <f aca="false">RANK(E124,$E$2:$E$139)</f>
        <v>127</v>
      </c>
      <c r="B124" s="2" t="s">
        <v>180</v>
      </c>
      <c r="C124" s="6" t="n">
        <f aca="false">Schedule!$B$124</f>
        <v>-17.2</v>
      </c>
      <c r="D124" s="2" t="n">
        <v>12</v>
      </c>
      <c r="E124" s="7" t="n">
        <f aca="false">Schedule!$BQ$124</f>
        <v>3.57859967918362</v>
      </c>
      <c r="F124" s="8" t="n">
        <f aca="false">Convolution!O1956</f>
        <v>0.00695406927504087</v>
      </c>
      <c r="G124" s="8" t="n">
        <f aca="false">Convolution!O1957</f>
        <v>0.0529916789496256</v>
      </c>
      <c r="H124" s="8" t="n">
        <f aca="false">Convolution!O1958</f>
        <v>0.162385815968364</v>
      </c>
      <c r="I124" s="8" t="n">
        <f aca="false">Convolution!O1959</f>
        <v>0.266589845897455</v>
      </c>
      <c r="J124" s="8" t="n">
        <f aca="false">Convolution!O1960</f>
        <v>0.262536166013973</v>
      </c>
      <c r="K124" s="8" t="n">
        <f aca="false">Convolution!O1961</f>
        <v>0.16333922867205</v>
      </c>
      <c r="L124" s="8" t="n">
        <f aca="false">Convolution!O1962</f>
        <v>0.0654379911673299</v>
      </c>
      <c r="M124" s="8" t="n">
        <f aca="false">Convolution!O1963</f>
        <v>0.0168051480946896</v>
      </c>
      <c r="N124" s="8" t="n">
        <f aca="false">Convolution!O1964</f>
        <v>0.00269206952214695</v>
      </c>
      <c r="O124" s="8" t="n">
        <f aca="false">Convolution!O1965</f>
        <v>0.000254692860260225</v>
      </c>
      <c r="P124" s="8" t="n">
        <f aca="false">Convolution!O1966</f>
        <v>1.29842496632921E-005</v>
      </c>
      <c r="Q124" s="8" t="n">
        <f aca="false">Convolution!O1967</f>
        <v>3.0684701727945E-007</v>
      </c>
      <c r="R124" s="8" t="n">
        <f aca="false">Convolution!O1968</f>
        <v>2.48238410735863E-009</v>
      </c>
      <c r="S124" s="8" t="n">
        <f aca="false">Convolution!O1969</f>
        <v>0</v>
      </c>
      <c r="T124" s="2" t="str">
        <f aca="false">INDEX($F$1:$S$1,MATCH(MAX(F124:S124),F124:S124,0))</f>
        <v>P(3)</v>
      </c>
      <c r="U124" s="8" t="n">
        <f aca="false">SUM(L124:S124)</f>
        <v>0.0852031952234914</v>
      </c>
      <c r="V124" s="8" t="n">
        <f aca="false">SUM(P124:S124)</f>
        <v>1.32935790646789E-005</v>
      </c>
      <c r="W124" s="2" t="n">
        <f aca="false">ROUND(SUM(F124:S124),6)</f>
        <v>1</v>
      </c>
    </row>
    <row r="125" customFormat="false" ht="15" hidden="false" customHeight="false" outlineLevel="0" collapsed="false">
      <c r="A125" s="2" t="n">
        <f aca="false">RANK(E125,$E$2:$E$139)</f>
        <v>122</v>
      </c>
      <c r="B125" s="2" t="s">
        <v>181</v>
      </c>
      <c r="C125" s="6" t="n">
        <f aca="false">Schedule!$B$125</f>
        <v>-17.5</v>
      </c>
      <c r="D125" s="2" t="n">
        <v>12</v>
      </c>
      <c r="E125" s="7" t="n">
        <f aca="false">Schedule!$BQ$125</f>
        <v>3.99373397424456</v>
      </c>
      <c r="F125" s="8" t="n">
        <f aca="false">Convolution!O1972</f>
        <v>0.00148242764442635</v>
      </c>
      <c r="G125" s="8" t="n">
        <f aca="false">Convolution!O1973</f>
        <v>0.0201190644930606</v>
      </c>
      <c r="H125" s="8" t="n">
        <f aca="false">Convolution!O1974</f>
        <v>0.101685092149215</v>
      </c>
      <c r="I125" s="8" t="n">
        <f aca="false">Convolution!O1975</f>
        <v>0.241792044053279</v>
      </c>
      <c r="J125" s="8" t="n">
        <f aca="false">Convolution!O1976</f>
        <v>0.29640386674513</v>
      </c>
      <c r="K125" s="8" t="n">
        <f aca="false">Convolution!O1977</f>
        <v>0.2113191636812</v>
      </c>
      <c r="L125" s="8" t="n">
        <f aca="false">Convolution!O1978</f>
        <v>0.0942173718930672</v>
      </c>
      <c r="M125" s="8" t="n">
        <f aca="false">Convolution!O1979</f>
        <v>0.0272025907129724</v>
      </c>
      <c r="N125" s="8" t="n">
        <f aca="false">Convolution!O1980</f>
        <v>0.00511818567620443</v>
      </c>
      <c r="O125" s="8" t="n">
        <f aca="false">Convolution!O1981</f>
        <v>0.000614199189289304</v>
      </c>
      <c r="P125" s="8" t="n">
        <f aca="false">Convolution!O1982</f>
        <v>4.42913803594899E-005</v>
      </c>
      <c r="Q125" s="8" t="n">
        <f aca="false">Convolution!O1983</f>
        <v>1.67894088791166E-006</v>
      </c>
      <c r="R125" s="8" t="n">
        <f aca="false">Convolution!O1984</f>
        <v>2.3440908632839E-008</v>
      </c>
      <c r="S125" s="8" t="n">
        <f aca="false">Convolution!O1985</f>
        <v>0</v>
      </c>
      <c r="T125" s="2" t="str">
        <f aca="false">INDEX($F$1:$S$1,MATCH(MAX(F125:S125),F125:S125,0))</f>
        <v>P(4)</v>
      </c>
      <c r="U125" s="8" t="n">
        <f aca="false">SUM(L125:S125)</f>
        <v>0.127198341233689</v>
      </c>
      <c r="V125" s="8" t="n">
        <f aca="false">SUM(P125:S125)</f>
        <v>4.59937621560344E-005</v>
      </c>
      <c r="W125" s="2" t="n">
        <f aca="false">ROUND(SUM(F125:S125),6)</f>
        <v>1</v>
      </c>
    </row>
    <row r="126" customFormat="false" ht="15" hidden="false" customHeight="false" outlineLevel="0" collapsed="false">
      <c r="A126" s="2" t="n">
        <f aca="false">RANK(E126,$E$2:$E$139)</f>
        <v>112</v>
      </c>
      <c r="B126" s="2" t="s">
        <v>182</v>
      </c>
      <c r="C126" s="6" t="n">
        <f aca="false">Schedule!$B$126</f>
        <v>-18.5</v>
      </c>
      <c r="D126" s="2" t="n">
        <v>12</v>
      </c>
      <c r="E126" s="7" t="n">
        <f aca="false">Schedule!$BQ$126</f>
        <v>4.63212584364565</v>
      </c>
      <c r="F126" s="8" t="n">
        <f aca="false">Convolution!O1988</f>
        <v>4.67144458033127E-005</v>
      </c>
      <c r="G126" s="8" t="n">
        <f aca="false">Convolution!O1989</f>
        <v>0.0078040126745356</v>
      </c>
      <c r="H126" s="8" t="n">
        <f aca="false">Convolution!O1990</f>
        <v>0.0534407817438787</v>
      </c>
      <c r="I126" s="8" t="n">
        <f aca="false">Convolution!O1991</f>
        <v>0.156707405871038</v>
      </c>
      <c r="J126" s="8" t="n">
        <f aca="false">Convolution!O1992</f>
        <v>0.256207502636681</v>
      </c>
      <c r="K126" s="8" t="n">
        <f aca="false">Convolution!O1993</f>
        <v>0.258865710118146</v>
      </c>
      <c r="L126" s="8" t="n">
        <f aca="false">Convolution!O1994</f>
        <v>0.169387768325537</v>
      </c>
      <c r="M126" s="8" t="n">
        <f aca="false">Convolution!O1995</f>
        <v>0.0729596518189428</v>
      </c>
      <c r="N126" s="8" t="n">
        <f aca="false">Convolution!O1996</f>
        <v>0.0205304077826611</v>
      </c>
      <c r="O126" s="8" t="n">
        <f aca="false">Convolution!O1997</f>
        <v>0.00364903624938926</v>
      </c>
      <c r="P126" s="8" t="n">
        <f aca="false">Convolution!O1998</f>
        <v>0.000380708103459822</v>
      </c>
      <c r="Q126" s="8" t="n">
        <f aca="false">Convolution!O1999</f>
        <v>1.9956252559308E-005</v>
      </c>
      <c r="R126" s="8" t="n">
        <f aca="false">Convolution!O2000</f>
        <v>3.43977368541361E-007</v>
      </c>
      <c r="S126" s="8" t="n">
        <f aca="false">Convolution!O2001</f>
        <v>0</v>
      </c>
      <c r="T126" s="2" t="str">
        <f aca="false">INDEX($F$1:$S$1,MATCH(MAX(F126:S126),F126:S126,0))</f>
        <v>P(5)</v>
      </c>
      <c r="U126" s="8" t="n">
        <f aca="false">SUM(L126:S126)</f>
        <v>0.266927872509918</v>
      </c>
      <c r="V126" s="8" t="n">
        <f aca="false">SUM(P126:S126)</f>
        <v>0.000401008333387671</v>
      </c>
      <c r="W126" s="2" t="n">
        <f aca="false">ROUND(SUM(F126:S126),6)</f>
        <v>1</v>
      </c>
    </row>
    <row r="127" customFormat="false" ht="15" hidden="false" customHeight="false" outlineLevel="0" collapsed="false">
      <c r="A127" s="2" t="n">
        <f aca="false">RANK(E127,$E$2:$E$139)</f>
        <v>120</v>
      </c>
      <c r="B127" s="2" t="s">
        <v>183</v>
      </c>
      <c r="C127" s="6" t="n">
        <f aca="false">Schedule!$B$127</f>
        <v>-19.1</v>
      </c>
      <c r="D127" s="2" t="n">
        <v>12</v>
      </c>
      <c r="E127" s="7" t="n">
        <f aca="false">Schedule!$BQ$127</f>
        <v>4.15983543690874</v>
      </c>
      <c r="F127" s="8" t="n">
        <f aca="false">Convolution!O2004</f>
        <v>0.000976021906740794</v>
      </c>
      <c r="G127" s="8" t="n">
        <f aca="false">Convolution!O2005</f>
        <v>0.0175814788148894</v>
      </c>
      <c r="H127" s="8" t="n">
        <f aca="false">Convolution!O2006</f>
        <v>0.0905031963162002</v>
      </c>
      <c r="I127" s="8" t="n">
        <f aca="false">Convolution!O2007</f>
        <v>0.214929696375002</v>
      </c>
      <c r="J127" s="8" t="n">
        <f aca="false">Convolution!O2008</f>
        <v>0.283955584508228</v>
      </c>
      <c r="K127" s="8" t="n">
        <f aca="false">Convolution!O2009</f>
        <v>0.228439596097429</v>
      </c>
      <c r="L127" s="8" t="n">
        <f aca="false">Convolution!O2010</f>
        <v>0.116678732660297</v>
      </c>
      <c r="M127" s="8" t="n">
        <f aca="false">Convolution!O2011</f>
        <v>0.0381564553121319</v>
      </c>
      <c r="N127" s="8" t="n">
        <f aca="false">Convolution!O2012</f>
        <v>0.00779793573426833</v>
      </c>
      <c r="O127" s="8" t="n">
        <f aca="false">Convolution!O2013</f>
        <v>0.000926787901450525</v>
      </c>
      <c r="P127" s="8" t="n">
        <f aca="false">Convolution!O2014</f>
        <v>5.36630028736168E-005</v>
      </c>
      <c r="Q127" s="8" t="n">
        <f aca="false">Convolution!O2015</f>
        <v>8.48792136480718E-007</v>
      </c>
      <c r="R127" s="8" t="n">
        <f aca="false">Convolution!O2016</f>
        <v>2.57835407327037E-009</v>
      </c>
      <c r="S127" s="8" t="n">
        <f aca="false">Convolution!O2017</f>
        <v>0</v>
      </c>
      <c r="T127" s="2" t="str">
        <f aca="false">INDEX($F$1:$S$1,MATCH(MAX(F127:S127),F127:S127,0))</f>
        <v>P(4)</v>
      </c>
      <c r="U127" s="8" t="n">
        <f aca="false">SUM(L127:S127)</f>
        <v>0.163614425981511</v>
      </c>
      <c r="V127" s="8" t="n">
        <f aca="false">SUM(P127:S127)</f>
        <v>5.45143733641708E-005</v>
      </c>
      <c r="W127" s="2" t="n">
        <f aca="false">ROUND(SUM(F127:S127),6)</f>
        <v>1</v>
      </c>
    </row>
    <row r="128" customFormat="false" ht="15" hidden="false" customHeight="false" outlineLevel="0" collapsed="false">
      <c r="A128" s="2" t="n">
        <f aca="false">RANK(E128,$E$2:$E$139)</f>
        <v>132</v>
      </c>
      <c r="B128" s="2" t="s">
        <v>184</v>
      </c>
      <c r="C128" s="6" t="n">
        <f aca="false">Schedule!$B$128</f>
        <v>-19.3</v>
      </c>
      <c r="D128" s="2" t="n">
        <v>12</v>
      </c>
      <c r="E128" s="7" t="n">
        <f aca="false">Schedule!$BQ$128</f>
        <v>3.28791027433124</v>
      </c>
      <c r="F128" s="8" t="n">
        <f aca="false">Convolution!O2020</f>
        <v>0.00327969868217052</v>
      </c>
      <c r="G128" s="8" t="n">
        <f aca="false">Convolution!O2021</f>
        <v>0.0654061608769602</v>
      </c>
      <c r="H128" s="8" t="n">
        <f aca="false">Convolution!O2022</f>
        <v>0.210304922769668</v>
      </c>
      <c r="I128" s="8" t="n">
        <f aca="false">Convolution!O2023</f>
        <v>0.305139383592896</v>
      </c>
      <c r="J128" s="8" t="n">
        <f aca="false">Convolution!O2024</f>
        <v>0.247830349327275</v>
      </c>
      <c r="K128" s="8" t="n">
        <f aca="false">Convolution!O2025</f>
        <v>0.122206728461648</v>
      </c>
      <c r="L128" s="8" t="n">
        <f aca="false">Convolution!O2026</f>
        <v>0.0376735037479413</v>
      </c>
      <c r="M128" s="8" t="n">
        <f aca="false">Convolution!O2027</f>
        <v>0.0072536752588581</v>
      </c>
      <c r="N128" s="8" t="n">
        <f aca="false">Convolution!O2028</f>
        <v>0.000847689431330916</v>
      </c>
      <c r="O128" s="8" t="n">
        <f aca="false">Convolution!O2029</f>
        <v>5.60830883983829E-005</v>
      </c>
      <c r="P128" s="8" t="n">
        <f aca="false">Convolution!O2030</f>
        <v>1.78746796141381E-006</v>
      </c>
      <c r="Q128" s="8" t="n">
        <f aca="false">Convolution!O2031</f>
        <v>1.72452926243323E-008</v>
      </c>
      <c r="R128" s="8" t="n">
        <f aca="false">Convolution!O2032</f>
        <v>4.95992948479354E-011</v>
      </c>
      <c r="S128" s="8" t="n">
        <f aca="false">Convolution!O2033</f>
        <v>0</v>
      </c>
      <c r="T128" s="2" t="str">
        <f aca="false">INDEX($F$1:$S$1,MATCH(MAX(F128:S128),F128:S128,0))</f>
        <v>P(3)</v>
      </c>
      <c r="U128" s="8" t="n">
        <f aca="false">SUM(L128:S128)</f>
        <v>0.0458327562893821</v>
      </c>
      <c r="V128" s="8" t="n">
        <f aca="false">SUM(P128:S128)</f>
        <v>1.80476285333299E-006</v>
      </c>
      <c r="W128" s="2" t="n">
        <f aca="false">ROUND(SUM(F128:S128),6)</f>
        <v>1</v>
      </c>
    </row>
    <row r="129" customFormat="false" ht="15" hidden="false" customHeight="false" outlineLevel="0" collapsed="false">
      <c r="A129" s="2" t="n">
        <f aca="false">RANK(E129,$E$2:$E$139)</f>
        <v>125</v>
      </c>
      <c r="B129" s="2" t="s">
        <v>185</v>
      </c>
      <c r="C129" s="6" t="n">
        <f aca="false">Schedule!$B$129</f>
        <v>-20.7</v>
      </c>
      <c r="D129" s="2" t="n">
        <v>12</v>
      </c>
      <c r="E129" s="7" t="n">
        <f aca="false">Schedule!$BQ$129</f>
        <v>3.72233212145823</v>
      </c>
      <c r="F129" s="8" t="n">
        <f aca="false">Convolution!O2036</f>
        <v>0.00318572009891771</v>
      </c>
      <c r="G129" s="8" t="n">
        <f aca="false">Convolution!O2037</f>
        <v>0.0390194893316235</v>
      </c>
      <c r="H129" s="8" t="n">
        <f aca="false">Convolution!O2038</f>
        <v>0.146026581728948</v>
      </c>
      <c r="I129" s="8" t="n">
        <f aca="false">Convolution!O2039</f>
        <v>0.262867440752597</v>
      </c>
      <c r="J129" s="8" t="n">
        <f aca="false">Convolution!O2040</f>
        <v>0.272207056626438</v>
      </c>
      <c r="K129" s="8" t="n">
        <f aca="false">Convolution!O2041</f>
        <v>0.176570498546736</v>
      </c>
      <c r="L129" s="8" t="n">
        <f aca="false">Convolution!O2042</f>
        <v>0.0747744074722951</v>
      </c>
      <c r="M129" s="8" t="n">
        <f aca="false">Convolution!O2043</f>
        <v>0.020983585753156</v>
      </c>
      <c r="N129" s="8" t="n">
        <f aca="false">Convolution!O2044</f>
        <v>0.00387607245292985</v>
      </c>
      <c r="O129" s="8" t="n">
        <f aca="false">Convolution!O2045</f>
        <v>0.000456288371861915</v>
      </c>
      <c r="P129" s="8" t="n">
        <f aca="false">Convolution!O2046</f>
        <v>3.17511947125483E-005</v>
      </c>
      <c r="Q129" s="8" t="n">
        <f aca="false">Convolution!O2047</f>
        <v>1.09688911293408E-006</v>
      </c>
      <c r="R129" s="8" t="n">
        <f aca="false">Convolution!O2048</f>
        <v>1.07806723784922E-008</v>
      </c>
      <c r="S129" s="8" t="n">
        <f aca="false">Convolution!O2049</f>
        <v>0</v>
      </c>
      <c r="T129" s="2" t="str">
        <f aca="false">INDEX($F$1:$S$1,MATCH(MAX(F129:S129),F129:S129,0))</f>
        <v>P(4)</v>
      </c>
      <c r="U129" s="8" t="n">
        <f aca="false">SUM(L129:S129)</f>
        <v>0.100123212914741</v>
      </c>
      <c r="V129" s="8" t="n">
        <f aca="false">SUM(P129:S129)</f>
        <v>3.28588644978609E-005</v>
      </c>
      <c r="W129" s="2" t="n">
        <f aca="false">ROUND(SUM(F129:S129),6)</f>
        <v>1</v>
      </c>
    </row>
    <row r="130" customFormat="false" ht="15" hidden="false" customHeight="false" outlineLevel="0" collapsed="false">
      <c r="A130" s="2" t="n">
        <f aca="false">RANK(E130,$E$2:$E$139)</f>
        <v>126</v>
      </c>
      <c r="B130" s="2" t="s">
        <v>186</v>
      </c>
      <c r="C130" s="6" t="n">
        <f aca="false">Schedule!$B$130</f>
        <v>-22.4</v>
      </c>
      <c r="D130" s="2" t="n">
        <v>12</v>
      </c>
      <c r="E130" s="7" t="n">
        <f aca="false">Schedule!$BQ$130</f>
        <v>3.62818914817356</v>
      </c>
      <c r="F130" s="8" t="n">
        <f aca="false">Convolution!O2052</f>
        <v>0.00549658222321308</v>
      </c>
      <c r="G130" s="8" t="n">
        <f aca="false">Convolution!O2053</f>
        <v>0.045711343609145</v>
      </c>
      <c r="H130" s="8" t="n">
        <f aca="false">Convolution!O2054</f>
        <v>0.152330583406666</v>
      </c>
      <c r="I130" s="8" t="n">
        <f aca="false">Convolution!O2055</f>
        <v>0.267563838089579</v>
      </c>
      <c r="J130" s="8" t="n">
        <f aca="false">Convolution!O2056</f>
        <v>0.273920101476471</v>
      </c>
      <c r="K130" s="8" t="n">
        <f aca="false">Convolution!O2057</f>
        <v>0.17094097536078</v>
      </c>
      <c r="L130" s="8" t="n">
        <f aca="false">Convolution!O2058</f>
        <v>0.0660435635689881</v>
      </c>
      <c r="M130" s="8" t="n">
        <f aca="false">Convolution!O2059</f>
        <v>0.0156411318153258</v>
      </c>
      <c r="N130" s="8" t="n">
        <f aca="false">Convolution!O2060</f>
        <v>0.00218194922675237</v>
      </c>
      <c r="O130" s="8" t="n">
        <f aca="false">Convolution!O2061</f>
        <v>0.000164409435872368</v>
      </c>
      <c r="P130" s="8" t="n">
        <f aca="false">Convolution!O2062</f>
        <v>5.48175102933287E-006</v>
      </c>
      <c r="Q130" s="8" t="n">
        <f aca="false">Convolution!O2063</f>
        <v>4.00299462865745E-008</v>
      </c>
      <c r="R130" s="8" t="n">
        <f aca="false">Convolution!O2064</f>
        <v>6.23196532842969E-012</v>
      </c>
      <c r="S130" s="8" t="n">
        <f aca="false">Convolution!O2065</f>
        <v>0</v>
      </c>
      <c r="T130" s="2" t="str">
        <f aca="false">INDEX($F$1:$S$1,MATCH(MAX(F130:S130),F130:S130,0))</f>
        <v>P(4)</v>
      </c>
      <c r="U130" s="8" t="n">
        <f aca="false">SUM(L130:S130)</f>
        <v>0.0840365758341462</v>
      </c>
      <c r="V130" s="8" t="n">
        <f aca="false">SUM(P130:S130)</f>
        <v>5.52178720758477E-006</v>
      </c>
      <c r="W130" s="2" t="n">
        <f aca="false">ROUND(SUM(F130:S130),6)</f>
        <v>1</v>
      </c>
    </row>
    <row r="131" customFormat="false" ht="15" hidden="false" customHeight="false" outlineLevel="0" collapsed="false">
      <c r="A131" s="2" t="n">
        <f aca="false">RANK(E131,$E$2:$E$139)</f>
        <v>128</v>
      </c>
      <c r="B131" s="2" t="s">
        <v>187</v>
      </c>
      <c r="C131" s="6" t="n">
        <f aca="false">Schedule!$B$131</f>
        <v>-22.9</v>
      </c>
      <c r="D131" s="2" t="n">
        <v>12</v>
      </c>
      <c r="E131" s="7" t="n">
        <f aca="false">Schedule!$BQ$131</f>
        <v>3.57436943162509</v>
      </c>
      <c r="F131" s="8" t="n">
        <f aca="false">Convolution!O2068</f>
        <v>0.00511557906408028</v>
      </c>
      <c r="G131" s="8" t="n">
        <f aca="false">Convolution!O2069</f>
        <v>0.0474142116034731</v>
      </c>
      <c r="H131" s="8" t="n">
        <f aca="false">Convolution!O2070</f>
        <v>0.162031000824657</v>
      </c>
      <c r="I131" s="8" t="n">
        <f aca="false">Convolution!O2071</f>
        <v>0.276107023585703</v>
      </c>
      <c r="J131" s="8" t="n">
        <f aca="false">Convolution!O2072</f>
        <v>0.269678845685873</v>
      </c>
      <c r="K131" s="8" t="n">
        <f aca="false">Convolution!O2073</f>
        <v>0.161588975484743</v>
      </c>
      <c r="L131" s="8" t="n">
        <f aca="false">Convolution!O2074</f>
        <v>0.0611053603006509</v>
      </c>
      <c r="M131" s="8" t="n">
        <f aca="false">Convolution!O2075</f>
        <v>0.0146011499593941</v>
      </c>
      <c r="N131" s="8" t="n">
        <f aca="false">Convolution!O2076</f>
        <v>0.00215876816993105</v>
      </c>
      <c r="O131" s="8" t="n">
        <f aca="false">Convolution!O2077</f>
        <v>0.000189555183410858</v>
      </c>
      <c r="P131" s="8" t="n">
        <f aca="false">Convolution!O2078</f>
        <v>9.29973954868625E-006</v>
      </c>
      <c r="Q131" s="8" t="n">
        <f aca="false">Convolution!O2079</f>
        <v>2.28259733047678E-007</v>
      </c>
      <c r="R131" s="8" t="n">
        <f aca="false">Convolution!O2080</f>
        <v>2.1388020923423E-009</v>
      </c>
      <c r="S131" s="8" t="n">
        <f aca="false">Convolution!O2081</f>
        <v>0</v>
      </c>
      <c r="T131" s="2" t="str">
        <f aca="false">INDEX($F$1:$S$1,MATCH(MAX(F131:S131),F131:S131,0))</f>
        <v>P(3)</v>
      </c>
      <c r="U131" s="8" t="n">
        <f aca="false">SUM(L131:S131)</f>
        <v>0.0780643637514707</v>
      </c>
      <c r="V131" s="8" t="n">
        <f aca="false">SUM(P131:S131)</f>
        <v>9.53013808382628E-006</v>
      </c>
      <c r="W131" s="2" t="n">
        <f aca="false">ROUND(SUM(F131:S131),6)</f>
        <v>1</v>
      </c>
    </row>
    <row r="132" customFormat="false" ht="15" hidden="false" customHeight="false" outlineLevel="0" collapsed="false">
      <c r="A132" s="2" t="n">
        <f aca="false">RANK(E132,$E$2:$E$139)</f>
        <v>119</v>
      </c>
      <c r="B132" s="2" t="s">
        <v>188</v>
      </c>
      <c r="C132" s="6" t="n">
        <f aca="false">Schedule!$B$132</f>
        <v>-23.4</v>
      </c>
      <c r="D132" s="2" t="n">
        <v>12</v>
      </c>
      <c r="E132" s="7" t="n">
        <f aca="false">Schedule!$BQ$132</f>
        <v>4.23192718750356</v>
      </c>
      <c r="F132" s="8" t="n">
        <f aca="false">Convolution!O2084</f>
        <v>0.000888591442794116</v>
      </c>
      <c r="G132" s="8" t="n">
        <f aca="false">Convolution!O2085</f>
        <v>0.0152706310253454</v>
      </c>
      <c r="H132" s="8" t="n">
        <f aca="false">Convolution!O2086</f>
        <v>0.0831433305353885</v>
      </c>
      <c r="I132" s="8" t="n">
        <f aca="false">Convolution!O2087</f>
        <v>0.206793782755166</v>
      </c>
      <c r="J132" s="8" t="n">
        <f aca="false">Convolution!O2088</f>
        <v>0.282792430863988</v>
      </c>
      <c r="K132" s="8" t="n">
        <f aca="false">Convolution!O2089</f>
        <v>0.234058579530885</v>
      </c>
      <c r="L132" s="8" t="n">
        <f aca="false">Convolution!O2090</f>
        <v>0.123499182740519</v>
      </c>
      <c r="M132" s="8" t="n">
        <f aca="false">Convolution!O2091</f>
        <v>0.0425156842958575</v>
      </c>
      <c r="N132" s="8" t="n">
        <f aca="false">Convolution!O2092</f>
        <v>0.00954825088920794</v>
      </c>
      <c r="O132" s="8" t="n">
        <f aca="false">Convolution!O2093</f>
        <v>0.00136603918603839</v>
      </c>
      <c r="P132" s="8" t="n">
        <f aca="false">Convolution!O2094</f>
        <v>0.000117889741454843</v>
      </c>
      <c r="Q132" s="8" t="n">
        <f aca="false">Convolution!O2095</f>
        <v>5.50160537871198E-006</v>
      </c>
      <c r="R132" s="8" t="n">
        <f aca="false">Convolution!O2096</f>
        <v>1.05387977269373E-007</v>
      </c>
      <c r="S132" s="8" t="n">
        <f aca="false">Convolution!O2097</f>
        <v>0</v>
      </c>
      <c r="T132" s="2" t="str">
        <f aca="false">INDEX($F$1:$S$1,MATCH(MAX(F132:S132),F132:S132,0))</f>
        <v>P(4)</v>
      </c>
      <c r="U132" s="8" t="n">
        <f aca="false">SUM(L132:S132)</f>
        <v>0.177052653846434</v>
      </c>
      <c r="V132" s="8" t="n">
        <f aca="false">SUM(P132:S132)</f>
        <v>0.000123496734810824</v>
      </c>
      <c r="W132" s="2" t="n">
        <f aca="false">ROUND(SUM(F132:S132),6)</f>
        <v>1</v>
      </c>
    </row>
    <row r="133" customFormat="false" ht="15" hidden="false" customHeight="false" outlineLevel="0" collapsed="false">
      <c r="A133" s="2" t="n">
        <f aca="false">RANK(E133,$E$2:$E$139)</f>
        <v>136</v>
      </c>
      <c r="B133" s="2" t="s">
        <v>189</v>
      </c>
      <c r="C133" s="6" t="n">
        <f aca="false">Schedule!$B$133</f>
        <v>-24.1</v>
      </c>
      <c r="D133" s="2" t="n">
        <v>12</v>
      </c>
      <c r="E133" s="7" t="n">
        <f aca="false">Schedule!$BQ$133</f>
        <v>2.25448656043058</v>
      </c>
      <c r="F133" s="8" t="n">
        <f aca="false">Convolution!O2100</f>
        <v>0.0536799945522985</v>
      </c>
      <c r="G133" s="8" t="n">
        <f aca="false">Convolution!O2101</f>
        <v>0.228183669772254</v>
      </c>
      <c r="H133" s="8" t="n">
        <f aca="false">Convolution!O2102</f>
        <v>0.326152774193281</v>
      </c>
      <c r="I133" s="8" t="n">
        <f aca="false">Convolution!O2103</f>
        <v>0.24241818241563</v>
      </c>
      <c r="J133" s="8" t="n">
        <f aca="false">Convolution!O2104</f>
        <v>0.109634766182448</v>
      </c>
      <c r="K133" s="8" t="n">
        <f aca="false">Convolution!O2105</f>
        <v>0.0324502105456905</v>
      </c>
      <c r="L133" s="8" t="n">
        <f aca="false">Convolution!O2106</f>
        <v>0.00650273827548676</v>
      </c>
      <c r="M133" s="8" t="n">
        <f aca="false">Convolution!O2107</f>
        <v>0.000890339839491451</v>
      </c>
      <c r="N133" s="8" t="n">
        <f aca="false">Convolution!O2108</f>
        <v>8.22288502263271E-005</v>
      </c>
      <c r="O133" s="8" t="n">
        <f aca="false">Convolution!O2109</f>
        <v>4.91842959123302E-006</v>
      </c>
      <c r="P133" s="8" t="n">
        <f aca="false">Convolution!O2110</f>
        <v>1.74018848639444E-007</v>
      </c>
      <c r="Q133" s="8" t="n">
        <f aca="false">Convolution!O2111</f>
        <v>2.91639509960624E-009</v>
      </c>
      <c r="R133" s="8" t="n">
        <f aca="false">Convolution!O2112</f>
        <v>8.35867248260733E-012</v>
      </c>
      <c r="S133" s="8" t="n">
        <f aca="false">Convolution!O2113</f>
        <v>0</v>
      </c>
      <c r="T133" s="2" t="str">
        <f aca="false">INDEX($F$1:$S$1,MATCH(MAX(F133:S133),F133:S133,0))</f>
        <v>P(2)</v>
      </c>
      <c r="U133" s="8" t="n">
        <f aca="false">SUM(L133:S133)</f>
        <v>0.00748040233839818</v>
      </c>
      <c r="V133" s="8" t="n">
        <f aca="false">SUM(P133:S133)</f>
        <v>1.76943602411533E-007</v>
      </c>
      <c r="W133" s="2" t="n">
        <f aca="false">ROUND(SUM(F133:S133),6)</f>
        <v>1</v>
      </c>
    </row>
    <row r="134" customFormat="false" ht="15" hidden="false" customHeight="false" outlineLevel="0" collapsed="false">
      <c r="A134" s="2" t="n">
        <f aca="false">RANK(E134,$E$2:$E$139)</f>
        <v>130</v>
      </c>
      <c r="B134" s="2" t="s">
        <v>190</v>
      </c>
      <c r="C134" s="6" t="n">
        <f aca="false">Schedule!$B$134</f>
        <v>-25.1</v>
      </c>
      <c r="D134" s="2" t="n">
        <v>12</v>
      </c>
      <c r="E134" s="7" t="n">
        <f aca="false">Schedule!$BQ$134</f>
        <v>3.37297341039541</v>
      </c>
      <c r="F134" s="8" t="n">
        <f aca="false">Convolution!O2116</f>
        <v>0.0109362186759302</v>
      </c>
      <c r="G134" s="8" t="n">
        <f aca="false">Convolution!O2117</f>
        <v>0.0704862323408378</v>
      </c>
      <c r="H134" s="8" t="n">
        <f aca="false">Convolution!O2118</f>
        <v>0.189254466081491</v>
      </c>
      <c r="I134" s="8" t="n">
        <f aca="false">Convolution!O2119</f>
        <v>0.277926672933203</v>
      </c>
      <c r="J134" s="8" t="n">
        <f aca="false">Convolution!O2120</f>
        <v>0.247203176204555</v>
      </c>
      <c r="K134" s="8" t="n">
        <f aca="false">Convolution!O2121</f>
        <v>0.139560241315935</v>
      </c>
      <c r="L134" s="8" t="n">
        <f aca="false">Convolution!O2122</f>
        <v>0.0508716940971898</v>
      </c>
      <c r="M134" s="8" t="n">
        <f aca="false">Convolution!O2123</f>
        <v>0.0118908024526267</v>
      </c>
      <c r="N134" s="8" t="n">
        <f aca="false">Convolution!O2124</f>
        <v>0.00172181067430304</v>
      </c>
      <c r="O134" s="8" t="n">
        <f aca="false">Convolution!O2125</f>
        <v>0.000142875178710039</v>
      </c>
      <c r="P134" s="8" t="n">
        <f aca="false">Convolution!O2126</f>
        <v>5.73856348772266E-006</v>
      </c>
      <c r="Q134" s="8" t="n">
        <f aca="false">Convolution!O2127</f>
        <v>7.14759063594168E-008</v>
      </c>
      <c r="R134" s="8" t="n">
        <f aca="false">Convolution!O2128</f>
        <v>5.8253584919724E-012</v>
      </c>
      <c r="S134" s="8" t="n">
        <f aca="false">Convolution!O2129</f>
        <v>0</v>
      </c>
      <c r="T134" s="2" t="str">
        <f aca="false">INDEX($F$1:$S$1,MATCH(MAX(F134:S134),F134:S134,0))</f>
        <v>P(3)</v>
      </c>
      <c r="U134" s="8" t="n">
        <f aca="false">SUM(L134:S134)</f>
        <v>0.0646329924480491</v>
      </c>
      <c r="V134" s="8" t="n">
        <f aca="false">SUM(P134:S134)</f>
        <v>5.81004521944057E-006</v>
      </c>
      <c r="W134" s="2" t="n">
        <f aca="false">ROUND(SUM(F134:S134),6)</f>
        <v>1</v>
      </c>
    </row>
    <row r="135" customFormat="false" ht="15" hidden="false" customHeight="false" outlineLevel="0" collapsed="false">
      <c r="A135" s="2" t="n">
        <f aca="false">RANK(E135,$E$2:$E$139)</f>
        <v>134</v>
      </c>
      <c r="B135" s="2" t="s">
        <v>191</v>
      </c>
      <c r="C135" s="6" t="n">
        <f aca="false">Schedule!$B$135</f>
        <v>-26</v>
      </c>
      <c r="D135" s="2" t="n">
        <v>12</v>
      </c>
      <c r="E135" s="7" t="n">
        <f aca="false">Schedule!$BQ$135</f>
        <v>2.89881240581204</v>
      </c>
      <c r="F135" s="8" t="n">
        <f aca="false">Convolution!O2132</f>
        <v>0.0216088506154151</v>
      </c>
      <c r="G135" s="8" t="n">
        <f aca="false">Convolution!O2133</f>
        <v>0.118496004285358</v>
      </c>
      <c r="H135" s="8" t="n">
        <f aca="false">Convolution!O2134</f>
        <v>0.256925097780092</v>
      </c>
      <c r="I135" s="8" t="n">
        <f aca="false">Convolution!O2135</f>
        <v>0.292441163438591</v>
      </c>
      <c r="J135" s="8" t="n">
        <f aca="false">Convolution!O2136</f>
        <v>0.197548867667039</v>
      </c>
      <c r="K135" s="8" t="n">
        <f aca="false">Convolution!O2137</f>
        <v>0.0844580451721449</v>
      </c>
      <c r="L135" s="8" t="n">
        <f aca="false">Convolution!O2138</f>
        <v>0.0236039787965159</v>
      </c>
      <c r="M135" s="8" t="n">
        <f aca="false">Convolution!O2139</f>
        <v>0.00435356586966153</v>
      </c>
      <c r="N135" s="8" t="n">
        <f aca="false">Convolution!O2140</f>
        <v>0.000523389775338803</v>
      </c>
      <c r="O135" s="8" t="n">
        <f aca="false">Convolution!O2141</f>
        <v>3.93301569134901E-005</v>
      </c>
      <c r="P135" s="8" t="n">
        <f aca="false">Convolution!O2142</f>
        <v>1.67525689784839E-006</v>
      </c>
      <c r="Q135" s="8" t="n">
        <f aca="false">Convolution!O2143</f>
        <v>3.11611659041676E-008</v>
      </c>
      <c r="R135" s="8" t="n">
        <f aca="false">Convolution!O2144</f>
        <v>2.48652406044585E-011</v>
      </c>
      <c r="S135" s="8" t="n">
        <f aca="false">Convolution!O2145</f>
        <v>0</v>
      </c>
      <c r="T135" s="2" t="str">
        <f aca="false">INDEX($F$1:$S$1,MATCH(MAX(F135:S135),F135:S135,0))</f>
        <v>P(3)</v>
      </c>
      <c r="U135" s="8" t="n">
        <f aca="false">SUM(L135:S135)</f>
        <v>0.0285219710413587</v>
      </c>
      <c r="V135" s="8" t="n">
        <f aca="false">SUM(P135:S135)</f>
        <v>1.70644292899316E-006</v>
      </c>
      <c r="W135" s="2" t="n">
        <f aca="false">ROUND(SUM(F135:S135),6)</f>
        <v>1</v>
      </c>
    </row>
    <row r="136" customFormat="false" ht="15" hidden="false" customHeight="false" outlineLevel="0" collapsed="false">
      <c r="A136" s="2" t="n">
        <f aca="false">RANK(E136,$E$2:$E$139)</f>
        <v>135</v>
      </c>
      <c r="B136" s="2" t="s">
        <v>192</v>
      </c>
      <c r="C136" s="6" t="n">
        <f aca="false">Schedule!$B$136</f>
        <v>-26.5</v>
      </c>
      <c r="D136" s="2" t="n">
        <v>12</v>
      </c>
      <c r="E136" s="7" t="n">
        <f aca="false">Schedule!$BQ$136</f>
        <v>2.48845657372801</v>
      </c>
      <c r="F136" s="8" t="n">
        <f aca="false">Convolution!O2148</f>
        <v>0.0525066548268676</v>
      </c>
      <c r="G136" s="8" t="n">
        <f aca="false">Convolution!O2149</f>
        <v>0.186670035883939</v>
      </c>
      <c r="H136" s="8" t="n">
        <f aca="false">Convolution!O2150</f>
        <v>0.28863679459284</v>
      </c>
      <c r="I136" s="8" t="n">
        <f aca="false">Convolution!O2151</f>
        <v>0.255970610867598</v>
      </c>
      <c r="J136" s="8" t="n">
        <f aca="false">Convolution!O2152</f>
        <v>0.144605391413086</v>
      </c>
      <c r="K136" s="8" t="n">
        <f aca="false">Convolution!O2153</f>
        <v>0.0546600454409809</v>
      </c>
      <c r="L136" s="8" t="n">
        <f aca="false">Convolution!O2154</f>
        <v>0.0141240671314458</v>
      </c>
      <c r="M136" s="8" t="n">
        <f aca="false">Convolution!O2155</f>
        <v>0.00250207807478999</v>
      </c>
      <c r="N136" s="8" t="n">
        <f aca="false">Convolution!O2156</f>
        <v>0.000299704550238324</v>
      </c>
      <c r="O136" s="8" t="n">
        <f aca="false">Convolution!O2157</f>
        <v>2.3464091563499E-005</v>
      </c>
      <c r="P136" s="8" t="n">
        <f aca="false">Convolution!O2158</f>
        <v>1.12401504597823E-006</v>
      </c>
      <c r="Q136" s="8" t="n">
        <f aca="false">Convolution!O2159</f>
        <v>2.8829558488951E-008</v>
      </c>
      <c r="R136" s="8" t="n">
        <f aca="false">Convolution!O2160</f>
        <v>2.82046833628122E-010</v>
      </c>
      <c r="S136" s="8" t="n">
        <f aca="false">Convolution!O2161</f>
        <v>0</v>
      </c>
      <c r="T136" s="2" t="str">
        <f aca="false">INDEX($F$1:$S$1,MATCH(MAX(F136:S136),F136:S136,0))</f>
        <v>P(2)</v>
      </c>
      <c r="U136" s="8" t="n">
        <f aca="false">SUM(L136:S136)</f>
        <v>0.0169504669746889</v>
      </c>
      <c r="V136" s="8" t="n">
        <f aca="false">SUM(P136:S136)</f>
        <v>1.15312665130081E-006</v>
      </c>
      <c r="W136" s="2" t="n">
        <f aca="false">ROUND(SUM(F136:S136),6)</f>
        <v>1</v>
      </c>
    </row>
    <row r="137" customFormat="false" ht="15" hidden="false" customHeight="false" outlineLevel="0" collapsed="false">
      <c r="A137" s="2" t="n">
        <f aca="false">RANK(E137,$E$2:$E$139)</f>
        <v>137</v>
      </c>
      <c r="B137" s="2" t="s">
        <v>193</v>
      </c>
      <c r="C137" s="6" t="n">
        <f aca="false">Schedule!$B$137</f>
        <v>-28.9</v>
      </c>
      <c r="D137" s="2" t="n">
        <v>12</v>
      </c>
      <c r="E137" s="7" t="n">
        <f aca="false">Schedule!$BQ$137</f>
        <v>2.22704405372548</v>
      </c>
      <c r="F137" s="8" t="n">
        <f aca="false">Convolution!O2164</f>
        <v>0.0567469909915737</v>
      </c>
      <c r="G137" s="8" t="n">
        <f aca="false">Convolution!O2165</f>
        <v>0.232077720321497</v>
      </c>
      <c r="H137" s="8" t="n">
        <f aca="false">Convolution!O2166</f>
        <v>0.327920089731133</v>
      </c>
      <c r="I137" s="8" t="n">
        <f aca="false">Convolution!O2167</f>
        <v>0.239530821760416</v>
      </c>
      <c r="J137" s="8" t="n">
        <f aca="false">Convolution!O2168</f>
        <v>0.106035181508314</v>
      </c>
      <c r="K137" s="8" t="n">
        <f aca="false">Convolution!O2169</f>
        <v>0.0307309366540653</v>
      </c>
      <c r="L137" s="8" t="n">
        <f aca="false">Convolution!O2170</f>
        <v>0.00605554090505692</v>
      </c>
      <c r="M137" s="8" t="n">
        <f aca="false">Convolution!O2171</f>
        <v>0.000821732987141477</v>
      </c>
      <c r="N137" s="8" t="n">
        <f aca="false">Convolution!O2172</f>
        <v>7.61454729495485E-005</v>
      </c>
      <c r="O137" s="8" t="n">
        <f aca="false">Convolution!O2173</f>
        <v>4.66094506639499E-006</v>
      </c>
      <c r="P137" s="8" t="n">
        <f aca="false">Convolution!O2174</f>
        <v>1.75246143741525E-007</v>
      </c>
      <c r="Q137" s="8" t="n">
        <f aca="false">Convolution!O2175</f>
        <v>3.45379084798017E-009</v>
      </c>
      <c r="R137" s="8" t="n">
        <f aca="false">Convolution!O2176</f>
        <v>2.28522933199314E-011</v>
      </c>
      <c r="S137" s="8" t="n">
        <f aca="false">Convolution!O2177</f>
        <v>0</v>
      </c>
      <c r="T137" s="2" t="str">
        <f aca="false">INDEX($F$1:$S$1,MATCH(MAX(F137:S137),F137:S137,0))</f>
        <v>P(2)</v>
      </c>
      <c r="U137" s="8" t="n">
        <f aca="false">SUM(L137:S137)</f>
        <v>0.00695825903300122</v>
      </c>
      <c r="V137" s="8" t="n">
        <f aca="false">SUM(P137:S137)</f>
        <v>1.78722786882825E-007</v>
      </c>
      <c r="W137" s="2" t="n">
        <f aca="false">ROUND(SUM(F137:S137),6)</f>
        <v>1</v>
      </c>
    </row>
    <row r="138" customFormat="false" ht="15" hidden="false" customHeight="false" outlineLevel="0" collapsed="false">
      <c r="A138" s="2" t="n">
        <f aca="false">RANK(E138,$E$2:$E$139)</f>
        <v>138</v>
      </c>
      <c r="B138" s="2" t="s">
        <v>194</v>
      </c>
      <c r="C138" s="6" t="n">
        <f aca="false">Schedule!$B$138</f>
        <v>-29.3</v>
      </c>
      <c r="D138" s="2" t="n">
        <v>12</v>
      </c>
      <c r="E138" s="7" t="n">
        <f aca="false">Schedule!$BQ$138</f>
        <v>1.85356207728962</v>
      </c>
      <c r="F138" s="8" t="n">
        <f aca="false">Convolution!O2180</f>
        <v>0.115175394165621</v>
      </c>
      <c r="G138" s="8" t="n">
        <f aca="false">Convolution!O2181</f>
        <v>0.297907839310054</v>
      </c>
      <c r="H138" s="8" t="n">
        <f aca="false">Convolution!O2182</f>
        <v>0.315094511312284</v>
      </c>
      <c r="I138" s="8" t="n">
        <f aca="false">Convolution!O2183</f>
        <v>0.184694626399351</v>
      </c>
      <c r="J138" s="8" t="n">
        <f aca="false">Convolution!O2184</f>
        <v>0.0676600201749764</v>
      </c>
      <c r="K138" s="8" t="n">
        <f aca="false">Convolution!O2185</f>
        <v>0.0164221811739862</v>
      </c>
      <c r="L138" s="8" t="n">
        <f aca="false">Convolution!O2186</f>
        <v>0.00271360130043332</v>
      </c>
      <c r="M138" s="8" t="n">
        <f aca="false">Convolution!O2187</f>
        <v>0.000307114677502909</v>
      </c>
      <c r="N138" s="8" t="n">
        <f aca="false">Convolution!O2188</f>
        <v>2.3501249706618E-005</v>
      </c>
      <c r="O138" s="8" t="n">
        <f aca="false">Convolution!O2189</f>
        <v>1.17390639388817E-006</v>
      </c>
      <c r="P138" s="8" t="n">
        <f aca="false">Convolution!O2190</f>
        <v>3.57435960153652E-008</v>
      </c>
      <c r="Q138" s="8" t="n">
        <f aca="false">Convolution!O2191</f>
        <v>5.82308067666617E-010</v>
      </c>
      <c r="R138" s="8" t="n">
        <f aca="false">Convolution!O2192</f>
        <v>3.78694981613549E-012</v>
      </c>
      <c r="S138" s="8" t="n">
        <f aca="false">Convolution!O2193</f>
        <v>0</v>
      </c>
      <c r="T138" s="2" t="str">
        <f aca="false">INDEX($F$1:$S$1,MATCH(MAX(F138:S138),F138:S138,0))</f>
        <v>P(2)</v>
      </c>
      <c r="U138" s="8" t="n">
        <f aca="false">SUM(L138:S138)</f>
        <v>0.00304542746372776</v>
      </c>
      <c r="V138" s="8" t="n">
        <f aca="false">SUM(P138:S138)</f>
        <v>3.6329691032848E-008</v>
      </c>
      <c r="W138" s="2" t="n">
        <f aca="false">ROUND(SUM(F138:S138),6)</f>
        <v>1</v>
      </c>
    </row>
    <row r="139" customFormat="false" ht="15" hidden="false" customHeight="false" outlineLevel="0" collapsed="false">
      <c r="A139" s="2" t="n">
        <f aca="false">RANK(E139,$E$2:$E$139)</f>
        <v>133</v>
      </c>
      <c r="B139" s="2" t="s">
        <v>195</v>
      </c>
      <c r="C139" s="6" t="n">
        <f aca="false">Schedule!$B$139</f>
        <v>-32.9</v>
      </c>
      <c r="D139" s="2" t="n">
        <v>12</v>
      </c>
      <c r="E139" s="7" t="n">
        <f aca="false">Schedule!$BQ$139</f>
        <v>3.28319495787538</v>
      </c>
      <c r="F139" s="8" t="n">
        <f aca="false">Convolution!O2196</f>
        <v>0.00124851706765162</v>
      </c>
      <c r="G139" s="8" t="n">
        <f aca="false">Convolution!O2197</f>
        <v>0.0329313501302267</v>
      </c>
      <c r="H139" s="8" t="n">
        <f aca="false">Convolution!O2198</f>
        <v>0.216101447771314</v>
      </c>
      <c r="I139" s="8" t="n">
        <f aca="false">Convolution!O2199</f>
        <v>0.351697549887327</v>
      </c>
      <c r="J139" s="8" t="n">
        <f aca="false">Convolution!O2200</f>
        <v>0.261573727679662</v>
      </c>
      <c r="K139" s="8" t="n">
        <f aca="false">Convolution!O2201</f>
        <v>0.106571072250075</v>
      </c>
      <c r="L139" s="8" t="n">
        <f aca="false">Convolution!O2202</f>
        <v>0.0257056415228524</v>
      </c>
      <c r="M139" s="8" t="n">
        <f aca="false">Convolution!O2203</f>
        <v>0.00380230400745679</v>
      </c>
      <c r="N139" s="8" t="n">
        <f aca="false">Convolution!O2204</f>
        <v>0.00034833478149058</v>
      </c>
      <c r="O139" s="8" t="n">
        <f aca="false">Convolution!O2205</f>
        <v>1.94238148354922E-005</v>
      </c>
      <c r="P139" s="8" t="n">
        <f aca="false">Convolution!O2206</f>
        <v>6.21210874281623E-007</v>
      </c>
      <c r="Q139" s="8" t="n">
        <f aca="false">Convolution!O2207</f>
        <v>9.82678124272657E-009</v>
      </c>
      <c r="R139" s="8" t="n">
        <f aca="false">Convolution!O2208</f>
        <v>4.94527569866165E-011</v>
      </c>
      <c r="S139" s="8" t="n">
        <f aca="false">Convolution!O2209</f>
        <v>0</v>
      </c>
      <c r="T139" s="2" t="str">
        <f aca="false">INDEX($F$1:$S$1,MATCH(MAX(F139:S139),F139:S139,0))</f>
        <v>P(3)</v>
      </c>
      <c r="U139" s="8" t="n">
        <f aca="false">SUM(L139:S139)</f>
        <v>0.0298763352137435</v>
      </c>
      <c r="V139" s="8" t="n">
        <f aca="false">SUM(P139:S139)</f>
        <v>6.31087108281336E-007</v>
      </c>
      <c r="W139" s="2" t="n">
        <f aca="false">ROUND(SUM(F139:S139),6)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46.25" hidden="false" customHeight="false" outlineLevel="0" collapsed="false">
      <c r="A1" s="4" t="s">
        <v>36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  <c r="I1" s="4" t="s">
        <v>203</v>
      </c>
      <c r="J1" s="4" t="s">
        <v>204</v>
      </c>
      <c r="K1" s="4" t="s">
        <v>205</v>
      </c>
      <c r="L1" s="4" t="s">
        <v>206</v>
      </c>
      <c r="M1" s="4" t="s">
        <v>207</v>
      </c>
      <c r="N1" s="4" t="s">
        <v>208</v>
      </c>
      <c r="O1" s="4" t="s">
        <v>209</v>
      </c>
      <c r="P1" s="4" t="s">
        <v>210</v>
      </c>
    </row>
    <row r="2" customFormat="false" ht="15" hidden="false" customHeight="false" outlineLevel="0" collapsed="false">
      <c r="A2" s="2" t="s">
        <v>58</v>
      </c>
      <c r="B2" s="3" t="n">
        <v>9.5</v>
      </c>
      <c r="C2" s="3" t="n">
        <v>-166</v>
      </c>
      <c r="D2" s="3" t="n">
        <v>140</v>
      </c>
      <c r="E2" s="7" t="n">
        <f aca="false">Win_Probabilities!E2</f>
        <v>10.2059667197444</v>
      </c>
      <c r="F2" s="8" t="n">
        <f aca="false">SUMPRODUCT((Win_Probabilities!$F$1:$S$1&lt;&gt;"")*(COLUMN(Win_Probabilities!$F$1:$S$1)-COLUMN(Win_Probabilities!$F$1)&gt;$B2)*Win_Probabilities!$F2:$S2)</f>
        <v>0.74659983523341</v>
      </c>
      <c r="G2" s="8" t="n">
        <f aca="false">IF(C2&lt;0,-C2/(-C2+100),100/(C2+100))</f>
        <v>0.62406015037594</v>
      </c>
      <c r="H2" s="8" t="n">
        <f aca="false">IF(D2&lt;0,-D2/(-D2+100),100/(D2+100))</f>
        <v>0.416666666666667</v>
      </c>
      <c r="I2" s="8" t="n">
        <f aca="false">G2+H2-1</f>
        <v>0.0407268170426065</v>
      </c>
      <c r="J2" s="8" t="n">
        <f aca="false">G2/(G2+H2)</f>
        <v>0.599638771824202</v>
      </c>
      <c r="K2" s="8" t="n">
        <f aca="false">F2-J2</f>
        <v>0.146961063409207</v>
      </c>
      <c r="L2" s="2" t="str">
        <f aca="false">IF(K2&gt;0,"OVER","UNDER")</f>
        <v>OVER</v>
      </c>
      <c r="M2" s="8" t="n">
        <f aca="false">IF(K2&gt;0,F2,1-F2)</f>
        <v>0.74659983523341</v>
      </c>
      <c r="N2" s="2" t="n">
        <f aca="false">IF(K2&gt;0,C2,D2)</f>
        <v>-166</v>
      </c>
      <c r="O2" s="9" t="n">
        <f aca="false">M2*IF(N2&lt;0,10000/-N2,N2)-(1-M2)*100</f>
        <v>19.6358772121006</v>
      </c>
      <c r="P2" s="8" t="n">
        <f aca="false">MAX(0,(M2*(IF(N2&lt;0,100/-N2,N2/100)+1)-1)/IF(N2&lt;0,100/-N2,N2/100))</f>
        <v>0.32595556172087</v>
      </c>
    </row>
    <row r="3" customFormat="false" ht="15" hidden="false" customHeight="false" outlineLevel="0" collapsed="false">
      <c r="A3" s="2" t="s">
        <v>59</v>
      </c>
      <c r="B3" s="3" t="n">
        <v>10.5</v>
      </c>
      <c r="C3" s="3" t="n">
        <v>100</v>
      </c>
      <c r="D3" s="3" t="n">
        <v>-120</v>
      </c>
      <c r="E3" s="7" t="n">
        <f aca="false">Win_Probabilities!E3</f>
        <v>10.1750939623083</v>
      </c>
      <c r="F3" s="8" t="n">
        <f aca="false">SUMPRODUCT((Win_Probabilities!$F$1:$S$1&lt;&gt;"")*(COLUMN(Win_Probabilities!$F$1:$S$1)-COLUMN(Win_Probabilities!$F$1)&gt;$B3)*Win_Probabilities!$F3:$S3)</f>
        <v>0.413380198421572</v>
      </c>
      <c r="G3" s="8" t="n">
        <f aca="false">IF(C3&lt;0,-C3/(-C3+100),100/(C3+100))</f>
        <v>0.5</v>
      </c>
      <c r="H3" s="8" t="n">
        <f aca="false">IF(D3&lt;0,-D3/(-D3+100),100/(D3+100))</f>
        <v>0.545454545454545</v>
      </c>
      <c r="I3" s="8" t="n">
        <f aca="false">G3+H3-1</f>
        <v>0.0454545454545454</v>
      </c>
      <c r="J3" s="8" t="n">
        <f aca="false">G3/(G3+H3)</f>
        <v>0.478260869565217</v>
      </c>
      <c r="K3" s="8" t="n">
        <f aca="false">F3-J3</f>
        <v>-0.0648806711436455</v>
      </c>
      <c r="L3" s="2" t="str">
        <f aca="false">IF(K3&gt;0,"OVER","UNDER")</f>
        <v>UNDER</v>
      </c>
      <c r="M3" s="8" t="n">
        <f aca="false">IF(K3&gt;0,F3,1-F3)</f>
        <v>0.586619801578428</v>
      </c>
      <c r="N3" s="2" t="n">
        <f aca="false">IF(K3&gt;0,C3,D3)</f>
        <v>-120</v>
      </c>
      <c r="O3" s="9" t="n">
        <f aca="false">M3*IF(N3&lt;0,10000/-N3,N3)-(1-M3)*100</f>
        <v>7.54696362271181</v>
      </c>
      <c r="P3" s="8" t="n">
        <f aca="false">MAX(0,(M3*(IF(N3&lt;0,100/-N3,N3/100)+1)-1)/IF(N3&lt;0,100/-N3,N3/100))</f>
        <v>0.090563563472542</v>
      </c>
    </row>
    <row r="4" customFormat="false" ht="15" hidden="false" customHeight="false" outlineLevel="0" collapsed="false">
      <c r="A4" s="2" t="s">
        <v>60</v>
      </c>
      <c r="B4" s="3" t="n">
        <v>11.5</v>
      </c>
      <c r="C4" s="3" t="n">
        <v>160</v>
      </c>
      <c r="D4" s="3" t="n">
        <v>-190</v>
      </c>
      <c r="E4" s="7" t="n">
        <f aca="false">Win_Probabilities!E4</f>
        <v>10.8009833490479</v>
      </c>
      <c r="F4" s="8" t="n">
        <f aca="false">SUMPRODUCT((Win_Probabilities!$F$1:$S$1&lt;&gt;"")*(COLUMN(Win_Probabilities!$F$1:$S$1)-COLUMN(Win_Probabilities!$F$1)&gt;$B4)*Win_Probabilities!$F4:$S4)</f>
        <v>0.26006171967295</v>
      </c>
      <c r="G4" s="8" t="n">
        <f aca="false">IF(C4&lt;0,-C4/(-C4+100),100/(C4+100))</f>
        <v>0.384615384615385</v>
      </c>
      <c r="H4" s="8" t="n">
        <f aca="false">IF(D4&lt;0,-D4/(-D4+100),100/(D4+100))</f>
        <v>0.655172413793103</v>
      </c>
      <c r="I4" s="8" t="n">
        <f aca="false">G4+H4-1</f>
        <v>0.039787798408488</v>
      </c>
      <c r="J4" s="8" t="n">
        <f aca="false">G4/(G4+H4)</f>
        <v>0.369897959183674</v>
      </c>
      <c r="K4" s="8" t="n">
        <f aca="false">F4-J4</f>
        <v>-0.109836239510724</v>
      </c>
      <c r="L4" s="2" t="str">
        <f aca="false">IF(K4&gt;0,"OVER","UNDER")</f>
        <v>UNDER</v>
      </c>
      <c r="M4" s="8" t="n">
        <f aca="false">IF(K4&gt;0,F4,1-F4)</f>
        <v>0.73993828032705</v>
      </c>
      <c r="N4" s="2" t="n">
        <f aca="false">IF(K4&gt;0,C4,D4)</f>
        <v>-190</v>
      </c>
      <c r="O4" s="9" t="n">
        <f aca="false">M4*IF(N4&lt;0,10000/-N4,N4)-(1-M4)*100</f>
        <v>12.9379480499182</v>
      </c>
      <c r="P4" s="8" t="n">
        <f aca="false">MAX(0,(M4*(IF(N4&lt;0,100/-N4,N4/100)+1)-1)/IF(N4&lt;0,100/-N4,N4/100))</f>
        <v>0.245821012948445</v>
      </c>
    </row>
    <row r="5" customFormat="false" ht="15" hidden="false" customHeight="false" outlineLevel="0" collapsed="false">
      <c r="A5" s="2" t="s">
        <v>61</v>
      </c>
      <c r="B5" s="3" t="n">
        <v>9.5</v>
      </c>
      <c r="C5" s="3" t="n">
        <v>-180</v>
      </c>
      <c r="D5" s="3" t="n">
        <v>150</v>
      </c>
      <c r="E5" s="7" t="n">
        <f aca="false">Win_Probabilities!E5</f>
        <v>9.91770969117092</v>
      </c>
      <c r="F5" s="8" t="n">
        <f aca="false">SUMPRODUCT((Win_Probabilities!$F$1:$S$1&lt;&gt;"")*(COLUMN(Win_Probabilities!$F$1:$S$1)-COLUMN(Win_Probabilities!$F$1)&gt;$B5)*Win_Probabilities!$F5:$S5)</f>
        <v>0.65380908922937</v>
      </c>
      <c r="G5" s="8" t="n">
        <f aca="false">IF(C5&lt;0,-C5/(-C5+100),100/(C5+100))</f>
        <v>0.642857142857143</v>
      </c>
      <c r="H5" s="8" t="n">
        <f aca="false">IF(D5&lt;0,-D5/(-D5+100),100/(D5+100))</f>
        <v>0.4</v>
      </c>
      <c r="I5" s="8" t="n">
        <f aca="false">G5+H5-1</f>
        <v>0.0428571428571429</v>
      </c>
      <c r="J5" s="8" t="n">
        <f aca="false">G5/(G5+H5)</f>
        <v>0.616438356164384</v>
      </c>
      <c r="K5" s="8" t="n">
        <f aca="false">F5-J5</f>
        <v>0.037370733064986</v>
      </c>
      <c r="L5" s="2" t="str">
        <f aca="false">IF(K5&gt;0,"OVER","UNDER")</f>
        <v>OVER</v>
      </c>
      <c r="M5" s="8" t="n">
        <f aca="false">IF(K5&gt;0,F5,1-F5)</f>
        <v>0.65380908922937</v>
      </c>
      <c r="N5" s="2" t="n">
        <f aca="false">IF(K5&gt;0,C5,D5)</f>
        <v>-180</v>
      </c>
      <c r="O5" s="9" t="n">
        <f aca="false">M5*IF(N5&lt;0,10000/-N5,N5)-(1-M5)*100</f>
        <v>1.70363610234637</v>
      </c>
      <c r="P5" s="8" t="n">
        <f aca="false">MAX(0,(M5*(IF(N5&lt;0,100/-N5,N5/100)+1)-1)/IF(N5&lt;0,100/-N5,N5/100))</f>
        <v>0.0306654498422349</v>
      </c>
    </row>
    <row r="6" customFormat="false" ht="15" hidden="false" customHeight="false" outlineLevel="0" collapsed="false">
      <c r="A6" s="2" t="s">
        <v>62</v>
      </c>
      <c r="B6" s="3" t="n">
        <v>10.5</v>
      </c>
      <c r="C6" s="3" t="n">
        <v>105</v>
      </c>
      <c r="D6" s="3" t="n">
        <v>-125</v>
      </c>
      <c r="E6" s="7" t="n">
        <f aca="false">Win_Probabilities!E6</f>
        <v>9.97676585168194</v>
      </c>
      <c r="F6" s="8" t="n">
        <f aca="false">SUMPRODUCT((Win_Probabilities!$F$1:$S$1&lt;&gt;"")*(COLUMN(Win_Probabilities!$F$1:$S$1)-COLUMN(Win_Probabilities!$F$1)&gt;$B6)*Win_Probabilities!$F6:$S6)</f>
        <v>0.341615945584312</v>
      </c>
      <c r="G6" s="8" t="n">
        <f aca="false">IF(C6&lt;0,-C6/(-C6+100),100/(C6+100))</f>
        <v>0.487804878048781</v>
      </c>
      <c r="H6" s="8" t="n">
        <f aca="false">IF(D6&lt;0,-D6/(-D6+100),100/(D6+100))</f>
        <v>0.555555555555556</v>
      </c>
      <c r="I6" s="8" t="n">
        <f aca="false">G6+H6-1</f>
        <v>0.0433604336043361</v>
      </c>
      <c r="J6" s="8" t="n">
        <f aca="false">G6/(G6+H6)</f>
        <v>0.467532467532468</v>
      </c>
      <c r="K6" s="8" t="n">
        <f aca="false">F6-J6</f>
        <v>-0.125916521948155</v>
      </c>
      <c r="L6" s="2" t="str">
        <f aca="false">IF(K6&gt;0,"OVER","UNDER")</f>
        <v>UNDER</v>
      </c>
      <c r="M6" s="8" t="n">
        <f aca="false">IF(K6&gt;0,F6,1-F6)</f>
        <v>0.658384054415688</v>
      </c>
      <c r="N6" s="2" t="n">
        <f aca="false">IF(K6&gt;0,C6,D6)</f>
        <v>-125</v>
      </c>
      <c r="O6" s="9" t="n">
        <f aca="false">M6*IF(N6&lt;0,10000/-N6,N6)-(1-M6)*100</f>
        <v>18.5091297948238</v>
      </c>
      <c r="P6" s="8" t="n">
        <f aca="false">MAX(0,(M6*(IF(N6&lt;0,100/-N6,N6/100)+1)-1)/IF(N6&lt;0,100/-N6,N6/100))</f>
        <v>0.231364122435298</v>
      </c>
    </row>
    <row r="7" customFormat="false" ht="15" hidden="false" customHeight="false" outlineLevel="0" collapsed="false">
      <c r="A7" s="2" t="s">
        <v>63</v>
      </c>
      <c r="B7" s="3" t="n">
        <v>9.5</v>
      </c>
      <c r="C7" s="3" t="n">
        <v>120</v>
      </c>
      <c r="D7" s="3" t="n">
        <v>-142</v>
      </c>
      <c r="E7" s="7" t="n">
        <f aca="false">Win_Probabilities!E7</f>
        <v>8.24063646267982</v>
      </c>
      <c r="F7" s="8" t="n">
        <f aca="false">SUMPRODUCT((Win_Probabilities!$F$1:$S$1&lt;&gt;"")*(COLUMN(Win_Probabilities!$F$1:$S$1)-COLUMN(Win_Probabilities!$F$1)&gt;$B7)*Win_Probabilities!$F7:$S7)</f>
        <v>0.194219407341578</v>
      </c>
      <c r="G7" s="8" t="n">
        <f aca="false">IF(C7&lt;0,-C7/(-C7+100),100/(C7+100))</f>
        <v>0.454545454545455</v>
      </c>
      <c r="H7" s="8" t="n">
        <f aca="false">IF(D7&lt;0,-D7/(-D7+100),100/(D7+100))</f>
        <v>0.586776859504132</v>
      </c>
      <c r="I7" s="8" t="n">
        <f aca="false">G7+H7-1</f>
        <v>0.0413223140495869</v>
      </c>
      <c r="J7" s="8" t="n">
        <f aca="false">G7/(G7+H7)</f>
        <v>0.436507936507936</v>
      </c>
      <c r="K7" s="8" t="n">
        <f aca="false">F7-J7</f>
        <v>-0.242288529166358</v>
      </c>
      <c r="L7" s="2" t="str">
        <f aca="false">IF(K7&gt;0,"OVER","UNDER")</f>
        <v>UNDER</v>
      </c>
      <c r="M7" s="8" t="n">
        <f aca="false">IF(K7&gt;0,F7,1-F7)</f>
        <v>0.805780592658422</v>
      </c>
      <c r="N7" s="2" t="n">
        <f aca="false">IF(K7&gt;0,C7,D7)</f>
        <v>-142</v>
      </c>
      <c r="O7" s="9" t="n">
        <f aca="false">M7*IF(N7&lt;0,10000/-N7,N7)-(1-M7)*100</f>
        <v>37.323171424886</v>
      </c>
      <c r="P7" s="8" t="n">
        <f aca="false">MAX(0,(M7*(IF(N7&lt;0,100/-N7,N7/100)+1)-1)/IF(N7&lt;0,100/-N7,N7/100))</f>
        <v>0.529989034233381</v>
      </c>
    </row>
    <row r="8" customFormat="false" ht="15" hidden="false" customHeight="false" outlineLevel="0" collapsed="false">
      <c r="A8" s="2" t="s">
        <v>64</v>
      </c>
      <c r="B8" s="3" t="n">
        <v>10.5</v>
      </c>
      <c r="C8" s="3" t="n">
        <v>-110</v>
      </c>
      <c r="D8" s="3" t="n">
        <v>-110</v>
      </c>
      <c r="E8" s="7" t="n">
        <f aca="false">Win_Probabilities!E8</f>
        <v>9.95831019691517</v>
      </c>
      <c r="F8" s="8" t="n">
        <f aca="false">SUMPRODUCT((Win_Probabilities!$F$1:$S$1&lt;&gt;"")*(COLUMN(Win_Probabilities!$F$1:$S$1)-COLUMN(Win_Probabilities!$F$1)&gt;$B8)*Win_Probabilities!$F8:$S8)</f>
        <v>0.339870725954106</v>
      </c>
      <c r="G8" s="8" t="n">
        <f aca="false">IF(C8&lt;0,-C8/(-C8+100),100/(C8+100))</f>
        <v>0.523809523809524</v>
      </c>
      <c r="H8" s="8" t="n">
        <f aca="false">IF(D8&lt;0,-D8/(-D8+100),100/(D8+100))</f>
        <v>0.523809523809524</v>
      </c>
      <c r="I8" s="8" t="n">
        <f aca="false">G8+H8-1</f>
        <v>0.0476190476190477</v>
      </c>
      <c r="J8" s="8" t="n">
        <f aca="false">G8/(G8+H8)</f>
        <v>0.5</v>
      </c>
      <c r="K8" s="8" t="n">
        <f aca="false">F8-J8</f>
        <v>-0.160129274045894</v>
      </c>
      <c r="L8" s="2" t="str">
        <f aca="false">IF(K8&gt;0,"OVER","UNDER")</f>
        <v>UNDER</v>
      </c>
      <c r="M8" s="8" t="n">
        <f aca="false">IF(K8&gt;0,F8,1-F8)</f>
        <v>0.660129274045894</v>
      </c>
      <c r="N8" s="2" t="n">
        <f aca="false">IF(K8&gt;0,C8,D8)</f>
        <v>-110</v>
      </c>
      <c r="O8" s="9" t="n">
        <f aca="false">M8*IF(N8&lt;0,10000/-N8,N8)-(1-M8)*100</f>
        <v>26.0246795905798</v>
      </c>
      <c r="P8" s="8" t="n">
        <f aca="false">MAX(0,(M8*(IF(N8&lt;0,100/-N8,N8/100)+1)-1)/IF(N8&lt;0,100/-N8,N8/100))</f>
        <v>0.286271475496378</v>
      </c>
    </row>
    <row r="9" customFormat="false" ht="15" hidden="false" customHeight="false" outlineLevel="0" collapsed="false">
      <c r="A9" s="2" t="s">
        <v>65</v>
      </c>
      <c r="B9" s="3" t="n">
        <v>10.5</v>
      </c>
      <c r="C9" s="3" t="n">
        <v>-200</v>
      </c>
      <c r="D9" s="3" t="n">
        <v>160</v>
      </c>
      <c r="E9" s="7" t="n">
        <f aca="false">Win_Probabilities!E9</f>
        <v>10.6104956493875</v>
      </c>
      <c r="F9" s="8" t="n">
        <f aca="false">SUMPRODUCT((Win_Probabilities!$F$1:$S$1&lt;&gt;"")*(COLUMN(Win_Probabilities!$F$1:$S$1)-COLUMN(Win_Probabilities!$F$1)&gt;$B9)*Win_Probabilities!$F9:$S9)</f>
        <v>0.584381403378715</v>
      </c>
      <c r="G9" s="8" t="n">
        <f aca="false">IF(C9&lt;0,-C9/(-C9+100),100/(C9+100))</f>
        <v>0.666666666666667</v>
      </c>
      <c r="H9" s="8" t="n">
        <f aca="false">IF(D9&lt;0,-D9/(-D9+100),100/(D9+100))</f>
        <v>0.384615384615385</v>
      </c>
      <c r="I9" s="8" t="n">
        <f aca="false">G9+H9-1</f>
        <v>0.0512820512820513</v>
      </c>
      <c r="J9" s="8" t="n">
        <f aca="false">G9/(G9+H9)</f>
        <v>0.634146341463415</v>
      </c>
      <c r="K9" s="8" t="n">
        <f aca="false">F9-J9</f>
        <v>-0.0497649380846998</v>
      </c>
      <c r="L9" s="2" t="str">
        <f aca="false">IF(K9&gt;0,"OVER","UNDER")</f>
        <v>UNDER</v>
      </c>
      <c r="M9" s="8" t="n">
        <f aca="false">IF(K9&gt;0,F9,1-F9)</f>
        <v>0.415618596621285</v>
      </c>
      <c r="N9" s="2" t="n">
        <f aca="false">IF(K9&gt;0,C9,D9)</f>
        <v>160</v>
      </c>
      <c r="O9" s="9" t="n">
        <f aca="false">M9*IF(N9&lt;0,10000/-N9,N9)-(1-M9)*100</f>
        <v>8.06083512153418</v>
      </c>
      <c r="P9" s="8" t="n">
        <f aca="false">MAX(0,(M9*(IF(N9&lt;0,100/-N9,N9/100)+1)-1)/IF(N9&lt;0,100/-N9,N9/100))</f>
        <v>0.0503802195095887</v>
      </c>
    </row>
    <row r="10" customFormat="false" ht="15" hidden="false" customHeight="false" outlineLevel="0" collapsed="false">
      <c r="A10" s="2" t="s">
        <v>66</v>
      </c>
      <c r="B10" s="3" t="n">
        <v>8.5</v>
      </c>
      <c r="C10" s="3" t="n">
        <v>100</v>
      </c>
      <c r="D10" s="3" t="n">
        <v>-120</v>
      </c>
      <c r="E10" s="7" t="n">
        <f aca="false">Win_Probabilities!E10</f>
        <v>8.45076333021763</v>
      </c>
      <c r="F10" s="8" t="n">
        <f aca="false">SUMPRODUCT((Win_Probabilities!$F$1:$S$1&lt;&gt;"")*(COLUMN(Win_Probabilities!$F$1:$S$1)-COLUMN(Win_Probabilities!$F$1)&gt;$B10)*Win_Probabilities!$F10:$S10)</f>
        <v>0.495736443141894</v>
      </c>
      <c r="G10" s="8" t="n">
        <f aca="false">IF(C10&lt;0,-C10/(-C10+100),100/(C10+100))</f>
        <v>0.5</v>
      </c>
      <c r="H10" s="8" t="n">
        <f aca="false">IF(D10&lt;0,-D10/(-D10+100),100/(D10+100))</f>
        <v>0.545454545454545</v>
      </c>
      <c r="I10" s="8" t="n">
        <f aca="false">G10+H10-1</f>
        <v>0.0454545454545454</v>
      </c>
      <c r="J10" s="8" t="n">
        <f aca="false">G10/(G10+H10)</f>
        <v>0.478260869565217</v>
      </c>
      <c r="K10" s="8" t="n">
        <f aca="false">F10-J10</f>
        <v>0.017475573576677</v>
      </c>
      <c r="L10" s="2" t="str">
        <f aca="false">IF(K10&gt;0,"OVER","UNDER")</f>
        <v>OVER</v>
      </c>
      <c r="M10" s="8" t="n">
        <f aca="false">IF(K10&gt;0,F10,1-F10)</f>
        <v>0.495736443141894</v>
      </c>
      <c r="N10" s="2" t="n">
        <f aca="false">IF(K10&gt;0,C10,D10)</f>
        <v>100</v>
      </c>
      <c r="O10" s="9" t="n">
        <f aca="false">M10*IF(N10&lt;0,10000/-N10,N10)-(1-M10)*100</f>
        <v>-0.852711371621126</v>
      </c>
      <c r="P10" s="8" t="n">
        <f aca="false">MAX(0,(M10*(IF(N10&lt;0,100/-N10,N10/100)+1)-1)/IF(N10&lt;0,100/-N10,N10/100))</f>
        <v>0</v>
      </c>
    </row>
    <row r="11" customFormat="false" ht="15" hidden="false" customHeight="false" outlineLevel="0" collapsed="false">
      <c r="A11" s="2" t="s">
        <v>67</v>
      </c>
      <c r="B11" s="3" t="n">
        <v>8.5</v>
      </c>
      <c r="C11" s="3" t="n">
        <v>-115</v>
      </c>
      <c r="D11" s="3" t="n">
        <v>-105</v>
      </c>
      <c r="E11" s="7" t="n">
        <f aca="false">Win_Probabilities!E11</f>
        <v>8.53053727255091</v>
      </c>
      <c r="F11" s="8" t="n">
        <f aca="false">SUMPRODUCT((Win_Probabilities!$F$1:$S$1&lt;&gt;"")*(COLUMN(Win_Probabilities!$F$1:$S$1)-COLUMN(Win_Probabilities!$F$1)&gt;$B11)*Win_Probabilities!$F11:$S11)</f>
        <v>0.520830248924694</v>
      </c>
      <c r="G11" s="8" t="n">
        <f aca="false">IF(C11&lt;0,-C11/(-C11+100),100/(C11+100))</f>
        <v>0.534883720930233</v>
      </c>
      <c r="H11" s="8" t="n">
        <f aca="false">IF(D11&lt;0,-D11/(-D11+100),100/(D11+100))</f>
        <v>0.51219512195122</v>
      </c>
      <c r="I11" s="8" t="n">
        <f aca="false">G11+H11-1</f>
        <v>0.0470788428814521</v>
      </c>
      <c r="J11" s="8" t="n">
        <f aca="false">G11/(G11+H11)</f>
        <v>0.510834236186349</v>
      </c>
      <c r="K11" s="8" t="n">
        <f aca="false">F11-J11</f>
        <v>0.00999601273834505</v>
      </c>
      <c r="L11" s="2" t="str">
        <f aca="false">IF(K11&gt;0,"OVER","UNDER")</f>
        <v>OVER</v>
      </c>
      <c r="M11" s="8" t="n">
        <f aca="false">IF(K11&gt;0,F11,1-F11)</f>
        <v>0.520830248924694</v>
      </c>
      <c r="N11" s="2" t="n">
        <f aca="false">IF(K11&gt;0,C11,D11)</f>
        <v>-115</v>
      </c>
      <c r="O11" s="9" t="n">
        <f aca="false">M11*IF(N11&lt;0,10000/-N11,N11)-(1-M11)*100</f>
        <v>-2.62738824451375</v>
      </c>
      <c r="P11" s="8" t="n">
        <f aca="false">MAX(0,(M11*(IF(N11&lt;0,100/-N11,N11/100)+1)-1)/IF(N11&lt;0,100/-N11,N11/100))</f>
        <v>0</v>
      </c>
    </row>
    <row r="12" customFormat="false" ht="15" hidden="false" customHeight="false" outlineLevel="0" collapsed="false">
      <c r="A12" s="2" t="s">
        <v>68</v>
      </c>
      <c r="B12" s="3" t="n">
        <v>7.5</v>
      </c>
      <c r="C12" s="3" t="n">
        <v>-148</v>
      </c>
      <c r="D12" s="3" t="n">
        <v>124</v>
      </c>
      <c r="E12" s="7" t="n">
        <f aca="false">Win_Probabilities!E12</f>
        <v>7.54176470074744</v>
      </c>
      <c r="F12" s="8" t="n">
        <f aca="false">SUMPRODUCT((Win_Probabilities!$F$1:$S$1&lt;&gt;"")*(COLUMN(Win_Probabilities!$F$1:$S$1)-COLUMN(Win_Probabilities!$F$1)&gt;$B12)*Win_Probabilities!$F12:$S12)</f>
        <v>0.516536862498931</v>
      </c>
      <c r="G12" s="8" t="n">
        <f aca="false">IF(C12&lt;0,-C12/(-C12+100),100/(C12+100))</f>
        <v>0.596774193548387</v>
      </c>
      <c r="H12" s="8" t="n">
        <f aca="false">IF(D12&lt;0,-D12/(-D12+100),100/(D12+100))</f>
        <v>0.446428571428571</v>
      </c>
      <c r="I12" s="8" t="n">
        <f aca="false">G12+H12-1</f>
        <v>0.0432027649769586</v>
      </c>
      <c r="J12" s="8" t="n">
        <f aca="false">G12/(G12+H12)</f>
        <v>0.572059635560464</v>
      </c>
      <c r="K12" s="8" t="n">
        <f aca="false">F12-J12</f>
        <v>-0.055522773061533</v>
      </c>
      <c r="L12" s="2" t="str">
        <f aca="false">IF(K12&gt;0,"OVER","UNDER")</f>
        <v>UNDER</v>
      </c>
      <c r="M12" s="8" t="n">
        <f aca="false">IF(K12&gt;0,F12,1-F12)</f>
        <v>0.483463137501069</v>
      </c>
      <c r="N12" s="2" t="n">
        <f aca="false">IF(K12&gt;0,C12,D12)</f>
        <v>124</v>
      </c>
      <c r="O12" s="9" t="n">
        <f aca="false">M12*IF(N12&lt;0,10000/-N12,N12)-(1-M12)*100</f>
        <v>8.2957428002395</v>
      </c>
      <c r="P12" s="8" t="n">
        <f aca="false">MAX(0,(M12*(IF(N12&lt;0,100/-N12,N12/100)+1)-1)/IF(N12&lt;0,100/-N12,N12/100))</f>
        <v>0.0669011516148347</v>
      </c>
    </row>
    <row r="13" customFormat="false" ht="15" hidden="false" customHeight="false" outlineLevel="0" collapsed="false">
      <c r="A13" s="2" t="s">
        <v>69</v>
      </c>
      <c r="B13" s="3" t="n">
        <v>8.5</v>
      </c>
      <c r="C13" s="3" t="n">
        <v>115</v>
      </c>
      <c r="D13" s="3" t="n">
        <v>-136</v>
      </c>
      <c r="E13" s="7" t="n">
        <f aca="false">Win_Probabilities!E13</f>
        <v>7.81365859833925</v>
      </c>
      <c r="F13" s="8" t="n">
        <f aca="false">SUMPRODUCT((Win_Probabilities!$F$1:$S$1&lt;&gt;"")*(COLUMN(Win_Probabilities!$F$1:$S$1)-COLUMN(Win_Probabilities!$F$1)&gt;$B13)*Win_Probabilities!$F13:$S13)</f>
        <v>0.309581204453743</v>
      </c>
      <c r="G13" s="8" t="n">
        <f aca="false">IF(C13&lt;0,-C13/(-C13+100),100/(C13+100))</f>
        <v>0.465116279069767</v>
      </c>
      <c r="H13" s="8" t="n">
        <f aca="false">IF(D13&lt;0,-D13/(-D13+100),100/(D13+100))</f>
        <v>0.576271186440678</v>
      </c>
      <c r="I13" s="8" t="n">
        <f aca="false">G13+H13-1</f>
        <v>0.0413874655104454</v>
      </c>
      <c r="J13" s="8" t="n">
        <f aca="false">G13/(G13+H13)</f>
        <v>0.44663133989402</v>
      </c>
      <c r="K13" s="8" t="n">
        <f aca="false">F13-J13</f>
        <v>-0.137050135440277</v>
      </c>
      <c r="L13" s="2" t="str">
        <f aca="false">IF(K13&gt;0,"OVER","UNDER")</f>
        <v>UNDER</v>
      </c>
      <c r="M13" s="8" t="n">
        <f aca="false">IF(K13&gt;0,F13,1-F13)</f>
        <v>0.690418795546258</v>
      </c>
      <c r="N13" s="2" t="n">
        <f aca="false">IF(K13&gt;0,C13,D13)</f>
        <v>-136</v>
      </c>
      <c r="O13" s="9" t="n">
        <f aca="false">M13*IF(N13&lt;0,10000/-N13,N13)-(1-M13)*100</f>
        <v>19.8079674624388</v>
      </c>
      <c r="P13" s="8" t="n">
        <f aca="false">MAX(0,(M13*(IF(N13&lt;0,100/-N13,N13/100)+1)-1)/IF(N13&lt;0,100/-N13,N13/100))</f>
        <v>0.269388357489168</v>
      </c>
    </row>
    <row r="14" customFormat="false" ht="15" hidden="false" customHeight="false" outlineLevel="0" collapsed="false">
      <c r="A14" s="2" t="s">
        <v>70</v>
      </c>
      <c r="B14" s="3" t="n">
        <v>8.5</v>
      </c>
      <c r="C14" s="3" t="n">
        <v>-120</v>
      </c>
      <c r="D14" s="3" t="n">
        <v>100</v>
      </c>
      <c r="E14" s="7" t="n">
        <f aca="false">Win_Probabilities!E14</f>
        <v>7.80064615811378</v>
      </c>
      <c r="F14" s="8" t="n">
        <f aca="false">SUMPRODUCT((Win_Probabilities!$F$1:$S$1&lt;&gt;"")*(COLUMN(Win_Probabilities!$F$1:$S$1)-COLUMN(Win_Probabilities!$F$1)&gt;$B14)*Win_Probabilities!$F14:$S14)</f>
        <v>0.326765474831959</v>
      </c>
      <c r="G14" s="8" t="n">
        <f aca="false">IF(C14&lt;0,-C14/(-C14+100),100/(C14+100))</f>
        <v>0.545454545454545</v>
      </c>
      <c r="H14" s="8" t="n">
        <f aca="false">IF(D14&lt;0,-D14/(-D14+100),100/(D14+100))</f>
        <v>0.5</v>
      </c>
      <c r="I14" s="8" t="n">
        <f aca="false">G14+H14-1</f>
        <v>0.0454545454545454</v>
      </c>
      <c r="J14" s="8" t="n">
        <f aca="false">G14/(G14+H14)</f>
        <v>0.521739130434783</v>
      </c>
      <c r="K14" s="8" t="n">
        <f aca="false">F14-J14</f>
        <v>-0.194973655602823</v>
      </c>
      <c r="L14" s="2" t="str">
        <f aca="false">IF(K14&gt;0,"OVER","UNDER")</f>
        <v>UNDER</v>
      </c>
      <c r="M14" s="8" t="n">
        <f aca="false">IF(K14&gt;0,F14,1-F14)</f>
        <v>0.673234525168041</v>
      </c>
      <c r="N14" s="2" t="n">
        <f aca="false">IF(K14&gt;0,C14,D14)</f>
        <v>100</v>
      </c>
      <c r="O14" s="9" t="n">
        <f aca="false">M14*IF(N14&lt;0,10000/-N14,N14)-(1-M14)*100</f>
        <v>34.6469050336081</v>
      </c>
      <c r="P14" s="8" t="n">
        <f aca="false">MAX(0,(M14*(IF(N14&lt;0,100/-N14,N14/100)+1)-1)/IF(N14&lt;0,100/-N14,N14/100))</f>
        <v>0.346469050336081</v>
      </c>
    </row>
    <row r="15" customFormat="false" ht="15" hidden="false" customHeight="false" outlineLevel="0" collapsed="false">
      <c r="A15" s="2" t="s">
        <v>71</v>
      </c>
      <c r="B15" s="3" t="n">
        <v>7.5</v>
      </c>
      <c r="C15" s="3" t="n">
        <v>-105</v>
      </c>
      <c r="D15" s="3" t="n">
        <v>-115</v>
      </c>
      <c r="E15" s="7" t="n">
        <f aca="false">Win_Probabilities!E15</f>
        <v>7.91724383207629</v>
      </c>
      <c r="F15" s="8" t="n">
        <f aca="false">SUMPRODUCT((Win_Probabilities!$F$1:$S$1&lt;&gt;"")*(COLUMN(Win_Probabilities!$F$1:$S$1)-COLUMN(Win_Probabilities!$F$1)&gt;$B15)*Win_Probabilities!$F15:$S15)</f>
        <v>0.616252570811912</v>
      </c>
      <c r="G15" s="8" t="n">
        <f aca="false">IF(C15&lt;0,-C15/(-C15+100),100/(C15+100))</f>
        <v>0.51219512195122</v>
      </c>
      <c r="H15" s="8" t="n">
        <f aca="false">IF(D15&lt;0,-D15/(-D15+100),100/(D15+100))</f>
        <v>0.534883720930233</v>
      </c>
      <c r="I15" s="8" t="n">
        <f aca="false">G15+H15-1</f>
        <v>0.0470788428814521</v>
      </c>
      <c r="J15" s="8" t="n">
        <f aca="false">G15/(G15+H15)</f>
        <v>0.489165763813651</v>
      </c>
      <c r="K15" s="8" t="n">
        <f aca="false">F15-J15</f>
        <v>0.127086806998261</v>
      </c>
      <c r="L15" s="2" t="str">
        <f aca="false">IF(K15&gt;0,"OVER","UNDER")</f>
        <v>OVER</v>
      </c>
      <c r="M15" s="8" t="n">
        <f aca="false">IF(K15&gt;0,F15,1-F15)</f>
        <v>0.616252570811912</v>
      </c>
      <c r="N15" s="2" t="n">
        <f aca="false">IF(K15&gt;0,C15,D15)</f>
        <v>-105</v>
      </c>
      <c r="O15" s="9" t="n">
        <f aca="false">M15*IF(N15&lt;0,10000/-N15,N15)-(1-M15)*100</f>
        <v>20.3159781108972</v>
      </c>
      <c r="P15" s="8" t="n">
        <f aca="false">MAX(0,(M15*(IF(N15&lt;0,100/-N15,N15/100)+1)-1)/IF(N15&lt;0,100/-N15,N15/100))</f>
        <v>0.21331777016442</v>
      </c>
    </row>
    <row r="16" customFormat="false" ht="15" hidden="false" customHeight="false" outlineLevel="0" collapsed="false">
      <c r="A16" s="2" t="s">
        <v>72</v>
      </c>
      <c r="B16" s="3" t="n">
        <v>8.5</v>
      </c>
      <c r="C16" s="3" t="n">
        <v>140</v>
      </c>
      <c r="D16" s="3" t="n">
        <v>-185</v>
      </c>
      <c r="E16" s="7" t="n">
        <f aca="false">Win_Probabilities!E16</f>
        <v>7.44869268602149</v>
      </c>
      <c r="F16" s="8" t="n">
        <f aca="false">SUMPRODUCT((Win_Probabilities!$F$1:$S$1&lt;&gt;"")*(COLUMN(Win_Probabilities!$F$1:$S$1)-COLUMN(Win_Probabilities!$F$1)&gt;$B16)*Win_Probabilities!$F16:$S16)</f>
        <v>0.224795922114119</v>
      </c>
      <c r="G16" s="8" t="n">
        <f aca="false">IF(C16&lt;0,-C16/(-C16+100),100/(C16+100))</f>
        <v>0.416666666666667</v>
      </c>
      <c r="H16" s="8" t="n">
        <f aca="false">IF(D16&lt;0,-D16/(-D16+100),100/(D16+100))</f>
        <v>0.649122807017544</v>
      </c>
      <c r="I16" s="8" t="n">
        <f aca="false">G16+H16-1</f>
        <v>0.0657894736842106</v>
      </c>
      <c r="J16" s="8" t="n">
        <f aca="false">G16/(G16+H16)</f>
        <v>0.390946502057613</v>
      </c>
      <c r="K16" s="8" t="n">
        <f aca="false">F16-J16</f>
        <v>-0.166150579943494</v>
      </c>
      <c r="L16" s="2" t="str">
        <f aca="false">IF(K16&gt;0,"OVER","UNDER")</f>
        <v>UNDER</v>
      </c>
      <c r="M16" s="8" t="n">
        <f aca="false">IF(K16&gt;0,F16,1-F16)</f>
        <v>0.775204077885881</v>
      </c>
      <c r="N16" s="2" t="n">
        <f aca="false">IF(K16&gt;0,C16,D16)</f>
        <v>-185</v>
      </c>
      <c r="O16" s="9" t="n">
        <f aca="false">M16*IF(N16&lt;0,10000/-N16,N16)-(1-M16)*100</f>
        <v>19.4233309175546</v>
      </c>
      <c r="P16" s="8" t="n">
        <f aca="false">MAX(0,(M16*(IF(N16&lt;0,100/-N16,N16/100)+1)-1)/IF(N16&lt;0,100/-N16,N16/100))</f>
        <v>0.35933162197476</v>
      </c>
    </row>
    <row r="17" customFormat="false" ht="15" hidden="false" customHeight="false" outlineLevel="0" collapsed="false">
      <c r="A17" s="2" t="s">
        <v>73</v>
      </c>
      <c r="B17" s="3" t="n">
        <v>7.5</v>
      </c>
      <c r="C17" s="3" t="n">
        <v>-166</v>
      </c>
      <c r="D17" s="3" t="n">
        <v>130</v>
      </c>
      <c r="E17" s="7" t="n">
        <f aca="false">Win_Probabilities!E17</f>
        <v>7.24336723468996</v>
      </c>
      <c r="F17" s="8" t="n">
        <f aca="false">SUMPRODUCT((Win_Probabilities!$F$1:$S$1&lt;&gt;"")*(COLUMN(Win_Probabilities!$F$1:$S$1)-COLUMN(Win_Probabilities!$F$1)&gt;$B17)*Win_Probabilities!$F17:$S17)</f>
        <v>0.433708441446521</v>
      </c>
      <c r="G17" s="8" t="n">
        <f aca="false">IF(C17&lt;0,-C17/(-C17+100),100/(C17+100))</f>
        <v>0.62406015037594</v>
      </c>
      <c r="H17" s="8" t="n">
        <f aca="false">IF(D17&lt;0,-D17/(-D17+100),100/(D17+100))</f>
        <v>0.434782608695652</v>
      </c>
      <c r="I17" s="8" t="n">
        <f aca="false">G17+H17-1</f>
        <v>0.0588427590715921</v>
      </c>
      <c r="J17" s="8" t="n">
        <f aca="false">G17/(G17+H17)</f>
        <v>0.589379438098178</v>
      </c>
      <c r="K17" s="8" t="n">
        <f aca="false">F17-J17</f>
        <v>-0.155670996651658</v>
      </c>
      <c r="L17" s="2" t="str">
        <f aca="false">IF(K17&gt;0,"OVER","UNDER")</f>
        <v>UNDER</v>
      </c>
      <c r="M17" s="8" t="n">
        <f aca="false">IF(K17&gt;0,F17,1-F17)</f>
        <v>0.56629155855348</v>
      </c>
      <c r="N17" s="2" t="n">
        <f aca="false">IF(K17&gt;0,C17,D17)</f>
        <v>130</v>
      </c>
      <c r="O17" s="9" t="n">
        <f aca="false">M17*IF(N17&lt;0,10000/-N17,N17)-(1-M17)*100</f>
        <v>30.2470584673003</v>
      </c>
      <c r="P17" s="8" t="n">
        <f aca="false">MAX(0,(M17*(IF(N17&lt;0,100/-N17,N17/100)+1)-1)/IF(N17&lt;0,100/-N17,N17/100))</f>
        <v>0.232669680517695</v>
      </c>
    </row>
    <row r="18" customFormat="false" ht="15" hidden="false" customHeight="false" outlineLevel="0" collapsed="false">
      <c r="A18" s="2" t="s">
        <v>74</v>
      </c>
      <c r="B18" s="3" t="n">
        <v>8.5</v>
      </c>
      <c r="C18" s="3" t="n">
        <v>-166</v>
      </c>
      <c r="D18" s="3" t="n">
        <v>130</v>
      </c>
      <c r="E18" s="7" t="n">
        <f aca="false">Win_Probabilities!E18</f>
        <v>9.00205351057012</v>
      </c>
      <c r="F18" s="8" t="n">
        <f aca="false">SUMPRODUCT((Win_Probabilities!$F$1:$S$1&lt;&gt;"")*(COLUMN(Win_Probabilities!$F$1:$S$1)-COLUMN(Win_Probabilities!$F$1)&gt;$B18)*Win_Probabilities!$F18:$S18)</f>
        <v>0.658110696403837</v>
      </c>
      <c r="G18" s="8" t="n">
        <f aca="false">IF(C18&lt;0,-C18/(-C18+100),100/(C18+100))</f>
        <v>0.62406015037594</v>
      </c>
      <c r="H18" s="8" t="n">
        <f aca="false">IF(D18&lt;0,-D18/(-D18+100),100/(D18+100))</f>
        <v>0.434782608695652</v>
      </c>
      <c r="I18" s="8" t="n">
        <f aca="false">G18+H18-1</f>
        <v>0.0588427590715921</v>
      </c>
      <c r="J18" s="8" t="n">
        <f aca="false">G18/(G18+H18)</f>
        <v>0.589379438098178</v>
      </c>
      <c r="K18" s="8" t="n">
        <f aca="false">F18-J18</f>
        <v>0.0687312583056583</v>
      </c>
      <c r="L18" s="2" t="str">
        <f aca="false">IF(K18&gt;0,"OVER","UNDER")</f>
        <v>OVER</v>
      </c>
      <c r="M18" s="8" t="n">
        <f aca="false">IF(K18&gt;0,F18,1-F18)</f>
        <v>0.658110696403837</v>
      </c>
      <c r="N18" s="2" t="n">
        <f aca="false">IF(K18&gt;0,C18,D18)</f>
        <v>-166</v>
      </c>
      <c r="O18" s="9" t="n">
        <f aca="false">M18*IF(N18&lt;0,10000/-N18,N18)-(1-M18)*100</f>
        <v>5.4562923153136</v>
      </c>
      <c r="P18" s="8" t="n">
        <f aca="false">MAX(0,(M18*(IF(N18&lt;0,100/-N18,N18/100)+1)-1)/IF(N18&lt;0,100/-N18,N18/100))</f>
        <v>0.0905744524342056</v>
      </c>
    </row>
    <row r="19" customFormat="false" ht="15" hidden="false" customHeight="false" outlineLevel="0" collapsed="false">
      <c r="A19" s="2" t="s">
        <v>75</v>
      </c>
      <c r="B19" s="3" t="n">
        <v>7.5</v>
      </c>
      <c r="C19" s="3" t="n">
        <v>-170</v>
      </c>
      <c r="D19" s="3" t="n">
        <v>140</v>
      </c>
      <c r="E19" s="7" t="n">
        <f aca="false">Win_Probabilities!E19</f>
        <v>7.83927321068129</v>
      </c>
      <c r="F19" s="8" t="n">
        <f aca="false">SUMPRODUCT((Win_Probabilities!$F$1:$S$1&lt;&gt;"")*(COLUMN(Win_Probabilities!$F$1:$S$1)-COLUMN(Win_Probabilities!$F$1)&gt;$B19)*Win_Probabilities!$F19:$S19)</f>
        <v>0.603426610306121</v>
      </c>
      <c r="G19" s="8" t="n">
        <f aca="false">IF(C19&lt;0,-C19/(-C19+100),100/(C19+100))</f>
        <v>0.62962962962963</v>
      </c>
      <c r="H19" s="8" t="n">
        <f aca="false">IF(D19&lt;0,-D19/(-D19+100),100/(D19+100))</f>
        <v>0.416666666666667</v>
      </c>
      <c r="I19" s="8" t="n">
        <f aca="false">G19+H19-1</f>
        <v>0.0462962962962963</v>
      </c>
      <c r="J19" s="8" t="n">
        <f aca="false">G19/(G19+H19)</f>
        <v>0.601769911504425</v>
      </c>
      <c r="K19" s="8" t="n">
        <f aca="false">F19-J19</f>
        <v>0.00165669880169639</v>
      </c>
      <c r="L19" s="2" t="str">
        <f aca="false">IF(K19&gt;0,"OVER","UNDER")</f>
        <v>OVER</v>
      </c>
      <c r="M19" s="8" t="n">
        <f aca="false">IF(K19&gt;0,F19,1-F19)</f>
        <v>0.603426610306121</v>
      </c>
      <c r="N19" s="2" t="n">
        <f aca="false">IF(K19&gt;0,C19,D19)</f>
        <v>-170</v>
      </c>
      <c r="O19" s="9" t="n">
        <f aca="false">M19*IF(N19&lt;0,10000/-N19,N19)-(1-M19)*100</f>
        <v>-4.16165601020428</v>
      </c>
      <c r="P19" s="8" t="n">
        <f aca="false">MAX(0,(M19*(IF(N19&lt;0,100/-N19,N19/100)+1)-1)/IF(N19&lt;0,100/-N19,N19/100))</f>
        <v>0</v>
      </c>
    </row>
    <row r="20" customFormat="false" ht="15" hidden="false" customHeight="false" outlineLevel="0" collapsed="false">
      <c r="A20" s="2" t="s">
        <v>76</v>
      </c>
      <c r="B20" s="3" t="n">
        <v>6.5</v>
      </c>
      <c r="C20" s="3" t="n">
        <v>-120</v>
      </c>
      <c r="D20" s="3" t="n">
        <v>100</v>
      </c>
      <c r="E20" s="7" t="n">
        <f aca="false">Win_Probabilities!E20</f>
        <v>7.28909986681057</v>
      </c>
      <c r="F20" s="8" t="n">
        <f aca="false">SUMPRODUCT((Win_Probabilities!$F$1:$S$1&lt;&gt;"")*(COLUMN(Win_Probabilities!$F$1:$S$1)-COLUMN(Win_Probabilities!$F$1)&gt;$B20)*Win_Probabilities!$F20:$S20)</f>
        <v>0.704304308982639</v>
      </c>
      <c r="G20" s="8" t="n">
        <f aca="false">IF(C20&lt;0,-C20/(-C20+100),100/(C20+100))</f>
        <v>0.545454545454545</v>
      </c>
      <c r="H20" s="8" t="n">
        <f aca="false">IF(D20&lt;0,-D20/(-D20+100),100/(D20+100))</f>
        <v>0.5</v>
      </c>
      <c r="I20" s="8" t="n">
        <f aca="false">G20+H20-1</f>
        <v>0.0454545454545454</v>
      </c>
      <c r="J20" s="8" t="n">
        <f aca="false">G20/(G20+H20)</f>
        <v>0.521739130434783</v>
      </c>
      <c r="K20" s="8" t="n">
        <f aca="false">F20-J20</f>
        <v>0.182565178547857</v>
      </c>
      <c r="L20" s="2" t="str">
        <f aca="false">IF(K20&gt;0,"OVER","UNDER")</f>
        <v>OVER</v>
      </c>
      <c r="M20" s="8" t="n">
        <f aca="false">IF(K20&gt;0,F20,1-F20)</f>
        <v>0.704304308982639</v>
      </c>
      <c r="N20" s="2" t="n">
        <f aca="false">IF(K20&gt;0,C20,D20)</f>
        <v>-120</v>
      </c>
      <c r="O20" s="9" t="n">
        <f aca="false">M20*IF(N20&lt;0,10000/-N20,N20)-(1-M20)*100</f>
        <v>29.1224566468172</v>
      </c>
      <c r="P20" s="8" t="n">
        <f aca="false">MAX(0,(M20*(IF(N20&lt;0,100/-N20,N20/100)+1)-1)/IF(N20&lt;0,100/-N20,N20/100))</f>
        <v>0.349469479761807</v>
      </c>
    </row>
    <row r="21" customFormat="false" ht="15" hidden="false" customHeight="false" outlineLevel="0" collapsed="false">
      <c r="A21" s="2" t="s">
        <v>77</v>
      </c>
      <c r="B21" s="3" t="n">
        <v>7.5</v>
      </c>
      <c r="C21" s="3" t="n">
        <v>130</v>
      </c>
      <c r="D21" s="3" t="n">
        <v>-156</v>
      </c>
      <c r="E21" s="7" t="n">
        <f aca="false">Win_Probabilities!E21</f>
        <v>6.98336906831279</v>
      </c>
      <c r="F21" s="8" t="n">
        <f aca="false">SUMPRODUCT((Win_Probabilities!$F$1:$S$1&lt;&gt;"")*(COLUMN(Win_Probabilities!$F$1:$S$1)-COLUMN(Win_Probabilities!$F$1)&gt;$B21)*Win_Probabilities!$F21:$S21)</f>
        <v>0.370011925365283</v>
      </c>
      <c r="G21" s="8" t="n">
        <f aca="false">IF(C21&lt;0,-C21/(-C21+100),100/(C21+100))</f>
        <v>0.434782608695652</v>
      </c>
      <c r="H21" s="8" t="n">
        <f aca="false">IF(D21&lt;0,-D21/(-D21+100),100/(D21+100))</f>
        <v>0.609375</v>
      </c>
      <c r="I21" s="8" t="n">
        <f aca="false">G21+H21-1</f>
        <v>0.0441576086956521</v>
      </c>
      <c r="J21" s="8" t="n">
        <f aca="false">G21/(G21+H21)</f>
        <v>0.416395575797007</v>
      </c>
      <c r="K21" s="8" t="n">
        <f aca="false">F21-J21</f>
        <v>-0.046383650431724</v>
      </c>
      <c r="L21" s="2" t="str">
        <f aca="false">IF(K21&gt;0,"OVER","UNDER")</f>
        <v>UNDER</v>
      </c>
      <c r="M21" s="8" t="n">
        <f aca="false">IF(K21&gt;0,F21,1-F21)</f>
        <v>0.629988074634717</v>
      </c>
      <c r="N21" s="2" t="n">
        <f aca="false">IF(K21&gt;0,C21,D21)</f>
        <v>-156</v>
      </c>
      <c r="O21" s="9" t="n">
        <f aca="false">M21*IF(N21&lt;0,10000/-N21,N21)-(1-M21)*100</f>
        <v>3.38265840159456</v>
      </c>
      <c r="P21" s="8" t="n">
        <f aca="false">MAX(0,(M21*(IF(N21&lt;0,100/-N21,N21/100)+1)-1)/IF(N21&lt;0,100/-N21,N21/100))</f>
        <v>0.052769471064875</v>
      </c>
    </row>
    <row r="22" customFormat="false" ht="15" hidden="false" customHeight="false" outlineLevel="0" collapsed="false">
      <c r="A22" s="2" t="s">
        <v>78</v>
      </c>
      <c r="B22" s="3" t="n">
        <v>8.5</v>
      </c>
      <c r="C22" s="3" t="n">
        <v>-136</v>
      </c>
      <c r="D22" s="3" t="n">
        <v>115</v>
      </c>
      <c r="E22" s="7" t="n">
        <f aca="false">Win_Probabilities!E22</f>
        <v>8.77670519352936</v>
      </c>
      <c r="F22" s="8" t="n">
        <f aca="false">SUMPRODUCT((Win_Probabilities!$F$1:$S$1&lt;&gt;"")*(COLUMN(Win_Probabilities!$F$1:$S$1)-COLUMN(Win_Probabilities!$F$1)&gt;$B22)*Win_Probabilities!$F22:$S22)</f>
        <v>0.594451602335877</v>
      </c>
      <c r="G22" s="8" t="n">
        <f aca="false">IF(C22&lt;0,-C22/(-C22+100),100/(C22+100))</f>
        <v>0.576271186440678</v>
      </c>
      <c r="H22" s="8" t="n">
        <f aca="false">IF(D22&lt;0,-D22/(-D22+100),100/(D22+100))</f>
        <v>0.465116279069767</v>
      </c>
      <c r="I22" s="8" t="n">
        <f aca="false">G22+H22-1</f>
        <v>0.0413874655104454</v>
      </c>
      <c r="J22" s="8" t="n">
        <f aca="false">G22/(G22+H22)</f>
        <v>0.55336866010598</v>
      </c>
      <c r="K22" s="8" t="n">
        <f aca="false">F22-J22</f>
        <v>0.0410829422298965</v>
      </c>
      <c r="L22" s="2" t="str">
        <f aca="false">IF(K22&gt;0,"OVER","UNDER")</f>
        <v>OVER</v>
      </c>
      <c r="M22" s="8" t="n">
        <f aca="false">IF(K22&gt;0,F22,1-F22)</f>
        <v>0.594451602335877</v>
      </c>
      <c r="N22" s="2" t="n">
        <f aca="false">IF(K22&gt;0,C22,D22)</f>
        <v>-136</v>
      </c>
      <c r="O22" s="9" t="n">
        <f aca="false">M22*IF(N22&lt;0,10000/-N22,N22)-(1-M22)*100</f>
        <v>3.15483687593159</v>
      </c>
      <c r="P22" s="8" t="n">
        <f aca="false">MAX(0,(M22*(IF(N22&lt;0,100/-N22,N22/100)+1)-1)/IF(N22&lt;0,100/-N22,N22/100))</f>
        <v>0.0429057815126696</v>
      </c>
    </row>
    <row r="23" customFormat="false" ht="15" hidden="false" customHeight="false" outlineLevel="0" collapsed="false">
      <c r="A23" s="2" t="s">
        <v>79</v>
      </c>
      <c r="B23" s="3" t="n">
        <v>7.5</v>
      </c>
      <c r="C23" s="3" t="n">
        <v>-125</v>
      </c>
      <c r="D23" s="3" t="n">
        <v>105</v>
      </c>
      <c r="E23" s="7" t="n">
        <f aca="false">Win_Probabilities!E23</f>
        <v>8.00312179446434</v>
      </c>
      <c r="F23" s="8" t="n">
        <f aca="false">SUMPRODUCT((Win_Probabilities!$F$1:$S$1&lt;&gt;"")*(COLUMN(Win_Probabilities!$F$1:$S$1)-COLUMN(Win_Probabilities!$F$1)&gt;$B23)*Win_Probabilities!$F23:$S23)</f>
        <v>0.648662977473755</v>
      </c>
      <c r="G23" s="8" t="n">
        <f aca="false">IF(C23&lt;0,-C23/(-C23+100),100/(C23+100))</f>
        <v>0.555555555555556</v>
      </c>
      <c r="H23" s="8" t="n">
        <f aca="false">IF(D23&lt;0,-D23/(-D23+100),100/(D23+100))</f>
        <v>0.487804878048781</v>
      </c>
      <c r="I23" s="8" t="n">
        <f aca="false">G23+H23-1</f>
        <v>0.0433604336043361</v>
      </c>
      <c r="J23" s="8" t="n">
        <f aca="false">G23/(G23+H23)</f>
        <v>0.532467532467533</v>
      </c>
      <c r="K23" s="8" t="n">
        <f aca="false">F23-J23</f>
        <v>0.116195445006222</v>
      </c>
      <c r="L23" s="2" t="str">
        <f aca="false">IF(K23&gt;0,"OVER","UNDER")</f>
        <v>OVER</v>
      </c>
      <c r="M23" s="8" t="n">
        <f aca="false">IF(K23&gt;0,F23,1-F23)</f>
        <v>0.648662977473755</v>
      </c>
      <c r="N23" s="2" t="n">
        <f aca="false">IF(K23&gt;0,C23,D23)</f>
        <v>-125</v>
      </c>
      <c r="O23" s="9" t="n">
        <f aca="false">M23*IF(N23&lt;0,10000/-N23,N23)-(1-M23)*100</f>
        <v>16.7593359452759</v>
      </c>
      <c r="P23" s="8" t="n">
        <f aca="false">MAX(0,(M23*(IF(N23&lt;0,100/-N23,N23/100)+1)-1)/IF(N23&lt;0,100/-N23,N23/100))</f>
        <v>0.209491699315948</v>
      </c>
    </row>
    <row r="24" customFormat="false" ht="15" hidden="false" customHeight="false" outlineLevel="0" collapsed="false">
      <c r="A24" s="2" t="s">
        <v>80</v>
      </c>
      <c r="B24" s="3" t="n">
        <v>7.5</v>
      </c>
      <c r="C24" s="3" t="n">
        <v>-140</v>
      </c>
      <c r="D24" s="3" t="n">
        <v>120</v>
      </c>
      <c r="E24" s="7" t="n">
        <f aca="false">Win_Probabilities!E24</f>
        <v>7.93610456941867</v>
      </c>
      <c r="F24" s="8" t="n">
        <f aca="false">SUMPRODUCT((Win_Probabilities!$F$1:$S$1&lt;&gt;"")*(COLUMN(Win_Probabilities!$F$1:$S$1)-COLUMN(Win_Probabilities!$F$1)&gt;$B24)*Win_Probabilities!$F24:$S24)</f>
        <v>0.624359527110712</v>
      </c>
      <c r="G24" s="8" t="n">
        <f aca="false">IF(C24&lt;0,-C24/(-C24+100),100/(C24+100))</f>
        <v>0.583333333333333</v>
      </c>
      <c r="H24" s="8" t="n">
        <f aca="false">IF(D24&lt;0,-D24/(-D24+100),100/(D24+100))</f>
        <v>0.454545454545455</v>
      </c>
      <c r="I24" s="8" t="n">
        <f aca="false">G24+H24-1</f>
        <v>0.0378787878787878</v>
      </c>
      <c r="J24" s="8" t="n">
        <f aca="false">G24/(G24+H24)</f>
        <v>0.562043795620438</v>
      </c>
      <c r="K24" s="8" t="n">
        <f aca="false">F24-J24</f>
        <v>0.062315731490274</v>
      </c>
      <c r="L24" s="2" t="str">
        <f aca="false">IF(K24&gt;0,"OVER","UNDER")</f>
        <v>OVER</v>
      </c>
      <c r="M24" s="8" t="n">
        <f aca="false">IF(K24&gt;0,F24,1-F24)</f>
        <v>0.624359527110712</v>
      </c>
      <c r="N24" s="2" t="n">
        <f aca="false">IF(K24&gt;0,C24,D24)</f>
        <v>-140</v>
      </c>
      <c r="O24" s="9" t="n">
        <f aca="false">M24*IF(N24&lt;0,10000/-N24,N24)-(1-M24)*100</f>
        <v>7.03306179040779</v>
      </c>
      <c r="P24" s="8" t="n">
        <f aca="false">MAX(0,(M24*(IF(N24&lt;0,100/-N24,N24/100)+1)-1)/IF(N24&lt;0,100/-N24,N24/100))</f>
        <v>0.0984628650657091</v>
      </c>
    </row>
    <row r="25" customFormat="false" ht="15" hidden="false" customHeight="false" outlineLevel="0" collapsed="false">
      <c r="A25" s="2" t="s">
        <v>81</v>
      </c>
      <c r="B25" s="3" t="n">
        <v>6.5</v>
      </c>
      <c r="C25" s="3" t="n">
        <v>115</v>
      </c>
      <c r="D25" s="3" t="n">
        <v>-145</v>
      </c>
      <c r="E25" s="7" t="n">
        <f aca="false">Win_Probabilities!E25</f>
        <v>6.5255292136748</v>
      </c>
      <c r="F25" s="8" t="n">
        <f aca="false">SUMPRODUCT((Win_Probabilities!$F$1:$S$1&lt;&gt;"")*(COLUMN(Win_Probabilities!$F$1:$S$1)-COLUMN(Win_Probabilities!$F$1)&gt;$B25)*Win_Probabilities!$F25:$S25)</f>
        <v>0.502450402429833</v>
      </c>
      <c r="G25" s="8" t="n">
        <f aca="false">IF(C25&lt;0,-C25/(-C25+100),100/(C25+100))</f>
        <v>0.465116279069767</v>
      </c>
      <c r="H25" s="8" t="n">
        <f aca="false">IF(D25&lt;0,-D25/(-D25+100),100/(D25+100))</f>
        <v>0.591836734693878</v>
      </c>
      <c r="I25" s="8" t="n">
        <f aca="false">G25+H25-1</f>
        <v>0.0569530137636449</v>
      </c>
      <c r="J25" s="8" t="n">
        <f aca="false">G25/(G25+H25)</f>
        <v>0.44005388414908</v>
      </c>
      <c r="K25" s="8" t="n">
        <f aca="false">F25-J25</f>
        <v>0.0623965182807536</v>
      </c>
      <c r="L25" s="2" t="str">
        <f aca="false">IF(K25&gt;0,"OVER","UNDER")</f>
        <v>OVER</v>
      </c>
      <c r="M25" s="8" t="n">
        <f aca="false">IF(K25&gt;0,F25,1-F25)</f>
        <v>0.502450402429833</v>
      </c>
      <c r="N25" s="2" t="n">
        <f aca="false">IF(K25&gt;0,C25,D25)</f>
        <v>115</v>
      </c>
      <c r="O25" s="9" t="n">
        <f aca="false">M25*IF(N25&lt;0,10000/-N25,N25)-(1-M25)*100</f>
        <v>8.02683652241412</v>
      </c>
      <c r="P25" s="8" t="n">
        <f aca="false">MAX(0,(M25*(IF(N25&lt;0,100/-N25,N25/100)+1)-1)/IF(N25&lt;0,100/-N25,N25/100))</f>
        <v>0.0697985784557749</v>
      </c>
    </row>
    <row r="26" customFormat="false" ht="15" hidden="false" customHeight="false" outlineLevel="0" collapsed="false">
      <c r="A26" s="2" t="s">
        <v>82</v>
      </c>
      <c r="B26" s="3" t="n">
        <v>8.5</v>
      </c>
      <c r="C26" s="3" t="n">
        <v>-125</v>
      </c>
      <c r="D26" s="3" t="n">
        <v>105</v>
      </c>
      <c r="E26" s="7" t="n">
        <f aca="false">Win_Probabilities!E26</f>
        <v>8.29124582349763</v>
      </c>
      <c r="F26" s="8" t="n">
        <f aca="false">SUMPRODUCT((Win_Probabilities!$F$1:$S$1&lt;&gt;"")*(COLUMN(Win_Probabilities!$F$1:$S$1)-COLUMN(Win_Probabilities!$F$1)&gt;$B26)*Win_Probabilities!$F26:$S26)</f>
        <v>0.45463098522105</v>
      </c>
      <c r="G26" s="8" t="n">
        <f aca="false">IF(C26&lt;0,-C26/(-C26+100),100/(C26+100))</f>
        <v>0.555555555555556</v>
      </c>
      <c r="H26" s="8" t="n">
        <f aca="false">IF(D26&lt;0,-D26/(-D26+100),100/(D26+100))</f>
        <v>0.487804878048781</v>
      </c>
      <c r="I26" s="8" t="n">
        <f aca="false">G26+H26-1</f>
        <v>0.0433604336043361</v>
      </c>
      <c r="J26" s="8" t="n">
        <f aca="false">G26/(G26+H26)</f>
        <v>0.532467532467533</v>
      </c>
      <c r="K26" s="8" t="n">
        <f aca="false">F26-J26</f>
        <v>-0.0778365472464828</v>
      </c>
      <c r="L26" s="2" t="str">
        <f aca="false">IF(K26&gt;0,"OVER","UNDER")</f>
        <v>UNDER</v>
      </c>
      <c r="M26" s="8" t="n">
        <f aca="false">IF(K26&gt;0,F26,1-F26)</f>
        <v>0.54536901477895</v>
      </c>
      <c r="N26" s="2" t="n">
        <f aca="false">IF(K26&gt;0,C26,D26)</f>
        <v>105</v>
      </c>
      <c r="O26" s="9" t="n">
        <f aca="false">M26*IF(N26&lt;0,10000/-N26,N26)-(1-M26)*100</f>
        <v>11.8006480296848</v>
      </c>
      <c r="P26" s="8" t="n">
        <f aca="false">MAX(0,(M26*(IF(N26&lt;0,100/-N26,N26/100)+1)-1)/IF(N26&lt;0,100/-N26,N26/100))</f>
        <v>0.112387124092236</v>
      </c>
    </row>
    <row r="27" customFormat="false" ht="15" hidden="false" customHeight="false" outlineLevel="0" collapsed="false">
      <c r="A27" s="2" t="s">
        <v>83</v>
      </c>
      <c r="B27" s="3" t="n">
        <v>6.5</v>
      </c>
      <c r="C27" s="3" t="n">
        <v>-115</v>
      </c>
      <c r="D27" s="3" t="n">
        <v>-105</v>
      </c>
      <c r="E27" s="7" t="n">
        <f aca="false">Win_Probabilities!E27</f>
        <v>6.44421882939283</v>
      </c>
      <c r="F27" s="8" t="n">
        <f aca="false">SUMPRODUCT((Win_Probabilities!$F$1:$S$1&lt;&gt;"")*(COLUMN(Win_Probabilities!$F$1:$S$1)-COLUMN(Win_Probabilities!$F$1)&gt;$B27)*Win_Probabilities!$F27:$S27)</f>
        <v>0.481813981504171</v>
      </c>
      <c r="G27" s="8" t="n">
        <f aca="false">IF(C27&lt;0,-C27/(-C27+100),100/(C27+100))</f>
        <v>0.534883720930233</v>
      </c>
      <c r="H27" s="8" t="n">
        <f aca="false">IF(D27&lt;0,-D27/(-D27+100),100/(D27+100))</f>
        <v>0.51219512195122</v>
      </c>
      <c r="I27" s="8" t="n">
        <f aca="false">G27+H27-1</f>
        <v>0.0470788428814521</v>
      </c>
      <c r="J27" s="8" t="n">
        <f aca="false">G27/(G27+H27)</f>
        <v>0.510834236186349</v>
      </c>
      <c r="K27" s="8" t="n">
        <f aca="false">F27-J27</f>
        <v>-0.029020254682178</v>
      </c>
      <c r="L27" s="2" t="str">
        <f aca="false">IF(K27&gt;0,"OVER","UNDER")</f>
        <v>UNDER</v>
      </c>
      <c r="M27" s="8" t="n">
        <f aca="false">IF(K27&gt;0,F27,1-F27)</f>
        <v>0.518186018495829</v>
      </c>
      <c r="N27" s="2" t="n">
        <f aca="false">IF(K27&gt;0,C27,D27)</f>
        <v>-105</v>
      </c>
      <c r="O27" s="9" t="n">
        <f aca="false">M27*IF(N27&lt;0,10000/-N27,N27)-(1-M27)*100</f>
        <v>1.16965123013807</v>
      </c>
      <c r="P27" s="8" t="n">
        <f aca="false">MAX(0,(M27*(IF(N27&lt;0,100/-N27,N27/100)+1)-1)/IF(N27&lt;0,100/-N27,N27/100))</f>
        <v>0.0122813379164496</v>
      </c>
    </row>
    <row r="28" customFormat="false" ht="15" hidden="false" customHeight="false" outlineLevel="0" collapsed="false">
      <c r="A28" s="2" t="s">
        <v>84</v>
      </c>
      <c r="B28" s="3" t="n">
        <v>8.5</v>
      </c>
      <c r="C28" s="3" t="n">
        <v>124</v>
      </c>
      <c r="D28" s="3" t="n">
        <v>-158</v>
      </c>
      <c r="E28" s="7" t="n">
        <f aca="false">Win_Probabilities!E28</f>
        <v>7.840158927372</v>
      </c>
      <c r="F28" s="8" t="n">
        <f aca="false">SUMPRODUCT((Win_Probabilities!$F$1:$S$1&lt;&gt;"")*(COLUMN(Win_Probabilities!$F$1:$S$1)-COLUMN(Win_Probabilities!$F$1)&gt;$B28)*Win_Probabilities!$F28:$S28)</f>
        <v>0.344810115151201</v>
      </c>
      <c r="G28" s="8" t="n">
        <f aca="false">IF(C28&lt;0,-C28/(-C28+100),100/(C28+100))</f>
        <v>0.446428571428571</v>
      </c>
      <c r="H28" s="8" t="n">
        <f aca="false">IF(D28&lt;0,-D28/(-D28+100),100/(D28+100))</f>
        <v>0.612403100775194</v>
      </c>
      <c r="I28" s="8" t="n">
        <f aca="false">G28+H28-1</f>
        <v>0.0588316722037652</v>
      </c>
      <c r="J28" s="8" t="n">
        <f aca="false">G28/(G28+H28)</f>
        <v>0.421623741665577</v>
      </c>
      <c r="K28" s="8" t="n">
        <f aca="false">F28-J28</f>
        <v>-0.0768136265143765</v>
      </c>
      <c r="L28" s="2" t="str">
        <f aca="false">IF(K28&gt;0,"OVER","UNDER")</f>
        <v>UNDER</v>
      </c>
      <c r="M28" s="8" t="n">
        <f aca="false">IF(K28&gt;0,F28,1-F28)</f>
        <v>0.655189884848799</v>
      </c>
      <c r="N28" s="2" t="n">
        <f aca="false">IF(K28&gt;0,C28,D28)</f>
        <v>-158</v>
      </c>
      <c r="O28" s="9" t="n">
        <f aca="false">M28*IF(N28&lt;0,10000/-N28,N28)-(1-M28)*100</f>
        <v>6.98670271581657</v>
      </c>
      <c r="P28" s="8" t="n">
        <f aca="false">MAX(0,(M28*(IF(N28&lt;0,100/-N28,N28/100)+1)-1)/IF(N28&lt;0,100/-N28,N28/100))</f>
        <v>0.110389902909902</v>
      </c>
    </row>
    <row r="29" customFormat="false" ht="15" hidden="false" customHeight="false" outlineLevel="0" collapsed="false">
      <c r="A29" s="2" t="s">
        <v>85</v>
      </c>
      <c r="B29" s="3" t="n">
        <v>7.5</v>
      </c>
      <c r="C29" s="3" t="n">
        <v>134</v>
      </c>
      <c r="D29" s="3" t="n">
        <v>-160</v>
      </c>
      <c r="E29" s="7" t="n">
        <f aca="false">Win_Probabilities!E29</f>
        <v>7.03308111481601</v>
      </c>
      <c r="F29" s="8" t="n">
        <f aca="false">SUMPRODUCT((Win_Probabilities!$F$1:$S$1&lt;&gt;"")*(COLUMN(Win_Probabilities!$F$1:$S$1)-COLUMN(Win_Probabilities!$F$1)&gt;$B29)*Win_Probabilities!$F29:$S29)</f>
        <v>0.378649894872841</v>
      </c>
      <c r="G29" s="8" t="n">
        <f aca="false">IF(C29&lt;0,-C29/(-C29+100),100/(C29+100))</f>
        <v>0.427350427350427</v>
      </c>
      <c r="H29" s="8" t="n">
        <f aca="false">IF(D29&lt;0,-D29/(-D29+100),100/(D29+100))</f>
        <v>0.615384615384615</v>
      </c>
      <c r="I29" s="8" t="n">
        <f aca="false">G29+H29-1</f>
        <v>0.0427350427350428</v>
      </c>
      <c r="J29" s="8" t="n">
        <f aca="false">G29/(G29+H29)</f>
        <v>0.40983606557377</v>
      </c>
      <c r="K29" s="8" t="n">
        <f aca="false">F29-J29</f>
        <v>-0.0311861707009293</v>
      </c>
      <c r="L29" s="2" t="str">
        <f aca="false">IF(K29&gt;0,"OVER","UNDER")</f>
        <v>UNDER</v>
      </c>
      <c r="M29" s="8" t="n">
        <f aca="false">IF(K29&gt;0,F29,1-F29)</f>
        <v>0.621350105127159</v>
      </c>
      <c r="N29" s="2" t="n">
        <f aca="false">IF(K29&gt;0,C29,D29)</f>
        <v>-160</v>
      </c>
      <c r="O29" s="9" t="n">
        <f aca="false">M29*IF(N29&lt;0,10000/-N29,N29)-(1-M29)*100</f>
        <v>0.969392083163307</v>
      </c>
      <c r="P29" s="8" t="n">
        <f aca="false">MAX(0,(M29*(IF(N29&lt;0,100/-N29,N29/100)+1)-1)/IF(N29&lt;0,100/-N29,N29/100))</f>
        <v>0.015510273330613</v>
      </c>
    </row>
    <row r="30" customFormat="false" ht="15" hidden="false" customHeight="false" outlineLevel="0" collapsed="false">
      <c r="A30" s="2" t="s">
        <v>86</v>
      </c>
      <c r="B30" s="3" t="n">
        <v>5.5</v>
      </c>
      <c r="C30" s="3" t="n">
        <v>-130</v>
      </c>
      <c r="D30" s="3" t="n">
        <v>110</v>
      </c>
      <c r="E30" s="7" t="n">
        <f aca="false">Win_Probabilities!E30</f>
        <v>6.34418414089186</v>
      </c>
      <c r="F30" s="8" t="n">
        <f aca="false">SUMPRODUCT((Win_Probabilities!$F$1:$S$1&lt;&gt;"")*(COLUMN(Win_Probabilities!$F$1:$S$1)-COLUMN(Win_Probabilities!$F$1)&gt;$B30)*Win_Probabilities!$F30:$S30)</f>
        <v>0.711242741579882</v>
      </c>
      <c r="G30" s="8" t="n">
        <f aca="false">IF(C30&lt;0,-C30/(-C30+100),100/(C30+100))</f>
        <v>0.565217391304348</v>
      </c>
      <c r="H30" s="8" t="n">
        <f aca="false">IF(D30&lt;0,-D30/(-D30+100),100/(D30+100))</f>
        <v>0.476190476190476</v>
      </c>
      <c r="I30" s="8" t="n">
        <f aca="false">G30+H30-1</f>
        <v>0.041407867494824</v>
      </c>
      <c r="J30" s="8" t="n">
        <f aca="false">G30/(G30+H30)</f>
        <v>0.542743538767396</v>
      </c>
      <c r="K30" s="8" t="n">
        <f aca="false">F30-J30</f>
        <v>0.168499202812486</v>
      </c>
      <c r="L30" s="2" t="str">
        <f aca="false">IF(K30&gt;0,"OVER","UNDER")</f>
        <v>OVER</v>
      </c>
      <c r="M30" s="8" t="n">
        <f aca="false">IF(K30&gt;0,F30,1-F30)</f>
        <v>0.711242741579882</v>
      </c>
      <c r="N30" s="2" t="n">
        <f aca="false">IF(K30&gt;0,C30,D30)</f>
        <v>-130</v>
      </c>
      <c r="O30" s="9" t="n">
        <f aca="false">M30*IF(N30&lt;0,10000/-N30,N30)-(1-M30)*100</f>
        <v>25.8352542795175</v>
      </c>
      <c r="P30" s="8" t="n">
        <f aca="false">MAX(0,(M30*(IF(N30&lt;0,100/-N30,N30/100)+1)-1)/IF(N30&lt;0,100/-N30,N30/100))</f>
        <v>0.335858305633727</v>
      </c>
    </row>
    <row r="31" customFormat="false" ht="15" hidden="false" customHeight="false" outlineLevel="0" collapsed="false">
      <c r="A31" s="2" t="s">
        <v>87</v>
      </c>
      <c r="B31" s="3" t="n">
        <v>8.5</v>
      </c>
      <c r="C31" s="3" t="n">
        <v>-150</v>
      </c>
      <c r="D31" s="3" t="n">
        <v>125</v>
      </c>
      <c r="E31" s="7" t="n">
        <f aca="false">Win_Probabilities!E31</f>
        <v>7.93002363430844</v>
      </c>
      <c r="F31" s="8" t="n">
        <f aca="false">SUMPRODUCT((Win_Probabilities!$F$1:$S$1&lt;&gt;"")*(COLUMN(Win_Probabilities!$F$1:$S$1)-COLUMN(Win_Probabilities!$F$1)&gt;$B31)*Win_Probabilities!$F31:$S31)</f>
        <v>0.364455043310855</v>
      </c>
      <c r="G31" s="8" t="n">
        <f aca="false">IF(C31&lt;0,-C31/(-C31+100),100/(C31+100))</f>
        <v>0.6</v>
      </c>
      <c r="H31" s="8" t="n">
        <f aca="false">IF(D31&lt;0,-D31/(-D31+100),100/(D31+100))</f>
        <v>0.444444444444444</v>
      </c>
      <c r="I31" s="8" t="n">
        <f aca="false">G31+H31-1</f>
        <v>0.0444444444444443</v>
      </c>
      <c r="J31" s="8" t="n">
        <f aca="false">G31/(G31+H31)</f>
        <v>0.574468085106383</v>
      </c>
      <c r="K31" s="8" t="n">
        <f aca="false">F31-J31</f>
        <v>-0.210013041795528</v>
      </c>
      <c r="L31" s="2" t="str">
        <f aca="false">IF(K31&gt;0,"OVER","UNDER")</f>
        <v>UNDER</v>
      </c>
      <c r="M31" s="8" t="n">
        <f aca="false">IF(K31&gt;0,F31,1-F31)</f>
        <v>0.635544956689145</v>
      </c>
      <c r="N31" s="2" t="n">
        <f aca="false">IF(K31&gt;0,C31,D31)</f>
        <v>125</v>
      </c>
      <c r="O31" s="9" t="n">
        <f aca="false">M31*IF(N31&lt;0,10000/-N31,N31)-(1-M31)*100</f>
        <v>42.9976152550576</v>
      </c>
      <c r="P31" s="8" t="n">
        <f aca="false">MAX(0,(M31*(IF(N31&lt;0,100/-N31,N31/100)+1)-1)/IF(N31&lt;0,100/-N31,N31/100))</f>
        <v>0.343980922040461</v>
      </c>
    </row>
    <row r="32" customFormat="false" ht="15" hidden="false" customHeight="false" outlineLevel="0" collapsed="false">
      <c r="A32" s="2" t="s">
        <v>88</v>
      </c>
      <c r="B32" s="3" t="n">
        <v>7.5</v>
      </c>
      <c r="C32" s="3" t="n">
        <v>105</v>
      </c>
      <c r="D32" s="3" t="n">
        <v>-125</v>
      </c>
      <c r="E32" s="7" t="n">
        <f aca="false">Win_Probabilities!E32</f>
        <v>7.62776163994748</v>
      </c>
      <c r="F32" s="8" t="n">
        <f aca="false">SUMPRODUCT((Win_Probabilities!$F$1:$S$1&lt;&gt;"")*(COLUMN(Win_Probabilities!$F$1:$S$1)-COLUMN(Win_Probabilities!$F$1)&gt;$B32)*Win_Probabilities!$F32:$S32)</f>
        <v>0.542486923496788</v>
      </c>
      <c r="G32" s="8" t="n">
        <f aca="false">IF(C32&lt;0,-C32/(-C32+100),100/(C32+100))</f>
        <v>0.487804878048781</v>
      </c>
      <c r="H32" s="8" t="n">
        <f aca="false">IF(D32&lt;0,-D32/(-D32+100),100/(D32+100))</f>
        <v>0.555555555555556</v>
      </c>
      <c r="I32" s="8" t="n">
        <f aca="false">G32+H32-1</f>
        <v>0.0433604336043361</v>
      </c>
      <c r="J32" s="8" t="n">
        <f aca="false">G32/(G32+H32)</f>
        <v>0.467532467532468</v>
      </c>
      <c r="K32" s="8" t="n">
        <f aca="false">F32-J32</f>
        <v>0.0749544559643202</v>
      </c>
      <c r="L32" s="2" t="str">
        <f aca="false">IF(K32&gt;0,"OVER","UNDER")</f>
        <v>OVER</v>
      </c>
      <c r="M32" s="8" t="n">
        <f aca="false">IF(K32&gt;0,F32,1-F32)</f>
        <v>0.542486923496788</v>
      </c>
      <c r="N32" s="2" t="n">
        <f aca="false">IF(K32&gt;0,C32,D32)</f>
        <v>105</v>
      </c>
      <c r="O32" s="9" t="n">
        <f aca="false">M32*IF(N32&lt;0,10000/-N32,N32)-(1-M32)*100</f>
        <v>11.2098193168415</v>
      </c>
      <c r="P32" s="8" t="n">
        <f aca="false">MAX(0,(M32*(IF(N32&lt;0,100/-N32,N32/100)+1)-1)/IF(N32&lt;0,100/-N32,N32/100))</f>
        <v>0.106760183969919</v>
      </c>
    </row>
    <row r="33" customFormat="false" ht="15" hidden="false" customHeight="false" outlineLevel="0" collapsed="false">
      <c r="A33" s="2" t="s">
        <v>89</v>
      </c>
      <c r="B33" s="3" t="n">
        <v>6.5</v>
      </c>
      <c r="C33" s="3" t="n">
        <v>-166</v>
      </c>
      <c r="D33" s="3" t="n">
        <v>130</v>
      </c>
      <c r="E33" s="7" t="n">
        <f aca="false">Win_Probabilities!E33</f>
        <v>7.43201583149957</v>
      </c>
      <c r="F33" s="8" t="n">
        <f aca="false">SUMPRODUCT((Win_Probabilities!$F$1:$S$1&lt;&gt;"")*(COLUMN(Win_Probabilities!$F$1:$S$1)-COLUMN(Win_Probabilities!$F$1)&gt;$B33)*Win_Probabilities!$F33:$S33)</f>
        <v>0.735004425145706</v>
      </c>
      <c r="G33" s="8" t="n">
        <f aca="false">IF(C33&lt;0,-C33/(-C33+100),100/(C33+100))</f>
        <v>0.62406015037594</v>
      </c>
      <c r="H33" s="8" t="n">
        <f aca="false">IF(D33&lt;0,-D33/(-D33+100),100/(D33+100))</f>
        <v>0.434782608695652</v>
      </c>
      <c r="I33" s="8" t="n">
        <f aca="false">G33+H33-1</f>
        <v>0.0588427590715921</v>
      </c>
      <c r="J33" s="8" t="n">
        <f aca="false">G33/(G33+H33)</f>
        <v>0.589379438098178</v>
      </c>
      <c r="K33" s="8" t="n">
        <f aca="false">F33-J33</f>
        <v>0.145624987047528</v>
      </c>
      <c r="L33" s="2" t="str">
        <f aca="false">IF(K33&gt;0,"OVER","UNDER")</f>
        <v>OVER</v>
      </c>
      <c r="M33" s="8" t="n">
        <f aca="false">IF(K33&gt;0,F33,1-F33)</f>
        <v>0.735004425145706</v>
      </c>
      <c r="N33" s="2" t="n">
        <f aca="false">IF(K33&gt;0,C33,D33)</f>
        <v>-166</v>
      </c>
      <c r="O33" s="9" t="n">
        <f aca="false">M33*IF(N33&lt;0,10000/-N33,N33)-(1-M33)*100</f>
        <v>17.7778175233481</v>
      </c>
      <c r="P33" s="8" t="n">
        <f aca="false">MAX(0,(M33*(IF(N33&lt;0,100/-N33,N33/100)+1)-1)/IF(N33&lt;0,100/-N33,N33/100))</f>
        <v>0.295111770887579</v>
      </c>
    </row>
    <row r="34" customFormat="false" ht="15" hidden="false" customHeight="false" outlineLevel="0" collapsed="false">
      <c r="A34" s="2" t="s">
        <v>90</v>
      </c>
      <c r="B34" s="3" t="n">
        <v>6.5</v>
      </c>
      <c r="C34" s="3" t="n">
        <v>120</v>
      </c>
      <c r="D34" s="3" t="n">
        <v>-155</v>
      </c>
      <c r="E34" s="7" t="n">
        <f aca="false">Win_Probabilities!E34</f>
        <v>6.17263059140465</v>
      </c>
      <c r="F34" s="8" t="n">
        <f aca="false">SUMPRODUCT((Win_Probabilities!$F$1:$S$1&lt;&gt;"")*(COLUMN(Win_Probabilities!$F$1:$S$1)-COLUMN(Win_Probabilities!$F$1)&gt;$B34)*Win_Probabilities!$F34:$S34)</f>
        <v>0.403450384902763</v>
      </c>
      <c r="G34" s="8" t="n">
        <f aca="false">IF(C34&lt;0,-C34/(-C34+100),100/(C34+100))</f>
        <v>0.454545454545455</v>
      </c>
      <c r="H34" s="8" t="n">
        <f aca="false">IF(D34&lt;0,-D34/(-D34+100),100/(D34+100))</f>
        <v>0.607843137254902</v>
      </c>
      <c r="I34" s="8" t="n">
        <f aca="false">G34+H34-1</f>
        <v>0.0623885918003564</v>
      </c>
      <c r="J34" s="8" t="n">
        <f aca="false">G34/(G34+H34)</f>
        <v>0.427852348993289</v>
      </c>
      <c r="K34" s="8" t="n">
        <f aca="false">F34-J34</f>
        <v>-0.0244019640905253</v>
      </c>
      <c r="L34" s="2" t="str">
        <f aca="false">IF(K34&gt;0,"OVER","UNDER")</f>
        <v>UNDER</v>
      </c>
      <c r="M34" s="8" t="n">
        <f aca="false">IF(K34&gt;0,F34,1-F34)</f>
        <v>0.596549615097237</v>
      </c>
      <c r="N34" s="2" t="n">
        <f aca="false">IF(K34&gt;0,C34,D34)</f>
        <v>-155</v>
      </c>
      <c r="O34" s="9" t="n">
        <f aca="false">M34*IF(N34&lt;0,10000/-N34,N34)-(1-M34)*100</f>
        <v>-1.85796654851912</v>
      </c>
      <c r="P34" s="8" t="n">
        <f aca="false">MAX(0,(M34*(IF(N34&lt;0,100/-N34,N34/100)+1)-1)/IF(N34&lt;0,100/-N34,N34/100))</f>
        <v>0</v>
      </c>
    </row>
    <row r="35" customFormat="false" ht="15" hidden="false" customHeight="false" outlineLevel="0" collapsed="false">
      <c r="A35" s="2" t="s">
        <v>91</v>
      </c>
      <c r="B35" s="3" t="n">
        <v>8.5</v>
      </c>
      <c r="C35" s="3" t="n">
        <v>-102</v>
      </c>
      <c r="D35" s="3" t="n">
        <v>-125</v>
      </c>
      <c r="E35" s="7" t="n">
        <f aca="false">Win_Probabilities!E35</f>
        <v>8.04363446644677</v>
      </c>
      <c r="F35" s="8" t="n">
        <f aca="false">SUMPRODUCT((Win_Probabilities!$F$1:$S$1&lt;&gt;"")*(COLUMN(Win_Probabilities!$F$1:$S$1)-COLUMN(Win_Probabilities!$F$1)&gt;$B35)*Win_Probabilities!$F35:$S35)</f>
        <v>0.39404360642459</v>
      </c>
      <c r="G35" s="8" t="n">
        <f aca="false">IF(C35&lt;0,-C35/(-C35+100),100/(C35+100))</f>
        <v>0.504950495049505</v>
      </c>
      <c r="H35" s="8" t="n">
        <f aca="false">IF(D35&lt;0,-D35/(-D35+100),100/(D35+100))</f>
        <v>0.555555555555556</v>
      </c>
      <c r="I35" s="8" t="n">
        <f aca="false">G35+H35-1</f>
        <v>0.0605060506050605</v>
      </c>
      <c r="J35" s="8" t="n">
        <f aca="false">G35/(G35+H35)</f>
        <v>0.476141078838174</v>
      </c>
      <c r="K35" s="8" t="n">
        <f aca="false">F35-J35</f>
        <v>-0.0820974724135844</v>
      </c>
      <c r="L35" s="2" t="str">
        <f aca="false">IF(K35&gt;0,"OVER","UNDER")</f>
        <v>UNDER</v>
      </c>
      <c r="M35" s="8" t="n">
        <f aca="false">IF(K35&gt;0,F35,1-F35)</f>
        <v>0.60595639357541</v>
      </c>
      <c r="N35" s="2" t="n">
        <f aca="false">IF(K35&gt;0,C35,D35)</f>
        <v>-125</v>
      </c>
      <c r="O35" s="9" t="n">
        <f aca="false">M35*IF(N35&lt;0,10000/-N35,N35)-(1-M35)*100</f>
        <v>9.07215084357384</v>
      </c>
      <c r="P35" s="8" t="n">
        <f aca="false">MAX(0,(M35*(IF(N35&lt;0,100/-N35,N35/100)+1)-1)/IF(N35&lt;0,100/-N35,N35/100))</f>
        <v>0.113401885544673</v>
      </c>
    </row>
    <row r="36" customFormat="false" ht="15" hidden="false" customHeight="false" outlineLevel="0" collapsed="false">
      <c r="A36" s="2" t="s">
        <v>92</v>
      </c>
      <c r="B36" s="3" t="n">
        <v>6.5</v>
      </c>
      <c r="C36" s="3" t="n">
        <v>144</v>
      </c>
      <c r="D36" s="3" t="n">
        <v>-175</v>
      </c>
      <c r="E36" s="7" t="n">
        <f aca="false">Win_Probabilities!E36</f>
        <v>6.58429987356177</v>
      </c>
      <c r="F36" s="8" t="n">
        <f aca="false">SUMPRODUCT((Win_Probabilities!$F$1:$S$1&lt;&gt;"")*(COLUMN(Win_Probabilities!$F$1:$S$1)-COLUMN(Win_Probabilities!$F$1)&gt;$B36)*Win_Probabilities!$F36:$S36)</f>
        <v>0.520812919690902</v>
      </c>
      <c r="G36" s="8" t="n">
        <f aca="false">IF(C36&lt;0,-C36/(-C36+100),100/(C36+100))</f>
        <v>0.409836065573771</v>
      </c>
      <c r="H36" s="8" t="n">
        <f aca="false">IF(D36&lt;0,-D36/(-D36+100),100/(D36+100))</f>
        <v>0.636363636363636</v>
      </c>
      <c r="I36" s="8" t="n">
        <f aca="false">G36+H36-1</f>
        <v>0.046199701937407</v>
      </c>
      <c r="J36" s="8" t="n">
        <f aca="false">G36/(G36+H36)</f>
        <v>0.391737891737892</v>
      </c>
      <c r="K36" s="8" t="n">
        <f aca="false">F36-J36</f>
        <v>0.129075027953011</v>
      </c>
      <c r="L36" s="2" t="str">
        <f aca="false">IF(K36&gt;0,"OVER","UNDER")</f>
        <v>OVER</v>
      </c>
      <c r="M36" s="8" t="n">
        <f aca="false">IF(K36&gt;0,F36,1-F36)</f>
        <v>0.520812919690902</v>
      </c>
      <c r="N36" s="2" t="n">
        <f aca="false">IF(K36&gt;0,C36,D36)</f>
        <v>144</v>
      </c>
      <c r="O36" s="9" t="n">
        <f aca="false">M36*IF(N36&lt;0,10000/-N36,N36)-(1-M36)*100</f>
        <v>27.0783524045802</v>
      </c>
      <c r="P36" s="8" t="n">
        <f aca="false">MAX(0,(M36*(IF(N36&lt;0,100/-N36,N36/100)+1)-1)/IF(N36&lt;0,100/-N36,N36/100))</f>
        <v>0.188044113920696</v>
      </c>
    </row>
    <row r="37" customFormat="false" ht="15" hidden="false" customHeight="false" outlineLevel="0" collapsed="false">
      <c r="A37" s="2" t="s">
        <v>93</v>
      </c>
      <c r="B37" s="3" t="n">
        <v>6.5</v>
      </c>
      <c r="C37" s="3" t="n">
        <v>-145</v>
      </c>
      <c r="D37" s="3" t="n">
        <v>115</v>
      </c>
      <c r="E37" s="7" t="n">
        <f aca="false">Win_Probabilities!E37</f>
        <v>7.1372958185504</v>
      </c>
      <c r="F37" s="8" t="n">
        <f aca="false">SUMPRODUCT((Win_Probabilities!$F$1:$S$1&lt;&gt;"")*(COLUMN(Win_Probabilities!$F$1:$S$1)-COLUMN(Win_Probabilities!$F$1)&gt;$B37)*Win_Probabilities!$F37:$S37)</f>
        <v>0.667491164179685</v>
      </c>
      <c r="G37" s="8" t="n">
        <f aca="false">IF(C37&lt;0,-C37/(-C37+100),100/(C37+100))</f>
        <v>0.591836734693878</v>
      </c>
      <c r="H37" s="8" t="n">
        <f aca="false">IF(D37&lt;0,-D37/(-D37+100),100/(D37+100))</f>
        <v>0.465116279069767</v>
      </c>
      <c r="I37" s="8" t="n">
        <f aca="false">G37+H37-1</f>
        <v>0.0569530137636449</v>
      </c>
      <c r="J37" s="8" t="n">
        <f aca="false">G37/(G37+H37)</f>
        <v>0.559946115850921</v>
      </c>
      <c r="K37" s="8" t="n">
        <f aca="false">F37-J37</f>
        <v>0.107545048328765</v>
      </c>
      <c r="L37" s="2" t="str">
        <f aca="false">IF(K37&gt;0,"OVER","UNDER")</f>
        <v>OVER</v>
      </c>
      <c r="M37" s="8" t="n">
        <f aca="false">IF(K37&gt;0,F37,1-F37)</f>
        <v>0.667491164179685</v>
      </c>
      <c r="N37" s="2" t="n">
        <f aca="false">IF(K37&gt;0,C37,D37)</f>
        <v>-145</v>
      </c>
      <c r="O37" s="9" t="n">
        <f aca="false">M37*IF(N37&lt;0,10000/-N37,N37)-(1-M37)*100</f>
        <v>12.7829898096709</v>
      </c>
      <c r="P37" s="8" t="n">
        <f aca="false">MAX(0,(M37*(IF(N37&lt;0,100/-N37,N37/100)+1)-1)/IF(N37&lt;0,100/-N37,N37/100))</f>
        <v>0.185353352240229</v>
      </c>
    </row>
    <row r="38" customFormat="false" ht="15" hidden="false" customHeight="false" outlineLevel="0" collapsed="false">
      <c r="A38" s="2" t="s">
        <v>94</v>
      </c>
      <c r="B38" s="3" t="n">
        <v>7.5</v>
      </c>
      <c r="C38" s="3" t="n">
        <v>-165</v>
      </c>
      <c r="D38" s="3" t="n">
        <v>130</v>
      </c>
      <c r="E38" s="7" t="n">
        <f aca="false">Win_Probabilities!E38</f>
        <v>7.76529616305237</v>
      </c>
      <c r="F38" s="8" t="n">
        <f aca="false">SUMPRODUCT((Win_Probabilities!$F$1:$S$1&lt;&gt;"")*(COLUMN(Win_Probabilities!$F$1:$S$1)-COLUMN(Win_Probabilities!$F$1)&gt;$B38)*Win_Probabilities!$F38:$S38)</f>
        <v>0.576489615654294</v>
      </c>
      <c r="G38" s="8" t="n">
        <f aca="false">IF(C38&lt;0,-C38/(-C38+100),100/(C38+100))</f>
        <v>0.622641509433962</v>
      </c>
      <c r="H38" s="8" t="n">
        <f aca="false">IF(D38&lt;0,-D38/(-D38+100),100/(D38+100))</f>
        <v>0.434782608695652</v>
      </c>
      <c r="I38" s="8" t="n">
        <f aca="false">G38+H38-1</f>
        <v>0.0574241181296145</v>
      </c>
      <c r="J38" s="8" t="n">
        <f aca="false">G38/(G38+H38)</f>
        <v>0.588828549262995</v>
      </c>
      <c r="K38" s="8" t="n">
        <f aca="false">F38-J38</f>
        <v>-0.0123389336087006</v>
      </c>
      <c r="L38" s="2" t="str">
        <f aca="false">IF(K38&gt;0,"OVER","UNDER")</f>
        <v>UNDER</v>
      </c>
      <c r="M38" s="8" t="n">
        <f aca="false">IF(K38&gt;0,F38,1-F38)</f>
        <v>0.423510384345706</v>
      </c>
      <c r="N38" s="2" t="n">
        <f aca="false">IF(K38&gt;0,C38,D38)</f>
        <v>130</v>
      </c>
      <c r="O38" s="9" t="n">
        <f aca="false">M38*IF(N38&lt;0,10000/-N38,N38)-(1-M38)*100</f>
        <v>-2.59261160048759</v>
      </c>
      <c r="P38" s="8" t="n">
        <f aca="false">MAX(0,(M38*(IF(N38&lt;0,100/-N38,N38/100)+1)-1)/IF(N38&lt;0,100/-N38,N38/100))</f>
        <v>0</v>
      </c>
    </row>
    <row r="39" customFormat="false" ht="15" hidden="false" customHeight="false" outlineLevel="0" collapsed="false">
      <c r="A39" s="2" t="s">
        <v>95</v>
      </c>
      <c r="B39" s="3" t="n">
        <v>8.5</v>
      </c>
      <c r="C39" s="3" t="n">
        <v>130</v>
      </c>
      <c r="D39" s="3" t="n">
        <v>-156</v>
      </c>
      <c r="E39" s="7" t="n">
        <f aca="false">Win_Probabilities!E39</f>
        <v>7.42783940097388</v>
      </c>
      <c r="F39" s="8" t="n">
        <f aca="false">SUMPRODUCT((Win_Probabilities!$F$1:$S$1&lt;&gt;"")*(COLUMN(Win_Probabilities!$F$1:$S$1)-COLUMN(Win_Probabilities!$F$1)&gt;$B39)*Win_Probabilities!$F39:$S39)</f>
        <v>0.239604266388424</v>
      </c>
      <c r="G39" s="8" t="n">
        <f aca="false">IF(C39&lt;0,-C39/(-C39+100),100/(C39+100))</f>
        <v>0.434782608695652</v>
      </c>
      <c r="H39" s="8" t="n">
        <f aca="false">IF(D39&lt;0,-D39/(-D39+100),100/(D39+100))</f>
        <v>0.609375</v>
      </c>
      <c r="I39" s="8" t="n">
        <f aca="false">G39+H39-1</f>
        <v>0.0441576086956521</v>
      </c>
      <c r="J39" s="8" t="n">
        <f aca="false">G39/(G39+H39)</f>
        <v>0.416395575797007</v>
      </c>
      <c r="K39" s="8" t="n">
        <f aca="false">F39-J39</f>
        <v>-0.176791309408583</v>
      </c>
      <c r="L39" s="2" t="str">
        <f aca="false">IF(K39&gt;0,"OVER","UNDER")</f>
        <v>UNDER</v>
      </c>
      <c r="M39" s="8" t="n">
        <f aca="false">IF(K39&gt;0,F39,1-F39)</f>
        <v>0.760395733611576</v>
      </c>
      <c r="N39" s="2" t="n">
        <f aca="false">IF(K39&gt;0,C39,D39)</f>
        <v>-156</v>
      </c>
      <c r="O39" s="9" t="n">
        <f aca="false">M39*IF(N39&lt;0,10000/-N39,N39)-(1-M39)*100</f>
        <v>24.7828896183099</v>
      </c>
      <c r="P39" s="8" t="n">
        <f aca="false">MAX(0,(M39*(IF(N39&lt;0,100/-N39,N39/100)+1)-1)/IF(N39&lt;0,100/-N39,N39/100))</f>
        <v>0.386613078045634</v>
      </c>
    </row>
    <row r="40" customFormat="false" ht="15" hidden="false" customHeight="false" outlineLevel="0" collapsed="false">
      <c r="A40" s="2" t="s">
        <v>96</v>
      </c>
      <c r="B40" s="3" t="n">
        <v>6.5</v>
      </c>
      <c r="C40" s="3" t="n">
        <v>125</v>
      </c>
      <c r="D40" s="3" t="n">
        <v>-160</v>
      </c>
      <c r="E40" s="7" t="n">
        <f aca="false">Win_Probabilities!E40</f>
        <v>6.62569767140955</v>
      </c>
      <c r="F40" s="8" t="n">
        <f aca="false">SUMPRODUCT((Win_Probabilities!$F$1:$S$1&lt;&gt;"")*(COLUMN(Win_Probabilities!$F$1:$S$1)-COLUMN(Win_Probabilities!$F$1)&gt;$B40)*Win_Probabilities!$F40:$S40)</f>
        <v>0.536994579049218</v>
      </c>
      <c r="G40" s="8" t="n">
        <f aca="false">IF(C40&lt;0,-C40/(-C40+100),100/(C40+100))</f>
        <v>0.444444444444444</v>
      </c>
      <c r="H40" s="8" t="n">
        <f aca="false">IF(D40&lt;0,-D40/(-D40+100),100/(D40+100))</f>
        <v>0.615384615384615</v>
      </c>
      <c r="I40" s="8" t="n">
        <f aca="false">G40+H40-1</f>
        <v>0.0598290598290598</v>
      </c>
      <c r="J40" s="8" t="n">
        <f aca="false">G40/(G40+H40)</f>
        <v>0.419354838709677</v>
      </c>
      <c r="K40" s="8" t="n">
        <f aca="false">F40-J40</f>
        <v>0.11763974033954</v>
      </c>
      <c r="L40" s="2" t="str">
        <f aca="false">IF(K40&gt;0,"OVER","UNDER")</f>
        <v>OVER</v>
      </c>
      <c r="M40" s="8" t="n">
        <f aca="false">IF(K40&gt;0,F40,1-F40)</f>
        <v>0.536994579049218</v>
      </c>
      <c r="N40" s="2" t="n">
        <f aca="false">IF(K40&gt;0,C40,D40)</f>
        <v>125</v>
      </c>
      <c r="O40" s="9" t="n">
        <f aca="false">M40*IF(N40&lt;0,10000/-N40,N40)-(1-M40)*100</f>
        <v>20.823780286074</v>
      </c>
      <c r="P40" s="8" t="n">
        <f aca="false">MAX(0,(M40*(IF(N40&lt;0,100/-N40,N40/100)+1)-1)/IF(N40&lt;0,100/-N40,N40/100))</f>
        <v>0.166590242288592</v>
      </c>
    </row>
    <row r="41" customFormat="false" ht="15" hidden="false" customHeight="false" outlineLevel="0" collapsed="false">
      <c r="A41" s="2" t="s">
        <v>97</v>
      </c>
      <c r="B41" s="3" t="n">
        <v>6.5</v>
      </c>
      <c r="C41" s="3" t="n">
        <v>115</v>
      </c>
      <c r="D41" s="3" t="n">
        <v>-145</v>
      </c>
      <c r="E41" s="7" t="n">
        <f aca="false">Win_Probabilities!E41</f>
        <v>6.06658349767067</v>
      </c>
      <c r="F41" s="8" t="n">
        <f aca="false">SUMPRODUCT((Win_Probabilities!$F$1:$S$1&lt;&gt;"")*(COLUMN(Win_Probabilities!$F$1:$S$1)-COLUMN(Win_Probabilities!$F$1)&gt;$B41)*Win_Probabilities!$F41:$S41)</f>
        <v>0.378498916476587</v>
      </c>
      <c r="G41" s="8" t="n">
        <f aca="false">IF(C41&lt;0,-C41/(-C41+100),100/(C41+100))</f>
        <v>0.465116279069767</v>
      </c>
      <c r="H41" s="8" t="n">
        <f aca="false">IF(D41&lt;0,-D41/(-D41+100),100/(D41+100))</f>
        <v>0.591836734693878</v>
      </c>
      <c r="I41" s="8" t="n">
        <f aca="false">G41+H41-1</f>
        <v>0.0569530137636449</v>
      </c>
      <c r="J41" s="8" t="n">
        <f aca="false">G41/(G41+H41)</f>
        <v>0.44005388414908</v>
      </c>
      <c r="K41" s="8" t="n">
        <f aca="false">F41-J41</f>
        <v>-0.0615549676724924</v>
      </c>
      <c r="L41" s="2" t="str">
        <f aca="false">IF(K41&gt;0,"OVER","UNDER")</f>
        <v>UNDER</v>
      </c>
      <c r="M41" s="8" t="n">
        <f aca="false">IF(K41&gt;0,F41,1-F41)</f>
        <v>0.621501083523413</v>
      </c>
      <c r="N41" s="2" t="n">
        <f aca="false">IF(K41&gt;0,C41,D41)</f>
        <v>-145</v>
      </c>
      <c r="O41" s="9" t="n">
        <f aca="false">M41*IF(N41&lt;0,10000/-N41,N41)-(1-M41)*100</f>
        <v>5.01225204361116</v>
      </c>
      <c r="P41" s="8" t="n">
        <f aca="false">MAX(0,(M41*(IF(N41&lt;0,100/-N41,N41/100)+1)-1)/IF(N41&lt;0,100/-N41,N41/100))</f>
        <v>0.0726776546323617</v>
      </c>
    </row>
    <row r="42" customFormat="false" ht="15" hidden="false" customHeight="false" outlineLevel="0" collapsed="false">
      <c r="A42" s="2" t="s">
        <v>98</v>
      </c>
      <c r="B42" s="3" t="n">
        <v>7.5</v>
      </c>
      <c r="C42" s="3" t="n">
        <v>-146</v>
      </c>
      <c r="D42" s="3" t="n">
        <v>125</v>
      </c>
      <c r="E42" s="7" t="n">
        <f aca="false">Win_Probabilities!E42</f>
        <v>6.88421986427242</v>
      </c>
      <c r="F42" s="8" t="n">
        <f aca="false">SUMPRODUCT((Win_Probabilities!$F$1:$S$1&lt;&gt;"")*(COLUMN(Win_Probabilities!$F$1:$S$1)-COLUMN(Win_Probabilities!$F$1)&gt;$B42)*Win_Probabilities!$F42:$S42)</f>
        <v>0.347257226142962</v>
      </c>
      <c r="G42" s="8" t="n">
        <f aca="false">IF(C42&lt;0,-C42/(-C42+100),100/(C42+100))</f>
        <v>0.59349593495935</v>
      </c>
      <c r="H42" s="8" t="n">
        <f aca="false">IF(D42&lt;0,-D42/(-D42+100),100/(D42+100))</f>
        <v>0.444444444444444</v>
      </c>
      <c r="I42" s="8" t="n">
        <f aca="false">G42+H42-1</f>
        <v>0.037940379403794</v>
      </c>
      <c r="J42" s="8" t="n">
        <f aca="false">G42/(G42+H42)</f>
        <v>0.571801566579634</v>
      </c>
      <c r="K42" s="8" t="n">
        <f aca="false">F42-J42</f>
        <v>-0.224544340436672</v>
      </c>
      <c r="L42" s="2" t="str">
        <f aca="false">IF(K42&gt;0,"OVER","UNDER")</f>
        <v>UNDER</v>
      </c>
      <c r="M42" s="8" t="n">
        <f aca="false">IF(K42&gt;0,F42,1-F42)</f>
        <v>0.652742773857038</v>
      </c>
      <c r="N42" s="2" t="n">
        <f aca="false">IF(K42&gt;0,C42,D42)</f>
        <v>125</v>
      </c>
      <c r="O42" s="9" t="n">
        <f aca="false">M42*IF(N42&lt;0,10000/-N42,N42)-(1-M42)*100</f>
        <v>46.8671241178334</v>
      </c>
      <c r="P42" s="8" t="n">
        <f aca="false">MAX(0,(M42*(IF(N42&lt;0,100/-N42,N42/100)+1)-1)/IF(N42&lt;0,100/-N42,N42/100))</f>
        <v>0.374936992942667</v>
      </c>
    </row>
    <row r="43" customFormat="false" ht="15" hidden="false" customHeight="false" outlineLevel="0" collapsed="false">
      <c r="A43" s="2" t="s">
        <v>99</v>
      </c>
      <c r="B43" s="3" t="n">
        <v>6.5</v>
      </c>
      <c r="C43" s="3" t="n">
        <v>105</v>
      </c>
      <c r="D43" s="3" t="n">
        <v>-125</v>
      </c>
      <c r="E43" s="7" t="n">
        <f aca="false">Win_Probabilities!E43</f>
        <v>6.12510888951263</v>
      </c>
      <c r="F43" s="8" t="n">
        <f aca="false">SUMPRODUCT((Win_Probabilities!$F$1:$S$1&lt;&gt;"")*(COLUMN(Win_Probabilities!$F$1:$S$1)-COLUMN(Win_Probabilities!$F$1)&gt;$B43)*Win_Probabilities!$F43:$S43)</f>
        <v>0.402602077533196</v>
      </c>
      <c r="G43" s="8" t="n">
        <f aca="false">IF(C43&lt;0,-C43/(-C43+100),100/(C43+100))</f>
        <v>0.487804878048781</v>
      </c>
      <c r="H43" s="8" t="n">
        <f aca="false">IF(D43&lt;0,-D43/(-D43+100),100/(D43+100))</f>
        <v>0.555555555555556</v>
      </c>
      <c r="I43" s="8" t="n">
        <f aca="false">G43+H43-1</f>
        <v>0.0433604336043361</v>
      </c>
      <c r="J43" s="8" t="n">
        <f aca="false">G43/(G43+H43)</f>
        <v>0.467532467532468</v>
      </c>
      <c r="K43" s="8" t="n">
        <f aca="false">F43-J43</f>
        <v>-0.0649303899992711</v>
      </c>
      <c r="L43" s="2" t="str">
        <f aca="false">IF(K43&gt;0,"OVER","UNDER")</f>
        <v>UNDER</v>
      </c>
      <c r="M43" s="8" t="n">
        <f aca="false">IF(K43&gt;0,F43,1-F43)</f>
        <v>0.597397922466804</v>
      </c>
      <c r="N43" s="2" t="n">
        <f aca="false">IF(K43&gt;0,C43,D43)</f>
        <v>-125</v>
      </c>
      <c r="O43" s="9" t="n">
        <f aca="false">M43*IF(N43&lt;0,10000/-N43,N43)-(1-M43)*100</f>
        <v>7.53162604402464</v>
      </c>
      <c r="P43" s="8" t="n">
        <f aca="false">MAX(0,(M43*(IF(N43&lt;0,100/-N43,N43/100)+1)-1)/IF(N43&lt;0,100/-N43,N43/100))</f>
        <v>0.094145325550308</v>
      </c>
    </row>
    <row r="44" customFormat="false" ht="15" hidden="false" customHeight="false" outlineLevel="0" collapsed="false">
      <c r="A44" s="2" t="s">
        <v>100</v>
      </c>
      <c r="B44" s="3" t="n">
        <v>7.5</v>
      </c>
      <c r="C44" s="3" t="n">
        <v>120</v>
      </c>
      <c r="D44" s="3" t="n">
        <v>-140</v>
      </c>
      <c r="E44" s="7" t="n">
        <f aca="false">Win_Probabilities!E44</f>
        <v>7.05158542903262</v>
      </c>
      <c r="F44" s="8" t="n">
        <f aca="false">SUMPRODUCT((Win_Probabilities!$F$1:$S$1&lt;&gt;"")*(COLUMN(Win_Probabilities!$F$1:$S$1)-COLUMN(Win_Probabilities!$F$1)&gt;$B44)*Win_Probabilities!$F44:$S44)</f>
        <v>0.389747707481237</v>
      </c>
      <c r="G44" s="8" t="n">
        <f aca="false">IF(C44&lt;0,-C44/(-C44+100),100/(C44+100))</f>
        <v>0.454545454545455</v>
      </c>
      <c r="H44" s="8" t="n">
        <f aca="false">IF(D44&lt;0,-D44/(-D44+100),100/(D44+100))</f>
        <v>0.583333333333333</v>
      </c>
      <c r="I44" s="8" t="n">
        <f aca="false">G44+H44-1</f>
        <v>0.0378787878787878</v>
      </c>
      <c r="J44" s="8" t="n">
        <f aca="false">G44/(G44+H44)</f>
        <v>0.437956204379562</v>
      </c>
      <c r="K44" s="8" t="n">
        <f aca="false">F44-J44</f>
        <v>-0.0482084968983253</v>
      </c>
      <c r="L44" s="2" t="str">
        <f aca="false">IF(K44&gt;0,"OVER","UNDER")</f>
        <v>UNDER</v>
      </c>
      <c r="M44" s="8" t="n">
        <f aca="false">IF(K44&gt;0,F44,1-F44)</f>
        <v>0.610252292518763</v>
      </c>
      <c r="N44" s="2" t="n">
        <f aca="false">IF(K44&gt;0,C44,D44)</f>
        <v>-140</v>
      </c>
      <c r="O44" s="9" t="n">
        <f aca="false">M44*IF(N44&lt;0,10000/-N44,N44)-(1-M44)*100</f>
        <v>4.61467871750227</v>
      </c>
      <c r="P44" s="8" t="n">
        <f aca="false">MAX(0,(M44*(IF(N44&lt;0,100/-N44,N44/100)+1)-1)/IF(N44&lt;0,100/-N44,N44/100))</f>
        <v>0.0646055020450318</v>
      </c>
    </row>
    <row r="45" customFormat="false" ht="15" hidden="false" customHeight="false" outlineLevel="0" collapsed="false">
      <c r="A45" s="2" t="s">
        <v>101</v>
      </c>
      <c r="B45" s="3" t="n">
        <v>4.5</v>
      </c>
      <c r="C45" s="3" t="n">
        <v>130</v>
      </c>
      <c r="D45" s="3" t="n">
        <v>-166</v>
      </c>
      <c r="E45" s="7" t="n">
        <f aca="false">Win_Probabilities!E45</f>
        <v>4.36815318024371</v>
      </c>
      <c r="F45" s="8" t="n">
        <f aca="false">SUMPRODUCT((Win_Probabilities!$F$1:$S$1&lt;&gt;"")*(COLUMN(Win_Probabilities!$F$1:$S$1)-COLUMN(Win_Probabilities!$F$1)&gt;$B45)*Win_Probabilities!$F45:$S45)</f>
        <v>0.445174433967824</v>
      </c>
      <c r="G45" s="8" t="n">
        <f aca="false">IF(C45&lt;0,-C45/(-C45+100),100/(C45+100))</f>
        <v>0.434782608695652</v>
      </c>
      <c r="H45" s="8" t="n">
        <f aca="false">IF(D45&lt;0,-D45/(-D45+100),100/(D45+100))</f>
        <v>0.62406015037594</v>
      </c>
      <c r="I45" s="8" t="n">
        <f aca="false">G45+H45-1</f>
        <v>0.0588427590715921</v>
      </c>
      <c r="J45" s="8" t="n">
        <f aca="false">G45/(G45+H45)</f>
        <v>0.410620561901822</v>
      </c>
      <c r="K45" s="8" t="n">
        <f aca="false">F45-J45</f>
        <v>0.0345538720660021</v>
      </c>
      <c r="L45" s="2" t="str">
        <f aca="false">IF(K45&gt;0,"OVER","UNDER")</f>
        <v>OVER</v>
      </c>
      <c r="M45" s="8" t="n">
        <f aca="false">IF(K45&gt;0,F45,1-F45)</f>
        <v>0.445174433967824</v>
      </c>
      <c r="N45" s="2" t="n">
        <f aca="false">IF(K45&gt;0,C45,D45)</f>
        <v>130</v>
      </c>
      <c r="O45" s="9" t="n">
        <f aca="false">M45*IF(N45&lt;0,10000/-N45,N45)-(1-M45)*100</f>
        <v>2.39011981259944</v>
      </c>
      <c r="P45" s="8" t="n">
        <f aca="false">MAX(0,(M45*(IF(N45&lt;0,100/-N45,N45/100)+1)-1)/IF(N45&lt;0,100/-N45,N45/100))</f>
        <v>0.0183855370199956</v>
      </c>
    </row>
    <row r="46" customFormat="false" ht="15" hidden="false" customHeight="false" outlineLevel="0" collapsed="false">
      <c r="A46" s="2" t="s">
        <v>102</v>
      </c>
      <c r="B46" s="3" t="n">
        <v>5.5</v>
      </c>
      <c r="C46" s="3" t="n">
        <v>-125</v>
      </c>
      <c r="D46" s="3" t="n">
        <v>-102</v>
      </c>
      <c r="E46" s="7" t="n">
        <f aca="false">Win_Probabilities!E46</f>
        <v>6.40835846497933</v>
      </c>
      <c r="F46" s="8" t="n">
        <f aca="false">SUMPRODUCT((Win_Probabilities!$F$1:$S$1&lt;&gt;"")*(COLUMN(Win_Probabilities!$F$1:$S$1)-COLUMN(Win_Probabilities!$F$1)&gt;$B46)*Win_Probabilities!$F46:$S46)</f>
        <v>0.723918033605866</v>
      </c>
      <c r="G46" s="8" t="n">
        <f aca="false">IF(C46&lt;0,-C46/(-C46+100),100/(C46+100))</f>
        <v>0.555555555555556</v>
      </c>
      <c r="H46" s="8" t="n">
        <f aca="false">IF(D46&lt;0,-D46/(-D46+100),100/(D46+100))</f>
        <v>0.504950495049505</v>
      </c>
      <c r="I46" s="8" t="n">
        <f aca="false">G46+H46-1</f>
        <v>0.0605060506050605</v>
      </c>
      <c r="J46" s="8" t="n">
        <f aca="false">G46/(G46+H46)</f>
        <v>0.523858921161826</v>
      </c>
      <c r="K46" s="8" t="n">
        <f aca="false">F46-J46</f>
        <v>0.20005911244404</v>
      </c>
      <c r="L46" s="2" t="str">
        <f aca="false">IF(K46&gt;0,"OVER","UNDER")</f>
        <v>OVER</v>
      </c>
      <c r="M46" s="8" t="n">
        <f aca="false">IF(K46&gt;0,F46,1-F46)</f>
        <v>0.723918033605866</v>
      </c>
      <c r="N46" s="2" t="n">
        <f aca="false">IF(K46&gt;0,C46,D46)</f>
        <v>-125</v>
      </c>
      <c r="O46" s="9" t="n">
        <f aca="false">M46*IF(N46&lt;0,10000/-N46,N46)-(1-M46)*100</f>
        <v>30.3052460490559</v>
      </c>
      <c r="P46" s="8" t="n">
        <f aca="false">MAX(0,(M46*(IF(N46&lt;0,100/-N46,N46/100)+1)-1)/IF(N46&lt;0,100/-N46,N46/100))</f>
        <v>0.378815575613199</v>
      </c>
    </row>
    <row r="47" customFormat="false" ht="15" hidden="false" customHeight="false" outlineLevel="0" collapsed="false">
      <c r="A47" s="2" t="s">
        <v>103</v>
      </c>
      <c r="B47" s="3" t="n">
        <v>6.5</v>
      </c>
      <c r="C47" s="3" t="n">
        <v>110</v>
      </c>
      <c r="D47" s="3" t="n">
        <v>-132</v>
      </c>
      <c r="E47" s="7" t="n">
        <f aca="false">Win_Probabilities!E47</f>
        <v>5.84559311278303</v>
      </c>
      <c r="F47" s="8" t="n">
        <f aca="false">SUMPRODUCT((Win_Probabilities!$F$1:$S$1&lt;&gt;"")*(COLUMN(Win_Probabilities!$F$1:$S$1)-COLUMN(Win_Probabilities!$F$1)&gt;$B47)*Win_Probabilities!$F47:$S47)</f>
        <v>0.335447723083833</v>
      </c>
      <c r="G47" s="8" t="n">
        <f aca="false">IF(C47&lt;0,-C47/(-C47+100),100/(C47+100))</f>
        <v>0.476190476190476</v>
      </c>
      <c r="H47" s="8" t="n">
        <f aca="false">IF(D47&lt;0,-D47/(-D47+100),100/(D47+100))</f>
        <v>0.568965517241379</v>
      </c>
      <c r="I47" s="8" t="n">
        <f aca="false">G47+H47-1</f>
        <v>0.0451559934318555</v>
      </c>
      <c r="J47" s="8" t="n">
        <f aca="false">G47/(G47+H47)</f>
        <v>0.455616653574234</v>
      </c>
      <c r="K47" s="8" t="n">
        <f aca="false">F47-J47</f>
        <v>-0.120168930490401</v>
      </c>
      <c r="L47" s="2" t="str">
        <f aca="false">IF(K47&gt;0,"OVER","UNDER")</f>
        <v>UNDER</v>
      </c>
      <c r="M47" s="8" t="n">
        <f aca="false">IF(K47&gt;0,F47,1-F47)</f>
        <v>0.664552276916167</v>
      </c>
      <c r="N47" s="2" t="n">
        <f aca="false">IF(K47&gt;0,C47,D47)</f>
        <v>-132</v>
      </c>
      <c r="O47" s="9" t="n">
        <f aca="false">M47*IF(N47&lt;0,10000/-N47,N47)-(1-M47)*100</f>
        <v>16.8000971549627</v>
      </c>
      <c r="P47" s="8" t="n">
        <f aca="false">MAX(0,(M47*(IF(N47&lt;0,100/-N47,N47/100)+1)-1)/IF(N47&lt;0,100/-N47,N47/100))</f>
        <v>0.221761282445507</v>
      </c>
    </row>
    <row r="48" customFormat="false" ht="15" hidden="false" customHeight="false" outlineLevel="0" collapsed="false">
      <c r="A48" s="2" t="s">
        <v>104</v>
      </c>
      <c r="B48" s="3" t="n">
        <v>4.5</v>
      </c>
      <c r="C48" s="3" t="n">
        <v>-148</v>
      </c>
      <c r="D48" s="3" t="n">
        <v>124</v>
      </c>
      <c r="E48" s="7" t="n">
        <f aca="false">Win_Probabilities!E48</f>
        <v>4.45257608063059</v>
      </c>
      <c r="F48" s="8" t="n">
        <f aca="false">SUMPRODUCT((Win_Probabilities!$F$1:$S$1&lt;&gt;"")*(COLUMN(Win_Probabilities!$F$1:$S$1)-COLUMN(Win_Probabilities!$F$1)&gt;$B48)*Win_Probabilities!$F48:$S48)</f>
        <v>0.469103468941817</v>
      </c>
      <c r="G48" s="8" t="n">
        <f aca="false">IF(C48&lt;0,-C48/(-C48+100),100/(C48+100))</f>
        <v>0.596774193548387</v>
      </c>
      <c r="H48" s="8" t="n">
        <f aca="false">IF(D48&lt;0,-D48/(-D48+100),100/(D48+100))</f>
        <v>0.446428571428571</v>
      </c>
      <c r="I48" s="8" t="n">
        <f aca="false">G48+H48-1</f>
        <v>0.0432027649769586</v>
      </c>
      <c r="J48" s="8" t="n">
        <f aca="false">G48/(G48+H48)</f>
        <v>0.572059635560464</v>
      </c>
      <c r="K48" s="8" t="n">
        <f aca="false">F48-J48</f>
        <v>-0.102956166618647</v>
      </c>
      <c r="L48" s="2" t="str">
        <f aca="false">IF(K48&gt;0,"OVER","UNDER")</f>
        <v>UNDER</v>
      </c>
      <c r="M48" s="8" t="n">
        <f aca="false">IF(K48&gt;0,F48,1-F48)</f>
        <v>0.530896531058183</v>
      </c>
      <c r="N48" s="2" t="n">
        <f aca="false">IF(K48&gt;0,C48,D48)</f>
        <v>124</v>
      </c>
      <c r="O48" s="9" t="n">
        <f aca="false">M48*IF(N48&lt;0,10000/-N48,N48)-(1-M48)*100</f>
        <v>18.920822957033</v>
      </c>
      <c r="P48" s="8" t="n">
        <f aca="false">MAX(0,(M48*(IF(N48&lt;0,100/-N48,N48/100)+1)-1)/IF(N48&lt;0,100/-N48,N48/100))</f>
        <v>0.152587281911557</v>
      </c>
    </row>
    <row r="49" customFormat="false" ht="15" hidden="false" customHeight="false" outlineLevel="0" collapsed="false">
      <c r="A49" s="2" t="s">
        <v>105</v>
      </c>
      <c r="B49" s="3" t="n">
        <v>5.5</v>
      </c>
      <c r="C49" s="3" t="n">
        <v>100</v>
      </c>
      <c r="D49" s="3" t="n">
        <v>-125</v>
      </c>
      <c r="E49" s="7" t="n">
        <f aca="false">Win_Probabilities!E49</f>
        <v>5.95088160070845</v>
      </c>
      <c r="F49" s="8" t="n">
        <f aca="false">SUMPRODUCT((Win_Probabilities!$F$1:$S$1&lt;&gt;"")*(COLUMN(Win_Probabilities!$F$1:$S$1)-COLUMN(Win_Probabilities!$F$1)&gt;$B49)*Win_Probabilities!$F49:$S49)</f>
        <v>0.618490516439033</v>
      </c>
      <c r="G49" s="8" t="n">
        <f aca="false">IF(C49&lt;0,-C49/(-C49+100),100/(C49+100))</f>
        <v>0.5</v>
      </c>
      <c r="H49" s="8" t="n">
        <f aca="false">IF(D49&lt;0,-D49/(-D49+100),100/(D49+100))</f>
        <v>0.555555555555556</v>
      </c>
      <c r="I49" s="8" t="n">
        <f aca="false">G49+H49-1</f>
        <v>0.0555555555555556</v>
      </c>
      <c r="J49" s="8" t="n">
        <f aca="false">G49/(G49+H49)</f>
        <v>0.473684210526316</v>
      </c>
      <c r="K49" s="8" t="n">
        <f aca="false">F49-J49</f>
        <v>0.144806305912718</v>
      </c>
      <c r="L49" s="2" t="str">
        <f aca="false">IF(K49&gt;0,"OVER","UNDER")</f>
        <v>OVER</v>
      </c>
      <c r="M49" s="8" t="n">
        <f aca="false">IF(K49&gt;0,F49,1-F49)</f>
        <v>0.618490516439033</v>
      </c>
      <c r="N49" s="2" t="n">
        <f aca="false">IF(K49&gt;0,C49,D49)</f>
        <v>100</v>
      </c>
      <c r="O49" s="9" t="n">
        <f aca="false">M49*IF(N49&lt;0,10000/-N49,N49)-(1-M49)*100</f>
        <v>23.6981032878067</v>
      </c>
      <c r="P49" s="8" t="n">
        <f aca="false">MAX(0,(M49*(IF(N49&lt;0,100/-N49,N49/100)+1)-1)/IF(N49&lt;0,100/-N49,N49/100))</f>
        <v>0.236981032878067</v>
      </c>
    </row>
    <row r="50" customFormat="false" ht="15" hidden="false" customHeight="false" outlineLevel="0" collapsed="false">
      <c r="A50" s="2" t="s">
        <v>106</v>
      </c>
      <c r="B50" s="3" t="n">
        <v>7.5</v>
      </c>
      <c r="C50" s="3" t="n">
        <v>-154</v>
      </c>
      <c r="D50" s="3" t="n">
        <v>125</v>
      </c>
      <c r="E50" s="7" t="n">
        <f aca="false">Win_Probabilities!E50</f>
        <v>8.19572669377522</v>
      </c>
      <c r="F50" s="8" t="n">
        <f aca="false">SUMPRODUCT((Win_Probabilities!$F$1:$S$1&lt;&gt;"")*(COLUMN(Win_Probabilities!$F$1:$S$1)-COLUMN(Win_Probabilities!$F$1)&gt;$B50)*Win_Probabilities!$F50:$S50)</f>
        <v>0.698463102299935</v>
      </c>
      <c r="G50" s="8" t="n">
        <f aca="false">IF(C50&lt;0,-C50/(-C50+100),100/(C50+100))</f>
        <v>0.606299212598425</v>
      </c>
      <c r="H50" s="8" t="n">
        <f aca="false">IF(D50&lt;0,-D50/(-D50+100),100/(D50+100))</f>
        <v>0.444444444444444</v>
      </c>
      <c r="I50" s="8" t="n">
        <f aca="false">G50+H50-1</f>
        <v>0.0507436570428697</v>
      </c>
      <c r="J50" s="8" t="n">
        <f aca="false">G50/(G50+H50)</f>
        <v>0.577019150707744</v>
      </c>
      <c r="K50" s="8" t="n">
        <f aca="false">F50-J50</f>
        <v>0.121443951592191</v>
      </c>
      <c r="L50" s="2" t="str">
        <f aca="false">IF(K50&gt;0,"OVER","UNDER")</f>
        <v>OVER</v>
      </c>
      <c r="M50" s="8" t="n">
        <f aca="false">IF(K50&gt;0,F50,1-F50)</f>
        <v>0.698463102299935</v>
      </c>
      <c r="N50" s="2" t="n">
        <f aca="false">IF(K50&gt;0,C50,D50)</f>
        <v>-154</v>
      </c>
      <c r="O50" s="9" t="n">
        <f aca="false">M50*IF(N50&lt;0,10000/-N50,N50)-(1-M50)*100</f>
        <v>15.2010571325866</v>
      </c>
      <c r="P50" s="8" t="n">
        <f aca="false">MAX(0,(M50*(IF(N50&lt;0,100/-N50,N50/100)+1)-1)/IF(N50&lt;0,100/-N50,N50/100))</f>
        <v>0.234096279841834</v>
      </c>
    </row>
    <row r="51" customFormat="false" ht="15" hidden="false" customHeight="false" outlineLevel="0" collapsed="false">
      <c r="A51" s="2" t="s">
        <v>107</v>
      </c>
      <c r="B51" s="3" t="n">
        <v>5.5</v>
      </c>
      <c r="C51" s="3" t="n">
        <v>-110</v>
      </c>
      <c r="D51" s="3" t="n">
        <v>-118</v>
      </c>
      <c r="E51" s="7" t="n">
        <f aca="false">Win_Probabilities!E51</f>
        <v>5.27368621198963</v>
      </c>
      <c r="F51" s="8" t="n">
        <f aca="false">SUMPRODUCT((Win_Probabilities!$F$1:$S$1&lt;&gt;"")*(COLUMN(Win_Probabilities!$F$1:$S$1)-COLUMN(Win_Probabilities!$F$1)&gt;$B51)*Win_Probabilities!$F51:$S51)</f>
        <v>0.431227419968327</v>
      </c>
      <c r="G51" s="8" t="n">
        <f aca="false">IF(C51&lt;0,-C51/(-C51+100),100/(C51+100))</f>
        <v>0.523809523809524</v>
      </c>
      <c r="H51" s="8" t="n">
        <f aca="false">IF(D51&lt;0,-D51/(-D51+100),100/(D51+100))</f>
        <v>0.541284403669725</v>
      </c>
      <c r="I51" s="8" t="n">
        <f aca="false">G51+H51-1</f>
        <v>0.0650939274792486</v>
      </c>
      <c r="J51" s="8" t="n">
        <f aca="false">G51/(G51+H51)</f>
        <v>0.491796554552912</v>
      </c>
      <c r="K51" s="8" t="n">
        <f aca="false">F51-J51</f>
        <v>-0.0605691345845854</v>
      </c>
      <c r="L51" s="2" t="str">
        <f aca="false">IF(K51&gt;0,"OVER","UNDER")</f>
        <v>UNDER</v>
      </c>
      <c r="M51" s="8" t="n">
        <f aca="false">IF(K51&gt;0,F51,1-F51)</f>
        <v>0.568772580031673</v>
      </c>
      <c r="N51" s="2" t="n">
        <f aca="false">IF(K51&gt;0,C51,D51)</f>
        <v>-118</v>
      </c>
      <c r="O51" s="9" t="n">
        <f aca="false">M51*IF(N51&lt;0,10000/-N51,N51)-(1-M51)*100</f>
        <v>5.0783241075464</v>
      </c>
      <c r="P51" s="8" t="n">
        <f aca="false">MAX(0,(M51*(IF(N51&lt;0,100/-N51,N51/100)+1)-1)/IF(N51&lt;0,100/-N51,N51/100))</f>
        <v>0.0599242244690476</v>
      </c>
    </row>
    <row r="52" customFormat="false" ht="15" hidden="false" customHeight="false" outlineLevel="0" collapsed="false">
      <c r="A52" s="2" t="s">
        <v>108</v>
      </c>
      <c r="B52" s="3" t="n">
        <v>6.5</v>
      </c>
      <c r="C52" s="3" t="n">
        <v>-110</v>
      </c>
      <c r="D52" s="3" t="n">
        <v>-110</v>
      </c>
      <c r="E52" s="7" t="n">
        <f aca="false">Win_Probabilities!E52</f>
        <v>5.79201126565864</v>
      </c>
      <c r="F52" s="8" t="n">
        <f aca="false">SUMPRODUCT((Win_Probabilities!$F$1:$S$1&lt;&gt;"")*(COLUMN(Win_Probabilities!$F$1:$S$1)-COLUMN(Win_Probabilities!$F$1)&gt;$B52)*Win_Probabilities!$F52:$S52)</f>
        <v>0.317053385948434</v>
      </c>
      <c r="G52" s="8" t="n">
        <f aca="false">IF(C52&lt;0,-C52/(-C52+100),100/(C52+100))</f>
        <v>0.523809523809524</v>
      </c>
      <c r="H52" s="8" t="n">
        <f aca="false">IF(D52&lt;0,-D52/(-D52+100),100/(D52+100))</f>
        <v>0.523809523809524</v>
      </c>
      <c r="I52" s="8" t="n">
        <f aca="false">G52+H52-1</f>
        <v>0.0476190476190477</v>
      </c>
      <c r="J52" s="8" t="n">
        <f aca="false">G52/(G52+H52)</f>
        <v>0.5</v>
      </c>
      <c r="K52" s="8" t="n">
        <f aca="false">F52-J52</f>
        <v>-0.182946614051566</v>
      </c>
      <c r="L52" s="2" t="str">
        <f aca="false">IF(K52&gt;0,"OVER","UNDER")</f>
        <v>UNDER</v>
      </c>
      <c r="M52" s="8" t="n">
        <f aca="false">IF(K52&gt;0,F52,1-F52)</f>
        <v>0.682946614051566</v>
      </c>
      <c r="N52" s="2" t="n">
        <f aca="false">IF(K52&gt;0,C52,D52)</f>
        <v>-110</v>
      </c>
      <c r="O52" s="9" t="n">
        <f aca="false">M52*IF(N52&lt;0,10000/-N52,N52)-(1-M52)*100</f>
        <v>30.3807172280262</v>
      </c>
      <c r="P52" s="8" t="n">
        <f aca="false">MAX(0,(M52*(IF(N52&lt;0,100/-N52,N52/100)+1)-1)/IF(N52&lt;0,100/-N52,N52/100))</f>
        <v>0.334187889508288</v>
      </c>
    </row>
    <row r="53" customFormat="false" ht="15" hidden="false" customHeight="false" outlineLevel="0" collapsed="false">
      <c r="A53" s="2" t="s">
        <v>109</v>
      </c>
      <c r="B53" s="3" t="n">
        <v>4.5</v>
      </c>
      <c r="C53" s="3" t="n">
        <v>-136</v>
      </c>
      <c r="D53" s="3" t="n">
        <v>115</v>
      </c>
      <c r="E53" s="7" t="n">
        <f aca="false">Win_Probabilities!E53</f>
        <v>4.70000115602007</v>
      </c>
      <c r="F53" s="8" t="n">
        <f aca="false">SUMPRODUCT((Win_Probabilities!$F$1:$S$1&lt;&gt;"")*(COLUMN(Win_Probabilities!$F$1:$S$1)-COLUMN(Win_Probabilities!$F$1)&gt;$B53)*Win_Probabilities!$F53:$S53)</f>
        <v>0.538441173285497</v>
      </c>
      <c r="G53" s="8" t="n">
        <f aca="false">IF(C53&lt;0,-C53/(-C53+100),100/(C53+100))</f>
        <v>0.576271186440678</v>
      </c>
      <c r="H53" s="8" t="n">
        <f aca="false">IF(D53&lt;0,-D53/(-D53+100),100/(D53+100))</f>
        <v>0.465116279069767</v>
      </c>
      <c r="I53" s="8" t="n">
        <f aca="false">G53+H53-1</f>
        <v>0.0413874655104454</v>
      </c>
      <c r="J53" s="8" t="n">
        <f aca="false">G53/(G53+H53)</f>
        <v>0.55336866010598</v>
      </c>
      <c r="K53" s="8" t="n">
        <f aca="false">F53-J53</f>
        <v>-0.0149274868204838</v>
      </c>
      <c r="L53" s="2" t="str">
        <f aca="false">IF(K53&gt;0,"OVER","UNDER")</f>
        <v>UNDER</v>
      </c>
      <c r="M53" s="8" t="n">
        <f aca="false">IF(K53&gt;0,F53,1-F53)</f>
        <v>0.461558826714503</v>
      </c>
      <c r="N53" s="2" t="n">
        <f aca="false">IF(K53&gt;0,C53,D53)</f>
        <v>115</v>
      </c>
      <c r="O53" s="9" t="n">
        <f aca="false">M53*IF(N53&lt;0,10000/-N53,N53)-(1-M53)*100</f>
        <v>-0.764852256381765</v>
      </c>
      <c r="P53" s="8" t="n">
        <f aca="false">MAX(0,(M53*(IF(N53&lt;0,100/-N53,N53/100)+1)-1)/IF(N53&lt;0,100/-N53,N53/100))</f>
        <v>0</v>
      </c>
    </row>
    <row r="54" customFormat="false" ht="15" hidden="false" customHeight="false" outlineLevel="0" collapsed="false">
      <c r="A54" s="2" t="s">
        <v>110</v>
      </c>
      <c r="B54" s="3" t="n">
        <v>6.5</v>
      </c>
      <c r="C54" s="3" t="n">
        <v>-105</v>
      </c>
      <c r="D54" s="3" t="n">
        <v>-115</v>
      </c>
      <c r="E54" s="7" t="n">
        <f aca="false">Win_Probabilities!E54</f>
        <v>5.63896835725539</v>
      </c>
      <c r="F54" s="8" t="n">
        <f aca="false">SUMPRODUCT((Win_Probabilities!$F$1:$S$1&lt;&gt;"")*(COLUMN(Win_Probabilities!$F$1:$S$1)-COLUMN(Win_Probabilities!$F$1)&gt;$B54)*Win_Probabilities!$F54:$S54)</f>
        <v>0.274777249223311</v>
      </c>
      <c r="G54" s="8" t="n">
        <f aca="false">IF(C54&lt;0,-C54/(-C54+100),100/(C54+100))</f>
        <v>0.51219512195122</v>
      </c>
      <c r="H54" s="8" t="n">
        <f aca="false">IF(D54&lt;0,-D54/(-D54+100),100/(D54+100))</f>
        <v>0.534883720930233</v>
      </c>
      <c r="I54" s="8" t="n">
        <f aca="false">G54+H54-1</f>
        <v>0.0470788428814521</v>
      </c>
      <c r="J54" s="8" t="n">
        <f aca="false">G54/(G54+H54)</f>
        <v>0.489165763813651</v>
      </c>
      <c r="K54" s="8" t="n">
        <f aca="false">F54-J54</f>
        <v>-0.21438851459034</v>
      </c>
      <c r="L54" s="2" t="str">
        <f aca="false">IF(K54&gt;0,"OVER","UNDER")</f>
        <v>UNDER</v>
      </c>
      <c r="M54" s="8" t="n">
        <f aca="false">IF(K54&gt;0,F54,1-F54)</f>
        <v>0.725222750776689</v>
      </c>
      <c r="N54" s="2" t="n">
        <f aca="false">IF(K54&gt;0,C54,D54)</f>
        <v>-115</v>
      </c>
      <c r="O54" s="9" t="n">
        <f aca="false">M54*IF(N54&lt;0,10000/-N54,N54)-(1-M54)*100</f>
        <v>35.5851229712941</v>
      </c>
      <c r="P54" s="8" t="n">
        <f aca="false">MAX(0,(M54*(IF(N54&lt;0,100/-N54,N54/100)+1)-1)/IF(N54&lt;0,100/-N54,N54/100))</f>
        <v>0.409228914169882</v>
      </c>
    </row>
    <row r="55" customFormat="false" ht="15" hidden="false" customHeight="false" outlineLevel="0" collapsed="false">
      <c r="A55" s="2" t="s">
        <v>111</v>
      </c>
      <c r="B55" s="3" t="n">
        <v>6.5</v>
      </c>
      <c r="C55" s="3" t="n">
        <v>140</v>
      </c>
      <c r="D55" s="3" t="n">
        <v>-170</v>
      </c>
      <c r="E55" s="7" t="n">
        <f aca="false">Win_Probabilities!E55</f>
        <v>5.93510339132248</v>
      </c>
      <c r="F55" s="8" t="n">
        <f aca="false">SUMPRODUCT((Win_Probabilities!$F$1:$S$1&lt;&gt;"")*(COLUMN(Win_Probabilities!$F$1:$S$1)-COLUMN(Win_Probabilities!$F$1)&gt;$B55)*Win_Probabilities!$F55:$S55)</f>
        <v>0.351827975016281</v>
      </c>
      <c r="G55" s="8" t="n">
        <f aca="false">IF(C55&lt;0,-C55/(-C55+100),100/(C55+100))</f>
        <v>0.416666666666667</v>
      </c>
      <c r="H55" s="8" t="n">
        <f aca="false">IF(D55&lt;0,-D55/(-D55+100),100/(D55+100))</f>
        <v>0.62962962962963</v>
      </c>
      <c r="I55" s="8" t="n">
        <f aca="false">G55+H55-1</f>
        <v>0.0462962962962963</v>
      </c>
      <c r="J55" s="8" t="n">
        <f aca="false">G55/(G55+H55)</f>
        <v>0.398230088495575</v>
      </c>
      <c r="K55" s="8" t="n">
        <f aca="false">F55-J55</f>
        <v>-0.046402113479294</v>
      </c>
      <c r="L55" s="2" t="str">
        <f aca="false">IF(K55&gt;0,"OVER","UNDER")</f>
        <v>UNDER</v>
      </c>
      <c r="M55" s="8" t="n">
        <f aca="false">IF(K55&gt;0,F55,1-F55)</f>
        <v>0.648172024983719</v>
      </c>
      <c r="N55" s="2" t="n">
        <f aca="false">IF(K55&gt;0,C55,D55)</f>
        <v>-170</v>
      </c>
      <c r="O55" s="9" t="n">
        <f aca="false">M55*IF(N55&lt;0,10000/-N55,N55)-(1-M55)*100</f>
        <v>2.94496867388475</v>
      </c>
      <c r="P55" s="8" t="n">
        <f aca="false">MAX(0,(M55*(IF(N55&lt;0,100/-N55,N55/100)+1)-1)/IF(N55&lt;0,100/-N55,N55/100))</f>
        <v>0.050064467456041</v>
      </c>
    </row>
    <row r="56" customFormat="false" ht="15" hidden="false" customHeight="false" outlineLevel="0" collapsed="false">
      <c r="A56" s="2" t="s">
        <v>112</v>
      </c>
      <c r="B56" s="3" t="n">
        <v>7.5</v>
      </c>
      <c r="C56" s="3" t="n">
        <v>-185</v>
      </c>
      <c r="D56" s="3" t="n">
        <v>140</v>
      </c>
      <c r="E56" s="7" t="n">
        <f aca="false">Win_Probabilities!E56</f>
        <v>8.8539808219114</v>
      </c>
      <c r="F56" s="8" t="n">
        <f aca="false">SUMPRODUCT((Win_Probabilities!$F$1:$S$1&lt;&gt;"")*(COLUMN(Win_Probabilities!$F$1:$S$1)-COLUMN(Win_Probabilities!$F$1)&gt;$B56)*Win_Probabilities!$F56:$S56)</f>
        <v>0.828639438330077</v>
      </c>
      <c r="G56" s="8" t="n">
        <f aca="false">IF(C56&lt;0,-C56/(-C56+100),100/(C56+100))</f>
        <v>0.649122807017544</v>
      </c>
      <c r="H56" s="8" t="n">
        <f aca="false">IF(D56&lt;0,-D56/(-D56+100),100/(D56+100))</f>
        <v>0.416666666666667</v>
      </c>
      <c r="I56" s="8" t="n">
        <f aca="false">G56+H56-1</f>
        <v>0.0657894736842106</v>
      </c>
      <c r="J56" s="8" t="n">
        <f aca="false">G56/(G56+H56)</f>
        <v>0.609053497942387</v>
      </c>
      <c r="K56" s="8" t="n">
        <f aca="false">F56-J56</f>
        <v>0.21958594038769</v>
      </c>
      <c r="L56" s="2" t="str">
        <f aca="false">IF(K56&gt;0,"OVER","UNDER")</f>
        <v>OVER</v>
      </c>
      <c r="M56" s="8" t="n">
        <f aca="false">IF(K56&gt;0,F56,1-F56)</f>
        <v>0.828639438330077</v>
      </c>
      <c r="N56" s="2" t="n">
        <f aca="false">IF(K56&gt;0,C56,D56)</f>
        <v>-185</v>
      </c>
      <c r="O56" s="9" t="n">
        <f aca="false">M56*IF(N56&lt;0,10000/-N56,N56)-(1-M56)*100</f>
        <v>27.6552648238227</v>
      </c>
      <c r="P56" s="8" t="n">
        <f aca="false">MAX(0,(M56*(IF(N56&lt;0,100/-N56,N56/100)+1)-1)/IF(N56&lt;0,100/-N56,N56/100))</f>
        <v>0.511622399240719</v>
      </c>
    </row>
    <row r="57" customFormat="false" ht="15" hidden="false" customHeight="false" outlineLevel="0" collapsed="false">
      <c r="A57" s="2" t="s">
        <v>113</v>
      </c>
      <c r="B57" s="3" t="n">
        <v>4.5</v>
      </c>
      <c r="C57" s="3" t="n">
        <v>-130</v>
      </c>
      <c r="D57" s="3" t="n">
        <v>110</v>
      </c>
      <c r="E57" s="7" t="n">
        <f aca="false">Win_Probabilities!E57</f>
        <v>5.27710441763838</v>
      </c>
      <c r="F57" s="8" t="n">
        <f aca="false">SUMPRODUCT((Win_Probabilities!$F$1:$S$1&lt;&gt;"")*(COLUMN(Win_Probabilities!$F$1:$S$1)-COLUMN(Win_Probabilities!$F$1)&gt;$B57)*Win_Probabilities!$F57:$S57)</f>
        <v>0.6952201168335</v>
      </c>
      <c r="G57" s="8" t="n">
        <f aca="false">IF(C57&lt;0,-C57/(-C57+100),100/(C57+100))</f>
        <v>0.565217391304348</v>
      </c>
      <c r="H57" s="8" t="n">
        <f aca="false">IF(D57&lt;0,-D57/(-D57+100),100/(D57+100))</f>
        <v>0.476190476190476</v>
      </c>
      <c r="I57" s="8" t="n">
        <f aca="false">G57+H57-1</f>
        <v>0.041407867494824</v>
      </c>
      <c r="J57" s="8" t="n">
        <f aca="false">G57/(G57+H57)</f>
        <v>0.542743538767396</v>
      </c>
      <c r="K57" s="8" t="n">
        <f aca="false">F57-J57</f>
        <v>0.152476578066104</v>
      </c>
      <c r="L57" s="2" t="str">
        <f aca="false">IF(K57&gt;0,"OVER","UNDER")</f>
        <v>OVER</v>
      </c>
      <c r="M57" s="8" t="n">
        <f aca="false">IF(K57&gt;0,F57,1-F57)</f>
        <v>0.6952201168335</v>
      </c>
      <c r="N57" s="2" t="n">
        <f aca="false">IF(K57&gt;0,C57,D57)</f>
        <v>-130</v>
      </c>
      <c r="O57" s="9" t="n">
        <f aca="false">M57*IF(N57&lt;0,10000/-N57,N57)-(1-M57)*100</f>
        <v>23.0004822090038</v>
      </c>
      <c r="P57" s="8" t="n">
        <f aca="false">MAX(0,(M57*(IF(N57&lt;0,100/-N57,N57/100)+1)-1)/IF(N57&lt;0,100/-N57,N57/100))</f>
        <v>0.29900626871705</v>
      </c>
    </row>
    <row r="58" customFormat="false" ht="15" hidden="false" customHeight="false" outlineLevel="0" collapsed="false">
      <c r="A58" s="2" t="s">
        <v>114</v>
      </c>
      <c r="B58" s="3" t="n">
        <v>5.5</v>
      </c>
      <c r="C58" s="3" t="n">
        <v>-125</v>
      </c>
      <c r="D58" s="3" t="n">
        <v>100</v>
      </c>
      <c r="E58" s="7" t="n">
        <f aca="false">Win_Probabilities!E58</f>
        <v>6.05684127829602</v>
      </c>
      <c r="F58" s="8" t="n">
        <f aca="false">SUMPRODUCT((Win_Probabilities!$F$1:$S$1&lt;&gt;"")*(COLUMN(Win_Probabilities!$F$1:$S$1)-COLUMN(Win_Probabilities!$F$1)&gt;$B58)*Win_Probabilities!$F58:$S58)</f>
        <v>0.640747374625632</v>
      </c>
      <c r="G58" s="8" t="n">
        <f aca="false">IF(C58&lt;0,-C58/(-C58+100),100/(C58+100))</f>
        <v>0.555555555555556</v>
      </c>
      <c r="H58" s="8" t="n">
        <f aca="false">IF(D58&lt;0,-D58/(-D58+100),100/(D58+100))</f>
        <v>0.5</v>
      </c>
      <c r="I58" s="8" t="n">
        <f aca="false">G58+H58-1</f>
        <v>0.0555555555555556</v>
      </c>
      <c r="J58" s="8" t="n">
        <f aca="false">G58/(G58+H58)</f>
        <v>0.526315789473684</v>
      </c>
      <c r="K58" s="8" t="n">
        <f aca="false">F58-J58</f>
        <v>0.114431585151947</v>
      </c>
      <c r="L58" s="2" t="str">
        <f aca="false">IF(K58&gt;0,"OVER","UNDER")</f>
        <v>OVER</v>
      </c>
      <c r="M58" s="8" t="n">
        <f aca="false">IF(K58&gt;0,F58,1-F58)</f>
        <v>0.640747374625632</v>
      </c>
      <c r="N58" s="2" t="n">
        <f aca="false">IF(K58&gt;0,C58,D58)</f>
        <v>-125</v>
      </c>
      <c r="O58" s="9" t="n">
        <f aca="false">M58*IF(N58&lt;0,10000/-N58,N58)-(1-M58)*100</f>
        <v>15.3345274326137</v>
      </c>
      <c r="P58" s="8" t="n">
        <f aca="false">MAX(0,(M58*(IF(N58&lt;0,100/-N58,N58/100)+1)-1)/IF(N58&lt;0,100/-N58,N58/100))</f>
        <v>0.191681592907671</v>
      </c>
    </row>
    <row r="59" customFormat="false" ht="15" hidden="false" customHeight="false" outlineLevel="0" collapsed="false">
      <c r="A59" s="2" t="s">
        <v>115</v>
      </c>
      <c r="B59" s="3" t="n">
        <v>5.5</v>
      </c>
      <c r="C59" s="3" t="n">
        <v>-156</v>
      </c>
      <c r="D59" s="3" t="n">
        <v>128</v>
      </c>
      <c r="E59" s="7" t="n">
        <f aca="false">Win_Probabilities!E59</f>
        <v>5.93384404787908</v>
      </c>
      <c r="F59" s="8" t="n">
        <f aca="false">SUMPRODUCT((Win_Probabilities!$F$1:$S$1&lt;&gt;"")*(COLUMN(Win_Probabilities!$F$1:$S$1)-COLUMN(Win_Probabilities!$F$1)&gt;$B59)*Win_Probabilities!$F59:$S59)</f>
        <v>0.605895033332852</v>
      </c>
      <c r="G59" s="8" t="n">
        <f aca="false">IF(C59&lt;0,-C59/(-C59+100),100/(C59+100))</f>
        <v>0.609375</v>
      </c>
      <c r="H59" s="8" t="n">
        <f aca="false">IF(D59&lt;0,-D59/(-D59+100),100/(D59+100))</f>
        <v>0.43859649122807</v>
      </c>
      <c r="I59" s="8" t="n">
        <f aca="false">G59+H59-1</f>
        <v>0.0479714912280702</v>
      </c>
      <c r="J59" s="8" t="n">
        <f aca="false">G59/(G59+H59)</f>
        <v>0.581480512686372</v>
      </c>
      <c r="K59" s="8" t="n">
        <f aca="false">F59-J59</f>
        <v>0.0244145206464796</v>
      </c>
      <c r="L59" s="2" t="str">
        <f aca="false">IF(K59&gt;0,"OVER","UNDER")</f>
        <v>OVER</v>
      </c>
      <c r="M59" s="8" t="n">
        <f aca="false">IF(K59&gt;0,F59,1-F59)</f>
        <v>0.605895033332852</v>
      </c>
      <c r="N59" s="2" t="n">
        <f aca="false">IF(K59&gt;0,C59,D59)</f>
        <v>-156</v>
      </c>
      <c r="O59" s="9" t="n">
        <f aca="false">M59*IF(N59&lt;0,10000/-N59,N59)-(1-M59)*100</f>
        <v>-0.571071453070509</v>
      </c>
      <c r="P59" s="8" t="n">
        <f aca="false">MAX(0,(M59*(IF(N59&lt;0,100/-N59,N59/100)+1)-1)/IF(N59&lt;0,100/-N59,N59/100))</f>
        <v>0</v>
      </c>
    </row>
    <row r="60" customFormat="false" ht="15" hidden="false" customHeight="false" outlineLevel="0" collapsed="false">
      <c r="A60" s="2" t="s">
        <v>116</v>
      </c>
      <c r="B60" s="3" t="n">
        <v>5.5</v>
      </c>
      <c r="C60" s="3" t="n">
        <v>125</v>
      </c>
      <c r="D60" s="3" t="n">
        <v>-150</v>
      </c>
      <c r="E60" s="7" t="n">
        <f aca="false">Win_Probabilities!E60</f>
        <v>5.80090513774092</v>
      </c>
      <c r="F60" s="8" t="n">
        <f aca="false">SUMPRODUCT((Win_Probabilities!$F$1:$S$1&lt;&gt;"")*(COLUMN(Win_Probabilities!$F$1:$S$1)-COLUMN(Win_Probabilities!$F$1)&gt;$B60)*Win_Probabilities!$F60:$S60)</f>
        <v>0.57429445226573</v>
      </c>
      <c r="G60" s="8" t="n">
        <f aca="false">IF(C60&lt;0,-C60/(-C60+100),100/(C60+100))</f>
        <v>0.444444444444444</v>
      </c>
      <c r="H60" s="8" t="n">
        <f aca="false">IF(D60&lt;0,-D60/(-D60+100),100/(D60+100))</f>
        <v>0.6</v>
      </c>
      <c r="I60" s="8" t="n">
        <f aca="false">G60+H60-1</f>
        <v>0.0444444444444443</v>
      </c>
      <c r="J60" s="8" t="n">
        <f aca="false">G60/(G60+H60)</f>
        <v>0.425531914893617</v>
      </c>
      <c r="K60" s="8" t="n">
        <f aca="false">F60-J60</f>
        <v>0.148762537372112</v>
      </c>
      <c r="L60" s="2" t="str">
        <f aca="false">IF(K60&gt;0,"OVER","UNDER")</f>
        <v>OVER</v>
      </c>
      <c r="M60" s="8" t="n">
        <f aca="false">IF(K60&gt;0,F60,1-F60)</f>
        <v>0.57429445226573</v>
      </c>
      <c r="N60" s="2" t="n">
        <f aca="false">IF(K60&gt;0,C60,D60)</f>
        <v>125</v>
      </c>
      <c r="O60" s="9" t="n">
        <f aca="false">M60*IF(N60&lt;0,10000/-N60,N60)-(1-M60)*100</f>
        <v>29.2162517597891</v>
      </c>
      <c r="P60" s="8" t="n">
        <f aca="false">MAX(0,(M60*(IF(N60&lt;0,100/-N60,N60/100)+1)-1)/IF(N60&lt;0,100/-N60,N60/100))</f>
        <v>0.233730014078313</v>
      </c>
    </row>
    <row r="61" customFormat="false" ht="15" hidden="false" customHeight="false" outlineLevel="0" collapsed="false">
      <c r="A61" s="2" t="s">
        <v>117</v>
      </c>
      <c r="B61" s="3" t="n">
        <v>6.5</v>
      </c>
      <c r="C61" s="3" t="n">
        <v>110</v>
      </c>
      <c r="D61" s="3" t="n">
        <v>-140</v>
      </c>
      <c r="E61" s="7" t="n">
        <f aca="false">Win_Probabilities!E61</f>
        <v>5.87156796803781</v>
      </c>
      <c r="F61" s="8" t="n">
        <f aca="false">SUMPRODUCT((Win_Probabilities!$F$1:$S$1&lt;&gt;"")*(COLUMN(Win_Probabilities!$F$1:$S$1)-COLUMN(Win_Probabilities!$F$1)&gt;$B61)*Win_Probabilities!$F61:$S61)</f>
        <v>0.343822030056636</v>
      </c>
      <c r="G61" s="8" t="n">
        <f aca="false">IF(C61&lt;0,-C61/(-C61+100),100/(C61+100))</f>
        <v>0.476190476190476</v>
      </c>
      <c r="H61" s="8" t="n">
        <f aca="false">IF(D61&lt;0,-D61/(-D61+100),100/(D61+100))</f>
        <v>0.583333333333333</v>
      </c>
      <c r="I61" s="8" t="n">
        <f aca="false">G61+H61-1</f>
        <v>0.0595238095238095</v>
      </c>
      <c r="J61" s="8" t="n">
        <f aca="false">G61/(G61+H61)</f>
        <v>0.449438202247191</v>
      </c>
      <c r="K61" s="8" t="n">
        <f aca="false">F61-J61</f>
        <v>-0.105616172190555</v>
      </c>
      <c r="L61" s="2" t="str">
        <f aca="false">IF(K61&gt;0,"OVER","UNDER")</f>
        <v>UNDER</v>
      </c>
      <c r="M61" s="8" t="n">
        <f aca="false">IF(K61&gt;0,F61,1-F61)</f>
        <v>0.656177969943364</v>
      </c>
      <c r="N61" s="2" t="n">
        <f aca="false">IF(K61&gt;0,C61,D61)</f>
        <v>-140</v>
      </c>
      <c r="O61" s="9" t="n">
        <f aca="false">M61*IF(N61&lt;0,10000/-N61,N61)-(1-M61)*100</f>
        <v>12.487651990291</v>
      </c>
      <c r="P61" s="8" t="n">
        <f aca="false">MAX(0,(M61*(IF(N61&lt;0,100/-N61,N61/100)+1)-1)/IF(N61&lt;0,100/-N61,N61/100))</f>
        <v>0.174827127864074</v>
      </c>
    </row>
    <row r="62" customFormat="false" ht="15" hidden="false" customHeight="false" outlineLevel="0" collapsed="false">
      <c r="A62" s="2" t="s">
        <v>118</v>
      </c>
      <c r="B62" s="3" t="n">
        <v>4.5</v>
      </c>
      <c r="C62" s="3" t="n">
        <v>-160</v>
      </c>
      <c r="D62" s="3" t="n">
        <v>125</v>
      </c>
      <c r="E62" s="7" t="n">
        <f aca="false">Win_Probabilities!E62</f>
        <v>5.40213218571903</v>
      </c>
      <c r="F62" s="8" t="n">
        <f aca="false">SUMPRODUCT((Win_Probabilities!$F$1:$S$1&lt;&gt;"")*(COLUMN(Win_Probabilities!$F$1:$S$1)-COLUMN(Win_Probabilities!$F$1)&gt;$B62)*Win_Probabilities!$F62:$S62)</f>
        <v>0.731121443750162</v>
      </c>
      <c r="G62" s="8" t="n">
        <f aca="false">IF(C62&lt;0,-C62/(-C62+100),100/(C62+100))</f>
        <v>0.615384615384615</v>
      </c>
      <c r="H62" s="8" t="n">
        <f aca="false">IF(D62&lt;0,-D62/(-D62+100),100/(D62+100))</f>
        <v>0.444444444444444</v>
      </c>
      <c r="I62" s="8" t="n">
        <f aca="false">G62+H62-1</f>
        <v>0.0598290598290598</v>
      </c>
      <c r="J62" s="8" t="n">
        <f aca="false">G62/(G62+H62)</f>
        <v>0.580645161290323</v>
      </c>
      <c r="K62" s="8" t="n">
        <f aca="false">F62-J62</f>
        <v>0.150476282459839</v>
      </c>
      <c r="L62" s="2" t="str">
        <f aca="false">IF(K62&gt;0,"OVER","UNDER")</f>
        <v>OVER</v>
      </c>
      <c r="M62" s="8" t="n">
        <f aca="false">IF(K62&gt;0,F62,1-F62)</f>
        <v>0.731121443750162</v>
      </c>
      <c r="N62" s="2" t="n">
        <f aca="false">IF(K62&gt;0,C62,D62)</f>
        <v>-160</v>
      </c>
      <c r="O62" s="9" t="n">
        <f aca="false">M62*IF(N62&lt;0,10000/-N62,N62)-(1-M62)*100</f>
        <v>18.8072346094013</v>
      </c>
      <c r="P62" s="8" t="n">
        <f aca="false">MAX(0,(M62*(IF(N62&lt;0,100/-N62,N62/100)+1)-1)/IF(N62&lt;0,100/-N62,N62/100))</f>
        <v>0.300915753750421</v>
      </c>
    </row>
    <row r="63" customFormat="false" ht="15" hidden="false" customHeight="false" outlineLevel="0" collapsed="false">
      <c r="A63" s="2" t="s">
        <v>119</v>
      </c>
      <c r="B63" s="3" t="n">
        <v>4.5</v>
      </c>
      <c r="C63" s="3" t="n">
        <v>130</v>
      </c>
      <c r="D63" s="3" t="n">
        <v>-156</v>
      </c>
      <c r="E63" s="7" t="n">
        <f aca="false">Win_Probabilities!E63</f>
        <v>4.62558548277933</v>
      </c>
      <c r="F63" s="8" t="n">
        <f aca="false">SUMPRODUCT((Win_Probabilities!$F$1:$S$1&lt;&gt;"")*(COLUMN(Win_Probabilities!$F$1:$S$1)-COLUMN(Win_Probabilities!$F$1)&gt;$B63)*Win_Probabilities!$F63:$S63)</f>
        <v>0.525691793464295</v>
      </c>
      <c r="G63" s="8" t="n">
        <f aca="false">IF(C63&lt;0,-C63/(-C63+100),100/(C63+100))</f>
        <v>0.434782608695652</v>
      </c>
      <c r="H63" s="8" t="n">
        <f aca="false">IF(D63&lt;0,-D63/(-D63+100),100/(D63+100))</f>
        <v>0.609375</v>
      </c>
      <c r="I63" s="8" t="n">
        <f aca="false">G63+H63-1</f>
        <v>0.0441576086956521</v>
      </c>
      <c r="J63" s="8" t="n">
        <f aca="false">G63/(G63+H63)</f>
        <v>0.416395575797007</v>
      </c>
      <c r="K63" s="8" t="n">
        <f aca="false">F63-J63</f>
        <v>0.109296217667288</v>
      </c>
      <c r="L63" s="2" t="str">
        <f aca="false">IF(K63&gt;0,"OVER","UNDER")</f>
        <v>OVER</v>
      </c>
      <c r="M63" s="8" t="n">
        <f aca="false">IF(K63&gt;0,F63,1-F63)</f>
        <v>0.525691793464295</v>
      </c>
      <c r="N63" s="2" t="n">
        <f aca="false">IF(K63&gt;0,C63,D63)</f>
        <v>130</v>
      </c>
      <c r="O63" s="9" t="n">
        <f aca="false">M63*IF(N63&lt;0,10000/-N63,N63)-(1-M63)*100</f>
        <v>20.9091124967879</v>
      </c>
      <c r="P63" s="8" t="n">
        <f aca="false">MAX(0,(M63*(IF(N63&lt;0,100/-N63,N63/100)+1)-1)/IF(N63&lt;0,100/-N63,N63/100))</f>
        <v>0.160839326898369</v>
      </c>
    </row>
    <row r="64" customFormat="false" ht="15" hidden="false" customHeight="false" outlineLevel="0" collapsed="false">
      <c r="A64" s="2" t="s">
        <v>120</v>
      </c>
      <c r="B64" s="3" t="n">
        <v>5.5</v>
      </c>
      <c r="C64" s="3" t="n">
        <v>-140</v>
      </c>
      <c r="D64" s="3" t="n">
        <v>120</v>
      </c>
      <c r="E64" s="7" t="n">
        <f aca="false">Win_Probabilities!E64</f>
        <v>6.01865163468711</v>
      </c>
      <c r="F64" s="8" t="n">
        <f aca="false">SUMPRODUCT((Win_Probabilities!$F$1:$S$1&lt;&gt;"")*(COLUMN(Win_Probabilities!$F$1:$S$1)-COLUMN(Win_Probabilities!$F$1)&gt;$B64)*Win_Probabilities!$F64:$S64)</f>
        <v>0.626233388766679</v>
      </c>
      <c r="G64" s="8" t="n">
        <f aca="false">IF(C64&lt;0,-C64/(-C64+100),100/(C64+100))</f>
        <v>0.583333333333333</v>
      </c>
      <c r="H64" s="8" t="n">
        <f aca="false">IF(D64&lt;0,-D64/(-D64+100),100/(D64+100))</f>
        <v>0.454545454545455</v>
      </c>
      <c r="I64" s="8" t="n">
        <f aca="false">G64+H64-1</f>
        <v>0.0378787878787878</v>
      </c>
      <c r="J64" s="8" t="n">
        <f aca="false">G64/(G64+H64)</f>
        <v>0.562043795620438</v>
      </c>
      <c r="K64" s="8" t="n">
        <f aca="false">F64-J64</f>
        <v>0.064189593146241</v>
      </c>
      <c r="L64" s="2" t="str">
        <f aca="false">IF(K64&gt;0,"OVER","UNDER")</f>
        <v>OVER</v>
      </c>
      <c r="M64" s="8" t="n">
        <f aca="false">IF(K64&gt;0,F64,1-F64)</f>
        <v>0.626233388766679</v>
      </c>
      <c r="N64" s="2" t="n">
        <f aca="false">IF(K64&gt;0,C64,D64)</f>
        <v>-140</v>
      </c>
      <c r="O64" s="9" t="n">
        <f aca="false">M64*IF(N64&lt;0,10000/-N64,N64)-(1-M64)*100</f>
        <v>7.35429521714497</v>
      </c>
      <c r="P64" s="8" t="n">
        <f aca="false">MAX(0,(M64*(IF(N64&lt;0,100/-N64,N64/100)+1)-1)/IF(N64&lt;0,100/-N64,N64/100))</f>
        <v>0.10296013304003</v>
      </c>
    </row>
    <row r="65" customFormat="false" ht="15" hidden="false" customHeight="false" outlineLevel="0" collapsed="false">
      <c r="A65" s="2" t="s">
        <v>121</v>
      </c>
      <c r="B65" s="3" t="n">
        <v>7.5</v>
      </c>
      <c r="C65" s="3" t="n">
        <v>-160</v>
      </c>
      <c r="D65" s="3" t="n">
        <v>125</v>
      </c>
      <c r="E65" s="7" t="n">
        <f aca="false">Win_Probabilities!E65</f>
        <v>7.97438142000781</v>
      </c>
      <c r="F65" s="8" t="n">
        <f aca="false">SUMPRODUCT((Win_Probabilities!$F$1:$S$1&lt;&gt;"")*(COLUMN(Win_Probabilities!$F$1:$S$1)-COLUMN(Win_Probabilities!$F$1)&gt;$B65)*Win_Probabilities!$F65:$S65)</f>
        <v>0.642531110518191</v>
      </c>
      <c r="G65" s="8" t="n">
        <f aca="false">IF(C65&lt;0,-C65/(-C65+100),100/(C65+100))</f>
        <v>0.615384615384615</v>
      </c>
      <c r="H65" s="8" t="n">
        <f aca="false">IF(D65&lt;0,-D65/(-D65+100),100/(D65+100))</f>
        <v>0.444444444444444</v>
      </c>
      <c r="I65" s="8" t="n">
        <f aca="false">G65+H65-1</f>
        <v>0.0598290598290598</v>
      </c>
      <c r="J65" s="8" t="n">
        <f aca="false">G65/(G65+H65)</f>
        <v>0.580645161290323</v>
      </c>
      <c r="K65" s="8" t="n">
        <f aca="false">F65-J65</f>
        <v>0.0618859492278678</v>
      </c>
      <c r="L65" s="2" t="str">
        <f aca="false">IF(K65&gt;0,"OVER","UNDER")</f>
        <v>OVER</v>
      </c>
      <c r="M65" s="8" t="n">
        <f aca="false">IF(K65&gt;0,F65,1-F65)</f>
        <v>0.642531110518191</v>
      </c>
      <c r="N65" s="2" t="n">
        <f aca="false">IF(K65&gt;0,C65,D65)</f>
        <v>-160</v>
      </c>
      <c r="O65" s="9" t="n">
        <f aca="false">M65*IF(N65&lt;0,10000/-N65,N65)-(1-M65)*100</f>
        <v>4.41130545920595</v>
      </c>
      <c r="P65" s="8" t="n">
        <f aca="false">MAX(0,(M65*(IF(N65&lt;0,100/-N65,N65/100)+1)-1)/IF(N65&lt;0,100/-N65,N65/100))</f>
        <v>0.070580887347295</v>
      </c>
    </row>
    <row r="66" customFormat="false" ht="15" hidden="false" customHeight="false" outlineLevel="0" collapsed="false">
      <c r="A66" s="2" t="s">
        <v>122</v>
      </c>
      <c r="B66" s="3" t="n">
        <v>6.5</v>
      </c>
      <c r="C66" s="3" t="n">
        <v>-175</v>
      </c>
      <c r="D66" s="3" t="n">
        <v>135</v>
      </c>
      <c r="E66" s="7" t="n">
        <f aca="false">Win_Probabilities!E66</f>
        <v>7.37890476431345</v>
      </c>
      <c r="F66" s="8" t="n">
        <f aca="false">SUMPRODUCT((Win_Probabilities!$F$1:$S$1&lt;&gt;"")*(COLUMN(Win_Probabilities!$F$1:$S$1)-COLUMN(Win_Probabilities!$F$1)&gt;$B66)*Win_Probabilities!$F66:$S66)</f>
        <v>0.714911736260702</v>
      </c>
      <c r="G66" s="8" t="n">
        <f aca="false">IF(C66&lt;0,-C66/(-C66+100),100/(C66+100))</f>
        <v>0.636363636363636</v>
      </c>
      <c r="H66" s="8" t="n">
        <f aca="false">IF(D66&lt;0,-D66/(-D66+100),100/(D66+100))</f>
        <v>0.425531914893617</v>
      </c>
      <c r="I66" s="8" t="n">
        <f aca="false">G66+H66-1</f>
        <v>0.0618955512572534</v>
      </c>
      <c r="J66" s="8" t="n">
        <f aca="false">G66/(G66+H66)</f>
        <v>0.599271402550091</v>
      </c>
      <c r="K66" s="8" t="n">
        <f aca="false">F66-J66</f>
        <v>0.115640333710611</v>
      </c>
      <c r="L66" s="2" t="str">
        <f aca="false">IF(K66&gt;0,"OVER","UNDER")</f>
        <v>OVER</v>
      </c>
      <c r="M66" s="8" t="n">
        <f aca="false">IF(K66&gt;0,F66,1-F66)</f>
        <v>0.714911736260702</v>
      </c>
      <c r="N66" s="2" t="n">
        <f aca="false">IF(K66&gt;0,C66,D66)</f>
        <v>-175</v>
      </c>
      <c r="O66" s="9" t="n">
        <f aca="false">M66*IF(N66&lt;0,10000/-N66,N66)-(1-M66)*100</f>
        <v>12.3432728409674</v>
      </c>
      <c r="P66" s="8" t="n">
        <f aca="false">MAX(0,(M66*(IF(N66&lt;0,100/-N66,N66/100)+1)-1)/IF(N66&lt;0,100/-N66,N66/100))</f>
        <v>0.21600727471693</v>
      </c>
    </row>
    <row r="67" customFormat="false" ht="15" hidden="false" customHeight="false" outlineLevel="0" collapsed="false">
      <c r="A67" s="2" t="s">
        <v>123</v>
      </c>
      <c r="B67" s="3" t="n">
        <v>4.5</v>
      </c>
      <c r="C67" s="3" t="n">
        <v>134</v>
      </c>
      <c r="D67" s="3" t="n">
        <v>-160</v>
      </c>
      <c r="E67" s="7" t="n">
        <f aca="false">Win_Probabilities!E67</f>
        <v>4.69207920449981</v>
      </c>
      <c r="F67" s="8" t="n">
        <f aca="false">SUMPRODUCT((Win_Probabilities!$F$1:$S$1&lt;&gt;"")*(COLUMN(Win_Probabilities!$F$1:$S$1)-COLUMN(Win_Probabilities!$F$1)&gt;$B67)*Win_Probabilities!$F67:$S67)</f>
        <v>0.537411273069553</v>
      </c>
      <c r="G67" s="8" t="n">
        <f aca="false">IF(C67&lt;0,-C67/(-C67+100),100/(C67+100))</f>
        <v>0.427350427350427</v>
      </c>
      <c r="H67" s="8" t="n">
        <f aca="false">IF(D67&lt;0,-D67/(-D67+100),100/(D67+100))</f>
        <v>0.615384615384615</v>
      </c>
      <c r="I67" s="8" t="n">
        <f aca="false">G67+H67-1</f>
        <v>0.0427350427350428</v>
      </c>
      <c r="J67" s="8" t="n">
        <f aca="false">G67/(G67+H67)</f>
        <v>0.40983606557377</v>
      </c>
      <c r="K67" s="8" t="n">
        <f aca="false">F67-J67</f>
        <v>0.127575207495783</v>
      </c>
      <c r="L67" s="2" t="str">
        <f aca="false">IF(K67&gt;0,"OVER","UNDER")</f>
        <v>OVER</v>
      </c>
      <c r="M67" s="8" t="n">
        <f aca="false">IF(K67&gt;0,F67,1-F67)</f>
        <v>0.537411273069553</v>
      </c>
      <c r="N67" s="2" t="n">
        <f aca="false">IF(K67&gt;0,C67,D67)</f>
        <v>134</v>
      </c>
      <c r="O67" s="9" t="n">
        <f aca="false">M67*IF(N67&lt;0,10000/-N67,N67)-(1-M67)*100</f>
        <v>25.7542378982754</v>
      </c>
      <c r="P67" s="8" t="n">
        <f aca="false">MAX(0,(M67*(IF(N67&lt;0,100/-N67,N67/100)+1)-1)/IF(N67&lt;0,100/-N67,N67/100))</f>
        <v>0.192195805211011</v>
      </c>
    </row>
    <row r="68" customFormat="false" ht="15" hidden="false" customHeight="false" outlineLevel="0" collapsed="false">
      <c r="A68" s="2" t="s">
        <v>124</v>
      </c>
      <c r="B68" s="3" t="n">
        <v>7.5</v>
      </c>
      <c r="C68" s="3" t="n">
        <v>-110</v>
      </c>
      <c r="D68" s="3" t="n">
        <v>-115</v>
      </c>
      <c r="E68" s="7" t="n">
        <f aca="false">Win_Probabilities!E68</f>
        <v>7.77954859290289</v>
      </c>
      <c r="F68" s="8" t="n">
        <f aca="false">SUMPRODUCT((Win_Probabilities!$F$1:$S$1&lt;&gt;"")*(COLUMN(Win_Probabilities!$F$1:$S$1)-COLUMN(Win_Probabilities!$F$1)&gt;$B68)*Win_Probabilities!$F68:$S68)</f>
        <v>0.581202606617277</v>
      </c>
      <c r="G68" s="8" t="n">
        <f aca="false">IF(C68&lt;0,-C68/(-C68+100),100/(C68+100))</f>
        <v>0.523809523809524</v>
      </c>
      <c r="H68" s="8" t="n">
        <f aca="false">IF(D68&lt;0,-D68/(-D68+100),100/(D68+100))</f>
        <v>0.534883720930233</v>
      </c>
      <c r="I68" s="8" t="n">
        <f aca="false">G68+H68-1</f>
        <v>0.0586932447397563</v>
      </c>
      <c r="J68" s="8" t="n">
        <f aca="false">G68/(G68+H68)</f>
        <v>0.494769874476988</v>
      </c>
      <c r="K68" s="8" t="n">
        <f aca="false">F68-J68</f>
        <v>0.0864327321402899</v>
      </c>
      <c r="L68" s="2" t="str">
        <f aca="false">IF(K68&gt;0,"OVER","UNDER")</f>
        <v>OVER</v>
      </c>
      <c r="M68" s="8" t="n">
        <f aca="false">IF(K68&gt;0,F68,1-F68)</f>
        <v>0.581202606617277</v>
      </c>
      <c r="N68" s="2" t="n">
        <f aca="false">IF(K68&gt;0,C68,D68)</f>
        <v>-110</v>
      </c>
      <c r="O68" s="9" t="n">
        <f aca="false">M68*IF(N68&lt;0,10000/-N68,N68)-(1-M68)*100</f>
        <v>10.9568612632984</v>
      </c>
      <c r="P68" s="8" t="n">
        <f aca="false">MAX(0,(M68*(IF(N68&lt;0,100/-N68,N68/100)+1)-1)/IF(N68&lt;0,100/-N68,N68/100))</f>
        <v>0.120525473896283</v>
      </c>
    </row>
    <row r="69" customFormat="false" ht="15" hidden="false" customHeight="false" outlineLevel="0" collapsed="false">
      <c r="A69" s="2" t="s">
        <v>125</v>
      </c>
      <c r="B69" s="3" t="n">
        <v>7.5</v>
      </c>
      <c r="C69" s="3" t="n">
        <v>-190</v>
      </c>
      <c r="D69" s="3" t="n">
        <v>145</v>
      </c>
      <c r="E69" s="7" t="n">
        <f aca="false">Win_Probabilities!E69</f>
        <v>8.14148501153408</v>
      </c>
      <c r="F69" s="8" t="n">
        <f aca="false">SUMPRODUCT((Win_Probabilities!$F$1:$S$1&lt;&gt;"")*(COLUMN(Win_Probabilities!$F$1:$S$1)-COLUMN(Win_Probabilities!$F$1)&gt;$B69)*Win_Probabilities!$F69:$S69)</f>
        <v>0.686832519708042</v>
      </c>
      <c r="G69" s="8" t="n">
        <f aca="false">IF(C69&lt;0,-C69/(-C69+100),100/(C69+100))</f>
        <v>0.655172413793103</v>
      </c>
      <c r="H69" s="8" t="n">
        <f aca="false">IF(D69&lt;0,-D69/(-D69+100),100/(D69+100))</f>
        <v>0.408163265306122</v>
      </c>
      <c r="I69" s="8" t="n">
        <f aca="false">G69+H69-1</f>
        <v>0.0633356790992259</v>
      </c>
      <c r="J69" s="8" t="n">
        <f aca="false">G69/(G69+H69)</f>
        <v>0.616148246194573</v>
      </c>
      <c r="K69" s="8" t="n">
        <f aca="false">F69-J69</f>
        <v>0.0706842735134692</v>
      </c>
      <c r="L69" s="2" t="str">
        <f aca="false">IF(K69&gt;0,"OVER","UNDER")</f>
        <v>OVER</v>
      </c>
      <c r="M69" s="8" t="n">
        <f aca="false">IF(K69&gt;0,F69,1-F69)</f>
        <v>0.686832519708042</v>
      </c>
      <c r="N69" s="2" t="n">
        <f aca="false">IF(K69&gt;0,C69,D69)</f>
        <v>-190</v>
      </c>
      <c r="O69" s="9" t="n">
        <f aca="false">M69*IF(N69&lt;0,10000/-N69,N69)-(1-M69)*100</f>
        <v>4.83233195543803</v>
      </c>
      <c r="P69" s="8" t="n">
        <f aca="false">MAX(0,(M69*(IF(N69&lt;0,100/-N69,N69/100)+1)-1)/IF(N69&lt;0,100/-N69,N69/100))</f>
        <v>0.0918143071533224</v>
      </c>
    </row>
    <row r="70" customFormat="false" ht="15" hidden="false" customHeight="false" outlineLevel="0" collapsed="false">
      <c r="A70" s="2" t="s">
        <v>126</v>
      </c>
      <c r="B70" s="3" t="n">
        <v>4.5</v>
      </c>
      <c r="C70" s="3" t="n">
        <v>-145</v>
      </c>
      <c r="D70" s="3" t="n">
        <v>110</v>
      </c>
      <c r="E70" s="7" t="n">
        <f aca="false">Win_Probabilities!E70</f>
        <v>5.15361596853874</v>
      </c>
      <c r="F70" s="8" t="n">
        <f aca="false">SUMPRODUCT((Win_Probabilities!$F$1:$S$1&lt;&gt;"")*(COLUMN(Win_Probabilities!$F$1:$S$1)-COLUMN(Win_Probabilities!$F$1)&gt;$B70)*Win_Probabilities!$F70:$S70)</f>
        <v>0.663938505967004</v>
      </c>
      <c r="G70" s="8" t="n">
        <f aca="false">IF(C70&lt;0,-C70/(-C70+100),100/(C70+100))</f>
        <v>0.591836734693878</v>
      </c>
      <c r="H70" s="8" t="n">
        <f aca="false">IF(D70&lt;0,-D70/(-D70+100),100/(D70+100))</f>
        <v>0.476190476190476</v>
      </c>
      <c r="I70" s="8" t="n">
        <f aca="false">G70+H70-1</f>
        <v>0.0680272108843538</v>
      </c>
      <c r="J70" s="8" t="n">
        <f aca="false">G70/(G70+H70)</f>
        <v>0.554140127388535</v>
      </c>
      <c r="K70" s="8" t="n">
        <f aca="false">F70-J70</f>
        <v>0.109798378578469</v>
      </c>
      <c r="L70" s="2" t="str">
        <f aca="false">IF(K70&gt;0,"OVER","UNDER")</f>
        <v>OVER</v>
      </c>
      <c r="M70" s="8" t="n">
        <f aca="false">IF(K70&gt;0,F70,1-F70)</f>
        <v>0.663938505967004</v>
      </c>
      <c r="N70" s="2" t="n">
        <f aca="false">IF(K70&gt;0,C70,D70)</f>
        <v>-145</v>
      </c>
      <c r="O70" s="9" t="n">
        <f aca="false">M70*IF(N70&lt;0,10000/-N70,N70)-(1-M70)*100</f>
        <v>12.1827130771835</v>
      </c>
      <c r="P70" s="8" t="n">
        <f aca="false">MAX(0,(M70*(IF(N70&lt;0,100/-N70,N70/100)+1)-1)/IF(N70&lt;0,100/-N70,N70/100))</f>
        <v>0.176649339619161</v>
      </c>
    </row>
    <row r="71" customFormat="false" ht="15" hidden="false" customHeight="false" outlineLevel="0" collapsed="false">
      <c r="A71" s="2" t="s">
        <v>127</v>
      </c>
      <c r="B71" s="3" t="n">
        <v>8.5</v>
      </c>
      <c r="C71" s="3" t="n">
        <v>-130</v>
      </c>
      <c r="D71" s="3" t="n">
        <v>100</v>
      </c>
      <c r="E71" s="7" t="n">
        <f aca="false">Win_Probabilities!E71</f>
        <v>8.88647445177503</v>
      </c>
      <c r="F71" s="8" t="n">
        <f aca="false">SUMPRODUCT((Win_Probabilities!$F$1:$S$1&lt;&gt;"")*(COLUMN(Win_Probabilities!$F$1:$S$1)-COLUMN(Win_Probabilities!$F$1)&gt;$B71)*Win_Probabilities!$F71:$S71)</f>
        <v>0.622248933403821</v>
      </c>
      <c r="G71" s="8" t="n">
        <f aca="false">IF(C71&lt;0,-C71/(-C71+100),100/(C71+100))</f>
        <v>0.565217391304348</v>
      </c>
      <c r="H71" s="8" t="n">
        <f aca="false">IF(D71&lt;0,-D71/(-D71+100),100/(D71+100))</f>
        <v>0.5</v>
      </c>
      <c r="I71" s="8" t="n">
        <f aca="false">G71+H71-1</f>
        <v>0.0652173913043477</v>
      </c>
      <c r="J71" s="8" t="n">
        <f aca="false">G71/(G71+H71)</f>
        <v>0.530612244897959</v>
      </c>
      <c r="K71" s="8" t="n">
        <f aca="false">F71-J71</f>
        <v>0.0916366885058618</v>
      </c>
      <c r="L71" s="2" t="str">
        <f aca="false">IF(K71&gt;0,"OVER","UNDER")</f>
        <v>OVER</v>
      </c>
      <c r="M71" s="8" t="n">
        <f aca="false">IF(K71&gt;0,F71,1-F71)</f>
        <v>0.622248933403821</v>
      </c>
      <c r="N71" s="2" t="n">
        <f aca="false">IF(K71&gt;0,C71,D71)</f>
        <v>-130</v>
      </c>
      <c r="O71" s="9" t="n">
        <f aca="false">M71*IF(N71&lt;0,10000/-N71,N71)-(1-M71)*100</f>
        <v>10.0901959099068</v>
      </c>
      <c r="P71" s="8" t="n">
        <f aca="false">MAX(0,(M71*(IF(N71&lt;0,100/-N71,N71/100)+1)-1)/IF(N71&lt;0,100/-N71,N71/100))</f>
        <v>0.131172546828788</v>
      </c>
    </row>
    <row r="72" customFormat="false" ht="15" hidden="false" customHeight="false" outlineLevel="0" collapsed="false">
      <c r="A72" s="2" t="s">
        <v>128</v>
      </c>
      <c r="B72" s="3" t="n">
        <v>7.5</v>
      </c>
      <c r="C72" s="3" t="n">
        <v>-125</v>
      </c>
      <c r="D72" s="3" t="n">
        <v>-105</v>
      </c>
      <c r="E72" s="7" t="n">
        <f aca="false">Win_Probabilities!E72</f>
        <v>7.50673729946991</v>
      </c>
      <c r="F72" s="8" t="n">
        <f aca="false">SUMPRODUCT((Win_Probabilities!$F$1:$S$1&lt;&gt;"")*(COLUMN(Win_Probabilities!$F$1:$S$1)-COLUMN(Win_Probabilities!$F$1)&gt;$B72)*Win_Probabilities!$F72:$S72)</f>
        <v>0.512367354862663</v>
      </c>
      <c r="G72" s="8" t="n">
        <f aca="false">IF(C72&lt;0,-C72/(-C72+100),100/(C72+100))</f>
        <v>0.555555555555556</v>
      </c>
      <c r="H72" s="8" t="n">
        <f aca="false">IF(D72&lt;0,-D72/(-D72+100),100/(D72+100))</f>
        <v>0.51219512195122</v>
      </c>
      <c r="I72" s="8" t="n">
        <f aca="false">G72+H72-1</f>
        <v>0.0677506775067751</v>
      </c>
      <c r="J72" s="8" t="n">
        <f aca="false">G72/(G72+H72)</f>
        <v>0.520304568527919</v>
      </c>
      <c r="K72" s="8" t="n">
        <f aca="false">F72-J72</f>
        <v>-0.00793721366525602</v>
      </c>
      <c r="L72" s="2" t="str">
        <f aca="false">IF(K72&gt;0,"OVER","UNDER")</f>
        <v>UNDER</v>
      </c>
      <c r="M72" s="8" t="n">
        <f aca="false">IF(K72&gt;0,F72,1-F72)</f>
        <v>0.487632645137337</v>
      </c>
      <c r="N72" s="2" t="n">
        <f aca="false">IF(K72&gt;0,C72,D72)</f>
        <v>-105</v>
      </c>
      <c r="O72" s="9" t="n">
        <f aca="false">M72*IF(N72&lt;0,10000/-N72,N72)-(1-M72)*100</f>
        <v>-4.79553118747226</v>
      </c>
      <c r="P72" s="8" t="n">
        <f aca="false">MAX(0,(M72*(IF(N72&lt;0,100/-N72,N72/100)+1)-1)/IF(N72&lt;0,100/-N72,N72/100))</f>
        <v>0</v>
      </c>
    </row>
    <row r="73" customFormat="false" ht="15" hidden="false" customHeight="false" outlineLevel="0" collapsed="false">
      <c r="A73" s="2" t="s">
        <v>129</v>
      </c>
      <c r="B73" s="3" t="n">
        <v>5.5</v>
      </c>
      <c r="C73" s="3" t="n">
        <v>-160</v>
      </c>
      <c r="D73" s="3" t="n">
        <v>134</v>
      </c>
      <c r="E73" s="7" t="n">
        <f aca="false">Win_Probabilities!E73</f>
        <v>4.89235386889607</v>
      </c>
      <c r="F73" s="8" t="n">
        <f aca="false">SUMPRODUCT((Win_Probabilities!$F$1:$S$1&lt;&gt;"")*(COLUMN(Win_Probabilities!$F$1:$S$1)-COLUMN(Win_Probabilities!$F$1)&gt;$B73)*Win_Probabilities!$F73:$S73)</f>
        <v>0.329535792653573</v>
      </c>
      <c r="G73" s="8" t="n">
        <f aca="false">IF(C73&lt;0,-C73/(-C73+100),100/(C73+100))</f>
        <v>0.615384615384615</v>
      </c>
      <c r="H73" s="8" t="n">
        <f aca="false">IF(D73&lt;0,-D73/(-D73+100),100/(D73+100))</f>
        <v>0.427350427350427</v>
      </c>
      <c r="I73" s="8" t="n">
        <f aca="false">G73+H73-1</f>
        <v>0.0427350427350428</v>
      </c>
      <c r="J73" s="8" t="n">
        <f aca="false">G73/(G73+H73)</f>
        <v>0.59016393442623</v>
      </c>
      <c r="K73" s="8" t="n">
        <f aca="false">F73-J73</f>
        <v>-0.260628141772656</v>
      </c>
      <c r="L73" s="2" t="str">
        <f aca="false">IF(K73&gt;0,"OVER","UNDER")</f>
        <v>UNDER</v>
      </c>
      <c r="M73" s="8" t="n">
        <f aca="false">IF(K73&gt;0,F73,1-F73)</f>
        <v>0.670464207346427</v>
      </c>
      <c r="N73" s="2" t="n">
        <f aca="false">IF(K73&gt;0,C73,D73)</f>
        <v>134</v>
      </c>
      <c r="O73" s="9" t="n">
        <f aca="false">M73*IF(N73&lt;0,10000/-N73,N73)-(1-M73)*100</f>
        <v>56.8886245190638</v>
      </c>
      <c r="P73" s="8" t="n">
        <f aca="false">MAX(0,(M73*(IF(N73&lt;0,100/-N73,N73/100)+1)-1)/IF(N73&lt;0,100/-N73,N73/100))</f>
        <v>0.424541974022864</v>
      </c>
    </row>
    <row r="74" customFormat="false" ht="15" hidden="false" customHeight="false" outlineLevel="0" collapsed="false">
      <c r="A74" s="2" t="s">
        <v>130</v>
      </c>
      <c r="B74" s="3" t="n">
        <v>6.5</v>
      </c>
      <c r="C74" s="3" t="n">
        <v>105</v>
      </c>
      <c r="D74" s="3" t="n">
        <v>-136</v>
      </c>
      <c r="E74" s="7" t="n">
        <f aca="false">Win_Probabilities!E74</f>
        <v>6.95321677149019</v>
      </c>
      <c r="F74" s="8" t="n">
        <f aca="false">SUMPRODUCT((Win_Probabilities!$F$1:$S$1&lt;&gt;"")*(COLUMN(Win_Probabilities!$F$1:$S$1)-COLUMN(Win_Probabilities!$F$1)&gt;$B74)*Win_Probabilities!$F74:$S74)</f>
        <v>0.622135002085202</v>
      </c>
      <c r="G74" s="8" t="n">
        <f aca="false">IF(C74&lt;0,-C74/(-C74+100),100/(C74+100))</f>
        <v>0.487804878048781</v>
      </c>
      <c r="H74" s="8" t="n">
        <f aca="false">IF(D74&lt;0,-D74/(-D74+100),100/(D74+100))</f>
        <v>0.576271186440678</v>
      </c>
      <c r="I74" s="8" t="n">
        <f aca="false">G74+H74-1</f>
        <v>0.0640760644894585</v>
      </c>
      <c r="J74" s="8" t="n">
        <f aca="false">G74/(G74+H74)</f>
        <v>0.458430458430458</v>
      </c>
      <c r="K74" s="8" t="n">
        <f aca="false">F74-J74</f>
        <v>0.163704543654744</v>
      </c>
      <c r="L74" s="2" t="str">
        <f aca="false">IF(K74&gt;0,"OVER","UNDER")</f>
        <v>OVER</v>
      </c>
      <c r="M74" s="8" t="n">
        <f aca="false">IF(K74&gt;0,F74,1-F74)</f>
        <v>0.622135002085202</v>
      </c>
      <c r="N74" s="2" t="n">
        <f aca="false">IF(K74&gt;0,C74,D74)</f>
        <v>105</v>
      </c>
      <c r="O74" s="9" t="n">
        <f aca="false">M74*IF(N74&lt;0,10000/-N74,N74)-(1-M74)*100</f>
        <v>27.5376754274665</v>
      </c>
      <c r="P74" s="8" t="n">
        <f aca="false">MAX(0,(M74*(IF(N74&lt;0,100/-N74,N74/100)+1)-1)/IF(N74&lt;0,100/-N74,N74/100))</f>
        <v>0.262263575499681</v>
      </c>
    </row>
    <row r="75" customFormat="false" ht="15" hidden="false" customHeight="false" outlineLevel="0" collapsed="false">
      <c r="A75" s="2" t="s">
        <v>131</v>
      </c>
      <c r="B75" s="3" t="n">
        <v>8.5</v>
      </c>
      <c r="C75" s="3" t="n">
        <v>115</v>
      </c>
      <c r="D75" s="3" t="n">
        <v>-145</v>
      </c>
      <c r="E75" s="7" t="n">
        <f aca="false">Win_Probabilities!E75</f>
        <v>8.12610673094654</v>
      </c>
      <c r="F75" s="8" t="n">
        <f aca="false">SUMPRODUCT((Win_Probabilities!$F$1:$S$1&lt;&gt;"")*(COLUMN(Win_Probabilities!$F$1:$S$1)-COLUMN(Win_Probabilities!$F$1)&gt;$B75)*Win_Probabilities!$F75:$S75)</f>
        <v>0.40827216340438</v>
      </c>
      <c r="G75" s="8" t="n">
        <f aca="false">IF(C75&lt;0,-C75/(-C75+100),100/(C75+100))</f>
        <v>0.465116279069767</v>
      </c>
      <c r="H75" s="8" t="n">
        <f aca="false">IF(D75&lt;0,-D75/(-D75+100),100/(D75+100))</f>
        <v>0.591836734693878</v>
      </c>
      <c r="I75" s="8" t="n">
        <f aca="false">G75+H75-1</f>
        <v>0.0569530137636449</v>
      </c>
      <c r="J75" s="8" t="n">
        <f aca="false">G75/(G75+H75)</f>
        <v>0.44005388414908</v>
      </c>
      <c r="K75" s="8" t="n">
        <f aca="false">F75-J75</f>
        <v>-0.0317817207446997</v>
      </c>
      <c r="L75" s="2" t="str">
        <f aca="false">IF(K75&gt;0,"OVER","UNDER")</f>
        <v>UNDER</v>
      </c>
      <c r="M75" s="8" t="n">
        <f aca="false">IF(K75&gt;0,F75,1-F75)</f>
        <v>0.59172783659562</v>
      </c>
      <c r="N75" s="2" t="n">
        <f aca="false">IF(K75&gt;0,C75,D75)</f>
        <v>-145</v>
      </c>
      <c r="O75" s="9" t="n">
        <f aca="false">M75*IF(N75&lt;0,10000/-N75,N75)-(1-M75)*100</f>
        <v>-0.0184000234986499</v>
      </c>
      <c r="P75" s="8" t="n">
        <f aca="false">MAX(0,(M75*(IF(N75&lt;0,100/-N75,N75/100)+1)-1)/IF(N75&lt;0,100/-N75,N75/100))</f>
        <v>0</v>
      </c>
    </row>
    <row r="76" customFormat="false" ht="15" hidden="false" customHeight="false" outlineLevel="0" collapsed="false">
      <c r="A76" s="2" t="s">
        <v>133</v>
      </c>
      <c r="B76" s="3" t="n">
        <v>4.5</v>
      </c>
      <c r="C76" s="3" t="n">
        <v>105</v>
      </c>
      <c r="D76" s="3" t="n">
        <v>-125</v>
      </c>
      <c r="E76" s="7" t="n">
        <f aca="false">Win_Probabilities!E77</f>
        <v>4.33317902416729</v>
      </c>
      <c r="F76" s="8" t="n">
        <f aca="false">SUMPRODUCT((Win_Probabilities!$F$1:$S$1&lt;&gt;"")*(COLUMN(Win_Probabilities!$F$1:$S$1)-COLUMN(Win_Probabilities!$F$1)&gt;$B76)*Win_Probabilities!$F77:$S77)</f>
        <v>0.440273597507821</v>
      </c>
      <c r="G76" s="8" t="n">
        <f aca="false">IF(C76&lt;0,-C76/(-C76+100),100/(C76+100))</f>
        <v>0.487804878048781</v>
      </c>
      <c r="H76" s="8" t="n">
        <f aca="false">IF(D76&lt;0,-D76/(-D76+100),100/(D76+100))</f>
        <v>0.555555555555556</v>
      </c>
      <c r="I76" s="8" t="n">
        <f aca="false">G76+H76-1</f>
        <v>0.0433604336043361</v>
      </c>
      <c r="J76" s="8" t="n">
        <f aca="false">G76/(G76+H76)</f>
        <v>0.467532467532468</v>
      </c>
      <c r="K76" s="8" t="n">
        <f aca="false">F76-J76</f>
        <v>-0.0272588700246462</v>
      </c>
      <c r="L76" s="2" t="str">
        <f aca="false">IF(K76&gt;0,"OVER","UNDER")</f>
        <v>UNDER</v>
      </c>
      <c r="M76" s="8" t="n">
        <f aca="false">IF(K76&gt;0,F76,1-F76)</f>
        <v>0.559726402492179</v>
      </c>
      <c r="N76" s="2" t="n">
        <f aca="false">IF(K76&gt;0,C76,D76)</f>
        <v>-125</v>
      </c>
      <c r="O76" s="9" t="n">
        <f aca="false">M76*IF(N76&lt;0,10000/-N76,N76)-(1-M76)*100</f>
        <v>0.750752448592152</v>
      </c>
      <c r="P76" s="8" t="n">
        <f aca="false">MAX(0,(M76*(IF(N76&lt;0,100/-N76,N76/100)+1)-1)/IF(N76&lt;0,100/-N76,N76/100))</f>
        <v>0.00938440560740189</v>
      </c>
    </row>
    <row r="77" customFormat="false" ht="15" hidden="false" customHeight="false" outlineLevel="0" collapsed="false">
      <c r="A77" s="2" t="s">
        <v>134</v>
      </c>
      <c r="B77" s="3" t="n">
        <v>6.5</v>
      </c>
      <c r="C77" s="3" t="n">
        <v>130</v>
      </c>
      <c r="D77" s="3" t="n">
        <v>-165</v>
      </c>
      <c r="E77" s="7" t="n">
        <f aca="false">Win_Probabilities!E78</f>
        <v>6.7935671268459</v>
      </c>
      <c r="F77" s="8" t="n">
        <f aca="false">SUMPRODUCT((Win_Probabilities!$F$1:$S$1&lt;&gt;"")*(COLUMN(Win_Probabilities!$F$1:$S$1)-COLUMN(Win_Probabilities!$F$1)&gt;$B77)*Win_Probabilities!$F78:$S78)</f>
        <v>0.583063108736882</v>
      </c>
      <c r="G77" s="8" t="n">
        <f aca="false">IF(C77&lt;0,-C77/(-C77+100),100/(C77+100))</f>
        <v>0.434782608695652</v>
      </c>
      <c r="H77" s="8" t="n">
        <f aca="false">IF(D77&lt;0,-D77/(-D77+100),100/(D77+100))</f>
        <v>0.622641509433962</v>
      </c>
      <c r="I77" s="8" t="n">
        <f aca="false">G77+H77-1</f>
        <v>0.0574241181296145</v>
      </c>
      <c r="J77" s="8" t="n">
        <f aca="false">G77/(G77+H77)</f>
        <v>0.411171450737005</v>
      </c>
      <c r="K77" s="8" t="n">
        <f aca="false">F77-J77</f>
        <v>0.171891657999877</v>
      </c>
      <c r="L77" s="2" t="str">
        <f aca="false">IF(K77&gt;0,"OVER","UNDER")</f>
        <v>OVER</v>
      </c>
      <c r="M77" s="8" t="n">
        <f aca="false">IF(K77&gt;0,F77,1-F77)</f>
        <v>0.583063108736882</v>
      </c>
      <c r="N77" s="2" t="n">
        <f aca="false">IF(K77&gt;0,C77,D77)</f>
        <v>130</v>
      </c>
      <c r="O77" s="9" t="n">
        <f aca="false">M77*IF(N77&lt;0,10000/-N77,N77)-(1-M77)*100</f>
        <v>34.1045150094829</v>
      </c>
      <c r="P77" s="8" t="n">
        <f aca="false">MAX(0,(M77*(IF(N77&lt;0,100/-N77,N77/100)+1)-1)/IF(N77&lt;0,100/-N77,N77/100))</f>
        <v>0.262342423149869</v>
      </c>
    </row>
    <row r="78" customFormat="false" ht="15" hidden="false" customHeight="false" outlineLevel="0" collapsed="false">
      <c r="A78" s="2" t="s">
        <v>135</v>
      </c>
      <c r="B78" s="3" t="n">
        <v>3.5</v>
      </c>
      <c r="C78" s="3" t="n">
        <v>100</v>
      </c>
      <c r="D78" s="3" t="n">
        <v>-120</v>
      </c>
      <c r="E78" s="7" t="n">
        <f aca="false">Win_Probabilities!E79</f>
        <v>3.35020030989312</v>
      </c>
      <c r="F78" s="8" t="n">
        <f aca="false">SUMPRODUCT((Win_Probabilities!$F$1:$S$1&lt;&gt;"")*(COLUMN(Win_Probabilities!$F$1:$S$1)-COLUMN(Win_Probabilities!$F$1)&gt;$B78)*Win_Probabilities!$F79:$S79)</f>
        <v>0.437542773245368</v>
      </c>
      <c r="G78" s="8" t="n">
        <f aca="false">IF(C78&lt;0,-C78/(-C78+100),100/(C78+100))</f>
        <v>0.5</v>
      </c>
      <c r="H78" s="8" t="n">
        <f aca="false">IF(D78&lt;0,-D78/(-D78+100),100/(D78+100))</f>
        <v>0.545454545454545</v>
      </c>
      <c r="I78" s="8" t="n">
        <f aca="false">G78+H78-1</f>
        <v>0.0454545454545454</v>
      </c>
      <c r="J78" s="8" t="n">
        <f aca="false">G78/(G78+H78)</f>
        <v>0.478260869565217</v>
      </c>
      <c r="K78" s="8" t="n">
        <f aca="false">F78-J78</f>
        <v>-0.0407180963198496</v>
      </c>
      <c r="L78" s="2" t="str">
        <f aca="false">IF(K78&gt;0,"OVER","UNDER")</f>
        <v>UNDER</v>
      </c>
      <c r="M78" s="8" t="n">
        <f aca="false">IF(K78&gt;0,F78,1-F78)</f>
        <v>0.562457226754632</v>
      </c>
      <c r="N78" s="2" t="n">
        <f aca="false">IF(K78&gt;0,C78,D78)</f>
        <v>-120</v>
      </c>
      <c r="O78" s="9" t="n">
        <f aca="false">M78*IF(N78&lt;0,10000/-N78,N78)-(1-M78)*100</f>
        <v>3.11715823834923</v>
      </c>
      <c r="P78" s="8" t="n">
        <f aca="false">MAX(0,(M78*(IF(N78&lt;0,100/-N78,N78/100)+1)-1)/IF(N78&lt;0,100/-N78,N78/100))</f>
        <v>0.0374058988601909</v>
      </c>
    </row>
    <row r="79" customFormat="false" ht="15" hidden="false" customHeight="false" outlineLevel="0" collapsed="false">
      <c r="A79" s="2" t="s">
        <v>136</v>
      </c>
      <c r="B79" s="3" t="n">
        <v>3.5</v>
      </c>
      <c r="C79" s="3" t="n">
        <v>-110</v>
      </c>
      <c r="D79" s="3" t="n">
        <v>-110</v>
      </c>
      <c r="E79" s="7" t="n">
        <f aca="false">Win_Probabilities!E80</f>
        <v>3.8215695640876</v>
      </c>
      <c r="F79" s="8" t="n">
        <f aca="false">SUMPRODUCT((Win_Probabilities!$F$1:$S$1&lt;&gt;"")*(COLUMN(Win_Probabilities!$F$1:$S$1)-COLUMN(Win_Probabilities!$F$1)&gt;$B79)*Win_Probabilities!$F80:$S80)</f>
        <v>0.574410541177669</v>
      </c>
      <c r="G79" s="8" t="n">
        <f aca="false">IF(C79&lt;0,-C79/(-C79+100),100/(C79+100))</f>
        <v>0.523809523809524</v>
      </c>
      <c r="H79" s="8" t="n">
        <f aca="false">IF(D79&lt;0,-D79/(-D79+100),100/(D79+100))</f>
        <v>0.523809523809524</v>
      </c>
      <c r="I79" s="8" t="n">
        <f aca="false">G79+H79-1</f>
        <v>0.0476190476190477</v>
      </c>
      <c r="J79" s="8" t="n">
        <f aca="false">G79/(G79+H79)</f>
        <v>0.5</v>
      </c>
      <c r="K79" s="8" t="n">
        <f aca="false">F79-J79</f>
        <v>0.0744105411776694</v>
      </c>
      <c r="L79" s="2" t="str">
        <f aca="false">IF(K79&gt;0,"OVER","UNDER")</f>
        <v>OVER</v>
      </c>
      <c r="M79" s="8" t="n">
        <f aca="false">IF(K79&gt;0,F79,1-F79)</f>
        <v>0.574410541177669</v>
      </c>
      <c r="N79" s="2" t="n">
        <f aca="false">IF(K79&gt;0,C79,D79)</f>
        <v>-110</v>
      </c>
      <c r="O79" s="9" t="n">
        <f aca="false">M79*IF(N79&lt;0,10000/-N79,N79)-(1-M79)*100</f>
        <v>9.66019422482781</v>
      </c>
      <c r="P79" s="8" t="n">
        <f aca="false">MAX(0,(M79*(IF(N79&lt;0,100/-N79,N79/100)+1)-1)/IF(N79&lt;0,100/-N79,N79/100))</f>
        <v>0.106262136473106</v>
      </c>
    </row>
    <row r="80" customFormat="false" ht="15" hidden="false" customHeight="false" outlineLevel="0" collapsed="false">
      <c r="A80" s="2" t="s">
        <v>137</v>
      </c>
      <c r="B80" s="3" t="n">
        <v>7.5</v>
      </c>
      <c r="C80" s="3" t="n">
        <v>-105</v>
      </c>
      <c r="D80" s="3" t="n">
        <v>-125</v>
      </c>
      <c r="E80" s="7" t="n">
        <f aca="false">Win_Probabilities!E81</f>
        <v>7.65709454843347</v>
      </c>
      <c r="F80" s="8" t="n">
        <f aca="false">SUMPRODUCT((Win_Probabilities!$F$1:$S$1&lt;&gt;"")*(COLUMN(Win_Probabilities!$F$1:$S$1)-COLUMN(Win_Probabilities!$F$1)&gt;$B80)*Win_Probabilities!$F81:$S81)</f>
        <v>0.553574470286599</v>
      </c>
      <c r="G80" s="8" t="n">
        <f aca="false">IF(C80&lt;0,-C80/(-C80+100),100/(C80+100))</f>
        <v>0.51219512195122</v>
      </c>
      <c r="H80" s="8" t="n">
        <f aca="false">IF(D80&lt;0,-D80/(-D80+100),100/(D80+100))</f>
        <v>0.555555555555556</v>
      </c>
      <c r="I80" s="8" t="n">
        <f aca="false">G80+H80-1</f>
        <v>0.0677506775067751</v>
      </c>
      <c r="J80" s="8" t="n">
        <f aca="false">G80/(G80+H80)</f>
        <v>0.479695431472081</v>
      </c>
      <c r="K80" s="8" t="n">
        <f aca="false">F80-J80</f>
        <v>0.0738790388145178</v>
      </c>
      <c r="L80" s="2" t="str">
        <f aca="false">IF(K80&gt;0,"OVER","UNDER")</f>
        <v>OVER</v>
      </c>
      <c r="M80" s="8" t="n">
        <f aca="false">IF(K80&gt;0,F80,1-F80)</f>
        <v>0.553574470286599</v>
      </c>
      <c r="N80" s="2" t="n">
        <f aca="false">IF(K80&gt;0,C80,D80)</f>
        <v>-105</v>
      </c>
      <c r="O80" s="9" t="n">
        <f aca="false">M80*IF(N80&lt;0,10000/-N80,N80)-(1-M80)*100</f>
        <v>8.07882515119314</v>
      </c>
      <c r="P80" s="8" t="n">
        <f aca="false">MAX(0,(M80*(IF(N80&lt;0,100/-N80,N80/100)+1)-1)/IF(N80&lt;0,100/-N80,N80/100))</f>
        <v>0.0848276640875279</v>
      </c>
    </row>
    <row r="81" customFormat="false" ht="15" hidden="false" customHeight="false" outlineLevel="0" collapsed="false">
      <c r="A81" s="2" t="s">
        <v>138</v>
      </c>
      <c r="B81" s="3" t="n">
        <v>7.5</v>
      </c>
      <c r="C81" s="3" t="n">
        <v>-145</v>
      </c>
      <c r="D81" s="3" t="n">
        <v>115</v>
      </c>
      <c r="E81" s="7" t="n">
        <f aca="false">Win_Probabilities!E82</f>
        <v>7.15652716078985</v>
      </c>
      <c r="F81" s="8" t="n">
        <f aca="false">SUMPRODUCT((Win_Probabilities!$F$1:$S$1&lt;&gt;"")*(COLUMN(Win_Probabilities!$F$1:$S$1)-COLUMN(Win_Probabilities!$F$1)&gt;$B81)*Win_Probabilities!$F82:$S82)</f>
        <v>0.42218234378639</v>
      </c>
      <c r="G81" s="8" t="n">
        <f aca="false">IF(C81&lt;0,-C81/(-C81+100),100/(C81+100))</f>
        <v>0.591836734693878</v>
      </c>
      <c r="H81" s="8" t="n">
        <f aca="false">IF(D81&lt;0,-D81/(-D81+100),100/(D81+100))</f>
        <v>0.465116279069767</v>
      </c>
      <c r="I81" s="8" t="n">
        <f aca="false">G81+H81-1</f>
        <v>0.0569530137636449</v>
      </c>
      <c r="J81" s="8" t="n">
        <f aca="false">G81/(G81+H81)</f>
        <v>0.559946115850921</v>
      </c>
      <c r="K81" s="8" t="n">
        <f aca="false">F81-J81</f>
        <v>-0.13776377206453</v>
      </c>
      <c r="L81" s="2" t="str">
        <f aca="false">IF(K81&gt;0,"OVER","UNDER")</f>
        <v>UNDER</v>
      </c>
      <c r="M81" s="8" t="n">
        <f aca="false">IF(K81&gt;0,F81,1-F81)</f>
        <v>0.57781765621361</v>
      </c>
      <c r="N81" s="2" t="n">
        <f aca="false">IF(K81&gt;0,C81,D81)</f>
        <v>115</v>
      </c>
      <c r="O81" s="9" t="n">
        <f aca="false">M81*IF(N81&lt;0,10000/-N81,N81)-(1-M81)*100</f>
        <v>24.2307960859261</v>
      </c>
      <c r="P81" s="8" t="n">
        <f aca="false">MAX(0,(M81*(IF(N81&lt;0,100/-N81,N81/100)+1)-1)/IF(N81&lt;0,100/-N81,N81/100))</f>
        <v>0.210702574660227</v>
      </c>
    </row>
    <row r="82" customFormat="false" ht="15" hidden="false" customHeight="false" outlineLevel="0" collapsed="false">
      <c r="A82" s="2" t="s">
        <v>139</v>
      </c>
      <c r="B82" s="3" t="n">
        <v>3.5</v>
      </c>
      <c r="C82" s="3" t="n">
        <v>120</v>
      </c>
      <c r="D82" s="3" t="n">
        <v>-155</v>
      </c>
      <c r="E82" s="7" t="n">
        <f aca="false">Win_Probabilities!E83</f>
        <v>3.88065105318576</v>
      </c>
      <c r="F82" s="8" t="n">
        <f aca="false">SUMPRODUCT((Win_Probabilities!$F$1:$S$1&lt;&gt;"")*(COLUMN(Win_Probabilities!$F$1:$S$1)-COLUMN(Win_Probabilities!$F$1)&gt;$B82)*Win_Probabilities!$F83:$S83)</f>
        <v>0.592243984513566</v>
      </c>
      <c r="G82" s="8" t="n">
        <f aca="false">IF(C82&lt;0,-C82/(-C82+100),100/(C82+100))</f>
        <v>0.454545454545455</v>
      </c>
      <c r="H82" s="8" t="n">
        <f aca="false">IF(D82&lt;0,-D82/(-D82+100),100/(D82+100))</f>
        <v>0.607843137254902</v>
      </c>
      <c r="I82" s="8" t="n">
        <f aca="false">G82+H82-1</f>
        <v>0.0623885918003564</v>
      </c>
      <c r="J82" s="8" t="n">
        <f aca="false">G82/(G82+H82)</f>
        <v>0.427852348993289</v>
      </c>
      <c r="K82" s="8" t="n">
        <f aca="false">F82-J82</f>
        <v>0.164391635520277</v>
      </c>
      <c r="L82" s="2" t="str">
        <f aca="false">IF(K82&gt;0,"OVER","UNDER")</f>
        <v>OVER</v>
      </c>
      <c r="M82" s="8" t="n">
        <f aca="false">IF(K82&gt;0,F82,1-F82)</f>
        <v>0.592243984513566</v>
      </c>
      <c r="N82" s="2" t="n">
        <f aca="false">IF(K82&gt;0,C82,D82)</f>
        <v>120</v>
      </c>
      <c r="O82" s="9" t="n">
        <f aca="false">M82*IF(N82&lt;0,10000/-N82,N82)-(1-M82)*100</f>
        <v>30.2936765929845</v>
      </c>
      <c r="P82" s="8" t="n">
        <f aca="false">MAX(0,(M82*(IF(N82&lt;0,100/-N82,N82/100)+1)-1)/IF(N82&lt;0,100/-N82,N82/100))</f>
        <v>0.252447304941538</v>
      </c>
    </row>
    <row r="83" customFormat="false" ht="15" hidden="false" customHeight="false" outlineLevel="0" collapsed="false">
      <c r="A83" s="2" t="s">
        <v>140</v>
      </c>
      <c r="B83" s="3" t="n">
        <v>7.5</v>
      </c>
      <c r="C83" s="3" t="n">
        <v>120</v>
      </c>
      <c r="D83" s="3" t="n">
        <v>-150</v>
      </c>
      <c r="E83" s="7" t="n">
        <f aca="false">Win_Probabilities!E84</f>
        <v>7.66941873111988</v>
      </c>
      <c r="F83" s="8" t="n">
        <f aca="false">SUMPRODUCT((Win_Probabilities!$F$1:$S$1&lt;&gt;"")*(COLUMN(Win_Probabilities!$F$1:$S$1)-COLUMN(Win_Probabilities!$F$1)&gt;$B83)*Win_Probabilities!$F84:$S84)</f>
        <v>0.552674038028116</v>
      </c>
      <c r="G83" s="8" t="n">
        <f aca="false">IF(C83&lt;0,-C83/(-C83+100),100/(C83+100))</f>
        <v>0.454545454545455</v>
      </c>
      <c r="H83" s="8" t="n">
        <f aca="false">IF(D83&lt;0,-D83/(-D83+100),100/(D83+100))</f>
        <v>0.6</v>
      </c>
      <c r="I83" s="8" t="n">
        <f aca="false">G83+H83-1</f>
        <v>0.0545454545454545</v>
      </c>
      <c r="J83" s="8" t="n">
        <f aca="false">G83/(G83+H83)</f>
        <v>0.431034482758621</v>
      </c>
      <c r="K83" s="8" t="n">
        <f aca="false">F83-J83</f>
        <v>0.121639555269495</v>
      </c>
      <c r="L83" s="2" t="str">
        <f aca="false">IF(K83&gt;0,"OVER","UNDER")</f>
        <v>OVER</v>
      </c>
      <c r="M83" s="8" t="n">
        <f aca="false">IF(K83&gt;0,F83,1-F83)</f>
        <v>0.552674038028116</v>
      </c>
      <c r="N83" s="2" t="n">
        <f aca="false">IF(K83&gt;0,C83,D83)</f>
        <v>120</v>
      </c>
      <c r="O83" s="9" t="n">
        <f aca="false">M83*IF(N83&lt;0,10000/-N83,N83)-(1-M83)*100</f>
        <v>21.5882883661854</v>
      </c>
      <c r="P83" s="8" t="n">
        <f aca="false">MAX(0,(M83*(IF(N83&lt;0,100/-N83,N83/100)+1)-1)/IF(N83&lt;0,100/-N83,N83/100))</f>
        <v>0.179902403051545</v>
      </c>
    </row>
    <row r="84" customFormat="false" ht="15" hidden="false" customHeight="false" outlineLevel="0" collapsed="false">
      <c r="A84" s="2" t="s">
        <v>141</v>
      </c>
      <c r="B84" s="3" t="n">
        <v>7.5</v>
      </c>
      <c r="C84" s="3" t="n">
        <v>125</v>
      </c>
      <c r="D84" s="3" t="n">
        <v>-160</v>
      </c>
      <c r="E84" s="7" t="n">
        <f aca="false">Win_Probabilities!E85</f>
        <v>7.64625919733599</v>
      </c>
      <c r="F84" s="8" t="n">
        <f aca="false">SUMPRODUCT((Win_Probabilities!$F$1:$S$1&lt;&gt;"")*(COLUMN(Win_Probabilities!$F$1:$S$1)-COLUMN(Win_Probabilities!$F$1)&gt;$B84)*Win_Probabilities!$F85:$S85)</f>
        <v>0.54471709437165</v>
      </c>
      <c r="G84" s="8" t="n">
        <f aca="false">IF(C84&lt;0,-C84/(-C84+100),100/(C84+100))</f>
        <v>0.444444444444444</v>
      </c>
      <c r="H84" s="8" t="n">
        <f aca="false">IF(D84&lt;0,-D84/(-D84+100),100/(D84+100))</f>
        <v>0.615384615384615</v>
      </c>
      <c r="I84" s="8" t="n">
        <f aca="false">G84+H84-1</f>
        <v>0.0598290598290598</v>
      </c>
      <c r="J84" s="8" t="n">
        <f aca="false">G84/(G84+H84)</f>
        <v>0.419354838709677</v>
      </c>
      <c r="K84" s="8" t="n">
        <f aca="false">F84-J84</f>
        <v>0.125362255661973</v>
      </c>
      <c r="L84" s="2" t="str">
        <f aca="false">IF(K84&gt;0,"OVER","UNDER")</f>
        <v>OVER</v>
      </c>
      <c r="M84" s="8" t="n">
        <f aca="false">IF(K84&gt;0,F84,1-F84)</f>
        <v>0.54471709437165</v>
      </c>
      <c r="N84" s="2" t="n">
        <f aca="false">IF(K84&gt;0,C84,D84)</f>
        <v>125</v>
      </c>
      <c r="O84" s="9" t="n">
        <f aca="false">M84*IF(N84&lt;0,10000/-N84,N84)-(1-M84)*100</f>
        <v>22.5613462336213</v>
      </c>
      <c r="P84" s="8" t="n">
        <f aca="false">MAX(0,(M84*(IF(N84&lt;0,100/-N84,N84/100)+1)-1)/IF(N84&lt;0,100/-N84,N84/100))</f>
        <v>0.18049076986897</v>
      </c>
    </row>
    <row r="85" customFormat="false" ht="15" hidden="false" customHeight="false" outlineLevel="0" collapsed="false">
      <c r="A85" s="2" t="s">
        <v>142</v>
      </c>
      <c r="B85" s="3" t="n">
        <v>7.5</v>
      </c>
      <c r="C85" s="3" t="n">
        <v>110</v>
      </c>
      <c r="D85" s="3" t="n">
        <v>-145</v>
      </c>
      <c r="E85" s="7" t="n">
        <f aca="false">Win_Probabilities!E86</f>
        <v>8.46781672929093</v>
      </c>
      <c r="F85" s="8" t="n">
        <f aca="false">SUMPRODUCT((Win_Probabilities!$F$1:$S$1&lt;&gt;"")*(COLUMN(Win_Probabilities!$F$1:$S$1)-COLUMN(Win_Probabilities!$F$1)&gt;$B85)*Win_Probabilities!$F86:$S86)</f>
        <v>0.76945138584609</v>
      </c>
      <c r="G85" s="8" t="n">
        <f aca="false">IF(C85&lt;0,-C85/(-C85+100),100/(C85+100))</f>
        <v>0.476190476190476</v>
      </c>
      <c r="H85" s="8" t="n">
        <f aca="false">IF(D85&lt;0,-D85/(-D85+100),100/(D85+100))</f>
        <v>0.591836734693878</v>
      </c>
      <c r="I85" s="8" t="n">
        <f aca="false">G85+H85-1</f>
        <v>0.0680272108843538</v>
      </c>
      <c r="J85" s="8" t="n">
        <f aca="false">G85/(G85+H85)</f>
        <v>0.445859872611465</v>
      </c>
      <c r="K85" s="8" t="n">
        <f aca="false">F85-J85</f>
        <v>0.323591513234625</v>
      </c>
      <c r="L85" s="2" t="str">
        <f aca="false">IF(K85&gt;0,"OVER","UNDER")</f>
        <v>OVER</v>
      </c>
      <c r="M85" s="8" t="n">
        <f aca="false">IF(K85&gt;0,F85,1-F85)</f>
        <v>0.76945138584609</v>
      </c>
      <c r="N85" s="2" t="n">
        <f aca="false">IF(K85&gt;0,C85,D85)</f>
        <v>110</v>
      </c>
      <c r="O85" s="9" t="n">
        <f aca="false">M85*IF(N85&lt;0,10000/-N85,N85)-(1-M85)*100</f>
        <v>61.584791027679</v>
      </c>
      <c r="P85" s="8" t="n">
        <f aca="false">MAX(0,(M85*(IF(N85&lt;0,100/-N85,N85/100)+1)-1)/IF(N85&lt;0,100/-N85,N85/100))</f>
        <v>0.559861736615263</v>
      </c>
    </row>
    <row r="86" customFormat="false" ht="15" hidden="false" customHeight="false" outlineLevel="0" collapsed="false">
      <c r="A86" s="2" t="s">
        <v>143</v>
      </c>
      <c r="B86" s="3" t="n">
        <v>4.5</v>
      </c>
      <c r="C86" s="3" t="n">
        <v>-166</v>
      </c>
      <c r="D86" s="3" t="n">
        <v>130</v>
      </c>
      <c r="E86" s="7" t="n">
        <f aca="false">Win_Probabilities!E87</f>
        <v>5.32194152339325</v>
      </c>
      <c r="F86" s="8" t="n">
        <f aca="false">SUMPRODUCT((Win_Probabilities!$F$1:$S$1&lt;&gt;"")*(COLUMN(Win_Probabilities!$F$1:$S$1)-COLUMN(Win_Probabilities!$F$1)&gt;$B86)*Win_Probabilities!$F87:$S87)</f>
        <v>0.704044218891814</v>
      </c>
      <c r="G86" s="8" t="n">
        <f aca="false">IF(C86&lt;0,-C86/(-C86+100),100/(C86+100))</f>
        <v>0.62406015037594</v>
      </c>
      <c r="H86" s="8" t="n">
        <f aca="false">IF(D86&lt;0,-D86/(-D86+100),100/(D86+100))</f>
        <v>0.434782608695652</v>
      </c>
      <c r="I86" s="8" t="n">
        <f aca="false">G86+H86-1</f>
        <v>0.0588427590715921</v>
      </c>
      <c r="J86" s="8" t="n">
        <f aca="false">G86/(G86+H86)</f>
        <v>0.589379438098178</v>
      </c>
      <c r="K86" s="8" t="n">
        <f aca="false">F86-J86</f>
        <v>0.114664780793635</v>
      </c>
      <c r="L86" s="2" t="str">
        <f aca="false">IF(K86&gt;0,"OVER","UNDER")</f>
        <v>OVER</v>
      </c>
      <c r="M86" s="8" t="n">
        <f aca="false">IF(K86&gt;0,F86,1-F86)</f>
        <v>0.704044218891814</v>
      </c>
      <c r="N86" s="2" t="n">
        <f aca="false">IF(K86&gt;0,C86,D86)</f>
        <v>-166</v>
      </c>
      <c r="O86" s="9" t="n">
        <f aca="false">M86*IF(N86&lt;0,10000/-N86,N86)-(1-M86)*100</f>
        <v>12.8167242320617</v>
      </c>
      <c r="P86" s="8" t="n">
        <f aca="false">MAX(0,(M86*(IF(N86&lt;0,100/-N86,N86/100)+1)-1)/IF(N86&lt;0,100/-N86,N86/100))</f>
        <v>0.212757622252224</v>
      </c>
    </row>
    <row r="87" customFormat="false" ht="15" hidden="false" customHeight="false" outlineLevel="0" collapsed="false">
      <c r="A87" s="2" t="s">
        <v>144</v>
      </c>
      <c r="B87" s="3" t="n">
        <v>7.5</v>
      </c>
      <c r="C87" s="3" t="n">
        <v>120</v>
      </c>
      <c r="D87" s="3" t="n">
        <v>-150</v>
      </c>
      <c r="E87" s="7" t="n">
        <f aca="false">Win_Probabilities!E88</f>
        <v>6.64259448335862</v>
      </c>
      <c r="F87" s="8" t="n">
        <f aca="false">SUMPRODUCT((Win_Probabilities!$F$1:$S$1&lt;&gt;"")*(COLUMN(Win_Probabilities!$F$1:$S$1)-COLUMN(Win_Probabilities!$F$1)&gt;$B87)*Win_Probabilities!$F88:$S88)</f>
        <v>0.286950034156062</v>
      </c>
      <c r="G87" s="8" t="n">
        <f aca="false">IF(C87&lt;0,-C87/(-C87+100),100/(C87+100))</f>
        <v>0.454545454545455</v>
      </c>
      <c r="H87" s="8" t="n">
        <f aca="false">IF(D87&lt;0,-D87/(-D87+100),100/(D87+100))</f>
        <v>0.6</v>
      </c>
      <c r="I87" s="8" t="n">
        <f aca="false">G87+H87-1</f>
        <v>0.0545454545454545</v>
      </c>
      <c r="J87" s="8" t="n">
        <f aca="false">G87/(G87+H87)</f>
        <v>0.431034482758621</v>
      </c>
      <c r="K87" s="8" t="n">
        <f aca="false">F87-J87</f>
        <v>-0.144084448602559</v>
      </c>
      <c r="L87" s="2" t="str">
        <f aca="false">IF(K87&gt;0,"OVER","UNDER")</f>
        <v>UNDER</v>
      </c>
      <c r="M87" s="8" t="n">
        <f aca="false">IF(K87&gt;0,F87,1-F87)</f>
        <v>0.713049965843938</v>
      </c>
      <c r="N87" s="2" t="n">
        <f aca="false">IF(K87&gt;0,C87,D87)</f>
        <v>-150</v>
      </c>
      <c r="O87" s="9" t="n">
        <f aca="false">M87*IF(N87&lt;0,10000/-N87,N87)-(1-M87)*100</f>
        <v>18.8416609739897</v>
      </c>
      <c r="P87" s="8" t="n">
        <f aca="false">MAX(0,(M87*(IF(N87&lt;0,100/-N87,N87/100)+1)-1)/IF(N87&lt;0,100/-N87,N87/100))</f>
        <v>0.282624914609845</v>
      </c>
    </row>
    <row r="88" customFormat="false" ht="15" hidden="false" customHeight="false" outlineLevel="0" collapsed="false">
      <c r="A88" s="2" t="s">
        <v>145</v>
      </c>
      <c r="B88" s="3" t="n">
        <v>8.5</v>
      </c>
      <c r="C88" s="3" t="n">
        <v>115</v>
      </c>
      <c r="D88" s="3" t="n">
        <v>-145</v>
      </c>
      <c r="E88" s="7" t="n">
        <f aca="false">Win_Probabilities!E89</f>
        <v>8.88658366045359</v>
      </c>
      <c r="F88" s="8" t="n">
        <f aca="false">SUMPRODUCT((Win_Probabilities!$F$1:$S$1&lt;&gt;"")*(COLUMN(Win_Probabilities!$F$1:$S$1)-COLUMN(Win_Probabilities!$F$1)&gt;$B88)*Win_Probabilities!$F89:$S89)</f>
        <v>0.624295623759753</v>
      </c>
      <c r="G88" s="8" t="n">
        <f aca="false">IF(C88&lt;0,-C88/(-C88+100),100/(C88+100))</f>
        <v>0.465116279069767</v>
      </c>
      <c r="H88" s="8" t="n">
        <f aca="false">IF(D88&lt;0,-D88/(-D88+100),100/(D88+100))</f>
        <v>0.591836734693878</v>
      </c>
      <c r="I88" s="8" t="n">
        <f aca="false">G88+H88-1</f>
        <v>0.0569530137636449</v>
      </c>
      <c r="J88" s="8" t="n">
        <f aca="false">G88/(G88+H88)</f>
        <v>0.44005388414908</v>
      </c>
      <c r="K88" s="8" t="n">
        <f aca="false">F88-J88</f>
        <v>0.184241739610674</v>
      </c>
      <c r="L88" s="2" t="str">
        <f aca="false">IF(K88&gt;0,"OVER","UNDER")</f>
        <v>OVER</v>
      </c>
      <c r="M88" s="8" t="n">
        <f aca="false">IF(K88&gt;0,F88,1-F88)</f>
        <v>0.624295623759753</v>
      </c>
      <c r="N88" s="2" t="n">
        <f aca="false">IF(K88&gt;0,C88,D88)</f>
        <v>115</v>
      </c>
      <c r="O88" s="9" t="n">
        <f aca="false">M88*IF(N88&lt;0,10000/-N88,N88)-(1-M88)*100</f>
        <v>34.223559108347</v>
      </c>
      <c r="P88" s="8" t="n">
        <f aca="false">MAX(0,(M88*(IF(N88&lt;0,100/-N88,N88/100)+1)-1)/IF(N88&lt;0,100/-N88,N88/100))</f>
        <v>0.297596166159539</v>
      </c>
    </row>
    <row r="89" customFormat="false" ht="15" hidden="false" customHeight="false" outlineLevel="0" collapsed="false">
      <c r="A89" s="2" t="s">
        <v>146</v>
      </c>
      <c r="B89" s="3" t="n">
        <v>4.5</v>
      </c>
      <c r="C89" s="3" t="n">
        <v>-150</v>
      </c>
      <c r="D89" s="3" t="n">
        <v>120</v>
      </c>
      <c r="E89" s="7" t="n">
        <f aca="false">Win_Probabilities!E90</f>
        <v>5.31979991596699</v>
      </c>
      <c r="F89" s="8" t="n">
        <f aca="false">SUMPRODUCT((Win_Probabilities!$F$1:$S$1&lt;&gt;"")*(COLUMN(Win_Probabilities!$F$1:$S$1)-COLUMN(Win_Probabilities!$F$1)&gt;$B89)*Win_Probabilities!$F90:$S90)</f>
        <v>0.700874771614295</v>
      </c>
      <c r="G89" s="8" t="n">
        <f aca="false">IF(C89&lt;0,-C89/(-C89+100),100/(C89+100))</f>
        <v>0.6</v>
      </c>
      <c r="H89" s="8" t="n">
        <f aca="false">IF(D89&lt;0,-D89/(-D89+100),100/(D89+100))</f>
        <v>0.454545454545455</v>
      </c>
      <c r="I89" s="8" t="n">
        <f aca="false">G89+H89-1</f>
        <v>0.0545454545454545</v>
      </c>
      <c r="J89" s="8" t="n">
        <f aca="false">G89/(G89+H89)</f>
        <v>0.568965517241379</v>
      </c>
      <c r="K89" s="8" t="n">
        <f aca="false">F89-J89</f>
        <v>0.131909254372916</v>
      </c>
      <c r="L89" s="2" t="str">
        <f aca="false">IF(K89&gt;0,"OVER","UNDER")</f>
        <v>OVER</v>
      </c>
      <c r="M89" s="8" t="n">
        <f aca="false">IF(K89&gt;0,F89,1-F89)</f>
        <v>0.700874771614295</v>
      </c>
      <c r="N89" s="2" t="n">
        <f aca="false">IF(K89&gt;0,C89,D89)</f>
        <v>-150</v>
      </c>
      <c r="O89" s="9" t="n">
        <f aca="false">M89*IF(N89&lt;0,10000/-N89,N89)-(1-M89)*100</f>
        <v>16.8124619357159</v>
      </c>
      <c r="P89" s="8" t="n">
        <f aca="false">MAX(0,(M89*(IF(N89&lt;0,100/-N89,N89/100)+1)-1)/IF(N89&lt;0,100/-N89,N89/100))</f>
        <v>0.252186929035738</v>
      </c>
    </row>
    <row r="90" customFormat="false" ht="15" hidden="false" customHeight="false" outlineLevel="0" collapsed="false">
      <c r="A90" s="2" t="s">
        <v>147</v>
      </c>
      <c r="B90" s="3" t="n">
        <v>7.5</v>
      </c>
      <c r="C90" s="3" t="n">
        <v>115</v>
      </c>
      <c r="D90" s="3" t="n">
        <v>-146</v>
      </c>
      <c r="E90" s="7" t="n">
        <f aca="false">Win_Probabilities!E91</f>
        <v>7.42826269651413</v>
      </c>
      <c r="F90" s="8" t="n">
        <f aca="false">SUMPRODUCT((Win_Probabilities!$F$1:$S$1&lt;&gt;"")*(COLUMN(Win_Probabilities!$F$1:$S$1)-COLUMN(Win_Probabilities!$F$1)&gt;$B90)*Win_Probabilities!$F91:$S91)</f>
        <v>0.492126772998945</v>
      </c>
      <c r="G90" s="8" t="n">
        <f aca="false">IF(C90&lt;0,-C90/(-C90+100),100/(C90+100))</f>
        <v>0.465116279069767</v>
      </c>
      <c r="H90" s="8" t="n">
        <f aca="false">IF(D90&lt;0,-D90/(-D90+100),100/(D90+100))</f>
        <v>0.59349593495935</v>
      </c>
      <c r="I90" s="8" t="n">
        <f aca="false">G90+H90-1</f>
        <v>0.058612214029117</v>
      </c>
      <c r="J90" s="8" t="n">
        <f aca="false">G90/(G90+H90)</f>
        <v>0.439364172173602</v>
      </c>
      <c r="K90" s="8" t="n">
        <f aca="false">F90-J90</f>
        <v>0.0527626008253429</v>
      </c>
      <c r="L90" s="2" t="str">
        <f aca="false">IF(K90&gt;0,"OVER","UNDER")</f>
        <v>OVER</v>
      </c>
      <c r="M90" s="8" t="n">
        <f aca="false">IF(K90&gt;0,F90,1-F90)</f>
        <v>0.492126772998945</v>
      </c>
      <c r="N90" s="2" t="n">
        <f aca="false">IF(K90&gt;0,C90,D90)</f>
        <v>115</v>
      </c>
      <c r="O90" s="9" t="n">
        <f aca="false">M90*IF(N90&lt;0,10000/-N90,N90)-(1-M90)*100</f>
        <v>5.80725619477325</v>
      </c>
      <c r="P90" s="8" t="n">
        <f aca="false">MAX(0,(M90*(IF(N90&lt;0,100/-N90,N90/100)+1)-1)/IF(N90&lt;0,100/-N90,N90/100))</f>
        <v>0.05049787995455</v>
      </c>
    </row>
    <row r="91" customFormat="false" ht="15" hidden="false" customHeight="false" outlineLevel="0" collapsed="false">
      <c r="A91" s="2" t="s">
        <v>148</v>
      </c>
      <c r="B91" s="3" t="n">
        <v>5.5</v>
      </c>
      <c r="C91" s="3" t="n">
        <v>-160</v>
      </c>
      <c r="D91" s="3" t="n">
        <v>125</v>
      </c>
      <c r="E91" s="7" t="n">
        <f aca="false">Win_Probabilities!E92</f>
        <v>6.45891165143637</v>
      </c>
      <c r="F91" s="8" t="n">
        <f aca="false">SUMPRODUCT((Win_Probabilities!$F$1:$S$1&lt;&gt;"")*(COLUMN(Win_Probabilities!$F$1:$S$1)-COLUMN(Win_Probabilities!$F$1)&gt;$B91)*Win_Probabilities!$F92:$S92)</f>
        <v>0.741192124167726</v>
      </c>
      <c r="G91" s="8" t="n">
        <f aca="false">IF(C91&lt;0,-C91/(-C91+100),100/(C91+100))</f>
        <v>0.615384615384615</v>
      </c>
      <c r="H91" s="8" t="n">
        <f aca="false">IF(D91&lt;0,-D91/(-D91+100),100/(D91+100))</f>
        <v>0.444444444444444</v>
      </c>
      <c r="I91" s="8" t="n">
        <f aca="false">G91+H91-1</f>
        <v>0.0598290598290598</v>
      </c>
      <c r="J91" s="8" t="n">
        <f aca="false">G91/(G91+H91)</f>
        <v>0.580645161290323</v>
      </c>
      <c r="K91" s="8" t="n">
        <f aca="false">F91-J91</f>
        <v>0.160546962877403</v>
      </c>
      <c r="L91" s="2" t="str">
        <f aca="false">IF(K91&gt;0,"OVER","UNDER")</f>
        <v>OVER</v>
      </c>
      <c r="M91" s="8" t="n">
        <f aca="false">IF(K91&gt;0,F91,1-F91)</f>
        <v>0.741192124167726</v>
      </c>
      <c r="N91" s="2" t="n">
        <f aca="false">IF(K91&gt;0,C91,D91)</f>
        <v>-160</v>
      </c>
      <c r="O91" s="9" t="n">
        <f aca="false">M91*IF(N91&lt;0,10000/-N91,N91)-(1-M91)*100</f>
        <v>20.4437201772555</v>
      </c>
      <c r="P91" s="8" t="n">
        <f aca="false">MAX(0,(M91*(IF(N91&lt;0,100/-N91,N91/100)+1)-1)/IF(N91&lt;0,100/-N91,N91/100))</f>
        <v>0.327099522836087</v>
      </c>
    </row>
    <row r="92" customFormat="false" ht="15" hidden="false" customHeight="false" outlineLevel="0" collapsed="false">
      <c r="A92" s="2" t="s">
        <v>149</v>
      </c>
      <c r="B92" s="3" t="n">
        <v>5.5</v>
      </c>
      <c r="C92" s="3" t="n">
        <v>-105</v>
      </c>
      <c r="D92" s="3" t="n">
        <v>-125</v>
      </c>
      <c r="E92" s="7" t="n">
        <f aca="false">Win_Probabilities!E93</f>
        <v>6.56105068833914</v>
      </c>
      <c r="F92" s="8" t="n">
        <f aca="false">SUMPRODUCT((Win_Probabilities!$F$1:$S$1&lt;&gt;"")*(COLUMN(Win_Probabilities!$F$1:$S$1)-COLUMN(Win_Probabilities!$F$1)&gt;$B92)*Win_Probabilities!$F93:$S93)</f>
        <v>0.766483396648389</v>
      </c>
      <c r="G92" s="8" t="n">
        <f aca="false">IF(C92&lt;0,-C92/(-C92+100),100/(C92+100))</f>
        <v>0.51219512195122</v>
      </c>
      <c r="H92" s="8" t="n">
        <f aca="false">IF(D92&lt;0,-D92/(-D92+100),100/(D92+100))</f>
        <v>0.555555555555556</v>
      </c>
      <c r="I92" s="8" t="n">
        <f aca="false">G92+H92-1</f>
        <v>0.0677506775067751</v>
      </c>
      <c r="J92" s="8" t="n">
        <f aca="false">G92/(G92+H92)</f>
        <v>0.479695431472081</v>
      </c>
      <c r="K92" s="8" t="n">
        <f aca="false">F92-J92</f>
        <v>0.286787965176307</v>
      </c>
      <c r="L92" s="2" t="str">
        <f aca="false">IF(K92&gt;0,"OVER","UNDER")</f>
        <v>OVER</v>
      </c>
      <c r="M92" s="8" t="n">
        <f aca="false">IF(K92&gt;0,F92,1-F92)</f>
        <v>0.766483396648389</v>
      </c>
      <c r="N92" s="2" t="n">
        <f aca="false">IF(K92&gt;0,C92,D92)</f>
        <v>-105</v>
      </c>
      <c r="O92" s="9" t="n">
        <f aca="false">M92*IF(N92&lt;0,10000/-N92,N92)-(1-M92)*100</f>
        <v>49.6467583932568</v>
      </c>
      <c r="P92" s="8" t="n">
        <f aca="false">MAX(0,(M92*(IF(N92&lt;0,100/-N92,N92/100)+1)-1)/IF(N92&lt;0,100/-N92,N92/100))</f>
        <v>0.521290963129197</v>
      </c>
    </row>
    <row r="93" customFormat="false" ht="15" hidden="false" customHeight="false" outlineLevel="0" collapsed="false">
      <c r="A93" s="2" t="s">
        <v>150</v>
      </c>
      <c r="B93" s="3" t="n">
        <v>7.5</v>
      </c>
      <c r="C93" s="3" t="n">
        <v>-120</v>
      </c>
      <c r="D93" s="3" t="n">
        <v>-110</v>
      </c>
      <c r="E93" s="7" t="n">
        <f aca="false">Win_Probabilities!E94</f>
        <v>7.2306231563346</v>
      </c>
      <c r="F93" s="8" t="n">
        <f aca="false">SUMPRODUCT((Win_Probabilities!$F$1:$S$1&lt;&gt;"")*(COLUMN(Win_Probabilities!$F$1:$S$1)-COLUMN(Win_Probabilities!$F$1)&gt;$B93)*Win_Probabilities!$F94:$S94)</f>
        <v>0.434580862960885</v>
      </c>
      <c r="G93" s="8" t="n">
        <f aca="false">IF(C93&lt;0,-C93/(-C93+100),100/(C93+100))</f>
        <v>0.545454545454545</v>
      </c>
      <c r="H93" s="8" t="n">
        <f aca="false">IF(D93&lt;0,-D93/(-D93+100),100/(D93+100))</f>
        <v>0.523809523809524</v>
      </c>
      <c r="I93" s="8" t="n">
        <f aca="false">G93+H93-1</f>
        <v>0.0692640692640691</v>
      </c>
      <c r="J93" s="8" t="n">
        <f aca="false">G93/(G93+H93)</f>
        <v>0.510121457489879</v>
      </c>
      <c r="K93" s="8" t="n">
        <f aca="false">F93-J93</f>
        <v>-0.0755405945289934</v>
      </c>
      <c r="L93" s="2" t="str">
        <f aca="false">IF(K93&gt;0,"OVER","UNDER")</f>
        <v>UNDER</v>
      </c>
      <c r="M93" s="8" t="n">
        <f aca="false">IF(K93&gt;0,F93,1-F93)</f>
        <v>0.565419137039115</v>
      </c>
      <c r="N93" s="2" t="n">
        <f aca="false">IF(K93&gt;0,C93,D93)</f>
        <v>-110</v>
      </c>
      <c r="O93" s="9" t="n">
        <f aca="false">M93*IF(N93&lt;0,10000/-N93,N93)-(1-M93)*100</f>
        <v>7.94365343474011</v>
      </c>
      <c r="P93" s="8" t="n">
        <f aca="false">MAX(0,(M93*(IF(N93&lt;0,100/-N93,N93/100)+1)-1)/IF(N93&lt;0,100/-N93,N93/100))</f>
        <v>0.0873801877821412</v>
      </c>
    </row>
    <row r="94" customFormat="false" ht="15" hidden="false" customHeight="false" outlineLevel="0" collapsed="false">
      <c r="A94" s="2" t="s">
        <v>151</v>
      </c>
      <c r="B94" s="3" t="n">
        <v>6.5</v>
      </c>
      <c r="C94" s="3" t="n">
        <v>-180</v>
      </c>
      <c r="D94" s="3" t="n">
        <v>135</v>
      </c>
      <c r="E94" s="7" t="n">
        <f aca="false">Win_Probabilities!E95</f>
        <v>7.13940924065596</v>
      </c>
      <c r="F94" s="8" t="n">
        <f aca="false">SUMPRODUCT((Win_Probabilities!$F$1:$S$1&lt;&gt;"")*(COLUMN(Win_Probabilities!$F$1:$S$1)-COLUMN(Win_Probabilities!$F$1)&gt;$B94)*Win_Probabilities!$F95:$S95)</f>
        <v>0.693579514424501</v>
      </c>
      <c r="G94" s="8" t="n">
        <f aca="false">IF(C94&lt;0,-C94/(-C94+100),100/(C94+100))</f>
        <v>0.642857142857143</v>
      </c>
      <c r="H94" s="8" t="n">
        <f aca="false">IF(D94&lt;0,-D94/(-D94+100),100/(D94+100))</f>
        <v>0.425531914893617</v>
      </c>
      <c r="I94" s="8" t="n">
        <f aca="false">G94+H94-1</f>
        <v>0.06838905775076</v>
      </c>
      <c r="J94" s="8" t="n">
        <f aca="false">G94/(G94+H94)</f>
        <v>0.601706970128023</v>
      </c>
      <c r="K94" s="8" t="n">
        <f aca="false">F94-J94</f>
        <v>0.0918725442964782</v>
      </c>
      <c r="L94" s="2" t="str">
        <f aca="false">IF(K94&gt;0,"OVER","UNDER")</f>
        <v>OVER</v>
      </c>
      <c r="M94" s="8" t="n">
        <f aca="false">IF(K94&gt;0,F94,1-F94)</f>
        <v>0.693579514424501</v>
      </c>
      <c r="N94" s="2" t="n">
        <f aca="false">IF(K94&gt;0,C94,D94)</f>
        <v>-180</v>
      </c>
      <c r="O94" s="9" t="n">
        <f aca="false">M94*IF(N94&lt;0,10000/-N94,N94)-(1-M94)*100</f>
        <v>7.8901466882557</v>
      </c>
      <c r="P94" s="8" t="n">
        <f aca="false">MAX(0,(M94*(IF(N94&lt;0,100/-N94,N94/100)+1)-1)/IF(N94&lt;0,100/-N94,N94/100))</f>
        <v>0.142022640388603</v>
      </c>
    </row>
    <row r="95" customFormat="false" ht="15" hidden="false" customHeight="false" outlineLevel="0" collapsed="false">
      <c r="A95" s="2" t="s">
        <v>152</v>
      </c>
      <c r="B95" s="3" t="n">
        <v>7.5</v>
      </c>
      <c r="C95" s="3" t="n">
        <v>105</v>
      </c>
      <c r="D95" s="3" t="n">
        <v>-136</v>
      </c>
      <c r="E95" s="7" t="n">
        <f aca="false">Win_Probabilities!E96</f>
        <v>8.01100644219977</v>
      </c>
      <c r="F95" s="8" t="n">
        <f aca="false">SUMPRODUCT((Win_Probabilities!$F$1:$S$1&lt;&gt;"")*(COLUMN(Win_Probabilities!$F$1:$S$1)-COLUMN(Win_Probabilities!$F$1)&gt;$B95)*Win_Probabilities!$F96:$S96)</f>
        <v>0.642569342009122</v>
      </c>
      <c r="G95" s="8" t="n">
        <f aca="false">IF(C95&lt;0,-C95/(-C95+100),100/(C95+100))</f>
        <v>0.487804878048781</v>
      </c>
      <c r="H95" s="8" t="n">
        <f aca="false">IF(D95&lt;0,-D95/(-D95+100),100/(D95+100))</f>
        <v>0.576271186440678</v>
      </c>
      <c r="I95" s="8" t="n">
        <f aca="false">G95+H95-1</f>
        <v>0.0640760644894585</v>
      </c>
      <c r="J95" s="8" t="n">
        <f aca="false">G95/(G95+H95)</f>
        <v>0.458430458430458</v>
      </c>
      <c r="K95" s="8" t="n">
        <f aca="false">F95-J95</f>
        <v>0.184138883578664</v>
      </c>
      <c r="L95" s="2" t="str">
        <f aca="false">IF(K95&gt;0,"OVER","UNDER")</f>
        <v>OVER</v>
      </c>
      <c r="M95" s="8" t="n">
        <f aca="false">IF(K95&gt;0,F95,1-F95)</f>
        <v>0.642569342009122</v>
      </c>
      <c r="N95" s="2" t="n">
        <f aca="false">IF(K95&gt;0,C95,D95)</f>
        <v>105</v>
      </c>
      <c r="O95" s="9" t="n">
        <f aca="false">M95*IF(N95&lt;0,10000/-N95,N95)-(1-M95)*100</f>
        <v>31.7267151118701</v>
      </c>
      <c r="P95" s="8" t="n">
        <f aca="false">MAX(0,(M95*(IF(N95&lt;0,100/-N95,N95/100)+1)-1)/IF(N95&lt;0,100/-N95,N95/100))</f>
        <v>0.30215919154162</v>
      </c>
    </row>
    <row r="96" customFormat="false" ht="15" hidden="false" customHeight="false" outlineLevel="0" collapsed="false">
      <c r="A96" s="2" t="s">
        <v>153</v>
      </c>
      <c r="B96" s="3" t="n">
        <v>4.5</v>
      </c>
      <c r="C96" s="3" t="n">
        <v>-136</v>
      </c>
      <c r="D96" s="3" t="n">
        <v>105</v>
      </c>
      <c r="E96" s="7" t="n">
        <f aca="false">Win_Probabilities!E97</f>
        <v>4.45786253364784</v>
      </c>
      <c r="F96" s="8" t="n">
        <f aca="false">SUMPRODUCT((Win_Probabilities!$F$1:$S$1&lt;&gt;"")*(COLUMN(Win_Probabilities!$F$1:$S$1)-COLUMN(Win_Probabilities!$F$1)&gt;$B96)*Win_Probabilities!$F97:$S97)</f>
        <v>0.479668676246972</v>
      </c>
      <c r="G96" s="8" t="n">
        <f aca="false">IF(C96&lt;0,-C96/(-C96+100),100/(C96+100))</f>
        <v>0.576271186440678</v>
      </c>
      <c r="H96" s="8" t="n">
        <f aca="false">IF(D96&lt;0,-D96/(-D96+100),100/(D96+100))</f>
        <v>0.487804878048781</v>
      </c>
      <c r="I96" s="8" t="n">
        <f aca="false">G96+H96-1</f>
        <v>0.0640760644894585</v>
      </c>
      <c r="J96" s="8" t="n">
        <f aca="false">G96/(G96+H96)</f>
        <v>0.541569541569542</v>
      </c>
      <c r="K96" s="8" t="n">
        <f aca="false">F96-J96</f>
        <v>-0.0619008653225693</v>
      </c>
      <c r="L96" s="2" t="str">
        <f aca="false">IF(K96&gt;0,"OVER","UNDER")</f>
        <v>UNDER</v>
      </c>
      <c r="M96" s="8" t="n">
        <f aca="false">IF(K96&gt;0,F96,1-F96)</f>
        <v>0.520331323753028</v>
      </c>
      <c r="N96" s="2" t="n">
        <f aca="false">IF(K96&gt;0,C96,D96)</f>
        <v>105</v>
      </c>
      <c r="O96" s="9" t="n">
        <f aca="false">M96*IF(N96&lt;0,10000/-N96,N96)-(1-M96)*100</f>
        <v>6.66792136937065</v>
      </c>
      <c r="P96" s="8" t="n">
        <f aca="false">MAX(0,(M96*(IF(N96&lt;0,100/-N96,N96/100)+1)-1)/IF(N96&lt;0,100/-N96,N96/100))</f>
        <v>0.0635040130416252</v>
      </c>
    </row>
    <row r="97" customFormat="false" ht="15" hidden="false" customHeight="false" outlineLevel="0" collapsed="false">
      <c r="A97" s="2" t="s">
        <v>154</v>
      </c>
      <c r="B97" s="3" t="n">
        <v>6.5</v>
      </c>
      <c r="C97" s="3" t="n">
        <v>-155</v>
      </c>
      <c r="D97" s="3" t="n">
        <v>120</v>
      </c>
      <c r="E97" s="7" t="n">
        <f aca="false">Win_Probabilities!E98</f>
        <v>7.25808439995502</v>
      </c>
      <c r="F97" s="8" t="n">
        <f aca="false">SUMPRODUCT((Win_Probabilities!$F$1:$S$1&lt;&gt;"")*(COLUMN(Win_Probabilities!$F$1:$S$1)-COLUMN(Win_Probabilities!$F$1)&gt;$B97)*Win_Probabilities!$F98:$S98)</f>
        <v>0.707147734357431</v>
      </c>
      <c r="G97" s="8" t="n">
        <f aca="false">IF(C97&lt;0,-C97/(-C97+100),100/(C97+100))</f>
        <v>0.607843137254902</v>
      </c>
      <c r="H97" s="8" t="n">
        <f aca="false">IF(D97&lt;0,-D97/(-D97+100),100/(D97+100))</f>
        <v>0.454545454545455</v>
      </c>
      <c r="I97" s="8" t="n">
        <f aca="false">G97+H97-1</f>
        <v>0.0623885918003564</v>
      </c>
      <c r="J97" s="8" t="n">
        <f aca="false">G97/(G97+H97)</f>
        <v>0.572147651006711</v>
      </c>
      <c r="K97" s="8" t="n">
        <f aca="false">F97-J97</f>
        <v>0.135000083350719</v>
      </c>
      <c r="L97" s="2" t="str">
        <f aca="false">IF(K97&gt;0,"OVER","UNDER")</f>
        <v>OVER</v>
      </c>
      <c r="M97" s="8" t="n">
        <f aca="false">IF(K97&gt;0,F97,1-F97)</f>
        <v>0.707147734357431</v>
      </c>
      <c r="N97" s="2" t="n">
        <f aca="false">IF(K97&gt;0,C97,D97)</f>
        <v>-155</v>
      </c>
      <c r="O97" s="9" t="n">
        <f aca="false">M97*IF(N97&lt;0,10000/-N97,N97)-(1-M97)*100</f>
        <v>16.337207910416</v>
      </c>
      <c r="P97" s="8" t="n">
        <f aca="false">MAX(0,(M97*(IF(N97&lt;0,100/-N97,N97/100)+1)-1)/IF(N97&lt;0,100/-N97,N97/100))</f>
        <v>0.253226722611448</v>
      </c>
    </row>
    <row r="98" customFormat="false" ht="15" hidden="false" customHeight="false" outlineLevel="0" collapsed="false">
      <c r="A98" s="2" t="s">
        <v>155</v>
      </c>
      <c r="B98" s="3" t="n">
        <v>7.5</v>
      </c>
      <c r="C98" s="3" t="n">
        <v>105</v>
      </c>
      <c r="D98" s="3" t="n">
        <v>-136</v>
      </c>
      <c r="E98" s="7" t="n">
        <f aca="false">Win_Probabilities!E99</f>
        <v>7.68547562691023</v>
      </c>
      <c r="F98" s="8" t="n">
        <f aca="false">SUMPRODUCT((Win_Probabilities!$F$1:$S$1&lt;&gt;"")*(COLUMN(Win_Probabilities!$F$1:$S$1)-COLUMN(Win_Probabilities!$F$1)&gt;$B98)*Win_Probabilities!$F99:$S99)</f>
        <v>0.56493027899483</v>
      </c>
      <c r="G98" s="8" t="n">
        <f aca="false">IF(C98&lt;0,-C98/(-C98+100),100/(C98+100))</f>
        <v>0.487804878048781</v>
      </c>
      <c r="H98" s="8" t="n">
        <f aca="false">IF(D98&lt;0,-D98/(-D98+100),100/(D98+100))</f>
        <v>0.576271186440678</v>
      </c>
      <c r="I98" s="8" t="n">
        <f aca="false">G98+H98-1</f>
        <v>0.0640760644894585</v>
      </c>
      <c r="J98" s="8" t="n">
        <f aca="false">G98/(G98+H98)</f>
        <v>0.458430458430458</v>
      </c>
      <c r="K98" s="8" t="n">
        <f aca="false">F98-J98</f>
        <v>0.106499820564371</v>
      </c>
      <c r="L98" s="2" t="str">
        <f aca="false">IF(K98&gt;0,"OVER","UNDER")</f>
        <v>OVER</v>
      </c>
      <c r="M98" s="8" t="n">
        <f aca="false">IF(K98&gt;0,F98,1-F98)</f>
        <v>0.56493027899483</v>
      </c>
      <c r="N98" s="2" t="n">
        <f aca="false">IF(K98&gt;0,C98,D98)</f>
        <v>105</v>
      </c>
      <c r="O98" s="9" t="n">
        <f aca="false">M98*IF(N98&lt;0,10000/-N98,N98)-(1-M98)*100</f>
        <v>15.8107071939401</v>
      </c>
      <c r="P98" s="8" t="n">
        <f aca="false">MAX(0,(M98*(IF(N98&lt;0,100/-N98,N98/100)+1)-1)/IF(N98&lt;0,100/-N98,N98/100))</f>
        <v>0.150578163751811</v>
      </c>
    </row>
    <row r="99" customFormat="false" ht="15" hidden="false" customHeight="false" outlineLevel="0" collapsed="false">
      <c r="A99" s="2" t="s">
        <v>156</v>
      </c>
      <c r="B99" s="3" t="n">
        <v>5.5</v>
      </c>
      <c r="C99" s="3" t="n">
        <v>-160</v>
      </c>
      <c r="D99" s="3" t="n">
        <v>125</v>
      </c>
      <c r="E99" s="7" t="n">
        <f aca="false">Win_Probabilities!E100</f>
        <v>6.43107176508425</v>
      </c>
      <c r="F99" s="8" t="n">
        <f aca="false">SUMPRODUCT((Win_Probabilities!$F$1:$S$1&lt;&gt;"")*(COLUMN(Win_Probabilities!$F$1:$S$1)-COLUMN(Win_Probabilities!$F$1)&gt;$B99)*Win_Probabilities!$F100:$S100)</f>
        <v>0.738834809525751</v>
      </c>
      <c r="G99" s="8" t="n">
        <f aca="false">IF(C99&lt;0,-C99/(-C99+100),100/(C99+100))</f>
        <v>0.615384615384615</v>
      </c>
      <c r="H99" s="8" t="n">
        <f aca="false">IF(D99&lt;0,-D99/(-D99+100),100/(D99+100))</f>
        <v>0.444444444444444</v>
      </c>
      <c r="I99" s="8" t="n">
        <f aca="false">G99+H99-1</f>
        <v>0.0598290598290598</v>
      </c>
      <c r="J99" s="8" t="n">
        <f aca="false">G99/(G99+H99)</f>
        <v>0.580645161290323</v>
      </c>
      <c r="K99" s="8" t="n">
        <f aca="false">F99-J99</f>
        <v>0.158189648235428</v>
      </c>
      <c r="L99" s="2" t="str">
        <f aca="false">IF(K99&gt;0,"OVER","UNDER")</f>
        <v>OVER</v>
      </c>
      <c r="M99" s="8" t="n">
        <f aca="false">IF(K99&gt;0,F99,1-F99)</f>
        <v>0.738834809525751</v>
      </c>
      <c r="N99" s="2" t="n">
        <f aca="false">IF(K99&gt;0,C99,D99)</f>
        <v>-160</v>
      </c>
      <c r="O99" s="9" t="n">
        <f aca="false">M99*IF(N99&lt;0,10000/-N99,N99)-(1-M99)*100</f>
        <v>20.0606565479346</v>
      </c>
      <c r="P99" s="8" t="n">
        <f aca="false">MAX(0,(M99*(IF(N99&lt;0,100/-N99,N99/100)+1)-1)/IF(N99&lt;0,100/-N99,N99/100))</f>
        <v>0.320970504766953</v>
      </c>
    </row>
    <row r="100" customFormat="false" ht="15" hidden="false" customHeight="false" outlineLevel="0" collapsed="false">
      <c r="A100" s="2" t="s">
        <v>157</v>
      </c>
      <c r="B100" s="3" t="n">
        <v>5.5</v>
      </c>
      <c r="C100" s="3" t="n">
        <v>-110</v>
      </c>
      <c r="D100" s="3" t="n">
        <v>-120</v>
      </c>
      <c r="E100" s="7" t="n">
        <f aca="false">Win_Probabilities!E101</f>
        <v>5.68408754548397</v>
      </c>
      <c r="F100" s="8" t="n">
        <f aca="false">SUMPRODUCT((Win_Probabilities!$F$1:$S$1&lt;&gt;"")*(COLUMN(Win_Probabilities!$F$1:$S$1)-COLUMN(Win_Probabilities!$F$1)&gt;$B100)*Win_Probabilities!$F101:$S101)</f>
        <v>0.547923588171437</v>
      </c>
      <c r="G100" s="8" t="n">
        <f aca="false">IF(C100&lt;0,-C100/(-C100+100),100/(C100+100))</f>
        <v>0.523809523809524</v>
      </c>
      <c r="H100" s="8" t="n">
        <f aca="false">IF(D100&lt;0,-D100/(-D100+100),100/(D100+100))</f>
        <v>0.545454545454545</v>
      </c>
      <c r="I100" s="8" t="n">
        <f aca="false">G100+H100-1</f>
        <v>0.0692640692640691</v>
      </c>
      <c r="J100" s="8" t="n">
        <f aca="false">G100/(G100+H100)</f>
        <v>0.489878542510122</v>
      </c>
      <c r="K100" s="8" t="n">
        <f aca="false">F100-J100</f>
        <v>0.0580450456613156</v>
      </c>
      <c r="L100" s="2" t="str">
        <f aca="false">IF(K100&gt;0,"OVER","UNDER")</f>
        <v>OVER</v>
      </c>
      <c r="M100" s="8" t="n">
        <f aca="false">IF(K100&gt;0,F100,1-F100)</f>
        <v>0.547923588171437</v>
      </c>
      <c r="N100" s="2" t="n">
        <f aca="false">IF(K100&gt;0,C100,D100)</f>
        <v>-110</v>
      </c>
      <c r="O100" s="9" t="n">
        <f aca="false">M100*IF(N100&lt;0,10000/-N100,N100)-(1-M100)*100</f>
        <v>4.60359410545618</v>
      </c>
      <c r="P100" s="8" t="n">
        <f aca="false">MAX(0,(M100*(IF(N100&lt;0,100/-N100,N100/100)+1)-1)/IF(N100&lt;0,100/-N100,N100/100))</f>
        <v>0.0506395351600181</v>
      </c>
    </row>
    <row r="101" customFormat="false" ht="15" hidden="false" customHeight="false" outlineLevel="0" collapsed="false">
      <c r="A101" s="2" t="s">
        <v>158</v>
      </c>
      <c r="B101" s="3" t="n">
        <v>7.5</v>
      </c>
      <c r="C101" s="3" t="n">
        <v>-130</v>
      </c>
      <c r="D101" s="3" t="n">
        <v>100</v>
      </c>
      <c r="E101" s="7" t="n">
        <f aca="false">Win_Probabilities!E102</f>
        <v>7.54591111237292</v>
      </c>
      <c r="F101" s="8" t="n">
        <f aca="false">SUMPRODUCT((Win_Probabilities!$F$1:$S$1&lt;&gt;"")*(COLUMN(Win_Probabilities!$F$1:$S$1)-COLUMN(Win_Probabilities!$F$1)&gt;$B101)*Win_Probabilities!$F102:$S102)</f>
        <v>0.518794785315527</v>
      </c>
      <c r="G101" s="8" t="n">
        <f aca="false">IF(C101&lt;0,-C101/(-C101+100),100/(C101+100))</f>
        <v>0.565217391304348</v>
      </c>
      <c r="H101" s="8" t="n">
        <f aca="false">IF(D101&lt;0,-D101/(-D101+100),100/(D101+100))</f>
        <v>0.5</v>
      </c>
      <c r="I101" s="8" t="n">
        <f aca="false">G101+H101-1</f>
        <v>0.0652173913043477</v>
      </c>
      <c r="J101" s="8" t="n">
        <f aca="false">G101/(G101+H101)</f>
        <v>0.530612244897959</v>
      </c>
      <c r="K101" s="8" t="n">
        <f aca="false">F101-J101</f>
        <v>-0.011817459582432</v>
      </c>
      <c r="L101" s="2" t="str">
        <f aca="false">IF(K101&gt;0,"OVER","UNDER")</f>
        <v>UNDER</v>
      </c>
      <c r="M101" s="8" t="n">
        <f aca="false">IF(K101&gt;0,F101,1-F101)</f>
        <v>0.481205214684473</v>
      </c>
      <c r="N101" s="2" t="n">
        <f aca="false">IF(K101&gt;0,C101,D101)</f>
        <v>100</v>
      </c>
      <c r="O101" s="9" t="n">
        <f aca="false">M101*IF(N101&lt;0,10000/-N101,N101)-(1-M101)*100</f>
        <v>-3.75895706310546</v>
      </c>
      <c r="P101" s="8" t="n">
        <f aca="false">MAX(0,(M101*(IF(N101&lt;0,100/-N101,N101/100)+1)-1)/IF(N101&lt;0,100/-N101,N101/100))</f>
        <v>0</v>
      </c>
    </row>
    <row r="102" customFormat="false" ht="15" hidden="false" customHeight="false" outlineLevel="0" collapsed="false">
      <c r="A102" s="2" t="s">
        <v>159</v>
      </c>
      <c r="B102" s="3" t="n">
        <v>7.5</v>
      </c>
      <c r="C102" s="3" t="n">
        <v>105</v>
      </c>
      <c r="D102" s="3" t="n">
        <v>-136</v>
      </c>
      <c r="E102" s="7" t="n">
        <f aca="false">Win_Probabilities!E103</f>
        <v>7.64444093276646</v>
      </c>
      <c r="F102" s="8" t="n">
        <f aca="false">SUMPRODUCT((Win_Probabilities!$F$1:$S$1&lt;&gt;"")*(COLUMN(Win_Probabilities!$F$1:$S$1)-COLUMN(Win_Probabilities!$F$1)&gt;$B102)*Win_Probabilities!$F103:$S103)</f>
        <v>0.552578245560156</v>
      </c>
      <c r="G102" s="8" t="n">
        <f aca="false">IF(C102&lt;0,-C102/(-C102+100),100/(C102+100))</f>
        <v>0.487804878048781</v>
      </c>
      <c r="H102" s="8" t="n">
        <f aca="false">IF(D102&lt;0,-D102/(-D102+100),100/(D102+100))</f>
        <v>0.576271186440678</v>
      </c>
      <c r="I102" s="8" t="n">
        <f aca="false">G102+H102-1</f>
        <v>0.0640760644894585</v>
      </c>
      <c r="J102" s="8" t="n">
        <f aca="false">G102/(G102+H102)</f>
        <v>0.458430458430458</v>
      </c>
      <c r="K102" s="8" t="n">
        <f aca="false">F102-J102</f>
        <v>0.0941477871296977</v>
      </c>
      <c r="L102" s="2" t="str">
        <f aca="false">IF(K102&gt;0,"OVER","UNDER")</f>
        <v>OVER</v>
      </c>
      <c r="M102" s="8" t="n">
        <f aca="false">IF(K102&gt;0,F102,1-F102)</f>
        <v>0.552578245560156</v>
      </c>
      <c r="N102" s="2" t="n">
        <f aca="false">IF(K102&gt;0,C102,D102)</f>
        <v>105</v>
      </c>
      <c r="O102" s="9" t="n">
        <f aca="false">M102*IF(N102&lt;0,10000/-N102,N102)-(1-M102)*100</f>
        <v>13.278540339832</v>
      </c>
      <c r="P102" s="8" t="n">
        <f aca="false">MAX(0,(M102*(IF(N102&lt;0,100/-N102,N102/100)+1)-1)/IF(N102&lt;0,100/-N102,N102/100))</f>
        <v>0.126462288950781</v>
      </c>
    </row>
    <row r="103" customFormat="false" ht="15" hidden="false" customHeight="false" outlineLevel="0" collapsed="false">
      <c r="A103" s="2" t="s">
        <v>160</v>
      </c>
      <c r="B103" s="3" t="n">
        <v>4.5</v>
      </c>
      <c r="C103" s="3" t="n">
        <v>-150</v>
      </c>
      <c r="D103" s="3" t="n">
        <v>120</v>
      </c>
      <c r="E103" s="7" t="n">
        <f aca="false">Win_Probabilities!E104</f>
        <v>5.56277636573744</v>
      </c>
      <c r="F103" s="8" t="n">
        <f aca="false">SUMPRODUCT((Win_Probabilities!$F$1:$S$1&lt;&gt;"")*(COLUMN(Win_Probabilities!$F$1:$S$1)-COLUMN(Win_Probabilities!$F$1)&gt;$B103)*Win_Probabilities!$F104:$S104)</f>
        <v>0.759088936545536</v>
      </c>
      <c r="G103" s="8" t="n">
        <f aca="false">IF(C103&lt;0,-C103/(-C103+100),100/(C103+100))</f>
        <v>0.6</v>
      </c>
      <c r="H103" s="8" t="n">
        <f aca="false">IF(D103&lt;0,-D103/(-D103+100),100/(D103+100))</f>
        <v>0.454545454545455</v>
      </c>
      <c r="I103" s="8" t="n">
        <f aca="false">G103+H103-1</f>
        <v>0.0545454545454545</v>
      </c>
      <c r="J103" s="8" t="n">
        <f aca="false">G103/(G103+H103)</f>
        <v>0.568965517241379</v>
      </c>
      <c r="K103" s="8" t="n">
        <f aca="false">F103-J103</f>
        <v>0.190123419304157</v>
      </c>
      <c r="L103" s="2" t="str">
        <f aca="false">IF(K103&gt;0,"OVER","UNDER")</f>
        <v>OVER</v>
      </c>
      <c r="M103" s="8" t="n">
        <f aca="false">IF(K103&gt;0,F103,1-F103)</f>
        <v>0.759088936545536</v>
      </c>
      <c r="N103" s="2" t="n">
        <f aca="false">IF(K103&gt;0,C103,D103)</f>
        <v>-150</v>
      </c>
      <c r="O103" s="9" t="n">
        <f aca="false">M103*IF(N103&lt;0,10000/-N103,N103)-(1-M103)*100</f>
        <v>26.5148227575894</v>
      </c>
      <c r="P103" s="8" t="n">
        <f aca="false">MAX(0,(M103*(IF(N103&lt;0,100/-N103,N103/100)+1)-1)/IF(N103&lt;0,100/-N103,N103/100))</f>
        <v>0.397722341363841</v>
      </c>
    </row>
    <row r="104" customFormat="false" ht="15" hidden="false" customHeight="false" outlineLevel="0" collapsed="false">
      <c r="A104" s="2" t="s">
        <v>161</v>
      </c>
      <c r="B104" s="3" t="n">
        <v>5.5</v>
      </c>
      <c r="C104" s="3" t="n">
        <v>-110</v>
      </c>
      <c r="D104" s="3" t="n">
        <v>-120</v>
      </c>
      <c r="E104" s="7" t="n">
        <f aca="false">Win_Probabilities!E105</f>
        <v>5.74846994025482</v>
      </c>
      <c r="F104" s="8" t="n">
        <f aca="false">SUMPRODUCT((Win_Probabilities!$F$1:$S$1&lt;&gt;"")*(COLUMN(Win_Probabilities!$F$1:$S$1)-COLUMN(Win_Probabilities!$F$1)&gt;$B104)*Win_Probabilities!$F105:$S105)</f>
        <v>0.560823305094314</v>
      </c>
      <c r="G104" s="8" t="n">
        <f aca="false">IF(C104&lt;0,-C104/(-C104+100),100/(C104+100))</f>
        <v>0.523809523809524</v>
      </c>
      <c r="H104" s="8" t="n">
        <f aca="false">IF(D104&lt;0,-D104/(-D104+100),100/(D104+100))</f>
        <v>0.545454545454545</v>
      </c>
      <c r="I104" s="8" t="n">
        <f aca="false">G104+H104-1</f>
        <v>0.0692640692640691</v>
      </c>
      <c r="J104" s="8" t="n">
        <f aca="false">G104/(G104+H104)</f>
        <v>0.489878542510122</v>
      </c>
      <c r="K104" s="8" t="n">
        <f aca="false">F104-J104</f>
        <v>0.0709447625841925</v>
      </c>
      <c r="L104" s="2" t="str">
        <f aca="false">IF(K104&gt;0,"OVER","UNDER")</f>
        <v>OVER</v>
      </c>
      <c r="M104" s="8" t="n">
        <f aca="false">IF(K104&gt;0,F104,1-F104)</f>
        <v>0.560823305094314</v>
      </c>
      <c r="N104" s="2" t="n">
        <f aca="false">IF(K104&gt;0,C104,D104)</f>
        <v>-110</v>
      </c>
      <c r="O104" s="9" t="n">
        <f aca="false">M104*IF(N104&lt;0,10000/-N104,N104)-(1-M104)*100</f>
        <v>7.06626733618722</v>
      </c>
      <c r="P104" s="8" t="n">
        <f aca="false">MAX(0,(M104*(IF(N104&lt;0,100/-N104,N104/100)+1)-1)/IF(N104&lt;0,100/-N104,N104/100))</f>
        <v>0.0777289406980595</v>
      </c>
    </row>
    <row r="105" customFormat="false" ht="15" hidden="false" customHeight="false" outlineLevel="0" collapsed="false">
      <c r="A105" s="2" t="s">
        <v>162</v>
      </c>
      <c r="B105" s="3" t="n">
        <v>5.5</v>
      </c>
      <c r="C105" s="3" t="n">
        <v>-130</v>
      </c>
      <c r="D105" s="3" t="n">
        <v>100</v>
      </c>
      <c r="E105" s="7" t="n">
        <f aca="false">Win_Probabilities!E106</f>
        <v>4.94555895938669</v>
      </c>
      <c r="F105" s="8" t="n">
        <f aca="false">SUMPRODUCT((Win_Probabilities!$F$1:$S$1&lt;&gt;"")*(COLUMN(Win_Probabilities!$F$1:$S$1)-COLUMN(Win_Probabilities!$F$1)&gt;$B105)*Win_Probabilities!$F106:$S106)</f>
        <v>0.337563532040044</v>
      </c>
      <c r="G105" s="8" t="n">
        <f aca="false">IF(C105&lt;0,-C105/(-C105+100),100/(C105+100))</f>
        <v>0.565217391304348</v>
      </c>
      <c r="H105" s="8" t="n">
        <f aca="false">IF(D105&lt;0,-D105/(-D105+100),100/(D105+100))</f>
        <v>0.5</v>
      </c>
      <c r="I105" s="8" t="n">
        <f aca="false">G105+H105-1</f>
        <v>0.0652173913043477</v>
      </c>
      <c r="J105" s="8" t="n">
        <f aca="false">G105/(G105+H105)</f>
        <v>0.530612244897959</v>
      </c>
      <c r="K105" s="8" t="n">
        <f aca="false">F105-J105</f>
        <v>-0.193048712857915</v>
      </c>
      <c r="L105" s="2" t="str">
        <f aca="false">IF(K105&gt;0,"OVER","UNDER")</f>
        <v>UNDER</v>
      </c>
      <c r="M105" s="8" t="n">
        <f aca="false">IF(K105&gt;0,F105,1-F105)</f>
        <v>0.662436467959956</v>
      </c>
      <c r="N105" s="2" t="n">
        <f aca="false">IF(K105&gt;0,C105,D105)</f>
        <v>100</v>
      </c>
      <c r="O105" s="9" t="n">
        <f aca="false">M105*IF(N105&lt;0,10000/-N105,N105)-(1-M105)*100</f>
        <v>32.4872935919912</v>
      </c>
      <c r="P105" s="8" t="n">
        <f aca="false">MAX(0,(M105*(IF(N105&lt;0,100/-N105,N105/100)+1)-1)/IF(N105&lt;0,100/-N105,N105/100))</f>
        <v>0.324872935919911</v>
      </c>
    </row>
    <row r="106" customFormat="false" ht="15" hidden="false" customHeight="false" outlineLevel="0" collapsed="false">
      <c r="A106" s="2" t="s">
        <v>163</v>
      </c>
      <c r="B106" s="3" t="n">
        <v>6.5</v>
      </c>
      <c r="C106" s="3" t="n">
        <v>115</v>
      </c>
      <c r="D106" s="3" t="n">
        <v>-150</v>
      </c>
      <c r="E106" s="7" t="n">
        <f aca="false">Win_Probabilities!E107</f>
        <v>6.69791668134009</v>
      </c>
      <c r="F106" s="8" t="n">
        <f aca="false">SUMPRODUCT((Win_Probabilities!$F$1:$S$1&lt;&gt;"")*(COLUMN(Win_Probabilities!$F$1:$S$1)-COLUMN(Win_Probabilities!$F$1)&gt;$B106)*Win_Probabilities!$F107:$S107)</f>
        <v>0.556367118677781</v>
      </c>
      <c r="G106" s="8" t="n">
        <f aca="false">IF(C106&lt;0,-C106/(-C106+100),100/(C106+100))</f>
        <v>0.465116279069767</v>
      </c>
      <c r="H106" s="8" t="n">
        <f aca="false">IF(D106&lt;0,-D106/(-D106+100),100/(D106+100))</f>
        <v>0.6</v>
      </c>
      <c r="I106" s="8" t="n">
        <f aca="false">G106+H106-1</f>
        <v>0.0651162790697675</v>
      </c>
      <c r="J106" s="8" t="n">
        <f aca="false">G106/(G106+H106)</f>
        <v>0.436681222707424</v>
      </c>
      <c r="K106" s="8" t="n">
        <f aca="false">F106-J106</f>
        <v>0.119685895970358</v>
      </c>
      <c r="L106" s="2" t="str">
        <f aca="false">IF(K106&gt;0,"OVER","UNDER")</f>
        <v>OVER</v>
      </c>
      <c r="M106" s="8" t="n">
        <f aca="false">IF(K106&gt;0,F106,1-F106)</f>
        <v>0.556367118677781</v>
      </c>
      <c r="N106" s="2" t="n">
        <f aca="false">IF(K106&gt;0,C106,D106)</f>
        <v>115</v>
      </c>
      <c r="O106" s="9" t="n">
        <f aca="false">M106*IF(N106&lt;0,10000/-N106,N106)-(1-M106)*100</f>
        <v>19.6189305157229</v>
      </c>
      <c r="P106" s="8" t="n">
        <f aca="false">MAX(0,(M106*(IF(N106&lt;0,100/-N106,N106/100)+1)-1)/IF(N106&lt;0,100/-N106,N106/100))</f>
        <v>0.170599395788895</v>
      </c>
    </row>
    <row r="107" customFormat="false" ht="15" hidden="false" customHeight="false" outlineLevel="0" collapsed="false">
      <c r="A107" s="2" t="s">
        <v>164</v>
      </c>
      <c r="B107" s="3" t="n">
        <v>3.5</v>
      </c>
      <c r="C107" s="3" t="n">
        <v>-130</v>
      </c>
      <c r="D107" s="3" t="n">
        <v>100</v>
      </c>
      <c r="E107" s="7" t="n">
        <f aca="false">Win_Probabilities!E108</f>
        <v>4.01114666247414</v>
      </c>
      <c r="F107" s="8" t="n">
        <f aca="false">SUMPRODUCT((Win_Probabilities!$F$1:$S$1&lt;&gt;"")*(COLUMN(Win_Probabilities!$F$1:$S$1)-COLUMN(Win_Probabilities!$F$1)&gt;$B107)*Win_Probabilities!$F108:$S108)</f>
        <v>0.622962443268171</v>
      </c>
      <c r="G107" s="8" t="n">
        <f aca="false">IF(C107&lt;0,-C107/(-C107+100),100/(C107+100))</f>
        <v>0.565217391304348</v>
      </c>
      <c r="H107" s="8" t="n">
        <f aca="false">IF(D107&lt;0,-D107/(-D107+100),100/(D107+100))</f>
        <v>0.5</v>
      </c>
      <c r="I107" s="8" t="n">
        <f aca="false">G107+H107-1</f>
        <v>0.0652173913043477</v>
      </c>
      <c r="J107" s="8" t="n">
        <f aca="false">G107/(G107+H107)</f>
        <v>0.530612244897959</v>
      </c>
      <c r="K107" s="8" t="n">
        <f aca="false">F107-J107</f>
        <v>0.0923501983702117</v>
      </c>
      <c r="L107" s="2" t="str">
        <f aca="false">IF(K107&gt;0,"OVER","UNDER")</f>
        <v>OVER</v>
      </c>
      <c r="M107" s="8" t="n">
        <f aca="false">IF(K107&gt;0,F107,1-F107)</f>
        <v>0.622962443268171</v>
      </c>
      <c r="N107" s="2" t="n">
        <f aca="false">IF(K107&gt;0,C107,D107)</f>
        <v>-130</v>
      </c>
      <c r="O107" s="9" t="n">
        <f aca="false">M107*IF(N107&lt;0,10000/-N107,N107)-(1-M107)*100</f>
        <v>10.2164322705226</v>
      </c>
      <c r="P107" s="8" t="n">
        <f aca="false">MAX(0,(M107*(IF(N107&lt;0,100/-N107,N107/100)+1)-1)/IF(N107&lt;0,100/-N107,N107/100))</f>
        <v>0.132813619516793</v>
      </c>
    </row>
    <row r="108" customFormat="false" ht="15" hidden="false" customHeight="false" outlineLevel="0" collapsed="false">
      <c r="A108" s="2" t="s">
        <v>165</v>
      </c>
      <c r="B108" s="3" t="n">
        <v>4.5</v>
      </c>
      <c r="C108" s="3" t="n">
        <v>110</v>
      </c>
      <c r="D108" s="3" t="n">
        <v>-145</v>
      </c>
      <c r="E108" s="7" t="n">
        <f aca="false">Win_Probabilities!E109</f>
        <v>5.16923623900584</v>
      </c>
      <c r="F108" s="8" t="n">
        <f aca="false">SUMPRODUCT((Win_Probabilities!$F$1:$S$1&lt;&gt;"")*(COLUMN(Win_Probabilities!$F$1:$S$1)-COLUMN(Win_Probabilities!$F$1)&gt;$B108)*Win_Probabilities!$F109:$S109)</f>
        <v>0.665513516019624</v>
      </c>
      <c r="G108" s="8" t="n">
        <f aca="false">IF(C108&lt;0,-C108/(-C108+100),100/(C108+100))</f>
        <v>0.476190476190476</v>
      </c>
      <c r="H108" s="8" t="n">
        <f aca="false">IF(D108&lt;0,-D108/(-D108+100),100/(D108+100))</f>
        <v>0.591836734693878</v>
      </c>
      <c r="I108" s="8" t="n">
        <f aca="false">G108+H108-1</f>
        <v>0.0680272108843538</v>
      </c>
      <c r="J108" s="8" t="n">
        <f aca="false">G108/(G108+H108)</f>
        <v>0.445859872611465</v>
      </c>
      <c r="K108" s="8" t="n">
        <f aca="false">F108-J108</f>
        <v>0.219653643408159</v>
      </c>
      <c r="L108" s="2" t="str">
        <f aca="false">IF(K108&gt;0,"OVER","UNDER")</f>
        <v>OVER</v>
      </c>
      <c r="M108" s="8" t="n">
        <f aca="false">IF(K108&gt;0,F108,1-F108)</f>
        <v>0.665513516019624</v>
      </c>
      <c r="N108" s="2" t="n">
        <f aca="false">IF(K108&gt;0,C108,D108)</f>
        <v>110</v>
      </c>
      <c r="O108" s="9" t="n">
        <f aca="false">M108*IF(N108&lt;0,10000/-N108,N108)-(1-M108)*100</f>
        <v>39.757838364121</v>
      </c>
      <c r="P108" s="8" t="n">
        <f aca="false">MAX(0,(M108*(IF(N108&lt;0,100/-N108,N108/100)+1)-1)/IF(N108&lt;0,100/-N108,N108/100))</f>
        <v>0.361434894219282</v>
      </c>
    </row>
    <row r="109" customFormat="false" ht="15" hidden="false" customHeight="false" outlineLevel="0" collapsed="false">
      <c r="A109" s="2" t="s">
        <v>166</v>
      </c>
      <c r="B109" s="3" t="n">
        <v>6.5</v>
      </c>
      <c r="C109" s="3" t="n">
        <v>-130</v>
      </c>
      <c r="D109" s="3" t="n">
        <v>100</v>
      </c>
      <c r="E109" s="7" t="n">
        <f aca="false">Win_Probabilities!E110</f>
        <v>7.0511938512134</v>
      </c>
      <c r="F109" s="8" t="n">
        <f aca="false">SUMPRODUCT((Win_Probabilities!$F$1:$S$1&lt;&gt;"")*(COLUMN(Win_Probabilities!$F$1:$S$1)-COLUMN(Win_Probabilities!$F$1)&gt;$B109)*Win_Probabilities!$F110:$S110)</f>
        <v>0.649932550281076</v>
      </c>
      <c r="G109" s="8" t="n">
        <f aca="false">IF(C109&lt;0,-C109/(-C109+100),100/(C109+100))</f>
        <v>0.565217391304348</v>
      </c>
      <c r="H109" s="8" t="n">
        <f aca="false">IF(D109&lt;0,-D109/(-D109+100),100/(D109+100))</f>
        <v>0.5</v>
      </c>
      <c r="I109" s="8" t="n">
        <f aca="false">G109+H109-1</f>
        <v>0.0652173913043477</v>
      </c>
      <c r="J109" s="8" t="n">
        <f aca="false">G109/(G109+H109)</f>
        <v>0.530612244897959</v>
      </c>
      <c r="K109" s="8" t="n">
        <f aca="false">F109-J109</f>
        <v>0.119320305383117</v>
      </c>
      <c r="L109" s="2" t="str">
        <f aca="false">IF(K109&gt;0,"OVER","UNDER")</f>
        <v>OVER</v>
      </c>
      <c r="M109" s="8" t="n">
        <f aca="false">IF(K109&gt;0,F109,1-F109)</f>
        <v>0.649932550281076</v>
      </c>
      <c r="N109" s="2" t="n">
        <f aca="false">IF(K109&gt;0,C109,D109)</f>
        <v>-130</v>
      </c>
      <c r="O109" s="9" t="n">
        <f aca="false">M109*IF(N109&lt;0,10000/-N109,N109)-(1-M109)*100</f>
        <v>14.9880665881903</v>
      </c>
      <c r="P109" s="8" t="n">
        <f aca="false">MAX(0,(M109*(IF(N109&lt;0,100/-N109,N109/100)+1)-1)/IF(N109&lt;0,100/-N109,N109/100))</f>
        <v>0.194844865646474</v>
      </c>
    </row>
    <row r="110" customFormat="false" ht="15" hidden="false" customHeight="false" outlineLevel="0" collapsed="false">
      <c r="A110" s="2" t="s">
        <v>167</v>
      </c>
      <c r="B110" s="3" t="n">
        <v>5.5</v>
      </c>
      <c r="C110" s="3" t="n">
        <v>-105</v>
      </c>
      <c r="D110" s="3" t="n">
        <v>-125</v>
      </c>
      <c r="E110" s="7" t="n">
        <f aca="false">Win_Probabilities!E111</f>
        <v>5.27700440754715</v>
      </c>
      <c r="F110" s="8" t="n">
        <f aca="false">SUMPRODUCT((Win_Probabilities!$F$1:$S$1&lt;&gt;"")*(COLUMN(Win_Probabilities!$F$1:$S$1)-COLUMN(Win_Probabilities!$F$1)&gt;$B110)*Win_Probabilities!$F111:$S111)</f>
        <v>0.428305173331277</v>
      </c>
      <c r="G110" s="8" t="n">
        <f aca="false">IF(C110&lt;0,-C110/(-C110+100),100/(C110+100))</f>
        <v>0.51219512195122</v>
      </c>
      <c r="H110" s="8" t="n">
        <f aca="false">IF(D110&lt;0,-D110/(-D110+100),100/(D110+100))</f>
        <v>0.555555555555556</v>
      </c>
      <c r="I110" s="8" t="n">
        <f aca="false">G110+H110-1</f>
        <v>0.0677506775067751</v>
      </c>
      <c r="J110" s="8" t="n">
        <f aca="false">G110/(G110+H110)</f>
        <v>0.479695431472081</v>
      </c>
      <c r="K110" s="8" t="n">
        <f aca="false">F110-J110</f>
        <v>-0.0513902581408041</v>
      </c>
      <c r="L110" s="2" t="str">
        <f aca="false">IF(K110&gt;0,"OVER","UNDER")</f>
        <v>UNDER</v>
      </c>
      <c r="M110" s="8" t="n">
        <f aca="false">IF(K110&gt;0,F110,1-F110)</f>
        <v>0.571694826668723</v>
      </c>
      <c r="N110" s="2" t="n">
        <f aca="false">IF(K110&gt;0,C110,D110)</f>
        <v>-125</v>
      </c>
      <c r="O110" s="9" t="n">
        <f aca="false">M110*IF(N110&lt;0,10000/-N110,N110)-(1-M110)*100</f>
        <v>2.90506880037011</v>
      </c>
      <c r="P110" s="8" t="n">
        <f aca="false">MAX(0,(M110*(IF(N110&lt;0,100/-N110,N110/100)+1)-1)/IF(N110&lt;0,100/-N110,N110/100))</f>
        <v>0.0363133600046264</v>
      </c>
    </row>
    <row r="111" customFormat="false" ht="15" hidden="false" customHeight="false" outlineLevel="0" collapsed="false">
      <c r="A111" s="2" t="s">
        <v>168</v>
      </c>
      <c r="B111" s="3" t="n">
        <v>5.5</v>
      </c>
      <c r="C111" s="3" t="n">
        <v>-165</v>
      </c>
      <c r="D111" s="3" t="n">
        <v>130</v>
      </c>
      <c r="E111" s="7" t="n">
        <f aca="false">Win_Probabilities!E112</f>
        <v>6.84421268434775</v>
      </c>
      <c r="F111" s="8" t="n">
        <f aca="false">SUMPRODUCT((Win_Probabilities!$F$1:$S$1&lt;&gt;"")*(COLUMN(Win_Probabilities!$F$1:$S$1)-COLUMN(Win_Probabilities!$F$1)&gt;$B111)*Win_Probabilities!$F112:$S112)</f>
        <v>0.827014484885833</v>
      </c>
      <c r="G111" s="8" t="n">
        <f aca="false">IF(C111&lt;0,-C111/(-C111+100),100/(C111+100))</f>
        <v>0.622641509433962</v>
      </c>
      <c r="H111" s="8" t="n">
        <f aca="false">IF(D111&lt;0,-D111/(-D111+100),100/(D111+100))</f>
        <v>0.434782608695652</v>
      </c>
      <c r="I111" s="8" t="n">
        <f aca="false">G111+H111-1</f>
        <v>0.0574241181296145</v>
      </c>
      <c r="J111" s="8" t="n">
        <f aca="false">G111/(G111+H111)</f>
        <v>0.588828549262995</v>
      </c>
      <c r="K111" s="8" t="n">
        <f aca="false">F111-J111</f>
        <v>0.238185935622839</v>
      </c>
      <c r="L111" s="2" t="str">
        <f aca="false">IF(K111&gt;0,"OVER","UNDER")</f>
        <v>OVER</v>
      </c>
      <c r="M111" s="8" t="n">
        <f aca="false">IF(K111&gt;0,F111,1-F111)</f>
        <v>0.827014484885833</v>
      </c>
      <c r="N111" s="2" t="n">
        <f aca="false">IF(K111&gt;0,C111,D111)</f>
        <v>-165</v>
      </c>
      <c r="O111" s="9" t="n">
        <f aca="false">M111*IF(N111&lt;0,10000/-N111,N111)-(1-M111)*100</f>
        <v>32.8235384816641</v>
      </c>
      <c r="P111" s="8" t="n">
        <f aca="false">MAX(0,(M111*(IF(N111&lt;0,100/-N111,N111/100)+1)-1)/IF(N111&lt;0,100/-N111,N111/100))</f>
        <v>0.541588384947458</v>
      </c>
    </row>
    <row r="112" customFormat="false" ht="15" hidden="false" customHeight="false" outlineLevel="0" collapsed="false">
      <c r="A112" s="2" t="s">
        <v>169</v>
      </c>
      <c r="B112" s="3" t="n">
        <v>5.5</v>
      </c>
      <c r="C112" s="3" t="n">
        <v>-165</v>
      </c>
      <c r="D112" s="3" t="n">
        <v>130</v>
      </c>
      <c r="E112" s="7" t="n">
        <f aca="false">Win_Probabilities!E113</f>
        <v>6.1079968895353</v>
      </c>
      <c r="F112" s="8" t="n">
        <f aca="false">SUMPRODUCT((Win_Probabilities!$F$1:$S$1&lt;&gt;"")*(COLUMN(Win_Probabilities!$F$1:$S$1)-COLUMN(Win_Probabilities!$F$1)&gt;$B112)*Win_Probabilities!$F113:$S113)</f>
        <v>0.659911470202833</v>
      </c>
      <c r="G112" s="8" t="n">
        <f aca="false">IF(C112&lt;0,-C112/(-C112+100),100/(C112+100))</f>
        <v>0.622641509433962</v>
      </c>
      <c r="H112" s="8" t="n">
        <f aca="false">IF(D112&lt;0,-D112/(-D112+100),100/(D112+100))</f>
        <v>0.434782608695652</v>
      </c>
      <c r="I112" s="8" t="n">
        <f aca="false">G112+H112-1</f>
        <v>0.0574241181296145</v>
      </c>
      <c r="J112" s="8" t="n">
        <f aca="false">G112/(G112+H112)</f>
        <v>0.588828549262995</v>
      </c>
      <c r="K112" s="8" t="n">
        <f aca="false">F112-J112</f>
        <v>0.0710829209398383</v>
      </c>
      <c r="L112" s="2" t="str">
        <f aca="false">IF(K112&gt;0,"OVER","UNDER")</f>
        <v>OVER</v>
      </c>
      <c r="M112" s="8" t="n">
        <f aca="false">IF(K112&gt;0,F112,1-F112)</f>
        <v>0.659911470202833</v>
      </c>
      <c r="N112" s="2" t="n">
        <f aca="false">IF(K112&gt;0,C112,D112)</f>
        <v>-165</v>
      </c>
      <c r="O112" s="9" t="n">
        <f aca="false">M112*IF(N112&lt;0,10000/-N112,N112)-(1-M112)*100</f>
        <v>5.98578157803073</v>
      </c>
      <c r="P112" s="8" t="n">
        <f aca="false">MAX(0,(M112*(IF(N112&lt;0,100/-N112,N112/100)+1)-1)/IF(N112&lt;0,100/-N112,N112/100))</f>
        <v>0.0987653960375068</v>
      </c>
    </row>
    <row r="113" customFormat="false" ht="15" hidden="false" customHeight="false" outlineLevel="0" collapsed="false">
      <c r="A113" s="2" t="s">
        <v>170</v>
      </c>
      <c r="B113" s="3" t="n">
        <v>6.5</v>
      </c>
      <c r="C113" s="3" t="n">
        <v>130</v>
      </c>
      <c r="D113" s="3" t="n">
        <v>-165</v>
      </c>
      <c r="E113" s="7" t="n">
        <f aca="false">Win_Probabilities!E114</f>
        <v>5.91203476245741</v>
      </c>
      <c r="F113" s="8" t="n">
        <f aca="false">SUMPRODUCT((Win_Probabilities!$F$1:$S$1&lt;&gt;"")*(COLUMN(Win_Probabilities!$F$1:$S$1)-COLUMN(Win_Probabilities!$F$1)&gt;$B113)*Win_Probabilities!$F114:$S114)</f>
        <v>0.345994198146178</v>
      </c>
      <c r="G113" s="8" t="n">
        <f aca="false">IF(C113&lt;0,-C113/(-C113+100),100/(C113+100))</f>
        <v>0.434782608695652</v>
      </c>
      <c r="H113" s="8" t="n">
        <f aca="false">IF(D113&lt;0,-D113/(-D113+100),100/(D113+100))</f>
        <v>0.622641509433962</v>
      </c>
      <c r="I113" s="8" t="n">
        <f aca="false">G113+H113-1</f>
        <v>0.0574241181296145</v>
      </c>
      <c r="J113" s="8" t="n">
        <f aca="false">G113/(G113+H113)</f>
        <v>0.411171450737005</v>
      </c>
      <c r="K113" s="8" t="n">
        <f aca="false">F113-J113</f>
        <v>-0.0651772525908277</v>
      </c>
      <c r="L113" s="2" t="str">
        <f aca="false">IF(K113&gt;0,"OVER","UNDER")</f>
        <v>UNDER</v>
      </c>
      <c r="M113" s="8" t="n">
        <f aca="false">IF(K113&gt;0,F113,1-F113)</f>
        <v>0.654005801853822</v>
      </c>
      <c r="N113" s="2" t="n">
        <f aca="false">IF(K113&gt;0,C113,D113)</f>
        <v>-165</v>
      </c>
      <c r="O113" s="9" t="n">
        <f aca="false">M113*IF(N113&lt;0,10000/-N113,N113)-(1-M113)*100</f>
        <v>5.03729544925025</v>
      </c>
      <c r="P113" s="8" t="n">
        <f aca="false">MAX(0,(M113*(IF(N113&lt;0,100/-N113,N113/100)+1)-1)/IF(N113&lt;0,100/-N113,N113/100))</f>
        <v>0.0831153749126291</v>
      </c>
    </row>
    <row r="114" customFormat="false" ht="15" hidden="false" customHeight="false" outlineLevel="0" collapsed="false">
      <c r="A114" s="2" t="s">
        <v>171</v>
      </c>
      <c r="B114" s="3" t="n">
        <v>6.5</v>
      </c>
      <c r="C114" s="3" t="n">
        <v>120</v>
      </c>
      <c r="D114" s="3" t="n">
        <v>-150</v>
      </c>
      <c r="E114" s="7" t="n">
        <f aca="false">Win_Probabilities!E115</f>
        <v>6.66623463827472</v>
      </c>
      <c r="F114" s="8" t="n">
        <f aca="false">SUMPRODUCT((Win_Probabilities!$F$1:$S$1&lt;&gt;"")*(COLUMN(Win_Probabilities!$F$1:$S$1)-COLUMN(Win_Probabilities!$F$1)&gt;$B114)*Win_Probabilities!$F115:$S115)</f>
        <v>0.548289509799965</v>
      </c>
      <c r="G114" s="8" t="n">
        <f aca="false">IF(C114&lt;0,-C114/(-C114+100),100/(C114+100))</f>
        <v>0.454545454545455</v>
      </c>
      <c r="H114" s="8" t="n">
        <f aca="false">IF(D114&lt;0,-D114/(-D114+100),100/(D114+100))</f>
        <v>0.6</v>
      </c>
      <c r="I114" s="8" t="n">
        <f aca="false">G114+H114-1</f>
        <v>0.0545454545454545</v>
      </c>
      <c r="J114" s="8" t="n">
        <f aca="false">G114/(G114+H114)</f>
        <v>0.431034482758621</v>
      </c>
      <c r="K114" s="8" t="n">
        <f aca="false">F114-J114</f>
        <v>0.117255027041344</v>
      </c>
      <c r="L114" s="2" t="str">
        <f aca="false">IF(K114&gt;0,"OVER","UNDER")</f>
        <v>OVER</v>
      </c>
      <c r="M114" s="8" t="n">
        <f aca="false">IF(K114&gt;0,F114,1-F114)</f>
        <v>0.548289509799965</v>
      </c>
      <c r="N114" s="2" t="n">
        <f aca="false">IF(K114&gt;0,C114,D114)</f>
        <v>120</v>
      </c>
      <c r="O114" s="9" t="n">
        <f aca="false">M114*IF(N114&lt;0,10000/-N114,N114)-(1-M114)*100</f>
        <v>20.6236921559923</v>
      </c>
      <c r="P114" s="8" t="n">
        <f aca="false">MAX(0,(M114*(IF(N114&lt;0,100/-N114,N114/100)+1)-1)/IF(N114&lt;0,100/-N114,N114/100))</f>
        <v>0.171864101299936</v>
      </c>
    </row>
    <row r="115" customFormat="false" ht="15" hidden="false" customHeight="false" outlineLevel="0" collapsed="false">
      <c r="A115" s="2" t="s">
        <v>172</v>
      </c>
      <c r="B115" s="3" t="n">
        <v>6.5</v>
      </c>
      <c r="C115" s="3" t="n">
        <v>120</v>
      </c>
      <c r="D115" s="3" t="n">
        <v>-155</v>
      </c>
      <c r="E115" s="7" t="n">
        <f aca="false">Win_Probabilities!E116</f>
        <v>6.1930395439547</v>
      </c>
      <c r="F115" s="8" t="n">
        <f aca="false">SUMPRODUCT((Win_Probabilities!$F$1:$S$1&lt;&gt;"")*(COLUMN(Win_Probabilities!$F$1:$S$1)-COLUMN(Win_Probabilities!$F$1)&gt;$B115)*Win_Probabilities!$F116:$S116)</f>
        <v>0.415089096524195</v>
      </c>
      <c r="G115" s="8" t="n">
        <f aca="false">IF(C115&lt;0,-C115/(-C115+100),100/(C115+100))</f>
        <v>0.454545454545455</v>
      </c>
      <c r="H115" s="8" t="n">
        <f aca="false">IF(D115&lt;0,-D115/(-D115+100),100/(D115+100))</f>
        <v>0.607843137254902</v>
      </c>
      <c r="I115" s="8" t="n">
        <f aca="false">G115+H115-1</f>
        <v>0.0623885918003564</v>
      </c>
      <c r="J115" s="8" t="n">
        <f aca="false">G115/(G115+H115)</f>
        <v>0.427852348993289</v>
      </c>
      <c r="K115" s="8" t="n">
        <f aca="false">F115-J115</f>
        <v>-0.0127632524690938</v>
      </c>
      <c r="L115" s="2" t="str">
        <f aca="false">IF(K115&gt;0,"OVER","UNDER")</f>
        <v>UNDER</v>
      </c>
      <c r="M115" s="8" t="n">
        <f aca="false">IF(K115&gt;0,F115,1-F115)</f>
        <v>0.584910903475805</v>
      </c>
      <c r="N115" s="2" t="n">
        <f aca="false">IF(K115&gt;0,C115,D115)</f>
        <v>-155</v>
      </c>
      <c r="O115" s="9" t="n">
        <f aca="false">M115*IF(N115&lt;0,10000/-N115,N115)-(1-M115)*100</f>
        <v>-3.77272233139978</v>
      </c>
      <c r="P115" s="8" t="n">
        <f aca="false">MAX(0,(M115*(IF(N115&lt;0,100/-N115,N115/100)+1)-1)/IF(N115&lt;0,100/-N115,N115/100))</f>
        <v>0</v>
      </c>
    </row>
    <row r="116" customFormat="false" ht="15" hidden="false" customHeight="false" outlineLevel="0" collapsed="false">
      <c r="A116" s="2" t="s">
        <v>173</v>
      </c>
      <c r="B116" s="3" t="n">
        <v>5.5</v>
      </c>
      <c r="C116" s="3" t="n">
        <v>-150</v>
      </c>
      <c r="D116" s="3" t="n">
        <v>120</v>
      </c>
      <c r="E116" s="7" t="n">
        <f aca="false">Win_Probabilities!E117</f>
        <v>5.47897145073943</v>
      </c>
      <c r="F116" s="8" t="n">
        <f aca="false">SUMPRODUCT((Win_Probabilities!$F$1:$S$1&lt;&gt;"")*(COLUMN(Win_Probabilities!$F$1:$S$1)-COLUMN(Win_Probabilities!$F$1)&gt;$B116)*Win_Probabilities!$F117:$S117)</f>
        <v>0.48914651365984</v>
      </c>
      <c r="G116" s="8" t="n">
        <f aca="false">IF(C116&lt;0,-C116/(-C116+100),100/(C116+100))</f>
        <v>0.6</v>
      </c>
      <c r="H116" s="8" t="n">
        <f aca="false">IF(D116&lt;0,-D116/(-D116+100),100/(D116+100))</f>
        <v>0.454545454545455</v>
      </c>
      <c r="I116" s="8" t="n">
        <f aca="false">G116+H116-1</f>
        <v>0.0545454545454545</v>
      </c>
      <c r="J116" s="8" t="n">
        <f aca="false">G116/(G116+H116)</f>
        <v>0.568965517241379</v>
      </c>
      <c r="K116" s="8" t="n">
        <f aca="false">F116-J116</f>
        <v>-0.0798190035815394</v>
      </c>
      <c r="L116" s="2" t="str">
        <f aca="false">IF(K116&gt;0,"OVER","UNDER")</f>
        <v>UNDER</v>
      </c>
      <c r="M116" s="8" t="n">
        <f aca="false">IF(K116&gt;0,F116,1-F116)</f>
        <v>0.51085348634016</v>
      </c>
      <c r="N116" s="2" t="n">
        <f aca="false">IF(K116&gt;0,C116,D116)</f>
        <v>120</v>
      </c>
      <c r="O116" s="9" t="n">
        <f aca="false">M116*IF(N116&lt;0,10000/-N116,N116)-(1-M116)*100</f>
        <v>12.3877669948352</v>
      </c>
      <c r="P116" s="8" t="n">
        <f aca="false">MAX(0,(M116*(IF(N116&lt;0,100/-N116,N116/100)+1)-1)/IF(N116&lt;0,100/-N116,N116/100))</f>
        <v>0.103231391623627</v>
      </c>
    </row>
    <row r="117" customFormat="false" ht="15" hidden="false" customHeight="false" outlineLevel="0" collapsed="false">
      <c r="A117" s="2" t="s">
        <v>174</v>
      </c>
      <c r="B117" s="3" t="n">
        <v>4.5</v>
      </c>
      <c r="C117" s="3" t="n">
        <v>-140</v>
      </c>
      <c r="D117" s="3" t="n">
        <v>110</v>
      </c>
      <c r="E117" s="7" t="n">
        <f aca="false">Win_Probabilities!E118</f>
        <v>5.25310145044653</v>
      </c>
      <c r="F117" s="8" t="n">
        <f aca="false">SUMPRODUCT((Win_Probabilities!$F$1:$S$1&lt;&gt;"")*(COLUMN(Win_Probabilities!$F$1:$S$1)-COLUMN(Win_Probabilities!$F$1)&gt;$B117)*Win_Probabilities!$F118:$S118)</f>
        <v>0.683175715682991</v>
      </c>
      <c r="G117" s="8" t="n">
        <f aca="false">IF(C117&lt;0,-C117/(-C117+100),100/(C117+100))</f>
        <v>0.583333333333333</v>
      </c>
      <c r="H117" s="8" t="n">
        <f aca="false">IF(D117&lt;0,-D117/(-D117+100),100/(D117+100))</f>
        <v>0.476190476190476</v>
      </c>
      <c r="I117" s="8" t="n">
        <f aca="false">G117+H117-1</f>
        <v>0.0595238095238095</v>
      </c>
      <c r="J117" s="8" t="n">
        <f aca="false">G117/(G117+H117)</f>
        <v>0.550561797752809</v>
      </c>
      <c r="K117" s="8" t="n">
        <f aca="false">F117-J117</f>
        <v>0.132613917930182</v>
      </c>
      <c r="L117" s="2" t="str">
        <f aca="false">IF(K117&gt;0,"OVER","UNDER")</f>
        <v>OVER</v>
      </c>
      <c r="M117" s="8" t="n">
        <f aca="false">IF(K117&gt;0,F117,1-F117)</f>
        <v>0.683175715682991</v>
      </c>
      <c r="N117" s="2" t="n">
        <f aca="false">IF(K117&gt;0,C117,D117)</f>
        <v>-140</v>
      </c>
      <c r="O117" s="9" t="n">
        <f aca="false">M117*IF(N117&lt;0,10000/-N117,N117)-(1-M117)*100</f>
        <v>17.115836974227</v>
      </c>
      <c r="P117" s="8" t="n">
        <f aca="false">MAX(0,(M117*(IF(N117&lt;0,100/-N117,N117/100)+1)-1)/IF(N117&lt;0,100/-N117,N117/100))</f>
        <v>0.239621717639179</v>
      </c>
    </row>
    <row r="118" customFormat="false" ht="15" hidden="false" customHeight="false" outlineLevel="0" collapsed="false">
      <c r="A118" s="2" t="s">
        <v>175</v>
      </c>
      <c r="B118" s="3" t="n">
        <v>4.5</v>
      </c>
      <c r="C118" s="3" t="n">
        <v>-160</v>
      </c>
      <c r="D118" s="3" t="n">
        <v>125</v>
      </c>
      <c r="E118" s="7" t="n">
        <f aca="false">Win_Probabilities!E119</f>
        <v>5.50695422319775</v>
      </c>
      <c r="F118" s="8" t="n">
        <f aca="false">SUMPRODUCT((Win_Probabilities!$F$1:$S$1&lt;&gt;"")*(COLUMN(Win_Probabilities!$F$1:$S$1)-COLUMN(Win_Probabilities!$F$1)&gt;$B118)*Win_Probabilities!$F119:$S119)</f>
        <v>0.767901464459249</v>
      </c>
      <c r="G118" s="8" t="n">
        <f aca="false">IF(C118&lt;0,-C118/(-C118+100),100/(C118+100))</f>
        <v>0.615384615384615</v>
      </c>
      <c r="H118" s="8" t="n">
        <f aca="false">IF(D118&lt;0,-D118/(-D118+100),100/(D118+100))</f>
        <v>0.444444444444444</v>
      </c>
      <c r="I118" s="8" t="n">
        <f aca="false">G118+H118-1</f>
        <v>0.0598290598290598</v>
      </c>
      <c r="J118" s="8" t="n">
        <f aca="false">G118/(G118+H118)</f>
        <v>0.580645161290323</v>
      </c>
      <c r="K118" s="8" t="n">
        <f aca="false">F118-J118</f>
        <v>0.187256303168926</v>
      </c>
      <c r="L118" s="2" t="str">
        <f aca="false">IF(K118&gt;0,"OVER","UNDER")</f>
        <v>OVER</v>
      </c>
      <c r="M118" s="8" t="n">
        <f aca="false">IF(K118&gt;0,F118,1-F118)</f>
        <v>0.767901464459249</v>
      </c>
      <c r="N118" s="2" t="n">
        <f aca="false">IF(K118&gt;0,C118,D118)</f>
        <v>-160</v>
      </c>
      <c r="O118" s="9" t="n">
        <f aca="false">M118*IF(N118&lt;0,10000/-N118,N118)-(1-M118)*100</f>
        <v>24.7839879746279</v>
      </c>
      <c r="P118" s="8" t="n">
        <f aca="false">MAX(0,(M118*(IF(N118&lt;0,100/-N118,N118/100)+1)-1)/IF(N118&lt;0,100/-N118,N118/100))</f>
        <v>0.396543807594046</v>
      </c>
    </row>
    <row r="119" customFormat="false" ht="15" hidden="false" customHeight="false" outlineLevel="0" collapsed="false">
      <c r="A119" s="2" t="s">
        <v>176</v>
      </c>
      <c r="B119" s="3" t="n">
        <v>6.5</v>
      </c>
      <c r="C119" s="3" t="n">
        <v>110</v>
      </c>
      <c r="D119" s="3" t="n">
        <v>-140</v>
      </c>
      <c r="E119" s="7" t="n">
        <f aca="false">Win_Probabilities!E120</f>
        <v>5.61730071828797</v>
      </c>
      <c r="F119" s="8" t="n">
        <f aca="false">SUMPRODUCT((Win_Probabilities!$F$1:$S$1&lt;&gt;"")*(COLUMN(Win_Probabilities!$F$1:$S$1)-COLUMN(Win_Probabilities!$F$1)&gt;$B119)*Win_Probabilities!$F120:$S120)</f>
        <v>0.272384418110482</v>
      </c>
      <c r="G119" s="8" t="n">
        <f aca="false">IF(C119&lt;0,-C119/(-C119+100),100/(C119+100))</f>
        <v>0.476190476190476</v>
      </c>
      <c r="H119" s="8" t="n">
        <f aca="false">IF(D119&lt;0,-D119/(-D119+100),100/(D119+100))</f>
        <v>0.583333333333333</v>
      </c>
      <c r="I119" s="8" t="n">
        <f aca="false">G119+H119-1</f>
        <v>0.0595238095238095</v>
      </c>
      <c r="J119" s="8" t="n">
        <f aca="false">G119/(G119+H119)</f>
        <v>0.449438202247191</v>
      </c>
      <c r="K119" s="8" t="n">
        <f aca="false">F119-J119</f>
        <v>-0.177053784136709</v>
      </c>
      <c r="L119" s="2" t="str">
        <f aca="false">IF(K119&gt;0,"OVER","UNDER")</f>
        <v>UNDER</v>
      </c>
      <c r="M119" s="8" t="n">
        <f aca="false">IF(K119&gt;0,F119,1-F119)</f>
        <v>0.727615581889518</v>
      </c>
      <c r="N119" s="2" t="n">
        <f aca="false">IF(K119&gt;0,C119,D119)</f>
        <v>-140</v>
      </c>
      <c r="O119" s="9" t="n">
        <f aca="false">M119*IF(N119&lt;0,10000/-N119,N119)-(1-M119)*100</f>
        <v>24.7340997524889</v>
      </c>
      <c r="P119" s="8" t="n">
        <f aca="false">MAX(0,(M119*(IF(N119&lt;0,100/-N119,N119/100)+1)-1)/IF(N119&lt;0,100/-N119,N119/100))</f>
        <v>0.346277396534844</v>
      </c>
    </row>
    <row r="120" customFormat="false" ht="15" hidden="false" customHeight="false" outlineLevel="0" collapsed="false">
      <c r="A120" s="2" t="s">
        <v>177</v>
      </c>
      <c r="B120" s="3" t="n">
        <v>3.5</v>
      </c>
      <c r="C120" s="3" t="n">
        <v>-115</v>
      </c>
      <c r="D120" s="3" t="n">
        <v>-115</v>
      </c>
      <c r="E120" s="7" t="n">
        <f aca="false">Win_Probabilities!E121</f>
        <v>3.56495749225076</v>
      </c>
      <c r="F120" s="8" t="n">
        <f aca="false">SUMPRODUCT((Win_Probabilities!$F$1:$S$1&lt;&gt;"")*(COLUMN(Win_Probabilities!$F$1:$S$1)-COLUMN(Win_Probabilities!$F$1)&gt;$B120)*Win_Probabilities!$F121:$S121)</f>
        <v>0.498305796294248</v>
      </c>
      <c r="G120" s="8" t="n">
        <f aca="false">IF(C120&lt;0,-C120/(-C120+100),100/(C120+100))</f>
        <v>0.534883720930233</v>
      </c>
      <c r="H120" s="8" t="n">
        <f aca="false">IF(D120&lt;0,-D120/(-D120+100),100/(D120+100))</f>
        <v>0.534883720930233</v>
      </c>
      <c r="I120" s="8" t="n">
        <f aca="false">G120+H120-1</f>
        <v>0.069767441860465</v>
      </c>
      <c r="J120" s="8" t="n">
        <f aca="false">G120/(G120+H120)</f>
        <v>0.5</v>
      </c>
      <c r="K120" s="8" t="n">
        <f aca="false">F120-J120</f>
        <v>-0.00169420370575213</v>
      </c>
      <c r="L120" s="2" t="str">
        <f aca="false">IF(K120&gt;0,"OVER","UNDER")</f>
        <v>UNDER</v>
      </c>
      <c r="M120" s="8" t="n">
        <f aca="false">IF(K120&gt;0,F120,1-F120)</f>
        <v>0.501694203705752</v>
      </c>
      <c r="N120" s="2" t="n">
        <f aca="false">IF(K120&gt;0,C120,D120)</f>
        <v>-115</v>
      </c>
      <c r="O120" s="9" t="n">
        <f aca="false">M120*IF(N120&lt;0,10000/-N120,N120)-(1-M120)*100</f>
        <v>-6.20499669848982</v>
      </c>
      <c r="P120" s="8" t="n">
        <f aca="false">MAX(0,(M120*(IF(N120&lt;0,100/-N120,N120/100)+1)-1)/IF(N120&lt;0,100/-N120,N120/100))</f>
        <v>0</v>
      </c>
    </row>
    <row r="121" customFormat="false" ht="15" hidden="false" customHeight="false" outlineLevel="0" collapsed="false">
      <c r="A121" s="2" t="s">
        <v>178</v>
      </c>
      <c r="B121" s="3" t="n">
        <v>4.5</v>
      </c>
      <c r="C121" s="3" t="n">
        <v>-130</v>
      </c>
      <c r="D121" s="3" t="n">
        <v>100</v>
      </c>
      <c r="E121" s="7" t="n">
        <f aca="false">Win_Probabilities!E122</f>
        <v>4.25794577328371</v>
      </c>
      <c r="F121" s="8" t="n">
        <f aca="false">SUMPRODUCT((Win_Probabilities!$F$1:$S$1&lt;&gt;"")*(COLUMN(Win_Probabilities!$F$1:$S$1)-COLUMN(Win_Probabilities!$F$1)&gt;$B121)*Win_Probabilities!$F122:$S122)</f>
        <v>0.427049590267497</v>
      </c>
      <c r="G121" s="8" t="n">
        <f aca="false">IF(C121&lt;0,-C121/(-C121+100),100/(C121+100))</f>
        <v>0.565217391304348</v>
      </c>
      <c r="H121" s="8" t="n">
        <f aca="false">IF(D121&lt;0,-D121/(-D121+100),100/(D121+100))</f>
        <v>0.5</v>
      </c>
      <c r="I121" s="8" t="n">
        <f aca="false">G121+H121-1</f>
        <v>0.0652173913043477</v>
      </c>
      <c r="J121" s="8" t="n">
        <f aca="false">G121/(G121+H121)</f>
        <v>0.530612244897959</v>
      </c>
      <c r="K121" s="8" t="n">
        <f aca="false">F121-J121</f>
        <v>-0.103562654630462</v>
      </c>
      <c r="L121" s="2" t="str">
        <f aca="false">IF(K121&gt;0,"OVER","UNDER")</f>
        <v>UNDER</v>
      </c>
      <c r="M121" s="8" t="n">
        <f aca="false">IF(K121&gt;0,F121,1-F121)</f>
        <v>0.572950409732503</v>
      </c>
      <c r="N121" s="2" t="n">
        <f aca="false">IF(K121&gt;0,C121,D121)</f>
        <v>100</v>
      </c>
      <c r="O121" s="9" t="n">
        <f aca="false">M121*IF(N121&lt;0,10000/-N121,N121)-(1-M121)*100</f>
        <v>14.5900819465006</v>
      </c>
      <c r="P121" s="8" t="n">
        <f aca="false">MAX(0,(M121*(IF(N121&lt;0,100/-N121,N121/100)+1)-1)/IF(N121&lt;0,100/-N121,N121/100))</f>
        <v>0.145900819465006</v>
      </c>
    </row>
    <row r="122" customFormat="false" ht="15" hidden="false" customHeight="false" outlineLevel="0" collapsed="false">
      <c r="A122" s="2" t="s">
        <v>179</v>
      </c>
      <c r="B122" s="3" t="n">
        <v>5.5</v>
      </c>
      <c r="C122" s="3" t="n">
        <v>-166</v>
      </c>
      <c r="D122" s="3" t="n">
        <v>130</v>
      </c>
      <c r="E122" s="7" t="n">
        <f aca="false">Win_Probabilities!E123</f>
        <v>5.94777120433265</v>
      </c>
      <c r="F122" s="8" t="n">
        <f aca="false">SUMPRODUCT((Win_Probabilities!$F$1:$S$1&lt;&gt;"")*(COLUMN(Win_Probabilities!$F$1:$S$1)-COLUMN(Win_Probabilities!$F$1)&gt;$B122)*Win_Probabilities!$F123:$S123)</f>
        <v>0.621786233849576</v>
      </c>
      <c r="G122" s="8" t="n">
        <f aca="false">IF(C122&lt;0,-C122/(-C122+100),100/(C122+100))</f>
        <v>0.62406015037594</v>
      </c>
      <c r="H122" s="8" t="n">
        <f aca="false">IF(D122&lt;0,-D122/(-D122+100),100/(D122+100))</f>
        <v>0.434782608695652</v>
      </c>
      <c r="I122" s="8" t="n">
        <f aca="false">G122+H122-1</f>
        <v>0.0588427590715921</v>
      </c>
      <c r="J122" s="8" t="n">
        <f aca="false">G122/(G122+H122)</f>
        <v>0.589379438098178</v>
      </c>
      <c r="K122" s="8" t="n">
        <f aca="false">F122-J122</f>
        <v>0.032406795751398</v>
      </c>
      <c r="L122" s="2" t="str">
        <f aca="false">IF(K122&gt;0,"OVER","UNDER")</f>
        <v>OVER</v>
      </c>
      <c r="M122" s="8" t="n">
        <f aca="false">IF(K122&gt;0,F122,1-F122)</f>
        <v>0.621786233849576</v>
      </c>
      <c r="N122" s="2" t="n">
        <f aca="false">IF(K122&gt;0,C122,D122)</f>
        <v>-166</v>
      </c>
      <c r="O122" s="9" t="n">
        <f aca="false">M122*IF(N122&lt;0,10000/-N122,N122)-(1-M122)*100</f>
        <v>-0.364374575911242</v>
      </c>
      <c r="P122" s="8" t="n">
        <f aca="false">MAX(0,(M122*(IF(N122&lt;0,100/-N122,N122/100)+1)-1)/IF(N122&lt;0,100/-N122,N122/100))</f>
        <v>0</v>
      </c>
    </row>
    <row r="123" customFormat="false" ht="15" hidden="false" customHeight="false" outlineLevel="0" collapsed="false">
      <c r="A123" s="2" t="s">
        <v>180</v>
      </c>
      <c r="B123" s="3" t="n">
        <v>3.5</v>
      </c>
      <c r="C123" s="3" t="n">
        <v>-120</v>
      </c>
      <c r="D123" s="3" t="n">
        <v>-110</v>
      </c>
      <c r="E123" s="7" t="n">
        <f aca="false">Win_Probabilities!E124</f>
        <v>3.57859967918362</v>
      </c>
      <c r="F123" s="8" t="n">
        <f aca="false">SUMPRODUCT((Win_Probabilities!$F$1:$S$1&lt;&gt;"")*(COLUMN(Win_Probabilities!$F$1:$S$1)-COLUMN(Win_Probabilities!$F$1)&gt;$B123)*Win_Probabilities!$F124:$S124)</f>
        <v>0.511078589909515</v>
      </c>
      <c r="G123" s="8" t="n">
        <f aca="false">IF(C123&lt;0,-C123/(-C123+100),100/(C123+100))</f>
        <v>0.545454545454545</v>
      </c>
      <c r="H123" s="8" t="n">
        <f aca="false">IF(D123&lt;0,-D123/(-D123+100),100/(D123+100))</f>
        <v>0.523809523809524</v>
      </c>
      <c r="I123" s="8" t="n">
        <f aca="false">G123+H123-1</f>
        <v>0.0692640692640691</v>
      </c>
      <c r="J123" s="8" t="n">
        <f aca="false">G123/(G123+H123)</f>
        <v>0.510121457489879</v>
      </c>
      <c r="K123" s="8" t="n">
        <f aca="false">F123-J123</f>
        <v>0.000957132419635909</v>
      </c>
      <c r="L123" s="2" t="str">
        <f aca="false">IF(K123&gt;0,"OVER","UNDER")</f>
        <v>OVER</v>
      </c>
      <c r="M123" s="8" t="n">
        <f aca="false">IF(K123&gt;0,F123,1-F123)</f>
        <v>0.511078589909515</v>
      </c>
      <c r="N123" s="2" t="n">
        <f aca="false">IF(K123&gt;0,C123,D123)</f>
        <v>-120</v>
      </c>
      <c r="O123" s="9" t="n">
        <f aca="false">M123*IF(N123&lt;0,10000/-N123,N123)-(1-M123)*100</f>
        <v>-6.30225851658901</v>
      </c>
      <c r="P123" s="8" t="n">
        <f aca="false">MAX(0,(M123*(IF(N123&lt;0,100/-N123,N123/100)+1)-1)/IF(N123&lt;0,100/-N123,N123/100))</f>
        <v>0</v>
      </c>
    </row>
    <row r="124" customFormat="false" ht="15" hidden="false" customHeight="false" outlineLevel="0" collapsed="false">
      <c r="A124" s="2" t="s">
        <v>181</v>
      </c>
      <c r="B124" s="3" t="n">
        <v>3.5</v>
      </c>
      <c r="C124" s="3" t="n">
        <v>-115</v>
      </c>
      <c r="D124" s="3" t="n">
        <v>-115</v>
      </c>
      <c r="E124" s="7" t="n">
        <f aca="false">Win_Probabilities!E125</f>
        <v>3.99373397424456</v>
      </c>
      <c r="F124" s="8" t="n">
        <f aca="false">SUMPRODUCT((Win_Probabilities!$F$1:$S$1&lt;&gt;"")*(COLUMN(Win_Probabilities!$F$1:$S$1)-COLUMN(Win_Probabilities!$F$1)&gt;$B124)*Win_Probabilities!$F125:$S125)</f>
        <v>0.634921371660019</v>
      </c>
      <c r="G124" s="8" t="n">
        <f aca="false">IF(C124&lt;0,-C124/(-C124+100),100/(C124+100))</f>
        <v>0.534883720930233</v>
      </c>
      <c r="H124" s="8" t="n">
        <f aca="false">IF(D124&lt;0,-D124/(-D124+100),100/(D124+100))</f>
        <v>0.534883720930233</v>
      </c>
      <c r="I124" s="8" t="n">
        <f aca="false">G124+H124-1</f>
        <v>0.069767441860465</v>
      </c>
      <c r="J124" s="8" t="n">
        <f aca="false">G124/(G124+H124)</f>
        <v>0.5</v>
      </c>
      <c r="K124" s="8" t="n">
        <f aca="false">F124-J124</f>
        <v>0.134921371660019</v>
      </c>
      <c r="L124" s="2" t="str">
        <f aca="false">IF(K124&gt;0,"OVER","UNDER")</f>
        <v>OVER</v>
      </c>
      <c r="M124" s="8" t="n">
        <f aca="false">IF(K124&gt;0,F124,1-F124)</f>
        <v>0.634921371660019</v>
      </c>
      <c r="N124" s="2" t="n">
        <f aca="false">IF(K124&gt;0,C124,D124)</f>
        <v>-115</v>
      </c>
      <c r="O124" s="9" t="n">
        <f aca="false">M124*IF(N124&lt;0,10000/-N124,N124)-(1-M124)*100</f>
        <v>18.7026912233949</v>
      </c>
      <c r="P124" s="8" t="n">
        <f aca="false">MAX(0,(M124*(IF(N124&lt;0,100/-N124,N124/100)+1)-1)/IF(N124&lt;0,100/-N124,N124/100))</f>
        <v>0.215080949069041</v>
      </c>
    </row>
    <row r="125" customFormat="false" ht="15" hidden="false" customHeight="false" outlineLevel="0" collapsed="false">
      <c r="A125" s="2" t="s">
        <v>182</v>
      </c>
      <c r="B125" s="3" t="n">
        <v>4.5</v>
      </c>
      <c r="C125" s="3" t="n">
        <v>-105</v>
      </c>
      <c r="D125" s="3" t="n">
        <v>-125</v>
      </c>
      <c r="E125" s="7" t="n">
        <f aca="false">Win_Probabilities!E126</f>
        <v>4.63212584364565</v>
      </c>
      <c r="F125" s="8" t="n">
        <f aca="false">SUMPRODUCT((Win_Probabilities!$F$1:$S$1&lt;&gt;"")*(COLUMN(Win_Probabilities!$F$1:$S$1)-COLUMN(Win_Probabilities!$F$1)&gt;$B125)*Win_Probabilities!$F126:$S126)</f>
        <v>0.525793582628064</v>
      </c>
      <c r="G125" s="8" t="n">
        <f aca="false">IF(C125&lt;0,-C125/(-C125+100),100/(C125+100))</f>
        <v>0.51219512195122</v>
      </c>
      <c r="H125" s="8" t="n">
        <f aca="false">IF(D125&lt;0,-D125/(-D125+100),100/(D125+100))</f>
        <v>0.555555555555556</v>
      </c>
      <c r="I125" s="8" t="n">
        <f aca="false">G125+H125-1</f>
        <v>0.0677506775067751</v>
      </c>
      <c r="J125" s="8" t="n">
        <f aca="false">G125/(G125+H125)</f>
        <v>0.479695431472081</v>
      </c>
      <c r="K125" s="8" t="n">
        <f aca="false">F125-J125</f>
        <v>0.0460981511559827</v>
      </c>
      <c r="L125" s="2" t="str">
        <f aca="false">IF(K125&gt;0,"OVER","UNDER")</f>
        <v>OVER</v>
      </c>
      <c r="M125" s="8" t="n">
        <f aca="false">IF(K125&gt;0,F125,1-F125)</f>
        <v>0.525793582628064</v>
      </c>
      <c r="N125" s="2" t="n">
        <f aca="false">IF(K125&gt;0,C125,D125)</f>
        <v>-105</v>
      </c>
      <c r="O125" s="9" t="n">
        <f aca="false">M125*IF(N125&lt;0,10000/-N125,N125)-(1-M125)*100</f>
        <v>2.65493756071723</v>
      </c>
      <c r="P125" s="8" t="n">
        <f aca="false">MAX(0,(M125*(IF(N125&lt;0,100/-N125,N125/100)+1)-1)/IF(N125&lt;0,100/-N125,N125/100))</f>
        <v>0.0278768443875308</v>
      </c>
    </row>
    <row r="126" customFormat="false" ht="15" hidden="false" customHeight="false" outlineLevel="0" collapsed="false">
      <c r="A126" s="2" t="s">
        <v>183</v>
      </c>
      <c r="B126" s="3" t="n">
        <v>4.5</v>
      </c>
      <c r="C126" s="3" t="n">
        <v>130</v>
      </c>
      <c r="D126" s="3" t="n">
        <v>-170</v>
      </c>
      <c r="E126" s="7" t="n">
        <f aca="false">Win_Probabilities!E127</f>
        <v>4.15983543690874</v>
      </c>
      <c r="F126" s="8" t="n">
        <f aca="false">SUMPRODUCT((Win_Probabilities!$F$1:$S$1&lt;&gt;"")*(COLUMN(Win_Probabilities!$F$1:$S$1)-COLUMN(Win_Probabilities!$F$1)&gt;$B126)*Win_Probabilities!$F127:$S127)</f>
        <v>0.39205402207894</v>
      </c>
      <c r="G126" s="8" t="n">
        <f aca="false">IF(C126&lt;0,-C126/(-C126+100),100/(C126+100))</f>
        <v>0.434782608695652</v>
      </c>
      <c r="H126" s="8" t="n">
        <f aca="false">IF(D126&lt;0,-D126/(-D126+100),100/(D126+100))</f>
        <v>0.62962962962963</v>
      </c>
      <c r="I126" s="8" t="n">
        <f aca="false">G126+H126-1</f>
        <v>0.0644122383252819</v>
      </c>
      <c r="J126" s="8" t="n">
        <f aca="false">G126/(G126+H126)</f>
        <v>0.408472012102874</v>
      </c>
      <c r="K126" s="8" t="n">
        <f aca="false">F126-J126</f>
        <v>-0.0164179900239343</v>
      </c>
      <c r="L126" s="2" t="str">
        <f aca="false">IF(K126&gt;0,"OVER","UNDER")</f>
        <v>UNDER</v>
      </c>
      <c r="M126" s="8" t="n">
        <f aca="false">IF(K126&gt;0,F126,1-F126)</f>
        <v>0.60794597792106</v>
      </c>
      <c r="N126" s="2" t="n">
        <f aca="false">IF(K126&gt;0,C126,D126)</f>
        <v>-170</v>
      </c>
      <c r="O126" s="9" t="n">
        <f aca="false">M126*IF(N126&lt;0,10000/-N126,N126)-(1-M126)*100</f>
        <v>-3.44387409489049</v>
      </c>
      <c r="P126" s="8" t="n">
        <f aca="false">MAX(0,(M126*(IF(N126&lt;0,100/-N126,N126/100)+1)-1)/IF(N126&lt;0,100/-N126,N126/100))</f>
        <v>0</v>
      </c>
    </row>
    <row r="127" customFormat="false" ht="15" hidden="false" customHeight="false" outlineLevel="0" collapsed="false">
      <c r="A127" s="2" t="s">
        <v>184</v>
      </c>
      <c r="B127" s="3" t="n">
        <v>3.5</v>
      </c>
      <c r="C127" s="3" t="n">
        <v>110</v>
      </c>
      <c r="D127" s="3" t="n">
        <v>-140</v>
      </c>
      <c r="E127" s="7" t="n">
        <f aca="false">Win_Probabilities!E128</f>
        <v>3.28791027433124</v>
      </c>
      <c r="F127" s="8" t="n">
        <f aca="false">SUMPRODUCT((Win_Probabilities!$F$1:$S$1&lt;&gt;"")*(COLUMN(Win_Probabilities!$F$1:$S$1)-COLUMN(Win_Probabilities!$F$1)&gt;$B127)*Win_Probabilities!$F128:$S128)</f>
        <v>0.415869834078305</v>
      </c>
      <c r="G127" s="8" t="n">
        <f aca="false">IF(C127&lt;0,-C127/(-C127+100),100/(C127+100))</f>
        <v>0.476190476190476</v>
      </c>
      <c r="H127" s="8" t="n">
        <f aca="false">IF(D127&lt;0,-D127/(-D127+100),100/(D127+100))</f>
        <v>0.583333333333333</v>
      </c>
      <c r="I127" s="8" t="n">
        <f aca="false">G127+H127-1</f>
        <v>0.0595238095238095</v>
      </c>
      <c r="J127" s="8" t="n">
        <f aca="false">G127/(G127+H127)</f>
        <v>0.449438202247191</v>
      </c>
      <c r="K127" s="8" t="n">
        <f aca="false">F127-J127</f>
        <v>-0.0335683681688863</v>
      </c>
      <c r="L127" s="2" t="str">
        <f aca="false">IF(K127&gt;0,"OVER","UNDER")</f>
        <v>UNDER</v>
      </c>
      <c r="M127" s="8" t="n">
        <f aca="false">IF(K127&gt;0,F127,1-F127)</f>
        <v>0.584130165921695</v>
      </c>
      <c r="N127" s="2" t="n">
        <f aca="false">IF(K127&gt;0,C127,D127)</f>
        <v>-140</v>
      </c>
      <c r="O127" s="9" t="n">
        <f aca="false">M127*IF(N127&lt;0,10000/-N127,N127)-(1-M127)*100</f>
        <v>0.136599872290631</v>
      </c>
      <c r="P127" s="8" t="n">
        <f aca="false">MAX(0,(M127*(IF(N127&lt;0,100/-N127,N127/100)+1)-1)/IF(N127&lt;0,100/-N127,N127/100))</f>
        <v>0.0019123982120687</v>
      </c>
    </row>
    <row r="128" customFormat="false" ht="15" hidden="false" customHeight="false" outlineLevel="0" collapsed="false">
      <c r="A128" s="2" t="s">
        <v>185</v>
      </c>
      <c r="B128" s="3" t="n">
        <v>3.5</v>
      </c>
      <c r="C128" s="3" t="n">
        <v>-130</v>
      </c>
      <c r="D128" s="3" t="n">
        <v>100</v>
      </c>
      <c r="E128" s="7" t="n">
        <f aca="false">Win_Probabilities!E129</f>
        <v>3.72233212145823</v>
      </c>
      <c r="F128" s="8" t="n">
        <f aca="false">SUMPRODUCT((Win_Probabilities!$F$1:$S$1&lt;&gt;"")*(COLUMN(Win_Probabilities!$F$1:$S$1)-COLUMN(Win_Probabilities!$F$1)&gt;$B128)*Win_Probabilities!$F129:$S129)</f>
        <v>0.548900768087914</v>
      </c>
      <c r="G128" s="8" t="n">
        <f aca="false">IF(C128&lt;0,-C128/(-C128+100),100/(C128+100))</f>
        <v>0.565217391304348</v>
      </c>
      <c r="H128" s="8" t="n">
        <f aca="false">IF(D128&lt;0,-D128/(-D128+100),100/(D128+100))</f>
        <v>0.5</v>
      </c>
      <c r="I128" s="8" t="n">
        <f aca="false">G128+H128-1</f>
        <v>0.0652173913043477</v>
      </c>
      <c r="J128" s="8" t="n">
        <f aca="false">G128/(G128+H128)</f>
        <v>0.530612244897959</v>
      </c>
      <c r="K128" s="8" t="n">
        <f aca="false">F128-J128</f>
        <v>0.018288523189955</v>
      </c>
      <c r="L128" s="2" t="str">
        <f aca="false">IF(K128&gt;0,"OVER","UNDER")</f>
        <v>OVER</v>
      </c>
      <c r="M128" s="8" t="n">
        <f aca="false">IF(K128&gt;0,F128,1-F128)</f>
        <v>0.548900768087914</v>
      </c>
      <c r="N128" s="2" t="n">
        <f aca="false">IF(K128&gt;0,C128,D128)</f>
        <v>-130</v>
      </c>
      <c r="O128" s="9" t="n">
        <f aca="false">M128*IF(N128&lt;0,10000/-N128,N128)-(1-M128)*100</f>
        <v>-2.88678718444595</v>
      </c>
      <c r="P128" s="8" t="n">
        <f aca="false">MAX(0,(M128*(IF(N128&lt;0,100/-N128,N128/100)+1)-1)/IF(N128&lt;0,100/-N128,N128/100))</f>
        <v>0</v>
      </c>
    </row>
    <row r="129" customFormat="false" ht="15" hidden="false" customHeight="false" outlineLevel="0" collapsed="false">
      <c r="A129" s="2" t="s">
        <v>186</v>
      </c>
      <c r="B129" s="3" t="n">
        <v>3.5</v>
      </c>
      <c r="C129" s="3" t="n">
        <v>-105</v>
      </c>
      <c r="D129" s="3" t="n">
        <v>-125</v>
      </c>
      <c r="E129" s="7" t="n">
        <f aca="false">Win_Probabilities!E130</f>
        <v>3.62818914817356</v>
      </c>
      <c r="F129" s="8" t="n">
        <f aca="false">SUMPRODUCT((Win_Probabilities!$F$1:$S$1&lt;&gt;"")*(COLUMN(Win_Probabilities!$F$1:$S$1)-COLUMN(Win_Probabilities!$F$1)&gt;$B129)*Win_Probabilities!$F130:$S130)</f>
        <v>0.528897652671397</v>
      </c>
      <c r="G129" s="8" t="n">
        <f aca="false">IF(C129&lt;0,-C129/(-C129+100),100/(C129+100))</f>
        <v>0.51219512195122</v>
      </c>
      <c r="H129" s="8" t="n">
        <f aca="false">IF(D129&lt;0,-D129/(-D129+100),100/(D129+100))</f>
        <v>0.555555555555556</v>
      </c>
      <c r="I129" s="8" t="n">
        <f aca="false">G129+H129-1</f>
        <v>0.0677506775067751</v>
      </c>
      <c r="J129" s="8" t="n">
        <f aca="false">G129/(G129+H129)</f>
        <v>0.479695431472081</v>
      </c>
      <c r="K129" s="8" t="n">
        <f aca="false">F129-J129</f>
        <v>0.0492022211993159</v>
      </c>
      <c r="L129" s="2" t="str">
        <f aca="false">IF(K129&gt;0,"OVER","UNDER")</f>
        <v>OVER</v>
      </c>
      <c r="M129" s="8" t="n">
        <f aca="false">IF(K129&gt;0,F129,1-F129)</f>
        <v>0.528897652671397</v>
      </c>
      <c r="N129" s="2" t="n">
        <f aca="false">IF(K129&gt;0,C129,D129)</f>
        <v>-105</v>
      </c>
      <c r="O129" s="9" t="n">
        <f aca="false">M129*IF(N129&lt;0,10000/-N129,N129)-(1-M129)*100</f>
        <v>3.26097028346324</v>
      </c>
      <c r="P129" s="8" t="n">
        <f aca="false">MAX(0,(M129*(IF(N129&lt;0,100/-N129,N129/100)+1)-1)/IF(N129&lt;0,100/-N129,N129/100))</f>
        <v>0.034240187976364</v>
      </c>
    </row>
    <row r="130" customFormat="false" ht="15" hidden="false" customHeight="false" outlineLevel="0" collapsed="false">
      <c r="A130" s="2" t="s">
        <v>187</v>
      </c>
      <c r="B130" s="3" t="n">
        <v>4.5</v>
      </c>
      <c r="C130" s="3" t="n">
        <v>-125</v>
      </c>
      <c r="D130" s="3" t="n">
        <v>-105</v>
      </c>
      <c r="E130" s="7" t="n">
        <f aca="false">Win_Probabilities!E131</f>
        <v>3.57436943162509</v>
      </c>
      <c r="F130" s="8" t="n">
        <f aca="false">SUMPRODUCT((Win_Probabilities!$F$1:$S$1&lt;&gt;"")*(COLUMN(Win_Probabilities!$F$1:$S$1)-COLUMN(Win_Probabilities!$F$1)&gt;$B130)*Win_Probabilities!$F131:$S131)</f>
        <v>0.239653339236214</v>
      </c>
      <c r="G130" s="8" t="n">
        <f aca="false">IF(C130&lt;0,-C130/(-C130+100),100/(C130+100))</f>
        <v>0.555555555555556</v>
      </c>
      <c r="H130" s="8" t="n">
        <f aca="false">IF(D130&lt;0,-D130/(-D130+100),100/(D130+100))</f>
        <v>0.51219512195122</v>
      </c>
      <c r="I130" s="8" t="n">
        <f aca="false">G130+H130-1</f>
        <v>0.0677506775067751</v>
      </c>
      <c r="J130" s="8" t="n">
        <f aca="false">G130/(G130+H130)</f>
        <v>0.520304568527919</v>
      </c>
      <c r="K130" s="8" t="n">
        <f aca="false">F130-J130</f>
        <v>-0.280651229291705</v>
      </c>
      <c r="L130" s="2" t="str">
        <f aca="false">IF(K130&gt;0,"OVER","UNDER")</f>
        <v>UNDER</v>
      </c>
      <c r="M130" s="8" t="n">
        <f aca="false">IF(K130&gt;0,F130,1-F130)</f>
        <v>0.760346660763786</v>
      </c>
      <c r="N130" s="2" t="n">
        <f aca="false">IF(K130&gt;0,C130,D130)</f>
        <v>-105</v>
      </c>
      <c r="O130" s="9" t="n">
        <f aca="false">M130*IF(N130&lt;0,10000/-N130,N130)-(1-M130)*100</f>
        <v>48.4486337681678</v>
      </c>
      <c r="P130" s="8" t="n">
        <f aca="false">MAX(0,(M130*(IF(N130&lt;0,100/-N130,N130/100)+1)-1)/IF(N130&lt;0,100/-N130,N130/100))</f>
        <v>0.508710654565762</v>
      </c>
    </row>
    <row r="131" customFormat="false" ht="15" hidden="false" customHeight="false" outlineLevel="0" collapsed="false">
      <c r="A131" s="2" t="s">
        <v>188</v>
      </c>
      <c r="B131" s="3" t="n">
        <v>4.5</v>
      </c>
      <c r="C131" s="3" t="n">
        <v>-125</v>
      </c>
      <c r="D131" s="3" t="n">
        <v>-105</v>
      </c>
      <c r="E131" s="7" t="n">
        <f aca="false">Win_Probabilities!E132</f>
        <v>4.23192718750356</v>
      </c>
      <c r="F131" s="8" t="n">
        <f aca="false">SUMPRODUCT((Win_Probabilities!$F$1:$S$1&lt;&gt;"")*(COLUMN(Win_Probabilities!$F$1:$S$1)-COLUMN(Win_Probabilities!$F$1)&gt;$B131)*Win_Probabilities!$F132:$S132)</f>
        <v>0.411111233377318</v>
      </c>
      <c r="G131" s="8" t="n">
        <f aca="false">IF(C131&lt;0,-C131/(-C131+100),100/(C131+100))</f>
        <v>0.555555555555556</v>
      </c>
      <c r="H131" s="8" t="n">
        <f aca="false">IF(D131&lt;0,-D131/(-D131+100),100/(D131+100))</f>
        <v>0.51219512195122</v>
      </c>
      <c r="I131" s="8" t="n">
        <f aca="false">G131+H131-1</f>
        <v>0.0677506775067751</v>
      </c>
      <c r="J131" s="8" t="n">
        <f aca="false">G131/(G131+H131)</f>
        <v>0.520304568527919</v>
      </c>
      <c r="K131" s="8" t="n">
        <f aca="false">F131-J131</f>
        <v>-0.1091933351506</v>
      </c>
      <c r="L131" s="2" t="str">
        <f aca="false">IF(K131&gt;0,"OVER","UNDER")</f>
        <v>UNDER</v>
      </c>
      <c r="M131" s="8" t="n">
        <f aca="false">IF(K131&gt;0,F131,1-F131)</f>
        <v>0.588888766622682</v>
      </c>
      <c r="N131" s="2" t="n">
        <f aca="false">IF(K131&gt;0,C131,D131)</f>
        <v>-105</v>
      </c>
      <c r="O131" s="9" t="n">
        <f aca="false">M131*IF(N131&lt;0,10000/-N131,N131)-(1-M131)*100</f>
        <v>14.9735211025236</v>
      </c>
      <c r="P131" s="8" t="n">
        <f aca="false">MAX(0,(M131*(IF(N131&lt;0,100/-N131,N131/100)+1)-1)/IF(N131&lt;0,100/-N131,N131/100))</f>
        <v>0.157221971576497</v>
      </c>
    </row>
    <row r="132" customFormat="false" ht="15" hidden="false" customHeight="false" outlineLevel="0" collapsed="false">
      <c r="A132" s="2" t="s">
        <v>189</v>
      </c>
      <c r="B132" s="3" t="n">
        <v>2.5</v>
      </c>
      <c r="C132" s="3" t="n">
        <v>120</v>
      </c>
      <c r="D132" s="3" t="n">
        <v>-155</v>
      </c>
      <c r="E132" s="7" t="n">
        <f aca="false">Win_Probabilities!E133</f>
        <v>2.25448656043058</v>
      </c>
      <c r="F132" s="8" t="n">
        <f aca="false">SUMPRODUCT((Win_Probabilities!$F$1:$S$1&lt;&gt;"")*(COLUMN(Win_Probabilities!$F$1:$S$1)-COLUMN(Win_Probabilities!$F$1)&gt;$B132)*Win_Probabilities!$F133:$S133)</f>
        <v>0.391983561482167</v>
      </c>
      <c r="G132" s="8" t="n">
        <f aca="false">IF(C132&lt;0,-C132/(-C132+100),100/(C132+100))</f>
        <v>0.454545454545455</v>
      </c>
      <c r="H132" s="8" t="n">
        <f aca="false">IF(D132&lt;0,-D132/(-D132+100),100/(D132+100))</f>
        <v>0.607843137254902</v>
      </c>
      <c r="I132" s="8" t="n">
        <f aca="false">G132+H132-1</f>
        <v>0.0623885918003564</v>
      </c>
      <c r="J132" s="8" t="n">
        <f aca="false">G132/(G132+H132)</f>
        <v>0.427852348993289</v>
      </c>
      <c r="K132" s="8" t="n">
        <f aca="false">F132-J132</f>
        <v>-0.0358687875111217</v>
      </c>
      <c r="L132" s="2" t="str">
        <f aca="false">IF(K132&gt;0,"OVER","UNDER")</f>
        <v>UNDER</v>
      </c>
      <c r="M132" s="8" t="n">
        <f aca="false">IF(K132&gt;0,F132,1-F132)</f>
        <v>0.608016438517833</v>
      </c>
      <c r="N132" s="2" t="n">
        <f aca="false">IF(K132&gt;0,C132,D132)</f>
        <v>-155</v>
      </c>
      <c r="O132" s="9" t="n">
        <f aca="false">M132*IF(N132&lt;0,10000/-N132,N132)-(1-M132)*100</f>
        <v>0.0285108529338203</v>
      </c>
      <c r="P132" s="8" t="n">
        <f aca="false">MAX(0,(M132*(IF(N132&lt;0,100/-N132,N132/100)+1)-1)/IF(N132&lt;0,100/-N132,N132/100))</f>
        <v>0.00044191822047398</v>
      </c>
    </row>
    <row r="133" customFormat="false" ht="15" hidden="false" customHeight="false" outlineLevel="0" collapsed="false">
      <c r="A133" s="2" t="s">
        <v>190</v>
      </c>
      <c r="B133" s="3" t="n">
        <v>3.5</v>
      </c>
      <c r="C133" s="3" t="n">
        <v>-120</v>
      </c>
      <c r="D133" s="3" t="n">
        <v>-110</v>
      </c>
      <c r="E133" s="7" t="n">
        <f aca="false">Win_Probabilities!E134</f>
        <v>3.37297341039541</v>
      </c>
      <c r="F133" s="8" t="n">
        <f aca="false">SUMPRODUCT((Win_Probabilities!$F$1:$S$1&lt;&gt;"")*(COLUMN(Win_Probabilities!$F$1:$S$1)-COLUMN(Win_Probabilities!$F$1)&gt;$B133)*Win_Probabilities!$F134:$S134)</f>
        <v>0.451396409968538</v>
      </c>
      <c r="G133" s="8" t="n">
        <f aca="false">IF(C133&lt;0,-C133/(-C133+100),100/(C133+100))</f>
        <v>0.545454545454545</v>
      </c>
      <c r="H133" s="8" t="n">
        <f aca="false">IF(D133&lt;0,-D133/(-D133+100),100/(D133+100))</f>
        <v>0.523809523809524</v>
      </c>
      <c r="I133" s="8" t="n">
        <f aca="false">G133+H133-1</f>
        <v>0.0692640692640691</v>
      </c>
      <c r="J133" s="8" t="n">
        <f aca="false">G133/(G133+H133)</f>
        <v>0.510121457489879</v>
      </c>
      <c r="K133" s="8" t="n">
        <f aca="false">F133-J133</f>
        <v>-0.0587250475213402</v>
      </c>
      <c r="L133" s="2" t="str">
        <f aca="false">IF(K133&gt;0,"OVER","UNDER")</f>
        <v>UNDER</v>
      </c>
      <c r="M133" s="8" t="n">
        <f aca="false">IF(K133&gt;0,F133,1-F133)</f>
        <v>0.548603590031462</v>
      </c>
      <c r="N133" s="2" t="n">
        <f aca="false">IF(K133&gt;0,C133,D133)</f>
        <v>-110</v>
      </c>
      <c r="O133" s="9" t="n">
        <f aca="false">M133*IF(N133&lt;0,10000/-N133,N133)-(1-M133)*100</f>
        <v>4.73341264236995</v>
      </c>
      <c r="P133" s="8" t="n">
        <f aca="false">MAX(0,(M133*(IF(N133&lt;0,100/-N133,N133/100)+1)-1)/IF(N133&lt;0,100/-N133,N133/100))</f>
        <v>0.0520675390660694</v>
      </c>
    </row>
    <row r="134" customFormat="false" ht="15" hidden="false" customHeight="false" outlineLevel="0" collapsed="false">
      <c r="A134" s="2" t="s">
        <v>191</v>
      </c>
      <c r="B134" s="3" t="n">
        <v>3.5</v>
      </c>
      <c r="C134" s="3" t="n">
        <v>120</v>
      </c>
      <c r="D134" s="3" t="n">
        <v>-150</v>
      </c>
      <c r="E134" s="7" t="n">
        <f aca="false">Win_Probabilities!E135</f>
        <v>2.89881240581204</v>
      </c>
      <c r="F134" s="8" t="n">
        <f aca="false">SUMPRODUCT((Win_Probabilities!$F$1:$S$1&lt;&gt;"")*(COLUMN(Win_Probabilities!$F$1:$S$1)-COLUMN(Win_Probabilities!$F$1)&gt;$B134)*Win_Probabilities!$F135:$S135)</f>
        <v>0.310528883880543</v>
      </c>
      <c r="G134" s="8" t="n">
        <f aca="false">IF(C134&lt;0,-C134/(-C134+100),100/(C134+100))</f>
        <v>0.454545454545455</v>
      </c>
      <c r="H134" s="8" t="n">
        <f aca="false">IF(D134&lt;0,-D134/(-D134+100),100/(D134+100))</f>
        <v>0.6</v>
      </c>
      <c r="I134" s="8" t="n">
        <f aca="false">G134+H134-1</f>
        <v>0.0545454545454545</v>
      </c>
      <c r="J134" s="8" t="n">
        <f aca="false">G134/(G134+H134)</f>
        <v>0.431034482758621</v>
      </c>
      <c r="K134" s="8" t="n">
        <f aca="false">F134-J134</f>
        <v>-0.120505598878078</v>
      </c>
      <c r="L134" s="2" t="str">
        <f aca="false">IF(K134&gt;0,"OVER","UNDER")</f>
        <v>UNDER</v>
      </c>
      <c r="M134" s="8" t="n">
        <f aca="false">IF(K134&gt;0,F134,1-F134)</f>
        <v>0.689471116119457</v>
      </c>
      <c r="N134" s="2" t="n">
        <f aca="false">IF(K134&gt;0,C134,D134)</f>
        <v>-150</v>
      </c>
      <c r="O134" s="9" t="n">
        <f aca="false">M134*IF(N134&lt;0,10000/-N134,N134)-(1-M134)*100</f>
        <v>14.9118526865762</v>
      </c>
      <c r="P134" s="8" t="n">
        <f aca="false">MAX(0,(M134*(IF(N134&lt;0,100/-N134,N134/100)+1)-1)/IF(N134&lt;0,100/-N134,N134/100))</f>
        <v>0.223677790298643</v>
      </c>
    </row>
    <row r="135" customFormat="false" ht="15" hidden="false" customHeight="false" outlineLevel="0" collapsed="false">
      <c r="A135" s="2" t="s">
        <v>192</v>
      </c>
      <c r="B135" s="3" t="n">
        <v>3.5</v>
      </c>
      <c r="C135" s="3" t="n">
        <v>-160</v>
      </c>
      <c r="D135" s="3" t="n">
        <v>125</v>
      </c>
      <c r="E135" s="7" t="n">
        <f aca="false">Win_Probabilities!E136</f>
        <v>2.48845657372801</v>
      </c>
      <c r="F135" s="8" t="n">
        <f aca="false">SUMPRODUCT((Win_Probabilities!$F$1:$S$1&lt;&gt;"")*(COLUMN(Win_Probabilities!$F$1:$S$1)-COLUMN(Win_Probabilities!$F$1)&gt;$B135)*Win_Probabilities!$F136:$S136)</f>
        <v>0.216215903828756</v>
      </c>
      <c r="G135" s="8" t="n">
        <f aca="false">IF(C135&lt;0,-C135/(-C135+100),100/(C135+100))</f>
        <v>0.615384615384615</v>
      </c>
      <c r="H135" s="8" t="n">
        <f aca="false">IF(D135&lt;0,-D135/(-D135+100),100/(D135+100))</f>
        <v>0.444444444444444</v>
      </c>
      <c r="I135" s="8" t="n">
        <f aca="false">G135+H135-1</f>
        <v>0.0598290598290598</v>
      </c>
      <c r="J135" s="8" t="n">
        <f aca="false">G135/(G135+H135)</f>
        <v>0.580645161290323</v>
      </c>
      <c r="K135" s="8" t="n">
        <f aca="false">F135-J135</f>
        <v>-0.364429257461567</v>
      </c>
      <c r="L135" s="2" t="str">
        <f aca="false">IF(K135&gt;0,"OVER","UNDER")</f>
        <v>UNDER</v>
      </c>
      <c r="M135" s="8" t="n">
        <f aca="false">IF(K135&gt;0,F135,1-F135)</f>
        <v>0.783784096171245</v>
      </c>
      <c r="N135" s="2" t="n">
        <f aca="false">IF(K135&gt;0,C135,D135)</f>
        <v>125</v>
      </c>
      <c r="O135" s="9" t="n">
        <f aca="false">M135*IF(N135&lt;0,10000/-N135,N135)-(1-M135)*100</f>
        <v>76.35142163853</v>
      </c>
      <c r="P135" s="8" t="n">
        <f aca="false">MAX(0,(M135*(IF(N135&lt;0,100/-N135,N135/100)+1)-1)/IF(N135&lt;0,100/-N135,N135/100))</f>
        <v>0.61081137310824</v>
      </c>
    </row>
    <row r="136" customFormat="false" ht="15" hidden="false" customHeight="false" outlineLevel="0" collapsed="false">
      <c r="A136" s="2" t="s">
        <v>193</v>
      </c>
      <c r="B136" s="3" t="n">
        <v>3.5</v>
      </c>
      <c r="C136" s="3" t="n">
        <v>-115</v>
      </c>
      <c r="D136" s="3" t="n">
        <v>-115</v>
      </c>
      <c r="E136" s="7" t="n">
        <f aca="false">Win_Probabilities!E137</f>
        <v>2.22704405372548</v>
      </c>
      <c r="F136" s="8" t="n">
        <f aca="false">SUMPRODUCT((Win_Probabilities!$F$1:$S$1&lt;&gt;"")*(COLUMN(Win_Probabilities!$F$1:$S$1)-COLUMN(Win_Probabilities!$F$1)&gt;$B136)*Win_Probabilities!$F137:$S137)</f>
        <v>0.143724377195381</v>
      </c>
      <c r="G136" s="8" t="n">
        <f aca="false">IF(C136&lt;0,-C136/(-C136+100),100/(C136+100))</f>
        <v>0.534883720930233</v>
      </c>
      <c r="H136" s="8" t="n">
        <f aca="false">IF(D136&lt;0,-D136/(-D136+100),100/(D136+100))</f>
        <v>0.534883720930233</v>
      </c>
      <c r="I136" s="8" t="n">
        <f aca="false">G136+H136-1</f>
        <v>0.069767441860465</v>
      </c>
      <c r="J136" s="8" t="n">
        <f aca="false">G136/(G136+H136)</f>
        <v>0.5</v>
      </c>
      <c r="K136" s="8" t="n">
        <f aca="false">F136-J136</f>
        <v>-0.356275622804619</v>
      </c>
      <c r="L136" s="2" t="str">
        <f aca="false">IF(K136&gt;0,"OVER","UNDER")</f>
        <v>UNDER</v>
      </c>
      <c r="M136" s="8" t="n">
        <f aca="false">IF(K136&gt;0,F136,1-F136)</f>
        <v>0.856275622804619</v>
      </c>
      <c r="N136" s="2" t="n">
        <f aca="false">IF(K136&gt;0,C136,D136)</f>
        <v>-115</v>
      </c>
      <c r="O136" s="9" t="n">
        <f aca="false">M136*IF(N136&lt;0,10000/-N136,N136)-(1-M136)*100</f>
        <v>60.0863120895592</v>
      </c>
      <c r="P136" s="8" t="n">
        <f aca="false">MAX(0,(M136*(IF(N136&lt;0,100/-N136,N136/100)+1)-1)/IF(N136&lt;0,100/-N136,N136/100))</f>
        <v>0.690992589029931</v>
      </c>
    </row>
    <row r="137" customFormat="false" ht="15" hidden="false" customHeight="false" outlineLevel="0" collapsed="false">
      <c r="A137" s="2" t="s">
        <v>194</v>
      </c>
      <c r="B137" s="3" t="n">
        <v>4.5</v>
      </c>
      <c r="C137" s="3" t="n">
        <v>134</v>
      </c>
      <c r="D137" s="3" t="n">
        <v>-175</v>
      </c>
      <c r="E137" s="7" t="n">
        <f aca="false">Win_Probabilities!E138</f>
        <v>1.85356207728962</v>
      </c>
      <c r="F137" s="8" t="n">
        <f aca="false">SUMPRODUCT((Win_Probabilities!$F$1:$S$1&lt;&gt;"")*(COLUMN(Win_Probabilities!$F$1:$S$1)-COLUMN(Win_Probabilities!$F$1)&gt;$B137)*Win_Probabilities!$F138:$S138)</f>
        <v>0.019467608637714</v>
      </c>
      <c r="G137" s="8" t="n">
        <f aca="false">IF(C137&lt;0,-C137/(-C137+100),100/(C137+100))</f>
        <v>0.427350427350427</v>
      </c>
      <c r="H137" s="8" t="n">
        <f aca="false">IF(D137&lt;0,-D137/(-D137+100),100/(D137+100))</f>
        <v>0.636363636363636</v>
      </c>
      <c r="I137" s="8" t="n">
        <f aca="false">G137+H137-1</f>
        <v>0.0637140637140636</v>
      </c>
      <c r="J137" s="8" t="n">
        <f aca="false">G137/(G137+H137)</f>
        <v>0.401753104455807</v>
      </c>
      <c r="K137" s="8" t="n">
        <f aca="false">F137-J137</f>
        <v>-0.382285495818093</v>
      </c>
      <c r="L137" s="2" t="str">
        <f aca="false">IF(K137&gt;0,"OVER","UNDER")</f>
        <v>UNDER</v>
      </c>
      <c r="M137" s="8" t="n">
        <f aca="false">IF(K137&gt;0,F137,1-F137)</f>
        <v>0.980532391362286</v>
      </c>
      <c r="N137" s="2" t="n">
        <f aca="false">IF(K137&gt;0,C137,D137)</f>
        <v>-175</v>
      </c>
      <c r="O137" s="9" t="n">
        <f aca="false">M137*IF(N137&lt;0,10000/-N137,N137)-(1-M137)*100</f>
        <v>54.0836614997878</v>
      </c>
      <c r="P137" s="8" t="n">
        <f aca="false">MAX(0,(M137*(IF(N137&lt;0,100/-N137,N137/100)+1)-1)/IF(N137&lt;0,100/-N137,N137/100))</f>
        <v>0.946464076246287</v>
      </c>
    </row>
    <row r="138" customFormat="false" ht="15" hidden="false" customHeight="false" outlineLevel="0" collapsed="false">
      <c r="A138" s="2" t="s">
        <v>195</v>
      </c>
      <c r="B138" s="3" t="n">
        <v>2.5</v>
      </c>
      <c r="C138" s="3" t="n">
        <v>-150</v>
      </c>
      <c r="D138" s="3" t="n">
        <v>115</v>
      </c>
      <c r="E138" s="7" t="n">
        <f aca="false">Win_Probabilities!E139</f>
        <v>3.28319495787538</v>
      </c>
      <c r="F138" s="8" t="n">
        <f aca="false">SUMPRODUCT((Win_Probabilities!$F$1:$S$1&lt;&gt;"")*(COLUMN(Win_Probabilities!$F$1:$S$1)-COLUMN(Win_Probabilities!$F$1)&gt;$B138)*Win_Probabilities!$F139:$S139)</f>
        <v>0.749718685030807</v>
      </c>
      <c r="G138" s="8" t="n">
        <f aca="false">IF(C138&lt;0,-C138/(-C138+100),100/(C138+100))</f>
        <v>0.6</v>
      </c>
      <c r="H138" s="8" t="n">
        <f aca="false">IF(D138&lt;0,-D138/(-D138+100),100/(D138+100))</f>
        <v>0.465116279069767</v>
      </c>
      <c r="I138" s="8" t="n">
        <f aca="false">G138+H138-1</f>
        <v>0.0651162790697675</v>
      </c>
      <c r="J138" s="8" t="n">
        <f aca="false">G138/(G138+H138)</f>
        <v>0.563318777292576</v>
      </c>
      <c r="K138" s="8" t="n">
        <f aca="false">F138-J138</f>
        <v>0.186399907738231</v>
      </c>
      <c r="L138" s="2" t="str">
        <f aca="false">IF(K138&gt;0,"OVER","UNDER")</f>
        <v>OVER</v>
      </c>
      <c r="M138" s="8" t="n">
        <f aca="false">IF(K138&gt;0,F138,1-F138)</f>
        <v>0.749718685030807</v>
      </c>
      <c r="N138" s="2" t="n">
        <f aca="false">IF(K138&gt;0,C138,D138)</f>
        <v>-150</v>
      </c>
      <c r="O138" s="9" t="n">
        <f aca="false">M138*IF(N138&lt;0,10000/-N138,N138)-(1-M138)*100</f>
        <v>24.9531141718012</v>
      </c>
      <c r="P138" s="8" t="n">
        <f aca="false">MAX(0,(M138*(IF(N138&lt;0,100/-N138,N138/100)+1)-1)/IF(N138&lt;0,100/-N138,N138/100))</f>
        <v>0.374296712577018</v>
      </c>
    </row>
    <row r="140" customFormat="false" ht="15" hidden="false" customHeight="false" outlineLevel="0" collapsed="false">
      <c r="A140" s="2" t="s">
        <v>211</v>
      </c>
    </row>
    <row r="141" customFormat="false" ht="15" hidden="false" customHeight="false" outlineLevel="0" collapsed="false">
      <c r="A141" s="2" t="s">
        <v>212</v>
      </c>
    </row>
  </sheetData>
  <autoFilter ref="A1:P1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2" t="s">
        <v>213</v>
      </c>
    </row>
    <row r="2" customFormat="false" ht="57.45" hidden="false" customHeight="false" outlineLevel="0" collapsed="false">
      <c r="A2" s="4" t="s">
        <v>36</v>
      </c>
      <c r="B2" s="4" t="s">
        <v>199</v>
      </c>
      <c r="C2" s="4" t="s">
        <v>214</v>
      </c>
      <c r="D2" s="4" t="s">
        <v>215</v>
      </c>
      <c r="E2" s="4" t="s">
        <v>216</v>
      </c>
      <c r="F2" s="4" t="s">
        <v>217</v>
      </c>
      <c r="G2" s="4" t="s">
        <v>218</v>
      </c>
      <c r="H2" s="4" t="s">
        <v>219</v>
      </c>
      <c r="I2" s="4" t="s">
        <v>220</v>
      </c>
      <c r="J2" s="4" t="s">
        <v>221</v>
      </c>
      <c r="K2" s="4" t="s">
        <v>222</v>
      </c>
      <c r="L2" s="4" t="s">
        <v>223</v>
      </c>
      <c r="M2" s="4" t="s">
        <v>224</v>
      </c>
      <c r="N2" s="4" t="s">
        <v>225</v>
      </c>
      <c r="O2" s="4" t="s">
        <v>226</v>
      </c>
      <c r="P2" s="4" t="s">
        <v>227</v>
      </c>
      <c r="Q2" s="4" t="s">
        <v>228</v>
      </c>
      <c r="R2" s="4" t="s">
        <v>229</v>
      </c>
      <c r="S2" s="4" t="s">
        <v>230</v>
      </c>
      <c r="T2" s="4" t="s">
        <v>231</v>
      </c>
      <c r="U2" s="4" t="s">
        <v>232</v>
      </c>
    </row>
    <row r="3" customFormat="false" ht="15" hidden="false" customHeight="false" outlineLevel="0" collapsed="false">
      <c r="A3" s="2" t="s">
        <v>58</v>
      </c>
      <c r="B3" s="7" t="n">
        <f aca="false">Win_Probabilities!E2</f>
        <v>10.2059667197444</v>
      </c>
      <c r="C3" s="3" t="n">
        <v>9.5</v>
      </c>
      <c r="D3" s="3" t="n">
        <v>-175</v>
      </c>
      <c r="E3" s="8" t="n">
        <f aca="false">IF(C3="","",SUMPRODUCT((COLUMN(Win_Probabilities!$F$1:$S$1)-COLUMN(Win_Probabilities!$F$1)&gt;C3)*Win_Probabilities!$F2:$S2))</f>
        <v>0.74659983523341</v>
      </c>
      <c r="F3" s="9" t="n">
        <f aca="false">E3*IF(D3&lt;0,10000/-D3,D3)-(1-E3)*100</f>
        <v>17.3228312509644</v>
      </c>
      <c r="G3" s="3" t="n">
        <v>9.5</v>
      </c>
      <c r="H3" s="3" t="n">
        <v>-180</v>
      </c>
      <c r="I3" s="8" t="n">
        <f aca="false">IF(G3="","",SUMPRODUCT((COLUMN(Win_Probabilities!$F$1:$S$1)-COLUMN(Win_Probabilities!$F$1)&gt;G3)*Win_Probabilities!$F2:$S2))</f>
        <v>0.74659983523341</v>
      </c>
      <c r="J3" s="9" t="n">
        <f aca="false">I3*IF(H3&lt;0,10000/-H3,H3)-(1-I3)*100</f>
        <v>16.1377521474193</v>
      </c>
      <c r="K3" s="3" t="n">
        <v>9.5</v>
      </c>
      <c r="L3" s="3" t="n">
        <v>-168</v>
      </c>
      <c r="M3" s="8" t="n">
        <f aca="false">IF(K3="","",SUMPRODUCT((COLUMN(Win_Probabilities!$F$1:$S$1)-COLUMN(Win_Probabilities!$F$1)&gt;K3)*Win_Probabilities!$F2:$S2))</f>
        <v>0.74659983523341</v>
      </c>
      <c r="N3" s="9" t="n">
        <f aca="false">M3*IF(L3&lt;0,10000/-L3,L3)-(1-M3)*100</f>
        <v>19.100449906282</v>
      </c>
      <c r="O3" s="3" t="n">
        <v>9.5</v>
      </c>
      <c r="P3" s="3" t="n">
        <v>-195</v>
      </c>
      <c r="Q3" s="8" t="n">
        <f aca="false">IF(O3="","",SUMPRODUCT((COLUMN(Win_Probabilities!$F$1:$S$1)-COLUMN(Win_Probabilities!$F$1)&gt;O3)*Win_Probabilities!$F2:$S2))</f>
        <v>0.74659983523341</v>
      </c>
      <c r="R3" s="9" t="n">
        <f aca="false">Q3*IF(P3&lt;0,10000/-P3,P3)-(1-Q3)*100</f>
        <v>12.9471545609517</v>
      </c>
      <c r="S3" s="2" t="str">
        <f aca="false">IF(F3=MAX(F3,J3,N3,R3),"BetMGM",IF(J3=MAX(F3,J3,N3,R3),"DraftKings",IF(N3=MAX(F3,J3,N3,R3),"FanDuel",IF(R3=MAX(F3,J3,N3,R3),"RiversCasino",""))))</f>
        <v>FanDuel</v>
      </c>
      <c r="T3" s="9" t="n">
        <f aca="false">MAX(F3,J3,N3,R3)</f>
        <v>19.100449906282</v>
      </c>
      <c r="U3" s="2" t="n">
        <f aca="false">MAX(C3,G3,K3,O3)-MIN(C3,G3,K3,O3)</f>
        <v>0</v>
      </c>
    </row>
    <row r="4" customFormat="false" ht="15" hidden="false" customHeight="false" outlineLevel="0" collapsed="false">
      <c r="A4" s="2" t="s">
        <v>59</v>
      </c>
      <c r="B4" s="7" t="n">
        <f aca="false">Win_Probabilities!E3</f>
        <v>10.1750939623083</v>
      </c>
      <c r="C4" s="3" t="n">
        <v>10.5</v>
      </c>
      <c r="D4" s="3" t="n">
        <v>100</v>
      </c>
      <c r="E4" s="8" t="n">
        <f aca="false">IF(C4="","",SUMPRODUCT((COLUMN(Win_Probabilities!$F$1:$S$1)-COLUMN(Win_Probabilities!$F$1)&gt;C4)*Win_Probabilities!$F3:$S3))</f>
        <v>0.413380198421572</v>
      </c>
      <c r="F4" s="9" t="n">
        <f aca="false">E4*IF(D4&lt;0,10000/-D4,D4)-(1-E4)*100</f>
        <v>-17.3239603156856</v>
      </c>
      <c r="G4" s="3" t="n">
        <v>10.5</v>
      </c>
      <c r="H4" s="3" t="n">
        <v>100</v>
      </c>
      <c r="I4" s="8" t="n">
        <f aca="false">IF(G4="","",SUMPRODUCT((COLUMN(Win_Probabilities!$F$1:$S$1)-COLUMN(Win_Probabilities!$F$1)&gt;G4)*Win_Probabilities!$F3:$S3))</f>
        <v>0.413380198421572</v>
      </c>
      <c r="J4" s="9" t="n">
        <f aca="false">I4*IF(H4&lt;0,10000/-H4,H4)-(1-I4)*100</f>
        <v>-17.3239603156856</v>
      </c>
      <c r="K4" s="3" t="n">
        <v>10.5</v>
      </c>
      <c r="L4" s="3" t="n">
        <v>110</v>
      </c>
      <c r="M4" s="8" t="n">
        <f aca="false">IF(K4="","",SUMPRODUCT((COLUMN(Win_Probabilities!$F$1:$S$1)-COLUMN(Win_Probabilities!$F$1)&gt;K4)*Win_Probabilities!$F3:$S3))</f>
        <v>0.413380198421572</v>
      </c>
      <c r="N4" s="9" t="n">
        <f aca="false">M4*IF(L4&lt;0,10000/-L4,L4)-(1-M4)*100</f>
        <v>-13.1901583314699</v>
      </c>
      <c r="O4" s="3" t="n">
        <v>10.5</v>
      </c>
      <c r="P4" s="3" t="n">
        <v>105</v>
      </c>
      <c r="Q4" s="8" t="n">
        <f aca="false">IF(O4="","",SUMPRODUCT((COLUMN(Win_Probabilities!$F$1:$S$1)-COLUMN(Win_Probabilities!$F$1)&gt;O4)*Win_Probabilities!$F3:$S3))</f>
        <v>0.413380198421572</v>
      </c>
      <c r="R4" s="9" t="n">
        <f aca="false">Q4*IF(P4&lt;0,10000/-P4,P4)-(1-Q4)*100</f>
        <v>-15.2570593235778</v>
      </c>
      <c r="S4" s="2" t="str">
        <f aca="false">IF(F4=MAX(F4,J4,N4,R4),"BetMGM",IF(J4=MAX(F4,J4,N4,R4),"DraftKings",IF(N4=MAX(F4,J4,N4,R4),"FanDuel",IF(R4=MAX(F4,J4,N4,R4),"RiversCasino",""))))</f>
        <v>FanDuel</v>
      </c>
      <c r="T4" s="9" t="n">
        <f aca="false">MAX(F4,J4,N4,R4)</f>
        <v>-13.1901583314699</v>
      </c>
      <c r="U4" s="2" t="n">
        <f aca="false">MAX(C4,G4,K4,O4)-MIN(C4,G4,K4,O4)</f>
        <v>0</v>
      </c>
    </row>
    <row r="5" customFormat="false" ht="15" hidden="false" customHeight="false" outlineLevel="0" collapsed="false">
      <c r="A5" s="2" t="s">
        <v>60</v>
      </c>
      <c r="B5" s="7" t="n">
        <f aca="false">Win_Probabilities!E4</f>
        <v>10.8009833490479</v>
      </c>
      <c r="C5" s="3" t="n">
        <v>11.5</v>
      </c>
      <c r="D5" s="3" t="n">
        <v>150</v>
      </c>
      <c r="E5" s="8" t="n">
        <f aca="false">IF(C5="","",SUMPRODUCT((COLUMN(Win_Probabilities!$F$1:$S$1)-COLUMN(Win_Probabilities!$F$1)&gt;C5)*Win_Probabilities!$F4:$S4))</f>
        <v>0.26006171967295</v>
      </c>
      <c r="F5" s="9" t="n">
        <f aca="false">E5*IF(D5&lt;0,10000/-D5,D5)-(1-E5)*100</f>
        <v>-34.9845700817625</v>
      </c>
      <c r="G5" s="3" t="n">
        <v>11.5</v>
      </c>
      <c r="H5" s="3" t="n">
        <v>160</v>
      </c>
      <c r="I5" s="8" t="n">
        <f aca="false">IF(G5="","",SUMPRODUCT((COLUMN(Win_Probabilities!$F$1:$S$1)-COLUMN(Win_Probabilities!$F$1)&gt;G5)*Win_Probabilities!$F4:$S4))</f>
        <v>0.26006171967295</v>
      </c>
      <c r="J5" s="9" t="n">
        <f aca="false">I5*IF(H5&lt;0,10000/-H5,H5)-(1-I5)*100</f>
        <v>-32.383952885033</v>
      </c>
      <c r="K5" s="3" t="n">
        <v>11.5</v>
      </c>
      <c r="L5" s="3" t="n">
        <v>164</v>
      </c>
      <c r="M5" s="8" t="n">
        <f aca="false">IF(K5="","",SUMPRODUCT((COLUMN(Win_Probabilities!$F$1:$S$1)-COLUMN(Win_Probabilities!$F$1)&gt;K5)*Win_Probabilities!$F4:$S4))</f>
        <v>0.26006171967295</v>
      </c>
      <c r="N5" s="9" t="n">
        <f aca="false">M5*IF(L5&lt;0,10000/-L5,L5)-(1-M5)*100</f>
        <v>-31.3437060063412</v>
      </c>
      <c r="O5" s="3" t="n">
        <v>11.5</v>
      </c>
      <c r="P5" s="3" t="n">
        <v>155</v>
      </c>
      <c r="Q5" s="8" t="n">
        <f aca="false">IF(O5="","",SUMPRODUCT((COLUMN(Win_Probabilities!$F$1:$S$1)-COLUMN(Win_Probabilities!$F$1)&gt;O5)*Win_Probabilities!$F4:$S4))</f>
        <v>0.26006171967295</v>
      </c>
      <c r="R5" s="9" t="n">
        <f aca="false">Q5*IF(P5&lt;0,10000/-P5,P5)-(1-Q5)*100</f>
        <v>-33.6842614833978</v>
      </c>
      <c r="S5" s="2" t="str">
        <f aca="false">IF(F5=MAX(F5,J5,N5,R5),"BetMGM",IF(J5=MAX(F5,J5,N5,R5),"DraftKings",IF(N5=MAX(F5,J5,N5,R5),"FanDuel",IF(R5=MAX(F5,J5,N5,R5),"RiversCasino",""))))</f>
        <v>FanDuel</v>
      </c>
      <c r="T5" s="9" t="n">
        <f aca="false">MAX(F5,J5,N5,R5)</f>
        <v>-31.3437060063412</v>
      </c>
      <c r="U5" s="2" t="n">
        <f aca="false">MAX(C5,G5,K5,O5)-MIN(C5,G5,K5,O5)</f>
        <v>0</v>
      </c>
    </row>
    <row r="6" customFormat="false" ht="15" hidden="false" customHeight="false" outlineLevel="0" collapsed="false">
      <c r="A6" s="2" t="s">
        <v>61</v>
      </c>
      <c r="B6" s="7" t="n">
        <f aca="false">Win_Probabilities!E5</f>
        <v>9.91770969117092</v>
      </c>
      <c r="C6" s="3" t="n">
        <v>10.5</v>
      </c>
      <c r="D6" s="3" t="n">
        <v>140</v>
      </c>
      <c r="E6" s="8" t="n">
        <f aca="false">IF(C6="","",SUMPRODUCT((COLUMN(Win_Probabilities!$F$1:$S$1)-COLUMN(Win_Probabilities!$F$1)&gt;C6)*Win_Probabilities!$F5:$S5))</f>
        <v>0.345332416838541</v>
      </c>
      <c r="F6" s="9" t="n">
        <f aca="false">E6*IF(D6&lt;0,10000/-D6,D6)-(1-E6)*100</f>
        <v>-17.1202199587503</v>
      </c>
      <c r="G6" s="3" t="n">
        <v>9.5</v>
      </c>
      <c r="H6" s="3" t="n">
        <v>-190</v>
      </c>
      <c r="I6" s="8" t="n">
        <f aca="false">IF(G6="","",SUMPRODUCT((COLUMN(Win_Probabilities!$F$1:$S$1)-COLUMN(Win_Probabilities!$F$1)&gt;G6)*Win_Probabilities!$F5:$S5))</f>
        <v>0.65380908922937</v>
      </c>
      <c r="J6" s="9" t="n">
        <f aca="false">I6*IF(H6&lt;0,10000/-H6,H6)-(1-I6)*100</f>
        <v>-0.208086380780443</v>
      </c>
      <c r="K6" s="3" t="n">
        <v>10.5</v>
      </c>
      <c r="L6" s="3" t="n">
        <v>138</v>
      </c>
      <c r="M6" s="8" t="n">
        <f aca="false">IF(K6="","",SUMPRODUCT((COLUMN(Win_Probabilities!$F$1:$S$1)-COLUMN(Win_Probabilities!$F$1)&gt;K6)*Win_Probabilities!$F5:$S5))</f>
        <v>0.345332416838541</v>
      </c>
      <c r="N6" s="9" t="n">
        <f aca="false">M6*IF(L6&lt;0,10000/-L6,L6)-(1-M6)*100</f>
        <v>-17.8108847924273</v>
      </c>
      <c r="O6" s="3" t="n">
        <v>9.5</v>
      </c>
      <c r="P6" s="3" t="n">
        <v>-200</v>
      </c>
      <c r="Q6" s="8" t="n">
        <f aca="false">IF(O6="","",SUMPRODUCT((COLUMN(Win_Probabilities!$F$1:$S$1)-COLUMN(Win_Probabilities!$F$1)&gt;O6)*Win_Probabilities!$F5:$S5))</f>
        <v>0.65380908922937</v>
      </c>
      <c r="R6" s="9" t="n">
        <f aca="false">Q6*IF(P6&lt;0,10000/-P6,P6)-(1-Q6)*100</f>
        <v>-1.92863661559457</v>
      </c>
      <c r="S6" s="2" t="str">
        <f aca="false">IF(F6=MAX(F6,J6,N6,R6),"BetMGM",IF(J6=MAX(F6,J6,N6,R6),"DraftKings",IF(N6=MAX(F6,J6,N6,R6),"FanDuel",IF(R6=MAX(F6,J6,N6,R6),"RiversCasino",""))))</f>
        <v>DraftKings</v>
      </c>
      <c r="T6" s="9" t="n">
        <f aca="false">MAX(F6,J6,N6,R6)</f>
        <v>-0.208086380780443</v>
      </c>
      <c r="U6" s="2" t="n">
        <f aca="false">MAX(C6,G6,K6,O6)-MIN(C6,G6,K6,O6)</f>
        <v>1</v>
      </c>
    </row>
    <row r="7" customFormat="false" ht="15" hidden="false" customHeight="false" outlineLevel="0" collapsed="false">
      <c r="A7" s="2" t="s">
        <v>62</v>
      </c>
      <c r="B7" s="7" t="n">
        <f aca="false">Win_Probabilities!E6</f>
        <v>9.97676585168194</v>
      </c>
      <c r="C7" s="3" t="n">
        <v>10.5</v>
      </c>
      <c r="D7" s="3" t="n">
        <v>110</v>
      </c>
      <c r="E7" s="8" t="n">
        <f aca="false">IF(C7="","",SUMPRODUCT((COLUMN(Win_Probabilities!$F$1:$S$1)-COLUMN(Win_Probabilities!$F$1)&gt;C7)*Win_Probabilities!$F6:$S6))</f>
        <v>0.341615945584312</v>
      </c>
      <c r="F7" s="9" t="n">
        <f aca="false">E7*IF(D7&lt;0,10000/-D7,D7)-(1-E7)*100</f>
        <v>-28.2606514272944</v>
      </c>
      <c r="G7" s="3" t="n">
        <v>10.5</v>
      </c>
      <c r="H7" s="3" t="n">
        <v>105</v>
      </c>
      <c r="I7" s="8" t="n">
        <f aca="false">IF(G7="","",SUMPRODUCT((COLUMN(Win_Probabilities!$F$1:$S$1)-COLUMN(Win_Probabilities!$F$1)&gt;G7)*Win_Probabilities!$F6:$S6))</f>
        <v>0.341615945584312</v>
      </c>
      <c r="J7" s="9" t="n">
        <f aca="false">I7*IF(H7&lt;0,10000/-H7,H7)-(1-I7)*100</f>
        <v>-29.968731155216</v>
      </c>
      <c r="K7" s="3" t="n">
        <v>10.5</v>
      </c>
      <c r="L7" s="3" t="n">
        <v>-104</v>
      </c>
      <c r="M7" s="8" t="n">
        <f aca="false">IF(K7="","",SUMPRODUCT((COLUMN(Win_Probabilities!$F$1:$S$1)-COLUMN(Win_Probabilities!$F$1)&gt;K7)*Win_Probabilities!$F6:$S6))</f>
        <v>0.341615945584312</v>
      </c>
      <c r="N7" s="9" t="n">
        <f aca="false">M7*IF(L7&lt;0,10000/-L7,L7)-(1-M7)*100</f>
        <v>-32.9907183661541</v>
      </c>
      <c r="O7" s="3" t="n">
        <v>10.5</v>
      </c>
      <c r="P7" s="3" t="n">
        <v>100</v>
      </c>
      <c r="Q7" s="8" t="n">
        <f aca="false">IF(O7="","",SUMPRODUCT((COLUMN(Win_Probabilities!$F$1:$S$1)-COLUMN(Win_Probabilities!$F$1)&gt;O7)*Win_Probabilities!$F6:$S6))</f>
        <v>0.341615945584312</v>
      </c>
      <c r="R7" s="9" t="n">
        <f aca="false">Q7*IF(P7&lt;0,10000/-P7,P7)-(1-Q7)*100</f>
        <v>-31.6768108831376</v>
      </c>
      <c r="S7" s="2" t="str">
        <f aca="false">IF(F7=MAX(F7,J7,N7,R7),"BetMGM",IF(J7=MAX(F7,J7,N7,R7),"DraftKings",IF(N7=MAX(F7,J7,N7,R7),"FanDuel",IF(R7=MAX(F7,J7,N7,R7),"RiversCasino",""))))</f>
        <v>BetMGM</v>
      </c>
      <c r="T7" s="9" t="n">
        <f aca="false">MAX(F7,J7,N7,R7)</f>
        <v>-28.2606514272944</v>
      </c>
      <c r="U7" s="2" t="n">
        <f aca="false">MAX(C7,G7,K7,O7)-MIN(C7,G7,K7,O7)</f>
        <v>0</v>
      </c>
    </row>
    <row r="8" customFormat="false" ht="15" hidden="false" customHeight="false" outlineLevel="0" collapsed="false">
      <c r="A8" s="2" t="s">
        <v>63</v>
      </c>
      <c r="B8" s="7" t="n">
        <f aca="false">Win_Probabilities!E7</f>
        <v>8.24063646267982</v>
      </c>
      <c r="C8" s="3" t="n">
        <v>9.5</v>
      </c>
      <c r="D8" s="3" t="n">
        <v>115</v>
      </c>
      <c r="E8" s="8" t="n">
        <f aca="false">IF(C8="","",SUMPRODUCT((COLUMN(Win_Probabilities!$F$1:$S$1)-COLUMN(Win_Probabilities!$F$1)&gt;C8)*Win_Probabilities!$F7:$S7))</f>
        <v>0.194219407341578</v>
      </c>
      <c r="F8" s="9" t="n">
        <f aca="false">E8*IF(D8&lt;0,10000/-D8,D8)-(1-E8)*100</f>
        <v>-58.2428274215607</v>
      </c>
      <c r="G8" s="3" t="n">
        <v>9.5</v>
      </c>
      <c r="H8" s="3" t="n">
        <v>120</v>
      </c>
      <c r="I8" s="8" t="n">
        <f aca="false">IF(G8="","",SUMPRODUCT((COLUMN(Win_Probabilities!$F$1:$S$1)-COLUMN(Win_Probabilities!$F$1)&gt;G8)*Win_Probabilities!$F7:$S7))</f>
        <v>0.194219407341578</v>
      </c>
      <c r="J8" s="9" t="n">
        <f aca="false">I8*IF(H8&lt;0,10000/-H8,H8)-(1-I8)*100</f>
        <v>-57.2717303848528</v>
      </c>
      <c r="K8" s="3" t="n">
        <v>9.5</v>
      </c>
      <c r="L8" s="3" t="n">
        <v>120</v>
      </c>
      <c r="M8" s="8" t="n">
        <f aca="false">IF(K8="","",SUMPRODUCT((COLUMN(Win_Probabilities!$F$1:$S$1)-COLUMN(Win_Probabilities!$F$1)&gt;K8)*Win_Probabilities!$F7:$S7))</f>
        <v>0.194219407341578</v>
      </c>
      <c r="N8" s="9" t="n">
        <f aca="false">M8*IF(L8&lt;0,10000/-L8,L8)-(1-M8)*100</f>
        <v>-57.2717303848528</v>
      </c>
      <c r="O8" s="3" t="n">
        <v>9.5</v>
      </c>
      <c r="P8" s="3" t="n">
        <v>108</v>
      </c>
      <c r="Q8" s="8" t="n">
        <f aca="false">IF(O8="","",SUMPRODUCT((COLUMN(Win_Probabilities!$F$1:$S$1)-COLUMN(Win_Probabilities!$F$1)&gt;O8)*Win_Probabilities!$F7:$S7))</f>
        <v>0.194219407341578</v>
      </c>
      <c r="R8" s="9" t="n">
        <f aca="false">Q8*IF(P8&lt;0,10000/-P8,P8)-(1-Q8)*100</f>
        <v>-59.6023632729518</v>
      </c>
      <c r="S8" s="2" t="str">
        <f aca="false">IF(F8=MAX(F8,J8,N8,R8),"BetMGM",IF(J8=MAX(F8,J8,N8,R8),"DraftKings",IF(N8=MAX(F8,J8,N8,R8),"FanDuel",IF(R8=MAX(F8,J8,N8,R8),"RiversCasino",""))))</f>
        <v>DraftKings</v>
      </c>
      <c r="T8" s="9" t="n">
        <f aca="false">MAX(F8,J8,N8,R8)</f>
        <v>-57.2717303848528</v>
      </c>
      <c r="U8" s="2" t="n">
        <f aca="false">MAX(C8,G8,K8,O8)-MIN(C8,G8,K8,O8)</f>
        <v>0</v>
      </c>
    </row>
    <row r="9" customFormat="false" ht="15" hidden="false" customHeight="false" outlineLevel="0" collapsed="false">
      <c r="A9" s="2" t="s">
        <v>64</v>
      </c>
      <c r="B9" s="7" t="n">
        <f aca="false">Win_Probabilities!E8</f>
        <v>9.95831019691517</v>
      </c>
      <c r="C9" s="3" t="n">
        <v>10.5</v>
      </c>
      <c r="D9" s="3" t="n">
        <v>-125</v>
      </c>
      <c r="E9" s="8" t="n">
        <f aca="false">IF(C9="","",SUMPRODUCT((COLUMN(Win_Probabilities!$F$1:$S$1)-COLUMN(Win_Probabilities!$F$1)&gt;C9)*Win_Probabilities!$F8:$S8))</f>
        <v>0.339870725954106</v>
      </c>
      <c r="F9" s="9" t="n">
        <f aca="false">E9*IF(D9&lt;0,10000/-D9,D9)-(1-E9)*100</f>
        <v>-38.823269328261</v>
      </c>
      <c r="G9" s="3" t="n">
        <v>10.5</v>
      </c>
      <c r="H9" s="3" t="n">
        <v>-110</v>
      </c>
      <c r="I9" s="8" t="n">
        <f aca="false">IF(G9="","",SUMPRODUCT((COLUMN(Win_Probabilities!$F$1:$S$1)-COLUMN(Win_Probabilities!$F$1)&gt;G9)*Win_Probabilities!$F8:$S8))</f>
        <v>0.339870725954106</v>
      </c>
      <c r="J9" s="9" t="n">
        <f aca="false">I9*IF(H9&lt;0,10000/-H9,H9)-(1-I9)*100</f>
        <v>-35.1155886814889</v>
      </c>
      <c r="K9" s="3" t="n">
        <v>10.5</v>
      </c>
      <c r="L9" s="3" t="n">
        <v>-140</v>
      </c>
      <c r="M9" s="8" t="n">
        <f aca="false">IF(K9="","",SUMPRODUCT((COLUMN(Win_Probabilities!$F$1:$S$1)-COLUMN(Win_Probabilities!$F$1)&gt;K9)*Win_Probabilities!$F8:$S8))</f>
        <v>0.339870725954106</v>
      </c>
      <c r="N9" s="9" t="n">
        <f aca="false">M9*IF(L9&lt;0,10000/-L9,L9)-(1-M9)*100</f>
        <v>-41.7364469792962</v>
      </c>
      <c r="O9" s="3" t="n">
        <v>10.5</v>
      </c>
      <c r="P9" s="3" t="n">
        <v>-125</v>
      </c>
      <c r="Q9" s="8" t="n">
        <f aca="false">IF(O9="","",SUMPRODUCT((COLUMN(Win_Probabilities!$F$1:$S$1)-COLUMN(Win_Probabilities!$F$1)&gt;O9)*Win_Probabilities!$F8:$S8))</f>
        <v>0.339870725954106</v>
      </c>
      <c r="R9" s="9" t="n">
        <f aca="false">Q9*IF(P9&lt;0,10000/-P9,P9)-(1-Q9)*100</f>
        <v>-38.823269328261</v>
      </c>
      <c r="S9" s="2" t="str">
        <f aca="false">IF(F9=MAX(F9,J9,N9,R9),"BetMGM",IF(J9=MAX(F9,J9,N9,R9),"DraftKings",IF(N9=MAX(F9,J9,N9,R9),"FanDuel",IF(R9=MAX(F9,J9,N9,R9),"RiversCasino",""))))</f>
        <v>DraftKings</v>
      </c>
      <c r="T9" s="9" t="n">
        <f aca="false">MAX(F9,J9,N9,R9)</f>
        <v>-35.1155886814889</v>
      </c>
      <c r="U9" s="2" t="n">
        <f aca="false">MAX(C9,G9,K9,O9)-MIN(C9,G9,K9,O9)</f>
        <v>0</v>
      </c>
    </row>
    <row r="10" customFormat="false" ht="15" hidden="false" customHeight="false" outlineLevel="0" collapsed="false">
      <c r="A10" s="2" t="s">
        <v>65</v>
      </c>
      <c r="B10" s="7" t="n">
        <f aca="false">Win_Probabilities!E9</f>
        <v>10.6104956493875</v>
      </c>
      <c r="C10" s="3" t="n">
        <v>10.5</v>
      </c>
      <c r="D10" s="3" t="n">
        <v>-220</v>
      </c>
      <c r="E10" s="8" t="n">
        <f aca="false">IF(C10="","",SUMPRODUCT((COLUMN(Win_Probabilities!$F$1:$S$1)-COLUMN(Win_Probabilities!$F$1)&gt;C10)*Win_Probabilities!$F9:$S9))</f>
        <v>0.584381403378715</v>
      </c>
      <c r="F10" s="9" t="n">
        <f aca="false">E10*IF(D10&lt;0,10000/-D10,D10)-(1-E10)*100</f>
        <v>-14.9990685994597</v>
      </c>
      <c r="G10" s="3" t="n">
        <v>10.5</v>
      </c>
      <c r="H10" s="3" t="n">
        <v>-200</v>
      </c>
      <c r="I10" s="8" t="n">
        <f aca="false">IF(G10="","",SUMPRODUCT((COLUMN(Win_Probabilities!$F$1:$S$1)-COLUMN(Win_Probabilities!$F$1)&gt;G10)*Win_Probabilities!$F9:$S9))</f>
        <v>0.584381403378715</v>
      </c>
      <c r="J10" s="9" t="n">
        <f aca="false">I10*IF(H10&lt;0,10000/-H10,H10)-(1-I10)*100</f>
        <v>-12.3427894931928</v>
      </c>
      <c r="K10" s="3" t="n">
        <v>11.5</v>
      </c>
      <c r="L10" s="3" t="n">
        <v>168</v>
      </c>
      <c r="M10" s="8" t="n">
        <f aca="false">IF(K10="","",SUMPRODUCT((COLUMN(Win_Probabilities!$F$1:$S$1)-COLUMN(Win_Probabilities!$F$1)&gt;K10)*Win_Probabilities!$F9:$S9))</f>
        <v>0.220415295616328</v>
      </c>
      <c r="N10" s="9" t="n">
        <f aca="false">M10*IF(L10&lt;0,10000/-L10,L10)-(1-M10)*100</f>
        <v>-40.9287007748241</v>
      </c>
      <c r="O10" s="3" t="n">
        <v>10.5</v>
      </c>
      <c r="P10" s="3" t="n">
        <v>-230</v>
      </c>
      <c r="Q10" s="8" t="n">
        <f aca="false">IF(O10="","",SUMPRODUCT((COLUMN(Win_Probabilities!$F$1:$S$1)-COLUMN(Win_Probabilities!$F$1)&gt;O10)*Win_Probabilities!$F9:$S9))</f>
        <v>0.584381403378715</v>
      </c>
      <c r="R10" s="9" t="n">
        <f aca="false">Q10*IF(P10&lt;0,10000/-P10,P10)-(1-Q10)*100</f>
        <v>-16.1539725587062</v>
      </c>
      <c r="S10" s="2" t="str">
        <f aca="false">IF(F10=MAX(F10,J10,N10,R10),"BetMGM",IF(J10=MAX(F10,J10,N10,R10),"DraftKings",IF(N10=MAX(F10,J10,N10,R10),"FanDuel",IF(R10=MAX(F10,J10,N10,R10),"RiversCasino",""))))</f>
        <v>DraftKings</v>
      </c>
      <c r="T10" s="9" t="n">
        <f aca="false">MAX(F10,J10,N10,R10)</f>
        <v>-12.3427894931928</v>
      </c>
      <c r="U10" s="2" t="n">
        <f aca="false">MAX(C10,G10,K10,O10)-MIN(C10,G10,K10,O10)</f>
        <v>1</v>
      </c>
    </row>
    <row r="11" customFormat="false" ht="15" hidden="false" customHeight="false" outlineLevel="0" collapsed="false">
      <c r="A11" s="2" t="s">
        <v>66</v>
      </c>
      <c r="B11" s="7" t="n">
        <f aca="false">Win_Probabilities!E10</f>
        <v>8.45076333021763</v>
      </c>
      <c r="C11" s="3" t="n">
        <v>8.5</v>
      </c>
      <c r="D11" s="3" t="n">
        <v>100</v>
      </c>
      <c r="E11" s="8" t="n">
        <f aca="false">IF(C11="","",SUMPRODUCT((COLUMN(Win_Probabilities!$F$1:$S$1)-COLUMN(Win_Probabilities!$F$1)&gt;C11)*Win_Probabilities!$F10:$S10))</f>
        <v>0.495736443141894</v>
      </c>
      <c r="F11" s="9" t="n">
        <f aca="false">E11*IF(D11&lt;0,10000/-D11,D11)-(1-E11)*100</f>
        <v>-0.852711371621126</v>
      </c>
      <c r="G11" s="3" t="n">
        <v>8.5</v>
      </c>
      <c r="H11" s="3" t="n">
        <v>100</v>
      </c>
      <c r="I11" s="8" t="n">
        <f aca="false">IF(G11="","",SUMPRODUCT((COLUMN(Win_Probabilities!$F$1:$S$1)-COLUMN(Win_Probabilities!$F$1)&gt;G11)*Win_Probabilities!$F10:$S10))</f>
        <v>0.495736443141894</v>
      </c>
      <c r="J11" s="9" t="n">
        <f aca="false">I11*IF(H11&lt;0,10000/-H11,H11)-(1-I11)*100</f>
        <v>-0.852711371621126</v>
      </c>
      <c r="K11" s="3" t="n">
        <v>8.5</v>
      </c>
      <c r="L11" s="3" t="n">
        <v>118</v>
      </c>
      <c r="M11" s="8" t="n">
        <f aca="false">IF(K11="","",SUMPRODUCT((COLUMN(Win_Probabilities!$F$1:$S$1)-COLUMN(Win_Probabilities!$F$1)&gt;K11)*Win_Probabilities!$F10:$S10))</f>
        <v>0.495736443141894</v>
      </c>
      <c r="N11" s="9" t="n">
        <f aca="false">M11*IF(L11&lt;0,10000/-L11,L11)-(1-M11)*100</f>
        <v>8.07054460493297</v>
      </c>
      <c r="O11" s="3" t="n">
        <v>8.5</v>
      </c>
      <c r="P11" s="3" t="n">
        <v>-112</v>
      </c>
      <c r="Q11" s="8" t="n">
        <f aca="false">IF(O11="","",SUMPRODUCT((COLUMN(Win_Probabilities!$F$1:$S$1)-COLUMN(Win_Probabilities!$F$1)&gt;O11)*Win_Probabilities!$F10:$S10))</f>
        <v>0.495736443141894</v>
      </c>
      <c r="R11" s="9" t="n">
        <f aca="false">Q11*IF(P11&lt;0,10000/-P11,P11)-(1-Q11)*100</f>
        <v>-6.16417326242713</v>
      </c>
      <c r="S11" s="2" t="str">
        <f aca="false">IF(F11=MAX(F11,J11,N11,R11),"BetMGM",IF(J11=MAX(F11,J11,N11,R11),"DraftKings",IF(N11=MAX(F11,J11,N11,R11),"FanDuel",IF(R11=MAX(F11,J11,N11,R11),"RiversCasino",""))))</f>
        <v>FanDuel</v>
      </c>
      <c r="T11" s="9" t="n">
        <f aca="false">MAX(F11,J11,N11,R11)</f>
        <v>8.07054460493297</v>
      </c>
      <c r="U11" s="2" t="n">
        <f aca="false">MAX(C11,G11,K11,O11)-MIN(C11,G11,K11,O11)</f>
        <v>0</v>
      </c>
    </row>
    <row r="12" customFormat="false" ht="15" hidden="false" customHeight="false" outlineLevel="0" collapsed="false">
      <c r="A12" s="2" t="s">
        <v>67</v>
      </c>
      <c r="B12" s="7" t="n">
        <f aca="false">Win_Probabilities!E11</f>
        <v>8.53053727255091</v>
      </c>
      <c r="C12" s="3" t="n">
        <v>8.5</v>
      </c>
      <c r="D12" s="3" t="n">
        <v>-120</v>
      </c>
      <c r="E12" s="8" t="n">
        <f aca="false">IF(C12="","",SUMPRODUCT((COLUMN(Win_Probabilities!$F$1:$S$1)-COLUMN(Win_Probabilities!$F$1)&gt;C12)*Win_Probabilities!$F11:$S11))</f>
        <v>0.520830248924694</v>
      </c>
      <c r="F12" s="9" t="n">
        <f aca="false">E12*IF(D12&lt;0,10000/-D12,D12)-(1-E12)*100</f>
        <v>-4.51445436380612</v>
      </c>
      <c r="G12" s="3" t="n">
        <v>8.5</v>
      </c>
      <c r="H12" s="3" t="n">
        <v>-115</v>
      </c>
      <c r="I12" s="8" t="n">
        <f aca="false">IF(G12="","",SUMPRODUCT((COLUMN(Win_Probabilities!$F$1:$S$1)-COLUMN(Win_Probabilities!$F$1)&gt;G12)*Win_Probabilities!$F11:$S11))</f>
        <v>0.520830248924694</v>
      </c>
      <c r="J12" s="9" t="n">
        <f aca="false">I12*IF(H12&lt;0,10000/-H12,H12)-(1-I12)*100</f>
        <v>-2.62738824451375</v>
      </c>
      <c r="K12" s="3" t="n">
        <v>8.5</v>
      </c>
      <c r="L12" s="3" t="n">
        <v>-115</v>
      </c>
      <c r="M12" s="8" t="n">
        <f aca="false">IF(K12="","",SUMPRODUCT((COLUMN(Win_Probabilities!$F$1:$S$1)-COLUMN(Win_Probabilities!$F$1)&gt;K12)*Win_Probabilities!$F11:$S11))</f>
        <v>0.520830248924694</v>
      </c>
      <c r="N12" s="9" t="n">
        <f aca="false">M12*IF(L12&lt;0,10000/-L12,L12)-(1-M12)*100</f>
        <v>-2.62738824451375</v>
      </c>
      <c r="O12" s="3" t="n">
        <v>8.5</v>
      </c>
      <c r="P12" s="3" t="n">
        <v>-115</v>
      </c>
      <c r="Q12" s="8" t="n">
        <f aca="false">IF(O12="","",SUMPRODUCT((COLUMN(Win_Probabilities!$F$1:$S$1)-COLUMN(Win_Probabilities!$F$1)&gt;O12)*Win_Probabilities!$F11:$S11))</f>
        <v>0.520830248924694</v>
      </c>
      <c r="R12" s="9" t="n">
        <f aca="false">Q12*IF(P12&lt;0,10000/-P12,P12)-(1-Q12)*100</f>
        <v>-2.62738824451375</v>
      </c>
      <c r="S12" s="2" t="str">
        <f aca="false">IF(F12=MAX(F12,J12,N12,R12),"BetMGM",IF(J12=MAX(F12,J12,N12,R12),"DraftKings",IF(N12=MAX(F12,J12,N12,R12),"FanDuel",IF(R12=MAX(F12,J12,N12,R12),"RiversCasino",""))))</f>
        <v>DraftKings</v>
      </c>
      <c r="T12" s="9" t="n">
        <f aca="false">MAX(F12,J12,N12,R12)</f>
        <v>-2.62738824451375</v>
      </c>
      <c r="U12" s="2" t="n">
        <f aca="false">MAX(C12,G12,K12,O12)-MIN(C12,G12,K12,O12)</f>
        <v>0</v>
      </c>
    </row>
    <row r="13" customFormat="false" ht="15" hidden="false" customHeight="false" outlineLevel="0" collapsed="false">
      <c r="A13" s="2" t="s">
        <v>68</v>
      </c>
      <c r="B13" s="7" t="n">
        <f aca="false">Win_Probabilities!E12</f>
        <v>7.54176470074744</v>
      </c>
      <c r="C13" s="3" t="n">
        <v>8.5</v>
      </c>
      <c r="D13" s="3" t="n">
        <v>135</v>
      </c>
      <c r="E13" s="8" t="n">
        <f aca="false">IF(C13="","",SUMPRODUCT((COLUMN(Win_Probabilities!$F$1:$S$1)-COLUMN(Win_Probabilities!$F$1)&gt;C13)*Win_Probabilities!$F12:$S12))</f>
        <v>0.265281494841778</v>
      </c>
      <c r="F13" s="9" t="n">
        <f aca="false">E13*IF(D13&lt;0,10000/-D13,D13)-(1-E13)*100</f>
        <v>-37.6588487121821</v>
      </c>
      <c r="G13" s="3" t="n">
        <v>8.5</v>
      </c>
      <c r="H13" s="3" t="n">
        <v>140</v>
      </c>
      <c r="I13" s="8" t="n">
        <f aca="false">IF(G13="","",SUMPRODUCT((COLUMN(Win_Probabilities!$F$1:$S$1)-COLUMN(Win_Probabilities!$F$1)&gt;G13)*Win_Probabilities!$F12:$S12))</f>
        <v>0.265281494841778</v>
      </c>
      <c r="J13" s="9" t="n">
        <f aca="false">I13*IF(H13&lt;0,10000/-H13,H13)-(1-I13)*100</f>
        <v>-36.3324412379732</v>
      </c>
      <c r="K13" s="3" t="n">
        <v>7.5</v>
      </c>
      <c r="L13" s="3" t="n">
        <v>-162</v>
      </c>
      <c r="M13" s="8" t="n">
        <f aca="false">IF(K13="","",SUMPRODUCT((COLUMN(Win_Probabilities!$F$1:$S$1)-COLUMN(Win_Probabilities!$F$1)&gt;K13)*Win_Probabilities!$F12:$S12))</f>
        <v>0.516536862498931</v>
      </c>
      <c r="N13" s="9" t="n">
        <f aca="false">M13*IF(L13&lt;0,10000/-L13,L13)-(1-M13)*100</f>
        <v>-16.4613222378272</v>
      </c>
      <c r="O13" s="3" t="n">
        <v>7.5</v>
      </c>
      <c r="P13" s="3" t="n">
        <v>-175</v>
      </c>
      <c r="Q13" s="8" t="n">
        <f aca="false">IF(O13="","",SUMPRODUCT((COLUMN(Win_Probabilities!$F$1:$S$1)-COLUMN(Win_Probabilities!$F$1)&gt;O13)*Win_Probabilities!$F12:$S12))</f>
        <v>0.516536862498931</v>
      </c>
      <c r="R13" s="9" t="n">
        <f aca="false">Q13*IF(P13&lt;0,10000/-P13,P13)-(1-Q13)*100</f>
        <v>-18.8299216073109</v>
      </c>
      <c r="S13" s="2" t="str">
        <f aca="false">IF(F13=MAX(F13,J13,N13,R13),"BetMGM",IF(J13=MAX(F13,J13,N13,R13),"DraftKings",IF(N13=MAX(F13,J13,N13,R13),"FanDuel",IF(R13=MAX(F13,J13,N13,R13),"RiversCasino",""))))</f>
        <v>FanDuel</v>
      </c>
      <c r="T13" s="9" t="n">
        <f aca="false">MAX(F13,J13,N13,R13)</f>
        <v>-16.4613222378272</v>
      </c>
      <c r="U13" s="2" t="n">
        <f aca="false">MAX(C13,G13,K13,O13)-MIN(C13,G13,K13,O13)</f>
        <v>1</v>
      </c>
    </row>
    <row r="14" customFormat="false" ht="15" hidden="false" customHeight="false" outlineLevel="0" collapsed="false">
      <c r="A14" s="2" t="s">
        <v>69</v>
      </c>
      <c r="B14" s="7" t="n">
        <f aca="false">Win_Probabilities!E13</f>
        <v>7.81365859833925</v>
      </c>
      <c r="C14" s="3" t="n">
        <v>8.5</v>
      </c>
      <c r="D14" s="3" t="n">
        <v>110</v>
      </c>
      <c r="E14" s="8" t="n">
        <f aca="false">IF(C14="","",SUMPRODUCT((COLUMN(Win_Probabilities!$F$1:$S$1)-COLUMN(Win_Probabilities!$F$1)&gt;C14)*Win_Probabilities!$F13:$S13))</f>
        <v>0.309581204453743</v>
      </c>
      <c r="F14" s="9" t="n">
        <f aca="false">E14*IF(D14&lt;0,10000/-D14,D14)-(1-E14)*100</f>
        <v>-34.9879470647141</v>
      </c>
      <c r="G14" s="3" t="n">
        <v>8.5</v>
      </c>
      <c r="H14" s="3" t="n">
        <v>115</v>
      </c>
      <c r="I14" s="8" t="n">
        <f aca="false">IF(G14="","",SUMPRODUCT((COLUMN(Win_Probabilities!$F$1:$S$1)-COLUMN(Win_Probabilities!$F$1)&gt;G14)*Win_Probabilities!$F13:$S13))</f>
        <v>0.309581204453743</v>
      </c>
      <c r="J14" s="9" t="n">
        <f aca="false">I14*IF(H14&lt;0,10000/-H14,H14)-(1-I14)*100</f>
        <v>-33.4400410424454</v>
      </c>
      <c r="K14" s="3" t="n">
        <v>8.5</v>
      </c>
      <c r="L14" s="3" t="n">
        <v>112</v>
      </c>
      <c r="M14" s="8" t="n">
        <f aca="false">IF(K14="","",SUMPRODUCT((COLUMN(Win_Probabilities!$F$1:$S$1)-COLUMN(Win_Probabilities!$F$1)&gt;K14)*Win_Probabilities!$F13:$S13))</f>
        <v>0.309581204453743</v>
      </c>
      <c r="N14" s="9" t="n">
        <f aca="false">M14*IF(L14&lt;0,10000/-L14,L14)-(1-M14)*100</f>
        <v>-34.3687846558066</v>
      </c>
      <c r="O14" s="3" t="n">
        <v>8.5</v>
      </c>
      <c r="P14" s="3" t="n">
        <v>110</v>
      </c>
      <c r="Q14" s="8" t="n">
        <f aca="false">IF(O14="","",SUMPRODUCT((COLUMN(Win_Probabilities!$F$1:$S$1)-COLUMN(Win_Probabilities!$F$1)&gt;O14)*Win_Probabilities!$F13:$S13))</f>
        <v>0.309581204453743</v>
      </c>
      <c r="R14" s="9" t="n">
        <f aca="false">Q14*IF(P14&lt;0,10000/-P14,P14)-(1-Q14)*100</f>
        <v>-34.9879470647141</v>
      </c>
      <c r="S14" s="2" t="str">
        <f aca="false">IF(F14=MAX(F14,J14,N14,R14),"BetMGM",IF(J14=MAX(F14,J14,N14,R14),"DraftKings",IF(N14=MAX(F14,J14,N14,R14),"FanDuel",IF(R14=MAX(F14,J14,N14,R14),"RiversCasino",""))))</f>
        <v>DraftKings</v>
      </c>
      <c r="T14" s="9" t="n">
        <f aca="false">MAX(F14,J14,N14,R14)</f>
        <v>-33.4400410424454</v>
      </c>
      <c r="U14" s="2" t="n">
        <f aca="false">MAX(C14,G14,K14,O14)-MIN(C14,G14,K14,O14)</f>
        <v>0</v>
      </c>
    </row>
    <row r="15" customFormat="false" ht="15" hidden="false" customHeight="false" outlineLevel="0" collapsed="false">
      <c r="A15" s="2" t="s">
        <v>70</v>
      </c>
      <c r="B15" s="7" t="n">
        <f aca="false">Win_Probabilities!E14</f>
        <v>7.80064615811378</v>
      </c>
      <c r="C15" s="3" t="n">
        <v>8.5</v>
      </c>
      <c r="D15" s="3" t="n">
        <v>-125</v>
      </c>
      <c r="E15" s="8" t="n">
        <f aca="false">IF(C15="","",SUMPRODUCT((COLUMN(Win_Probabilities!$F$1:$S$1)-COLUMN(Win_Probabilities!$F$1)&gt;C15)*Win_Probabilities!$F14:$S14))</f>
        <v>0.326765474831959</v>
      </c>
      <c r="F15" s="9" t="n">
        <f aca="false">E15*IF(D15&lt;0,10000/-D15,D15)-(1-E15)*100</f>
        <v>-41.1822145302473</v>
      </c>
      <c r="G15" s="3" t="n">
        <v>8.5</v>
      </c>
      <c r="H15" s="3" t="n">
        <v>-125</v>
      </c>
      <c r="I15" s="8" t="n">
        <f aca="false">IF(G15="","",SUMPRODUCT((COLUMN(Win_Probabilities!$F$1:$S$1)-COLUMN(Win_Probabilities!$F$1)&gt;G15)*Win_Probabilities!$F14:$S14))</f>
        <v>0.326765474831959</v>
      </c>
      <c r="J15" s="9" t="n">
        <f aca="false">I15*IF(H15&lt;0,10000/-H15,H15)-(1-I15)*100</f>
        <v>-41.1822145302473</v>
      </c>
      <c r="K15" s="3" t="n">
        <v>8.5</v>
      </c>
      <c r="L15" s="3" t="n">
        <v>-118</v>
      </c>
      <c r="M15" s="8" t="n">
        <f aca="false">IF(K15="","",SUMPRODUCT((COLUMN(Win_Probabilities!$F$1:$S$1)-COLUMN(Win_Probabilities!$F$1)&gt;K15)*Win_Probabilities!$F14:$S14))</f>
        <v>0.326765474831959</v>
      </c>
      <c r="N15" s="9" t="n">
        <f aca="false">M15*IF(L15&lt;0,10000/-L15,L15)-(1-M15)*100</f>
        <v>-39.6314631242651</v>
      </c>
      <c r="O15" s="3" t="n">
        <v>8.5</v>
      </c>
      <c r="P15" s="3" t="n">
        <v>-118</v>
      </c>
      <c r="Q15" s="8" t="n">
        <f aca="false">IF(O15="","",SUMPRODUCT((COLUMN(Win_Probabilities!$F$1:$S$1)-COLUMN(Win_Probabilities!$F$1)&gt;O15)*Win_Probabilities!$F14:$S14))</f>
        <v>0.326765474831959</v>
      </c>
      <c r="R15" s="9" t="n">
        <f aca="false">Q15*IF(P15&lt;0,10000/-P15,P15)-(1-Q15)*100</f>
        <v>-39.6314631242651</v>
      </c>
      <c r="S15" s="2" t="str">
        <f aca="false">IF(F15=MAX(F15,J15,N15,R15),"BetMGM",IF(J15=MAX(F15,J15,N15,R15),"DraftKings",IF(N15=MAX(F15,J15,N15,R15),"FanDuel",IF(R15=MAX(F15,J15,N15,R15),"RiversCasino",""))))</f>
        <v>FanDuel</v>
      </c>
      <c r="T15" s="9" t="n">
        <f aca="false">MAX(F15,J15,N15,R15)</f>
        <v>-39.6314631242651</v>
      </c>
      <c r="U15" s="2" t="n">
        <f aca="false">MAX(C15,G15,K15,O15)-MIN(C15,G15,K15,O15)</f>
        <v>0</v>
      </c>
    </row>
    <row r="16" customFormat="false" ht="15" hidden="false" customHeight="false" outlineLevel="0" collapsed="false">
      <c r="A16" s="2" t="s">
        <v>71</v>
      </c>
      <c r="B16" s="7" t="n">
        <f aca="false">Win_Probabilities!E15</f>
        <v>7.91724383207629</v>
      </c>
      <c r="C16" s="3" t="n">
        <v>7.5</v>
      </c>
      <c r="D16" s="3" t="n">
        <v>-120</v>
      </c>
      <c r="E16" s="8" t="n">
        <f aca="false">IF(C16="","",SUMPRODUCT((COLUMN(Win_Probabilities!$F$1:$S$1)-COLUMN(Win_Probabilities!$F$1)&gt;C16)*Win_Probabilities!$F15:$S15))</f>
        <v>0.616252570811912</v>
      </c>
      <c r="F16" s="9" t="n">
        <f aca="false">E16*IF(D16&lt;0,10000/-D16,D16)-(1-E16)*100</f>
        <v>12.9796379821839</v>
      </c>
      <c r="G16" s="3" t="n">
        <v>7.5</v>
      </c>
      <c r="H16" s="3" t="n">
        <v>-125</v>
      </c>
      <c r="I16" s="8" t="n">
        <f aca="false">IF(G16="","",SUMPRODUCT((COLUMN(Win_Probabilities!$F$1:$S$1)-COLUMN(Win_Probabilities!$F$1)&gt;G16)*Win_Probabilities!$F15:$S15))</f>
        <v>0.616252570811912</v>
      </c>
      <c r="J16" s="9" t="n">
        <f aca="false">I16*IF(H16&lt;0,10000/-H16,H16)-(1-I16)*100</f>
        <v>10.9254627461442</v>
      </c>
      <c r="K16" s="3" t="n">
        <v>7.5</v>
      </c>
      <c r="L16" s="3" t="n">
        <v>-120</v>
      </c>
      <c r="M16" s="8" t="n">
        <f aca="false">IF(K16="","",SUMPRODUCT((COLUMN(Win_Probabilities!$F$1:$S$1)-COLUMN(Win_Probabilities!$F$1)&gt;K16)*Win_Probabilities!$F15:$S15))</f>
        <v>0.616252570811912</v>
      </c>
      <c r="N16" s="9" t="n">
        <f aca="false">M16*IF(L16&lt;0,10000/-L16,L16)-(1-M16)*100</f>
        <v>12.9796379821839</v>
      </c>
      <c r="O16" s="3" t="n">
        <v>7.5</v>
      </c>
      <c r="P16" s="3" t="n">
        <v>-125</v>
      </c>
      <c r="Q16" s="8" t="n">
        <f aca="false">IF(O16="","",SUMPRODUCT((COLUMN(Win_Probabilities!$F$1:$S$1)-COLUMN(Win_Probabilities!$F$1)&gt;O16)*Win_Probabilities!$F15:$S15))</f>
        <v>0.616252570811912</v>
      </c>
      <c r="R16" s="9" t="n">
        <f aca="false">Q16*IF(P16&lt;0,10000/-P16,P16)-(1-Q16)*100</f>
        <v>10.9254627461442</v>
      </c>
      <c r="S16" s="2" t="str">
        <f aca="false">IF(F16=MAX(F16,J16,N16,R16),"BetMGM",IF(J16=MAX(F16,J16,N16,R16),"DraftKings",IF(N16=MAX(F16,J16,N16,R16),"FanDuel",IF(R16=MAX(F16,J16,N16,R16),"RiversCasino",""))))</f>
        <v>BetMGM</v>
      </c>
      <c r="T16" s="9" t="n">
        <f aca="false">MAX(F16,J16,N16,R16)</f>
        <v>12.9796379821839</v>
      </c>
      <c r="U16" s="2" t="n">
        <f aca="false">MAX(C16,G16,K16,O16)-MIN(C16,G16,K16,O16)</f>
        <v>0</v>
      </c>
    </row>
    <row r="17" customFormat="false" ht="15" hidden="false" customHeight="false" outlineLevel="0" collapsed="false">
      <c r="A17" s="2" t="s">
        <v>72</v>
      </c>
      <c r="B17" s="7" t="n">
        <f aca="false">Win_Probabilities!E16</f>
        <v>7.44869268602149</v>
      </c>
      <c r="C17" s="3" t="n">
        <v>8.5</v>
      </c>
      <c r="D17" s="3" t="n">
        <v>145</v>
      </c>
      <c r="E17" s="8" t="n">
        <f aca="false">IF(C17="","",SUMPRODUCT((COLUMN(Win_Probabilities!$F$1:$S$1)-COLUMN(Win_Probabilities!$F$1)&gt;C17)*Win_Probabilities!$F16:$S16))</f>
        <v>0.224795922114119</v>
      </c>
      <c r="F17" s="9" t="n">
        <f aca="false">E17*IF(D17&lt;0,10000/-D17,D17)-(1-E17)*100</f>
        <v>-44.9249990820408</v>
      </c>
      <c r="G17" s="3" t="n">
        <v>8.5</v>
      </c>
      <c r="H17" s="3" t="n">
        <v>140</v>
      </c>
      <c r="I17" s="8" t="n">
        <f aca="false">IF(G17="","",SUMPRODUCT((COLUMN(Win_Probabilities!$F$1:$S$1)-COLUMN(Win_Probabilities!$F$1)&gt;G17)*Win_Probabilities!$F16:$S16))</f>
        <v>0.224795922114119</v>
      </c>
      <c r="J17" s="9" t="n">
        <f aca="false">I17*IF(H17&lt;0,10000/-H17,H17)-(1-I17)*100</f>
        <v>-46.0489786926114</v>
      </c>
      <c r="K17" s="3" t="n">
        <v>8.5</v>
      </c>
      <c r="L17" s="3" t="n">
        <v>152</v>
      </c>
      <c r="M17" s="8" t="n">
        <f aca="false">IF(K17="","",SUMPRODUCT((COLUMN(Win_Probabilities!$F$1:$S$1)-COLUMN(Win_Probabilities!$F$1)&gt;K17)*Win_Probabilities!$F16:$S16))</f>
        <v>0.224795922114119</v>
      </c>
      <c r="N17" s="9" t="n">
        <f aca="false">M17*IF(L17&lt;0,10000/-L17,L17)-(1-M17)*100</f>
        <v>-43.351427627242</v>
      </c>
      <c r="O17" s="3" t="n">
        <v>8.5</v>
      </c>
      <c r="P17" s="3" t="n">
        <v>130</v>
      </c>
      <c r="Q17" s="8" t="n">
        <f aca="false">IF(O17="","",SUMPRODUCT((COLUMN(Win_Probabilities!$F$1:$S$1)-COLUMN(Win_Probabilities!$F$1)&gt;O17)*Win_Probabilities!$F16:$S16))</f>
        <v>0.224795922114119</v>
      </c>
      <c r="R17" s="9" t="n">
        <f aca="false">Q17*IF(P17&lt;0,10000/-P17,P17)-(1-Q17)*100</f>
        <v>-48.2969379137526</v>
      </c>
      <c r="S17" s="2" t="str">
        <f aca="false">IF(F17=MAX(F17,J17,N17,R17),"BetMGM",IF(J17=MAX(F17,J17,N17,R17),"DraftKings",IF(N17=MAX(F17,J17,N17,R17),"FanDuel",IF(R17=MAX(F17,J17,N17,R17),"RiversCasino",""))))</f>
        <v>FanDuel</v>
      </c>
      <c r="T17" s="9" t="n">
        <f aca="false">MAX(F17,J17,N17,R17)</f>
        <v>-43.351427627242</v>
      </c>
      <c r="U17" s="2" t="n">
        <f aca="false">MAX(C17,G17,K17,O17)-MIN(C17,G17,K17,O17)</f>
        <v>0</v>
      </c>
    </row>
    <row r="18" customFormat="false" ht="15" hidden="false" customHeight="false" outlineLevel="0" collapsed="false">
      <c r="A18" s="2" t="s">
        <v>73</v>
      </c>
      <c r="B18" s="7" t="n">
        <f aca="false">Win_Probabilities!E17</f>
        <v>7.24336723468996</v>
      </c>
      <c r="C18" s="3" t="n">
        <v>8.5</v>
      </c>
      <c r="D18" s="3" t="n">
        <v>130</v>
      </c>
      <c r="E18" s="8" t="n">
        <f aca="false">IF(C18="","",SUMPRODUCT((COLUMN(Win_Probabilities!$F$1:$S$1)-COLUMN(Win_Probabilities!$F$1)&gt;C18)*Win_Probabilities!$F17:$S17))</f>
        <v>0.200736651018938</v>
      </c>
      <c r="F18" s="9" t="n">
        <f aca="false">E18*IF(D18&lt;0,10000/-D18,D18)-(1-E18)*100</f>
        <v>-53.8305702656443</v>
      </c>
      <c r="G18" s="3" t="n">
        <v>7.5</v>
      </c>
      <c r="H18" s="3" t="n">
        <v>-166</v>
      </c>
      <c r="I18" s="8" t="n">
        <f aca="false">IF(G18="","",SUMPRODUCT((COLUMN(Win_Probabilities!$F$1:$S$1)-COLUMN(Win_Probabilities!$F$1)&gt;G18)*Win_Probabilities!$F17:$S17))</f>
        <v>0.433708441446521</v>
      </c>
      <c r="J18" s="9" t="n">
        <f aca="false">I18*IF(H18&lt;0,10000/-H18,H18)-(1-I18)*100</f>
        <v>-30.5021413103768</v>
      </c>
      <c r="K18" s="3" t="n">
        <v>7.5</v>
      </c>
      <c r="L18" s="3" t="n">
        <v>-162</v>
      </c>
      <c r="M18" s="8" t="n">
        <f aca="false">IF(K18="","",SUMPRODUCT((COLUMN(Win_Probabilities!$F$1:$S$1)-COLUMN(Win_Probabilities!$F$1)&gt;K18)*Win_Probabilities!$F17:$S17))</f>
        <v>0.433708441446521</v>
      </c>
      <c r="N18" s="9" t="n">
        <f aca="false">M18*IF(L18&lt;0,10000/-L18,L18)-(1-M18)*100</f>
        <v>-29.8570298401306</v>
      </c>
      <c r="O18" s="3" t="n">
        <v>7.5</v>
      </c>
      <c r="P18" s="3" t="n">
        <v>-175</v>
      </c>
      <c r="Q18" s="8" t="n">
        <f aca="false">IF(O18="","",SUMPRODUCT((COLUMN(Win_Probabilities!$F$1:$S$1)-COLUMN(Win_Probabilities!$F$1)&gt;O18)*Win_Probabilities!$F17:$S17))</f>
        <v>0.433708441446521</v>
      </c>
      <c r="R18" s="9" t="n">
        <f aca="false">Q18*IF(P18&lt;0,10000/-P18,P18)-(1-Q18)*100</f>
        <v>-31.8458163441182</v>
      </c>
      <c r="S18" s="2" t="str">
        <f aca="false">IF(F18=MAX(F18,J18,N18,R18),"BetMGM",IF(J18=MAX(F18,J18,N18,R18),"DraftKings",IF(N18=MAX(F18,J18,N18,R18),"FanDuel",IF(R18=MAX(F18,J18,N18,R18),"RiversCasino",""))))</f>
        <v>FanDuel</v>
      </c>
      <c r="T18" s="9" t="n">
        <f aca="false">MAX(F18,J18,N18,R18)</f>
        <v>-29.8570298401306</v>
      </c>
      <c r="U18" s="2" t="n">
        <f aca="false">MAX(C18,G18,K18,O18)-MIN(C18,G18,K18,O18)</f>
        <v>1</v>
      </c>
    </row>
    <row r="19" customFormat="false" ht="15" hidden="false" customHeight="false" outlineLevel="0" collapsed="false">
      <c r="A19" s="2" t="s">
        <v>74</v>
      </c>
      <c r="B19" s="7" t="n">
        <f aca="false">Win_Probabilities!E18</f>
        <v>9.00205351057012</v>
      </c>
      <c r="C19" s="3" t="n">
        <v>9.5</v>
      </c>
      <c r="D19" s="3" t="n">
        <v>125</v>
      </c>
      <c r="E19" s="8" t="n">
        <f aca="false">IF(C19="","",SUMPRODUCT((COLUMN(Win_Probabilities!$F$1:$S$1)-COLUMN(Win_Probabilities!$F$1)&gt;C19)*Win_Probabilities!$F18:$S18))</f>
        <v>0.369605334739707</v>
      </c>
      <c r="F19" s="9" t="n">
        <f aca="false">E19*IF(D19&lt;0,10000/-D19,D19)-(1-E19)*100</f>
        <v>-16.8387996835658</v>
      </c>
      <c r="G19" s="3" t="n">
        <v>8.5</v>
      </c>
      <c r="H19" s="3" t="n">
        <v>-166</v>
      </c>
      <c r="I19" s="8" t="n">
        <f aca="false">IF(G19="","",SUMPRODUCT((COLUMN(Win_Probabilities!$F$1:$S$1)-COLUMN(Win_Probabilities!$F$1)&gt;G19)*Win_Probabilities!$F18:$S18))</f>
        <v>0.658110696403837</v>
      </c>
      <c r="J19" s="9" t="n">
        <f aca="false">I19*IF(H19&lt;0,10000/-H19,H19)-(1-I19)*100</f>
        <v>5.4562923153136</v>
      </c>
      <c r="K19" s="3" t="n">
        <v>9.5</v>
      </c>
      <c r="L19" s="3" t="n">
        <v>114</v>
      </c>
      <c r="M19" s="8" t="n">
        <f aca="false">IF(K19="","",SUMPRODUCT((COLUMN(Win_Probabilities!$F$1:$S$1)-COLUMN(Win_Probabilities!$F$1)&gt;K19)*Win_Probabilities!$F18:$S18))</f>
        <v>0.369605334739707</v>
      </c>
      <c r="N19" s="9" t="n">
        <f aca="false">M19*IF(L19&lt;0,10000/-L19,L19)-(1-M19)*100</f>
        <v>-20.9044583657026</v>
      </c>
      <c r="O19" s="3" t="n">
        <v>9.5</v>
      </c>
      <c r="P19" s="3" t="n">
        <v>128</v>
      </c>
      <c r="Q19" s="8" t="n">
        <f aca="false">IF(O19="","",SUMPRODUCT((COLUMN(Win_Probabilities!$F$1:$S$1)-COLUMN(Win_Probabilities!$F$1)&gt;O19)*Win_Probabilities!$F18:$S18))</f>
        <v>0.369605334739707</v>
      </c>
      <c r="R19" s="9" t="n">
        <f aca="false">Q19*IF(P19&lt;0,10000/-P19,P19)-(1-Q19)*100</f>
        <v>-15.7299836793467</v>
      </c>
      <c r="S19" s="2" t="str">
        <f aca="false">IF(F19=MAX(F19,J19,N19,R19),"BetMGM",IF(J19=MAX(F19,J19,N19,R19),"DraftKings",IF(N19=MAX(F19,J19,N19,R19),"FanDuel",IF(R19=MAX(F19,J19,N19,R19),"RiversCasino",""))))</f>
        <v>DraftKings</v>
      </c>
      <c r="T19" s="9" t="n">
        <f aca="false">MAX(F19,J19,N19,R19)</f>
        <v>5.4562923153136</v>
      </c>
      <c r="U19" s="2" t="n">
        <f aca="false">MAX(C19,G19,K19,O19)-MIN(C19,G19,K19,O19)</f>
        <v>1</v>
      </c>
    </row>
    <row r="20" customFormat="false" ht="15" hidden="false" customHeight="false" outlineLevel="0" collapsed="false">
      <c r="A20" s="2" t="s">
        <v>75</v>
      </c>
      <c r="B20" s="7" t="n">
        <f aca="false">Win_Probabilities!E19</f>
        <v>7.83927321068129</v>
      </c>
      <c r="C20" s="3" t="n">
        <v>7.5</v>
      </c>
      <c r="D20" s="3" t="n">
        <v>-160</v>
      </c>
      <c r="E20" s="8" t="n">
        <f aca="false">IF(C20="","",SUMPRODUCT((COLUMN(Win_Probabilities!$F$1:$S$1)-COLUMN(Win_Probabilities!$F$1)&gt;C20)*Win_Probabilities!$F19:$S19))</f>
        <v>0.603426610306121</v>
      </c>
      <c r="F20" s="9" t="n">
        <f aca="false">E20*IF(D20&lt;0,10000/-D20,D20)-(1-E20)*100</f>
        <v>-1.9431758252553</v>
      </c>
      <c r="G20" s="3" t="n">
        <v>7.5</v>
      </c>
      <c r="H20" s="3" t="n">
        <v>-170</v>
      </c>
      <c r="I20" s="8" t="n">
        <f aca="false">IF(G20="","",SUMPRODUCT((COLUMN(Win_Probabilities!$F$1:$S$1)-COLUMN(Win_Probabilities!$F$1)&gt;G20)*Win_Probabilities!$F19:$S19))</f>
        <v>0.603426610306121</v>
      </c>
      <c r="J20" s="9" t="n">
        <f aca="false">I20*IF(H20&lt;0,10000/-H20,H20)-(1-I20)*100</f>
        <v>-4.16165601020428</v>
      </c>
      <c r="K20" s="3" t="n">
        <v>7.5</v>
      </c>
      <c r="L20" s="3" t="n">
        <v>-172</v>
      </c>
      <c r="M20" s="8" t="n">
        <f aca="false">IF(K20="","",SUMPRODUCT((COLUMN(Win_Probabilities!$F$1:$S$1)-COLUMN(Win_Probabilities!$F$1)&gt;K20)*Win_Probabilities!$F19:$S19))</f>
        <v>0.603426610306121</v>
      </c>
      <c r="N20" s="9" t="n">
        <f aca="false">M20*IF(L20&lt;0,10000/-L20,L20)-(1-M20)*100</f>
        <v>-4.57439650972967</v>
      </c>
      <c r="O20" s="3" t="n">
        <v>7.5</v>
      </c>
      <c r="P20" s="3" t="n">
        <v>-159</v>
      </c>
      <c r="Q20" s="8" t="n">
        <f aca="false">IF(O20="","",SUMPRODUCT((COLUMN(Win_Probabilities!$F$1:$S$1)-COLUMN(Win_Probabilities!$F$1)&gt;O20)*Win_Probabilities!$F19:$S19))</f>
        <v>0.603426610306121</v>
      </c>
      <c r="R20" s="9" t="n">
        <f aca="false">Q20*IF(P20&lt;0,10000/-P20,P20)-(1-Q20)*100</f>
        <v>-1.70597983063812</v>
      </c>
      <c r="S20" s="2" t="str">
        <f aca="false">IF(F20=MAX(F20,J20,N20,R20),"BetMGM",IF(J20=MAX(F20,J20,N20,R20),"DraftKings",IF(N20=MAX(F20,J20,N20,R20),"FanDuel",IF(R20=MAX(F20,J20,N20,R20),"RiversCasino",""))))</f>
        <v>RiversCasino</v>
      </c>
      <c r="T20" s="9" t="n">
        <f aca="false">MAX(F20,J20,N20,R20)</f>
        <v>-1.70597983063812</v>
      </c>
      <c r="U20" s="2" t="n">
        <f aca="false">MAX(C20,G20,K20,O20)-MIN(C20,G20,K20,O20)</f>
        <v>0</v>
      </c>
    </row>
    <row r="21" customFormat="false" ht="15" hidden="false" customHeight="false" outlineLevel="0" collapsed="false">
      <c r="A21" s="2" t="s">
        <v>76</v>
      </c>
      <c r="B21" s="7" t="n">
        <f aca="false">Win_Probabilities!E20</f>
        <v>7.28909986681057</v>
      </c>
      <c r="C21" s="3" t="n">
        <v>6.5</v>
      </c>
      <c r="D21" s="3" t="n">
        <v>-115</v>
      </c>
      <c r="E21" s="8" t="n">
        <f aca="false">IF(C21="","",SUMPRODUCT((COLUMN(Win_Probabilities!$F$1:$S$1)-COLUMN(Win_Probabilities!$F$1)&gt;C21)*Win_Probabilities!$F20:$S20))</f>
        <v>0.704304308982639</v>
      </c>
      <c r="F21" s="9" t="n">
        <f aca="false">E21*IF(D21&lt;0,10000/-D21,D21)-(1-E21)*100</f>
        <v>31.674283853276</v>
      </c>
      <c r="G21" s="3" t="n">
        <v>6.5</v>
      </c>
      <c r="H21" s="3" t="n">
        <v>-120</v>
      </c>
      <c r="I21" s="8" t="n">
        <f aca="false">IF(G21="","",SUMPRODUCT((COLUMN(Win_Probabilities!$F$1:$S$1)-COLUMN(Win_Probabilities!$F$1)&gt;G21)*Win_Probabilities!$F20:$S20))</f>
        <v>0.704304308982639</v>
      </c>
      <c r="J21" s="9" t="n">
        <f aca="false">I21*IF(H21&lt;0,10000/-H21,H21)-(1-I21)*100</f>
        <v>29.1224566468172</v>
      </c>
      <c r="K21" s="3" t="n">
        <v>6.5</v>
      </c>
      <c r="L21" s="3" t="n">
        <v>-110</v>
      </c>
      <c r="M21" s="8" t="n">
        <f aca="false">IF(K21="","",SUMPRODUCT((COLUMN(Win_Probabilities!$F$1:$S$1)-COLUMN(Win_Probabilities!$F$1)&gt;K21)*Win_Probabilities!$F20:$S20))</f>
        <v>0.704304308982639</v>
      </c>
      <c r="N21" s="9" t="n">
        <f aca="false">M21*IF(L21&lt;0,10000/-L21,L21)-(1-M21)*100</f>
        <v>34.4580953512311</v>
      </c>
      <c r="O21" s="3" t="n">
        <v>6.5</v>
      </c>
      <c r="P21" s="3" t="n">
        <v>-114</v>
      </c>
      <c r="Q21" s="8" t="n">
        <f aca="false">IF(O21="","",SUMPRODUCT((COLUMN(Win_Probabilities!$F$1:$S$1)-COLUMN(Win_Probabilities!$F$1)&gt;O21)*Win_Probabilities!$F20:$S20))</f>
        <v>0.704304308982639</v>
      </c>
      <c r="R21" s="9" t="n">
        <f aca="false">Q21*IF(P21&lt;0,10000/-P21,P21)-(1-Q21)*100</f>
        <v>32.2115106335832</v>
      </c>
      <c r="S21" s="2" t="str">
        <f aca="false">IF(F21=MAX(F21,J21,N21,R21),"BetMGM",IF(J21=MAX(F21,J21,N21,R21),"DraftKings",IF(N21=MAX(F21,J21,N21,R21),"FanDuel",IF(R21=MAX(F21,J21,N21,R21),"RiversCasino",""))))</f>
        <v>FanDuel</v>
      </c>
      <c r="T21" s="9" t="n">
        <f aca="false">MAX(F21,J21,N21,R21)</f>
        <v>34.4580953512311</v>
      </c>
      <c r="U21" s="2" t="n">
        <f aca="false">MAX(C21,G21,K21,O21)-MIN(C21,G21,K21,O21)</f>
        <v>0</v>
      </c>
    </row>
    <row r="22" customFormat="false" ht="15" hidden="false" customHeight="false" outlineLevel="0" collapsed="false">
      <c r="A22" s="2" t="s">
        <v>77</v>
      </c>
      <c r="B22" s="7" t="n">
        <f aca="false">Win_Probabilities!E21</f>
        <v>6.98336906831279</v>
      </c>
      <c r="C22" s="3" t="n">
        <v>7.5</v>
      </c>
      <c r="D22" s="3" t="n">
        <v>130</v>
      </c>
      <c r="E22" s="8" t="n">
        <f aca="false">IF(C22="","",SUMPRODUCT((COLUMN(Win_Probabilities!$F$1:$S$1)-COLUMN(Win_Probabilities!$F$1)&gt;C22)*Win_Probabilities!$F21:$S21))</f>
        <v>0.370011925365283</v>
      </c>
      <c r="F22" s="9" t="n">
        <f aca="false">E22*IF(D22&lt;0,10000/-D22,D22)-(1-E22)*100</f>
        <v>-14.8972571659849</v>
      </c>
      <c r="G22" s="3" t="n">
        <v>7.5</v>
      </c>
      <c r="H22" s="3" t="n">
        <v>130</v>
      </c>
      <c r="I22" s="8" t="n">
        <f aca="false">IF(G22="","",SUMPRODUCT((COLUMN(Win_Probabilities!$F$1:$S$1)-COLUMN(Win_Probabilities!$F$1)&gt;G22)*Win_Probabilities!$F21:$S21))</f>
        <v>0.370011925365283</v>
      </c>
      <c r="J22" s="9" t="n">
        <f aca="false">I22*IF(H22&lt;0,10000/-H22,H22)-(1-I22)*100</f>
        <v>-14.8972571659849</v>
      </c>
      <c r="K22" s="3" t="n">
        <v>7.5</v>
      </c>
      <c r="L22" s="3" t="n">
        <v>128</v>
      </c>
      <c r="M22" s="8" t="n">
        <f aca="false">IF(K22="","",SUMPRODUCT((COLUMN(Win_Probabilities!$F$1:$S$1)-COLUMN(Win_Probabilities!$F$1)&gt;K22)*Win_Probabilities!$F21:$S21))</f>
        <v>0.370011925365283</v>
      </c>
      <c r="N22" s="9" t="n">
        <f aca="false">M22*IF(L22&lt;0,10000/-L22,L22)-(1-M22)*100</f>
        <v>-15.6372810167154</v>
      </c>
      <c r="O22" s="3" t="n">
        <v>7.5</v>
      </c>
      <c r="P22" s="3" t="n">
        <v>135</v>
      </c>
      <c r="Q22" s="8" t="n">
        <f aca="false">IF(O22="","",SUMPRODUCT((COLUMN(Win_Probabilities!$F$1:$S$1)-COLUMN(Win_Probabilities!$F$1)&gt;O22)*Win_Probabilities!$F21:$S21))</f>
        <v>0.370011925365283</v>
      </c>
      <c r="R22" s="9" t="n">
        <f aca="false">Q22*IF(P22&lt;0,10000/-P22,P22)-(1-Q22)*100</f>
        <v>-13.0471975391585</v>
      </c>
      <c r="S22" s="2" t="str">
        <f aca="false">IF(F22=MAX(F22,J22,N22,R22),"BetMGM",IF(J22=MAX(F22,J22,N22,R22),"DraftKings",IF(N22=MAX(F22,J22,N22,R22),"FanDuel",IF(R22=MAX(F22,J22,N22,R22),"RiversCasino",""))))</f>
        <v>RiversCasino</v>
      </c>
      <c r="T22" s="9" t="n">
        <f aca="false">MAX(F22,J22,N22,R22)</f>
        <v>-13.0471975391585</v>
      </c>
      <c r="U22" s="2" t="n">
        <f aca="false">MAX(C22,G22,K22,O22)-MIN(C22,G22,K22,O22)</f>
        <v>0</v>
      </c>
    </row>
    <row r="23" customFormat="false" ht="15" hidden="false" customHeight="false" outlineLevel="0" collapsed="false">
      <c r="A23" s="2" t="s">
        <v>78</v>
      </c>
      <c r="B23" s="7" t="n">
        <f aca="false">Win_Probabilities!E22</f>
        <v>8.77670519352936</v>
      </c>
      <c r="C23" s="3" t="n">
        <v>8.5</v>
      </c>
      <c r="D23" s="3" t="n">
        <v>-160</v>
      </c>
      <c r="E23" s="8" t="n">
        <f aca="false">IF(C23="","",SUMPRODUCT((COLUMN(Win_Probabilities!$F$1:$S$1)-COLUMN(Win_Probabilities!$F$1)&gt;C23)*Win_Probabilities!$F22:$S22))</f>
        <v>0.594451602335877</v>
      </c>
      <c r="F23" s="9" t="n">
        <f aca="false">E23*IF(D23&lt;0,10000/-D23,D23)-(1-E23)*100</f>
        <v>-3.40161462042</v>
      </c>
      <c r="G23" s="3" t="n">
        <v>8.5</v>
      </c>
      <c r="H23" s="3" t="n">
        <v>-150</v>
      </c>
      <c r="I23" s="8" t="n">
        <f aca="false">IF(G23="","",SUMPRODUCT((COLUMN(Win_Probabilities!$F$1:$S$1)-COLUMN(Win_Probabilities!$F$1)&gt;G23)*Win_Probabilities!$F22:$S22))</f>
        <v>0.594451602335877</v>
      </c>
      <c r="J23" s="9" t="n">
        <f aca="false">I23*IF(H23&lt;0,10000/-H23,H23)-(1-I23)*100</f>
        <v>-0.924732944020512</v>
      </c>
      <c r="K23" s="3" t="n">
        <v>8.5</v>
      </c>
      <c r="L23" s="3" t="n">
        <v>-162</v>
      </c>
      <c r="M23" s="8" t="n">
        <f aca="false">IF(K23="","",SUMPRODUCT((COLUMN(Win_Probabilities!$F$1:$S$1)-COLUMN(Win_Probabilities!$F$1)&gt;K23)*Win_Probabilities!$F22:$S22))</f>
        <v>0.594451602335877</v>
      </c>
      <c r="N23" s="9" t="n">
        <f aca="false">M23*IF(L23&lt;0,10000/-L23,L23)-(1-M23)*100</f>
        <v>-3.86029641234583</v>
      </c>
      <c r="O23" s="3" t="n">
        <v>8.5</v>
      </c>
      <c r="P23" s="3" t="n">
        <v>-152</v>
      </c>
      <c r="Q23" s="8" t="n">
        <f aca="false">IF(O23="","",SUMPRODUCT((COLUMN(Win_Probabilities!$F$1:$S$1)-COLUMN(Win_Probabilities!$F$1)&gt;O23)*Win_Probabilities!$F22:$S22))</f>
        <v>0.594451602335877</v>
      </c>
      <c r="R23" s="9" t="n">
        <f aca="false">Q23*IF(P23&lt;0,10000/-P23,P23)-(1-Q23)*100</f>
        <v>-1.44618171799936</v>
      </c>
      <c r="S23" s="2" t="str">
        <f aca="false">IF(F23=MAX(F23,J23,N23,R23),"BetMGM",IF(J23=MAX(F23,J23,N23,R23),"DraftKings",IF(N23=MAX(F23,J23,N23,R23),"FanDuel",IF(R23=MAX(F23,J23,N23,R23),"RiversCasino",""))))</f>
        <v>DraftKings</v>
      </c>
      <c r="T23" s="9" t="n">
        <f aca="false">MAX(F23,J23,N23,R23)</f>
        <v>-0.924732944020512</v>
      </c>
      <c r="U23" s="2" t="n">
        <f aca="false">MAX(C23,G23,K23,O23)-MIN(C23,G23,K23,O23)</f>
        <v>0</v>
      </c>
    </row>
    <row r="24" customFormat="false" ht="15" hidden="false" customHeight="false" outlineLevel="0" collapsed="false">
      <c r="A24" s="2" t="s">
        <v>79</v>
      </c>
      <c r="B24" s="7" t="n">
        <f aca="false">Win_Probabilities!E23</f>
        <v>8.00312179446434</v>
      </c>
      <c r="C24" s="3" t="n">
        <v>7.5</v>
      </c>
      <c r="D24" s="3" t="n">
        <v>-150</v>
      </c>
      <c r="E24" s="8" t="n">
        <f aca="false">IF(C24="","",SUMPRODUCT((COLUMN(Win_Probabilities!$F$1:$S$1)-COLUMN(Win_Probabilities!$F$1)&gt;C24)*Win_Probabilities!$F23:$S23))</f>
        <v>0.648662977473755</v>
      </c>
      <c r="F24" s="9" t="n">
        <f aca="false">E24*IF(D24&lt;0,10000/-D24,D24)-(1-E24)*100</f>
        <v>8.11049624562582</v>
      </c>
      <c r="G24" s="3" t="n">
        <v>7.5</v>
      </c>
      <c r="H24" s="3" t="n">
        <v>-140</v>
      </c>
      <c r="I24" s="8" t="n">
        <f aca="false">IF(G24="","",SUMPRODUCT((COLUMN(Win_Probabilities!$F$1:$S$1)-COLUMN(Win_Probabilities!$F$1)&gt;G24)*Win_Probabilities!$F23:$S23))</f>
        <v>0.648662977473755</v>
      </c>
      <c r="J24" s="9" t="n">
        <f aca="false">I24*IF(H24&lt;0,10000/-H24,H24)-(1-I24)*100</f>
        <v>11.1993675669294</v>
      </c>
      <c r="K24" s="3" t="n">
        <v>7.5</v>
      </c>
      <c r="L24" s="3" t="n">
        <v>-130</v>
      </c>
      <c r="M24" s="8" t="n">
        <f aca="false">IF(K24="","",SUMPRODUCT((COLUMN(Win_Probabilities!$F$1:$S$1)-COLUMN(Win_Probabilities!$F$1)&gt;K24)*Win_Probabilities!$F23:$S23))</f>
        <v>0.648662977473755</v>
      </c>
      <c r="N24" s="9" t="n">
        <f aca="false">M24*IF(L24&lt;0,10000/-L24,L24)-(1-M24)*100</f>
        <v>14.7634498607412</v>
      </c>
      <c r="O24" s="3" t="n">
        <v>7.5</v>
      </c>
      <c r="P24" s="3" t="n">
        <v>-136</v>
      </c>
      <c r="Q24" s="8" t="n">
        <f aca="false">IF(O24="","",SUMPRODUCT((COLUMN(Win_Probabilities!$F$1:$S$1)-COLUMN(Win_Probabilities!$F$1)&gt;O24)*Win_Probabilities!$F23:$S23))</f>
        <v>0.648662977473755</v>
      </c>
      <c r="R24" s="9" t="n">
        <f aca="false">Q24*IF(P24&lt;0,10000/-P24,P24)-(1-Q24)*100</f>
        <v>12.5621049145634</v>
      </c>
      <c r="S24" s="2" t="str">
        <f aca="false">IF(F24=MAX(F24,J24,N24,R24),"BetMGM",IF(J24=MAX(F24,J24,N24,R24),"DraftKings",IF(N24=MAX(F24,J24,N24,R24),"FanDuel",IF(R24=MAX(F24,J24,N24,R24),"RiversCasino",""))))</f>
        <v>FanDuel</v>
      </c>
      <c r="T24" s="9" t="n">
        <f aca="false">MAX(F24,J24,N24,R24)</f>
        <v>14.7634498607412</v>
      </c>
      <c r="U24" s="2" t="n">
        <f aca="false">MAX(C24,G24,K24,O24)-MIN(C24,G24,K24,O24)</f>
        <v>0</v>
      </c>
    </row>
    <row r="25" customFormat="false" ht="15" hidden="false" customHeight="false" outlineLevel="0" collapsed="false">
      <c r="A25" s="2" t="s">
        <v>80</v>
      </c>
      <c r="B25" s="7" t="n">
        <f aca="false">Win_Probabilities!E24</f>
        <v>7.93610456941867</v>
      </c>
      <c r="C25" s="3" t="n">
        <v>7.5</v>
      </c>
      <c r="D25" s="3" t="n">
        <v>-140</v>
      </c>
      <c r="E25" s="8" t="n">
        <f aca="false">IF(C25="","",SUMPRODUCT((COLUMN(Win_Probabilities!$F$1:$S$1)-COLUMN(Win_Probabilities!$F$1)&gt;C25)*Win_Probabilities!$F24:$S24))</f>
        <v>0.624359527110712</v>
      </c>
      <c r="F25" s="9" t="n">
        <f aca="false">E25*IF(D25&lt;0,10000/-D25,D25)-(1-E25)*100</f>
        <v>7.03306179040779</v>
      </c>
      <c r="G25" s="3" t="n">
        <v>7.5</v>
      </c>
      <c r="H25" s="3" t="n">
        <v>-140</v>
      </c>
      <c r="I25" s="8" t="n">
        <f aca="false">IF(G25="","",SUMPRODUCT((COLUMN(Win_Probabilities!$F$1:$S$1)-COLUMN(Win_Probabilities!$F$1)&gt;G25)*Win_Probabilities!$F24:$S24))</f>
        <v>0.624359527110712</v>
      </c>
      <c r="J25" s="9" t="n">
        <f aca="false">I25*IF(H25&lt;0,10000/-H25,H25)-(1-I25)*100</f>
        <v>7.03306179040779</v>
      </c>
      <c r="K25" s="3" t="n">
        <v>7.5</v>
      </c>
      <c r="L25" s="3" t="n">
        <v>-142</v>
      </c>
      <c r="M25" s="8" t="n">
        <f aca="false">IF(K25="","",SUMPRODUCT((COLUMN(Win_Probabilities!$F$1:$S$1)-COLUMN(Win_Probabilities!$F$1)&gt;K25)*Win_Probabilities!$F24:$S24))</f>
        <v>0.624359527110712</v>
      </c>
      <c r="N25" s="9" t="n">
        <f aca="false">M25*IF(L25&lt;0,10000/-L25,L25)-(1-M25)*100</f>
        <v>6.40493349351572</v>
      </c>
      <c r="O25" s="3" t="n">
        <v>7.5</v>
      </c>
      <c r="P25" s="3" t="n">
        <v>-139</v>
      </c>
      <c r="Q25" s="8" t="n">
        <f aca="false">IF(O25="","",SUMPRODUCT((COLUMN(Win_Probabilities!$F$1:$S$1)-COLUMN(Win_Probabilities!$F$1)&gt;O25)*Win_Probabilities!$F24:$S24))</f>
        <v>0.624359527110712</v>
      </c>
      <c r="R25" s="9" t="n">
        <f aca="false">Q25*IF(P25&lt;0,10000/-P25,P25)-(1-Q25)*100</f>
        <v>7.35390430176992</v>
      </c>
      <c r="S25" s="2" t="str">
        <f aca="false">IF(F25=MAX(F25,J25,N25,R25),"BetMGM",IF(J25=MAX(F25,J25,N25,R25),"DraftKings",IF(N25=MAX(F25,J25,N25,R25),"FanDuel",IF(R25=MAX(F25,J25,N25,R25),"RiversCasino",""))))</f>
        <v>RiversCasino</v>
      </c>
      <c r="T25" s="9" t="n">
        <f aca="false">MAX(F25,J25,N25,R25)</f>
        <v>7.35390430176992</v>
      </c>
      <c r="U25" s="2" t="n">
        <f aca="false">MAX(C25,G25,K25,O25)-MIN(C25,G25,K25,O25)</f>
        <v>0</v>
      </c>
    </row>
    <row r="26" customFormat="false" ht="15" hidden="false" customHeight="false" outlineLevel="0" collapsed="false">
      <c r="A26" s="2" t="s">
        <v>81</v>
      </c>
      <c r="B26" s="7" t="n">
        <f aca="false">Win_Probabilities!E25</f>
        <v>6.5255292136748</v>
      </c>
      <c r="C26" s="3" t="n">
        <v>6.5</v>
      </c>
      <c r="D26" s="3" t="n">
        <v>110</v>
      </c>
      <c r="E26" s="8" t="n">
        <f aca="false">IF(C26="","",SUMPRODUCT((COLUMN(Win_Probabilities!$F$1:$S$1)-COLUMN(Win_Probabilities!$F$1)&gt;C26)*Win_Probabilities!$F25:$S25))</f>
        <v>0.502450402429833</v>
      </c>
      <c r="F26" s="9" t="n">
        <f aca="false">E26*IF(D26&lt;0,10000/-D26,D26)-(1-E26)*100</f>
        <v>5.51458451026495</v>
      </c>
      <c r="G26" s="3" t="n">
        <v>6.5</v>
      </c>
      <c r="H26" s="3" t="n">
        <v>110</v>
      </c>
      <c r="I26" s="8" t="n">
        <f aca="false">IF(G26="","",SUMPRODUCT((COLUMN(Win_Probabilities!$F$1:$S$1)-COLUMN(Win_Probabilities!$F$1)&gt;G26)*Win_Probabilities!$F25:$S25))</f>
        <v>0.502450402429833</v>
      </c>
      <c r="J26" s="9" t="n">
        <f aca="false">I26*IF(H26&lt;0,10000/-H26,H26)-(1-I26)*100</f>
        <v>5.51458451026495</v>
      </c>
      <c r="K26" s="3" t="n">
        <v>6.5</v>
      </c>
      <c r="L26" s="3" t="n">
        <v>-100</v>
      </c>
      <c r="M26" s="8" t="n">
        <f aca="false">IF(K26="","",SUMPRODUCT((COLUMN(Win_Probabilities!$F$1:$S$1)-COLUMN(Win_Probabilities!$F$1)&gt;K26)*Win_Probabilities!$F25:$S25))</f>
        <v>0.502450402429833</v>
      </c>
      <c r="N26" s="9" t="n">
        <f aca="false">M26*IF(L26&lt;0,10000/-L26,L26)-(1-M26)*100</f>
        <v>0.490080485966615</v>
      </c>
      <c r="O26" s="3" t="n">
        <v>6.5</v>
      </c>
      <c r="P26" s="3" t="n">
        <v>115</v>
      </c>
      <c r="Q26" s="8" t="n">
        <f aca="false">IF(O26="","",SUMPRODUCT((COLUMN(Win_Probabilities!$F$1:$S$1)-COLUMN(Win_Probabilities!$F$1)&gt;O26)*Win_Probabilities!$F25:$S25))</f>
        <v>0.502450402429833</v>
      </c>
      <c r="R26" s="9" t="n">
        <f aca="false">Q26*IF(P26&lt;0,10000/-P26,P26)-(1-Q26)*100</f>
        <v>8.02683652241412</v>
      </c>
      <c r="S26" s="2" t="str">
        <f aca="false">IF(F26=MAX(F26,J26,N26,R26),"BetMGM",IF(J26=MAX(F26,J26,N26,R26),"DraftKings",IF(N26=MAX(F26,J26,N26,R26),"FanDuel",IF(R26=MAX(F26,J26,N26,R26),"RiversCasino",""))))</f>
        <v>RiversCasino</v>
      </c>
      <c r="T26" s="9" t="n">
        <f aca="false">MAX(F26,J26,N26,R26)</f>
        <v>8.02683652241412</v>
      </c>
      <c r="U26" s="2" t="n">
        <f aca="false">MAX(C26,G26,K26,O26)-MIN(C26,G26,K26,O26)</f>
        <v>0</v>
      </c>
    </row>
    <row r="27" customFormat="false" ht="15" hidden="false" customHeight="false" outlineLevel="0" collapsed="false">
      <c r="A27" s="2" t="s">
        <v>82</v>
      </c>
      <c r="B27" s="7" t="n">
        <f aca="false">Win_Probabilities!E26</f>
        <v>8.29124582349763</v>
      </c>
      <c r="C27" s="3" t="n">
        <v>8.5</v>
      </c>
      <c r="D27" s="3" t="n">
        <v>-140</v>
      </c>
      <c r="E27" s="8" t="n">
        <f aca="false">IF(C27="","",SUMPRODUCT((COLUMN(Win_Probabilities!$F$1:$S$1)-COLUMN(Win_Probabilities!$F$1)&gt;C27)*Win_Probabilities!$F26:$S26))</f>
        <v>0.45463098522105</v>
      </c>
      <c r="F27" s="9" t="n">
        <f aca="false">E27*IF(D27&lt;0,10000/-D27,D27)-(1-E27)*100</f>
        <v>-22.0632596763915</v>
      </c>
      <c r="G27" s="3" t="n">
        <v>8.5</v>
      </c>
      <c r="H27" s="3" t="n">
        <v>-136</v>
      </c>
      <c r="I27" s="8" t="n">
        <f aca="false">IF(G27="","",SUMPRODUCT((COLUMN(Win_Probabilities!$F$1:$S$1)-COLUMN(Win_Probabilities!$F$1)&gt;G27)*Win_Probabilities!$F26:$S26))</f>
        <v>0.45463098522105</v>
      </c>
      <c r="J27" s="9" t="n">
        <f aca="false">I27*IF(H27&lt;0,10000/-H27,H27)-(1-I27)*100</f>
        <v>-21.1081525645825</v>
      </c>
      <c r="K27" s="3" t="n">
        <v>8.5</v>
      </c>
      <c r="L27" s="3" t="n">
        <v>-140</v>
      </c>
      <c r="M27" s="8" t="n">
        <f aca="false">IF(K27="","",SUMPRODUCT((COLUMN(Win_Probabilities!$F$1:$S$1)-COLUMN(Win_Probabilities!$F$1)&gt;K27)*Win_Probabilities!$F26:$S26))</f>
        <v>0.45463098522105</v>
      </c>
      <c r="N27" s="9" t="n">
        <f aca="false">M27*IF(L27&lt;0,10000/-L27,L27)-(1-M27)*100</f>
        <v>-22.0632596763915</v>
      </c>
      <c r="O27" s="3" t="n">
        <v>8.5</v>
      </c>
      <c r="P27" s="3" t="n">
        <v>-139</v>
      </c>
      <c r="Q27" s="8" t="n">
        <f aca="false">IF(O27="","",SUMPRODUCT((COLUMN(Win_Probabilities!$F$1:$S$1)-COLUMN(Win_Probabilities!$F$1)&gt;O27)*Win_Probabilities!$F26:$S26))</f>
        <v>0.45463098522105</v>
      </c>
      <c r="R27" s="9" t="n">
        <f aca="false">Q27*IF(P27&lt;0,10000/-P27,P27)-(1-Q27)*100</f>
        <v>-21.8296363540785</v>
      </c>
      <c r="S27" s="2" t="str">
        <f aca="false">IF(F27=MAX(F27,J27,N27,R27),"BetMGM",IF(J27=MAX(F27,J27,N27,R27),"DraftKings",IF(N27=MAX(F27,J27,N27,R27),"FanDuel",IF(R27=MAX(F27,J27,N27,R27),"RiversCasino",""))))</f>
        <v>DraftKings</v>
      </c>
      <c r="T27" s="9" t="n">
        <f aca="false">MAX(F27,J27,N27,R27)</f>
        <v>-21.1081525645825</v>
      </c>
      <c r="U27" s="2" t="n">
        <f aca="false">MAX(C27,G27,K27,O27)-MIN(C27,G27,K27,O27)</f>
        <v>0</v>
      </c>
    </row>
    <row r="28" customFormat="false" ht="15" hidden="false" customHeight="false" outlineLevel="0" collapsed="false">
      <c r="A28" s="2" t="s">
        <v>83</v>
      </c>
      <c r="B28" s="7" t="n">
        <f aca="false">Win_Probabilities!E27</f>
        <v>6.44421882939283</v>
      </c>
      <c r="C28" s="3" t="n">
        <v>6.5</v>
      </c>
      <c r="D28" s="3" t="n">
        <v>-125</v>
      </c>
      <c r="E28" s="8" t="n">
        <f aca="false">IF(C28="","",SUMPRODUCT((COLUMN(Win_Probabilities!$F$1:$S$1)-COLUMN(Win_Probabilities!$F$1)&gt;C28)*Win_Probabilities!$F27:$S27))</f>
        <v>0.481813981504171</v>
      </c>
      <c r="F28" s="9" t="n">
        <f aca="false">E28*IF(D28&lt;0,10000/-D28,D28)-(1-E28)*100</f>
        <v>-13.2734833292492</v>
      </c>
      <c r="G28" s="3" t="n">
        <v>6.5</v>
      </c>
      <c r="H28" s="3" t="n">
        <v>-115</v>
      </c>
      <c r="I28" s="8" t="n">
        <f aca="false">IF(G28="","",SUMPRODUCT((COLUMN(Win_Probabilities!$F$1:$S$1)-COLUMN(Win_Probabilities!$F$1)&gt;G28)*Win_Probabilities!$F27:$S27))</f>
        <v>0.481813981504171</v>
      </c>
      <c r="J28" s="9" t="n">
        <f aca="false">I28*IF(H28&lt;0,10000/-H28,H28)-(1-I28)*100</f>
        <v>-9.92173389269849</v>
      </c>
      <c r="K28" s="3" t="n">
        <v>6.5</v>
      </c>
      <c r="L28" s="3" t="n">
        <v>-120</v>
      </c>
      <c r="M28" s="8" t="n">
        <f aca="false">IF(K28="","",SUMPRODUCT((COLUMN(Win_Probabilities!$F$1:$S$1)-COLUMN(Win_Probabilities!$F$1)&gt;K28)*Win_Probabilities!$F27:$S27))</f>
        <v>0.481813981504171</v>
      </c>
      <c r="N28" s="9" t="n">
        <f aca="false">M28*IF(L28&lt;0,10000/-L28,L28)-(1-M28)*100</f>
        <v>-11.6674367242353</v>
      </c>
      <c r="O28" s="3" t="n">
        <v>6.5</v>
      </c>
      <c r="P28" s="3" t="n">
        <v>-114</v>
      </c>
      <c r="Q28" s="8" t="n">
        <f aca="false">IF(O28="","",SUMPRODUCT((COLUMN(Win_Probabilities!$F$1:$S$1)-COLUMN(Win_Probabilities!$F$1)&gt;O28)*Win_Probabilities!$F27:$S27))</f>
        <v>0.481813981504171</v>
      </c>
      <c r="R28" s="9" t="n">
        <f aca="false">Q28*IF(P28&lt;0,10000/-P28,P28)-(1-Q28)*100</f>
        <v>-9.55421750711179</v>
      </c>
      <c r="S28" s="2" t="str">
        <f aca="false">IF(F28=MAX(F28,J28,N28,R28),"BetMGM",IF(J28=MAX(F28,J28,N28,R28),"DraftKings",IF(N28=MAX(F28,J28,N28,R28),"FanDuel",IF(R28=MAX(F28,J28,N28,R28),"RiversCasino",""))))</f>
        <v>RiversCasino</v>
      </c>
      <c r="T28" s="9" t="n">
        <f aca="false">MAX(F28,J28,N28,R28)</f>
        <v>-9.55421750711179</v>
      </c>
      <c r="U28" s="2" t="n">
        <f aca="false">MAX(C28,G28,K28,O28)-MIN(C28,G28,K28,O28)</f>
        <v>0</v>
      </c>
    </row>
    <row r="29" customFormat="false" ht="15" hidden="false" customHeight="false" outlineLevel="0" collapsed="false">
      <c r="A29" s="2" t="s">
        <v>84</v>
      </c>
      <c r="B29" s="7" t="n">
        <f aca="false">Win_Probabilities!E28</f>
        <v>7.840158927372</v>
      </c>
      <c r="C29" s="3" t="n">
        <v>8.5</v>
      </c>
      <c r="D29" s="3" t="n">
        <v>110</v>
      </c>
      <c r="E29" s="8" t="n">
        <f aca="false">IF(C29="","",SUMPRODUCT((COLUMN(Win_Probabilities!$F$1:$S$1)-COLUMN(Win_Probabilities!$F$1)&gt;C29)*Win_Probabilities!$F28:$S28))</f>
        <v>0.344810115151201</v>
      </c>
      <c r="F29" s="9" t="n">
        <f aca="false">E29*IF(D29&lt;0,10000/-D29,D29)-(1-E29)*100</f>
        <v>-27.5898758182478</v>
      </c>
      <c r="G29" s="3" t="n">
        <v>8.5</v>
      </c>
      <c r="H29" s="3" t="n">
        <v>124</v>
      </c>
      <c r="I29" s="8" t="n">
        <f aca="false">IF(G29="","",SUMPRODUCT((COLUMN(Win_Probabilities!$F$1:$S$1)-COLUMN(Win_Probabilities!$F$1)&gt;G29)*Win_Probabilities!$F28:$S28))</f>
        <v>0.344810115151201</v>
      </c>
      <c r="J29" s="9" t="n">
        <f aca="false">I29*IF(H29&lt;0,10000/-H29,H29)-(1-I29)*100</f>
        <v>-22.762534206131</v>
      </c>
      <c r="K29" s="3" t="n">
        <v>8.5</v>
      </c>
      <c r="L29" s="3" t="n">
        <v>106</v>
      </c>
      <c r="M29" s="8" t="n">
        <f aca="false">IF(K29="","",SUMPRODUCT((COLUMN(Win_Probabilities!$F$1:$S$1)-COLUMN(Win_Probabilities!$F$1)&gt;K29)*Win_Probabilities!$F28:$S28))</f>
        <v>0.344810115151201</v>
      </c>
      <c r="N29" s="9" t="n">
        <f aca="false">M29*IF(L29&lt;0,10000/-L29,L29)-(1-M29)*100</f>
        <v>-28.9691162788526</v>
      </c>
      <c r="O29" s="3" t="n">
        <v>7.5</v>
      </c>
      <c r="P29" s="3" t="n">
        <v>-180</v>
      </c>
      <c r="Q29" s="8" t="n">
        <f aca="false">IF(O29="","",SUMPRODUCT((COLUMN(Win_Probabilities!$F$1:$S$1)-COLUMN(Win_Probabilities!$F$1)&gt;O29)*Win_Probabilities!$F28:$S28))</f>
        <v>0.594922707416277</v>
      </c>
      <c r="R29" s="9" t="n">
        <f aca="false">Q29*IF(P29&lt;0,10000/-P29,P29)-(1-Q29)*100</f>
        <v>-7.45646773524575</v>
      </c>
      <c r="S29" s="2" t="str">
        <f aca="false">IF(F29=MAX(F29,J29,N29,R29),"BetMGM",IF(J29=MAX(F29,J29,N29,R29),"DraftKings",IF(N29=MAX(F29,J29,N29,R29),"FanDuel",IF(R29=MAX(F29,J29,N29,R29),"RiversCasino",""))))</f>
        <v>RiversCasino</v>
      </c>
      <c r="T29" s="9" t="n">
        <f aca="false">MAX(F29,J29,N29,R29)</f>
        <v>-7.45646773524575</v>
      </c>
      <c r="U29" s="2" t="n">
        <f aca="false">MAX(C29,G29,K29,O29)-MIN(C29,G29,K29,O29)</f>
        <v>1</v>
      </c>
    </row>
    <row r="30" customFormat="false" ht="15" hidden="false" customHeight="false" outlineLevel="0" collapsed="false">
      <c r="A30" s="2" t="s">
        <v>85</v>
      </c>
      <c r="B30" s="7" t="n">
        <f aca="false">Win_Probabilities!E29</f>
        <v>7.03308111481601</v>
      </c>
      <c r="C30" s="3" t="n">
        <v>7.5</v>
      </c>
      <c r="D30" s="3" t="n">
        <v>125</v>
      </c>
      <c r="E30" s="8" t="n">
        <f aca="false">IF(C30="","",SUMPRODUCT((COLUMN(Win_Probabilities!$F$1:$S$1)-COLUMN(Win_Probabilities!$F$1)&gt;C30)*Win_Probabilities!$F29:$S29))</f>
        <v>0.378649894872841</v>
      </c>
      <c r="F30" s="9" t="n">
        <f aca="false">E30*IF(D30&lt;0,10000/-D30,D30)-(1-E30)*100</f>
        <v>-14.8037736536107</v>
      </c>
      <c r="G30" s="3" t="n">
        <v>7.5</v>
      </c>
      <c r="H30" s="3" t="n">
        <v>134</v>
      </c>
      <c r="I30" s="8" t="n">
        <f aca="false">IF(G30="","",SUMPRODUCT((COLUMN(Win_Probabilities!$F$1:$S$1)-COLUMN(Win_Probabilities!$F$1)&gt;G30)*Win_Probabilities!$F29:$S29))</f>
        <v>0.378649894872841</v>
      </c>
      <c r="J30" s="9" t="n">
        <f aca="false">I30*IF(H30&lt;0,10000/-H30,H30)-(1-I30)*100</f>
        <v>-11.3959245997552</v>
      </c>
      <c r="K30" s="3" t="n">
        <v>6.5</v>
      </c>
      <c r="L30" s="3" t="n">
        <v>-152</v>
      </c>
      <c r="M30" s="8" t="n">
        <f aca="false">IF(K30="","",SUMPRODUCT((COLUMN(Win_Probabilities!$F$1:$S$1)-COLUMN(Win_Probabilities!$F$1)&gt;K30)*Win_Probabilities!$F29:$S29))</f>
        <v>0.649781426488403</v>
      </c>
      <c r="N30" s="9" t="n">
        <f aca="false">M30*IF(L30&lt;0,10000/-L30,L30)-(1-M30)*100</f>
        <v>7.72692070728782</v>
      </c>
      <c r="O30" s="3" t="n">
        <v>7.5</v>
      </c>
      <c r="P30" s="3" t="n">
        <v>130</v>
      </c>
      <c r="Q30" s="8" t="n">
        <f aca="false">IF(O30="","",SUMPRODUCT((COLUMN(Win_Probabilities!$F$1:$S$1)-COLUMN(Win_Probabilities!$F$1)&gt;O30)*Win_Probabilities!$F29:$S29))</f>
        <v>0.378649894872841</v>
      </c>
      <c r="R30" s="9" t="n">
        <f aca="false">Q30*IF(P30&lt;0,10000/-P30,P30)-(1-Q30)*100</f>
        <v>-12.9105241792465</v>
      </c>
      <c r="S30" s="2" t="str">
        <f aca="false">IF(F30=MAX(F30,J30,N30,R30),"BetMGM",IF(J30=MAX(F30,J30,N30,R30),"DraftKings",IF(N30=MAX(F30,J30,N30,R30),"FanDuel",IF(R30=MAX(F30,J30,N30,R30),"RiversCasino",""))))</f>
        <v>FanDuel</v>
      </c>
      <c r="T30" s="9" t="n">
        <f aca="false">MAX(F30,J30,N30,R30)</f>
        <v>7.72692070728782</v>
      </c>
      <c r="U30" s="2" t="n">
        <f aca="false">MAX(C30,G30,K30,O30)-MIN(C30,G30,K30,O30)</f>
        <v>1</v>
      </c>
    </row>
    <row r="31" customFormat="false" ht="15" hidden="false" customHeight="false" outlineLevel="0" collapsed="false">
      <c r="A31" s="2" t="s">
        <v>86</v>
      </c>
      <c r="B31" s="7" t="n">
        <f aca="false">Win_Probabilities!E30</f>
        <v>6.34418414089186</v>
      </c>
      <c r="C31" s="3" t="n">
        <v>5.5</v>
      </c>
      <c r="D31" s="3" t="n">
        <v>-135</v>
      </c>
      <c r="E31" s="8" t="n">
        <f aca="false">IF(C31="","",SUMPRODUCT((COLUMN(Win_Probabilities!$F$1:$S$1)-COLUMN(Win_Probabilities!$F$1)&gt;C31)*Win_Probabilities!$F30:$S30))</f>
        <v>0.711242741579882</v>
      </c>
      <c r="F31" s="9" t="n">
        <f aca="false">E31*IF(D31&lt;0,10000/-D31,D31)-(1-E31)*100</f>
        <v>23.8089216824238</v>
      </c>
      <c r="G31" s="3" t="n">
        <v>5.5</v>
      </c>
      <c r="H31" s="3" t="n">
        <v>-130</v>
      </c>
      <c r="I31" s="8" t="n">
        <f aca="false">IF(G31="","",SUMPRODUCT((COLUMN(Win_Probabilities!$F$1:$S$1)-COLUMN(Win_Probabilities!$F$1)&gt;G31)*Win_Probabilities!$F30:$S30))</f>
        <v>0.711242741579882</v>
      </c>
      <c r="J31" s="9" t="n">
        <f aca="false">I31*IF(H31&lt;0,10000/-H31,H31)-(1-I31)*100</f>
        <v>25.8352542795175</v>
      </c>
      <c r="K31" s="3" t="n">
        <v>5.5</v>
      </c>
      <c r="L31" s="3" t="n">
        <v>-140</v>
      </c>
      <c r="M31" s="8" t="n">
        <f aca="false">IF(K31="","",SUMPRODUCT((COLUMN(Win_Probabilities!$F$1:$S$1)-COLUMN(Win_Probabilities!$F$1)&gt;K31)*Win_Probabilities!$F30:$S30))</f>
        <v>0.711242741579882</v>
      </c>
      <c r="N31" s="9" t="n">
        <f aca="false">M31*IF(L31&lt;0,10000/-L31,L31)-(1-M31)*100</f>
        <v>21.9273271279797</v>
      </c>
      <c r="O31" s="3" t="n">
        <v>6.5</v>
      </c>
      <c r="P31" s="3" t="n">
        <v>155</v>
      </c>
      <c r="Q31" s="8" t="n">
        <f aca="false">IF(O31="","",SUMPRODUCT((COLUMN(Win_Probabilities!$F$1:$S$1)-COLUMN(Win_Probabilities!$F$1)&gt;O31)*Win_Probabilities!$F30:$S30))</f>
        <v>0.456211323341231</v>
      </c>
      <c r="R31" s="9" t="n">
        <f aca="false">Q31*IF(P31&lt;0,10000/-P31,P31)-(1-Q31)*100</f>
        <v>16.3338874520138</v>
      </c>
      <c r="S31" s="2" t="str">
        <f aca="false">IF(F31=MAX(F31,J31,N31,R31),"BetMGM",IF(J31=MAX(F31,J31,N31,R31),"DraftKings",IF(N31=MAX(F31,J31,N31,R31),"FanDuel",IF(R31=MAX(F31,J31,N31,R31),"RiversCasino",""))))</f>
        <v>DraftKings</v>
      </c>
      <c r="T31" s="9" t="n">
        <f aca="false">MAX(F31,J31,N31,R31)</f>
        <v>25.8352542795175</v>
      </c>
      <c r="U31" s="2" t="n">
        <f aca="false">MAX(C31,G31,K31,O31)-MIN(C31,G31,K31,O31)</f>
        <v>1</v>
      </c>
    </row>
    <row r="32" customFormat="false" ht="15" hidden="false" customHeight="false" outlineLevel="0" collapsed="false">
      <c r="A32" s="2" t="s">
        <v>87</v>
      </c>
      <c r="B32" s="7" t="n">
        <f aca="false">Win_Probabilities!E31</f>
        <v>7.93002363430844</v>
      </c>
      <c r="C32" s="3" t="n">
        <v>8.5</v>
      </c>
      <c r="D32" s="3" t="n">
        <v>-135</v>
      </c>
      <c r="E32" s="8" t="n">
        <f aca="false">IF(C32="","",SUMPRODUCT((COLUMN(Win_Probabilities!$F$1:$S$1)-COLUMN(Win_Probabilities!$F$1)&gt;C32)*Win_Probabilities!$F31:$S31))</f>
        <v>0.364455043310855</v>
      </c>
      <c r="F32" s="9" t="n">
        <f aca="false">E32*IF(D32&lt;0,10000/-D32,D32)-(1-E32)*100</f>
        <v>-36.5578257940363</v>
      </c>
      <c r="G32" s="3" t="n">
        <v>8.5</v>
      </c>
      <c r="H32" s="3" t="n">
        <v>-150</v>
      </c>
      <c r="I32" s="8" t="n">
        <f aca="false">IF(G32="","",SUMPRODUCT((COLUMN(Win_Probabilities!$F$1:$S$1)-COLUMN(Win_Probabilities!$F$1)&gt;G32)*Win_Probabilities!$F31:$S31))</f>
        <v>0.364455043310855</v>
      </c>
      <c r="J32" s="9" t="n">
        <f aca="false">I32*IF(H32&lt;0,10000/-H32,H32)-(1-I32)*100</f>
        <v>-39.2574927815242</v>
      </c>
      <c r="K32" s="3" t="n">
        <v>8.5</v>
      </c>
      <c r="L32" s="3" t="n">
        <v>-132</v>
      </c>
      <c r="M32" s="8" t="n">
        <f aca="false">IF(K32="","",SUMPRODUCT((COLUMN(Win_Probabilities!$F$1:$S$1)-COLUMN(Win_Probabilities!$F$1)&gt;K32)*Win_Probabilities!$F31:$S31))</f>
        <v>0.364455043310855</v>
      </c>
      <c r="N32" s="9" t="n">
        <f aca="false">M32*IF(L32&lt;0,10000/-L32,L32)-(1-M32)*100</f>
        <v>-35.9442651150618</v>
      </c>
      <c r="O32" s="3" t="n">
        <v>8.5</v>
      </c>
      <c r="P32" s="3" t="n">
        <v>-148</v>
      </c>
      <c r="Q32" s="8" t="n">
        <f aca="false">IF(O32="","",SUMPRODUCT((COLUMN(Win_Probabilities!$F$1:$S$1)-COLUMN(Win_Probabilities!$F$1)&gt;O32)*Win_Probabilities!$F31:$S31))</f>
        <v>0.364455043310855</v>
      </c>
      <c r="R32" s="9" t="n">
        <f aca="false">Q32*IF(P32&lt;0,10000/-P32,P32)-(1-Q32)*100</f>
        <v>-38.9291549046675</v>
      </c>
      <c r="S32" s="2" t="str">
        <f aca="false">IF(F32=MAX(F32,J32,N32,R32),"BetMGM",IF(J32=MAX(F32,J32,N32,R32),"DraftKings",IF(N32=MAX(F32,J32,N32,R32),"FanDuel",IF(R32=MAX(F32,J32,N32,R32),"RiversCasino",""))))</f>
        <v>FanDuel</v>
      </c>
      <c r="T32" s="9" t="n">
        <f aca="false">MAX(F32,J32,N32,R32)</f>
        <v>-35.9442651150618</v>
      </c>
      <c r="U32" s="2" t="n">
        <f aca="false">MAX(C32,G32,K32,O32)-MIN(C32,G32,K32,O32)</f>
        <v>0</v>
      </c>
    </row>
    <row r="33" customFormat="false" ht="15" hidden="false" customHeight="false" outlineLevel="0" collapsed="false">
      <c r="A33" s="2" t="s">
        <v>88</v>
      </c>
      <c r="B33" s="7" t="n">
        <f aca="false">Win_Probabilities!E32</f>
        <v>7.62776163994748</v>
      </c>
      <c r="C33" s="3" t="n">
        <v>7.5</v>
      </c>
      <c r="D33" s="3" t="n">
        <v>110</v>
      </c>
      <c r="E33" s="8" t="n">
        <f aca="false">IF(C33="","",SUMPRODUCT((COLUMN(Win_Probabilities!$F$1:$S$1)-COLUMN(Win_Probabilities!$F$1)&gt;C33)*Win_Probabilities!$F32:$S32))</f>
        <v>0.542486923496788</v>
      </c>
      <c r="F33" s="9" t="n">
        <f aca="false">E33*IF(D33&lt;0,10000/-D33,D33)-(1-E33)*100</f>
        <v>13.9222539343254</v>
      </c>
      <c r="G33" s="3" t="n">
        <v>7.5</v>
      </c>
      <c r="H33" s="3" t="n">
        <v>105</v>
      </c>
      <c r="I33" s="8" t="n">
        <f aca="false">IF(G33="","",SUMPRODUCT((COLUMN(Win_Probabilities!$F$1:$S$1)-COLUMN(Win_Probabilities!$F$1)&gt;G33)*Win_Probabilities!$F32:$S32))</f>
        <v>0.542486923496788</v>
      </c>
      <c r="J33" s="9" t="n">
        <f aca="false">I33*IF(H33&lt;0,10000/-H33,H33)-(1-I33)*100</f>
        <v>11.2098193168415</v>
      </c>
      <c r="K33" s="3" t="n">
        <v>7.5</v>
      </c>
      <c r="L33" s="3" t="n">
        <v>110</v>
      </c>
      <c r="M33" s="8" t="n">
        <f aca="false">IF(K33="","",SUMPRODUCT((COLUMN(Win_Probabilities!$F$1:$S$1)-COLUMN(Win_Probabilities!$F$1)&gt;K33)*Win_Probabilities!$F32:$S32))</f>
        <v>0.542486923496788</v>
      </c>
      <c r="N33" s="9" t="n">
        <f aca="false">M33*IF(L33&lt;0,10000/-L33,L33)-(1-M33)*100</f>
        <v>13.9222539343254</v>
      </c>
      <c r="O33" s="3" t="n">
        <v>7.5</v>
      </c>
      <c r="P33" s="3" t="n">
        <v>105</v>
      </c>
      <c r="Q33" s="8" t="n">
        <f aca="false">IF(O33="","",SUMPRODUCT((COLUMN(Win_Probabilities!$F$1:$S$1)-COLUMN(Win_Probabilities!$F$1)&gt;O33)*Win_Probabilities!$F32:$S32))</f>
        <v>0.542486923496788</v>
      </c>
      <c r="R33" s="9" t="n">
        <f aca="false">Q33*IF(P33&lt;0,10000/-P33,P33)-(1-Q33)*100</f>
        <v>11.2098193168415</v>
      </c>
      <c r="S33" s="2" t="str">
        <f aca="false">IF(F33=MAX(F33,J33,N33,R33),"BetMGM",IF(J33=MAX(F33,J33,N33,R33),"DraftKings",IF(N33=MAX(F33,J33,N33,R33),"FanDuel",IF(R33=MAX(F33,J33,N33,R33),"RiversCasino",""))))</f>
        <v>BetMGM</v>
      </c>
      <c r="T33" s="9" t="n">
        <f aca="false">MAX(F33,J33,N33,R33)</f>
        <v>13.9222539343254</v>
      </c>
      <c r="U33" s="2" t="n">
        <f aca="false">MAX(C33,G33,K33,O33)-MIN(C33,G33,K33,O33)</f>
        <v>0</v>
      </c>
    </row>
    <row r="34" customFormat="false" ht="15" hidden="false" customHeight="false" outlineLevel="0" collapsed="false">
      <c r="A34" s="2" t="s">
        <v>89</v>
      </c>
      <c r="B34" s="7" t="n">
        <f aca="false">Win_Probabilities!E33</f>
        <v>7.43201583149957</v>
      </c>
      <c r="C34" s="3" t="n">
        <v>6.5</v>
      </c>
      <c r="D34" s="3" t="n">
        <v>-175</v>
      </c>
      <c r="E34" s="8" t="n">
        <f aca="false">IF(C34="","",SUMPRODUCT((COLUMN(Win_Probabilities!$F$1:$S$1)-COLUMN(Win_Probabilities!$F$1)&gt;C34)*Win_Probabilities!$F33:$S33))</f>
        <v>0.735004425145706</v>
      </c>
      <c r="F34" s="9" t="n">
        <f aca="false">E34*IF(D34&lt;0,10000/-D34,D34)-(1-E34)*100</f>
        <v>15.5006953800395</v>
      </c>
      <c r="G34" s="3" t="n">
        <v>7.5</v>
      </c>
      <c r="H34" s="3" t="n">
        <v>125</v>
      </c>
      <c r="I34" s="8" t="n">
        <f aca="false">IF(G34="","",SUMPRODUCT((COLUMN(Win_Probabilities!$F$1:$S$1)-COLUMN(Win_Probabilities!$F$1)&gt;G34)*Win_Probabilities!$F33:$S33))</f>
        <v>0.488139818621655</v>
      </c>
      <c r="J34" s="9" t="n">
        <f aca="false">I34*IF(H34&lt;0,10000/-H34,H34)-(1-I34)*100</f>
        <v>9.83145918987242</v>
      </c>
      <c r="K34" s="3" t="n">
        <v>6.5</v>
      </c>
      <c r="L34" s="3" t="n">
        <v>-178</v>
      </c>
      <c r="M34" s="8" t="n">
        <f aca="false">IF(K34="","",SUMPRODUCT((COLUMN(Win_Probabilities!$F$1:$S$1)-COLUMN(Win_Probabilities!$F$1)&gt;K34)*Win_Probabilities!$F33:$S33))</f>
        <v>0.735004425145706</v>
      </c>
      <c r="N34" s="9" t="n">
        <f aca="false">M34*IF(L34&lt;0,10000/-L34,L34)-(1-M34)*100</f>
        <v>14.7928259497227</v>
      </c>
      <c r="O34" s="3" t="n">
        <v>6.5</v>
      </c>
      <c r="P34" s="3" t="n">
        <v>-167</v>
      </c>
      <c r="Q34" s="8" t="n">
        <f aca="false">IF(O34="","",SUMPRODUCT((COLUMN(Win_Probabilities!$F$1:$S$1)-COLUMN(Win_Probabilities!$F$1)&gt;O34)*Win_Probabilities!$F33:$S33))</f>
        <v>0.735004425145706</v>
      </c>
      <c r="R34" s="9" t="n">
        <f aca="false">Q34*IF(P34&lt;0,10000/-P34,P34)-(1-Q34)*100</f>
        <v>17.5126835412596</v>
      </c>
      <c r="S34" s="2" t="str">
        <f aca="false">IF(F34=MAX(F34,J34,N34,R34),"BetMGM",IF(J34=MAX(F34,J34,N34,R34),"DraftKings",IF(N34=MAX(F34,J34,N34,R34),"FanDuel",IF(R34=MAX(F34,J34,N34,R34),"RiversCasino",""))))</f>
        <v>RiversCasino</v>
      </c>
      <c r="T34" s="9" t="n">
        <f aca="false">MAX(F34,J34,N34,R34)</f>
        <v>17.5126835412596</v>
      </c>
      <c r="U34" s="2" t="n">
        <f aca="false">MAX(C34,G34,K34,O34)-MIN(C34,G34,K34,O34)</f>
        <v>1</v>
      </c>
    </row>
    <row r="35" customFormat="false" ht="15" hidden="false" customHeight="false" outlineLevel="0" collapsed="false">
      <c r="A35" s="2" t="s">
        <v>90</v>
      </c>
      <c r="B35" s="7" t="n">
        <f aca="false">Win_Probabilities!E34</f>
        <v>6.17263059140465</v>
      </c>
      <c r="C35" s="3" t="n">
        <v>6.5</v>
      </c>
      <c r="D35" s="3" t="n">
        <v>115</v>
      </c>
      <c r="E35" s="8" t="n">
        <f aca="false">IF(C35="","",SUMPRODUCT((COLUMN(Win_Probabilities!$F$1:$S$1)-COLUMN(Win_Probabilities!$F$1)&gt;C35)*Win_Probabilities!$F34:$S34))</f>
        <v>0.403450384902763</v>
      </c>
      <c r="F35" s="9" t="n">
        <f aca="false">E35*IF(D35&lt;0,10000/-D35,D35)-(1-E35)*100</f>
        <v>-13.2581672459059</v>
      </c>
      <c r="G35" s="3" t="n">
        <v>6.5</v>
      </c>
      <c r="H35" s="3" t="n">
        <v>115</v>
      </c>
      <c r="I35" s="8" t="n">
        <f aca="false">IF(G35="","",SUMPRODUCT((COLUMN(Win_Probabilities!$F$1:$S$1)-COLUMN(Win_Probabilities!$F$1)&gt;G35)*Win_Probabilities!$F34:$S34))</f>
        <v>0.403450384902763</v>
      </c>
      <c r="J35" s="9" t="n">
        <f aca="false">I35*IF(H35&lt;0,10000/-H35,H35)-(1-I35)*100</f>
        <v>-13.2581672459059</v>
      </c>
      <c r="K35" s="3" t="n">
        <v>6.5</v>
      </c>
      <c r="L35" s="3" t="n">
        <v>106</v>
      </c>
      <c r="M35" s="8" t="n">
        <f aca="false">IF(K35="","",SUMPRODUCT((COLUMN(Win_Probabilities!$F$1:$S$1)-COLUMN(Win_Probabilities!$F$1)&gt;K35)*Win_Probabilities!$F34:$S34))</f>
        <v>0.403450384902763</v>
      </c>
      <c r="N35" s="9" t="n">
        <f aca="false">M35*IF(L35&lt;0,10000/-L35,L35)-(1-M35)*100</f>
        <v>-16.8892207100308</v>
      </c>
      <c r="O35" s="3" t="n">
        <v>6.5</v>
      </c>
      <c r="P35" s="3" t="n">
        <v>115</v>
      </c>
      <c r="Q35" s="8" t="n">
        <f aca="false">IF(O35="","",SUMPRODUCT((COLUMN(Win_Probabilities!$F$1:$S$1)-COLUMN(Win_Probabilities!$F$1)&gt;O35)*Win_Probabilities!$F34:$S34))</f>
        <v>0.403450384902763</v>
      </c>
      <c r="R35" s="9" t="n">
        <f aca="false">Q35*IF(P35&lt;0,10000/-P35,P35)-(1-Q35)*100</f>
        <v>-13.2581672459059</v>
      </c>
      <c r="S35" s="2" t="str">
        <f aca="false">IF(F35=MAX(F35,J35,N35,R35),"BetMGM",IF(J35=MAX(F35,J35,N35,R35),"DraftKings",IF(N35=MAX(F35,J35,N35,R35),"FanDuel",IF(R35=MAX(F35,J35,N35,R35),"RiversCasino",""))))</f>
        <v>BetMGM</v>
      </c>
      <c r="T35" s="9" t="n">
        <f aca="false">MAX(F35,J35,N35,R35)</f>
        <v>-13.2581672459059</v>
      </c>
      <c r="U35" s="2" t="n">
        <f aca="false">MAX(C35,G35,K35,O35)-MIN(C35,G35,K35,O35)</f>
        <v>0</v>
      </c>
    </row>
    <row r="36" customFormat="false" ht="15" hidden="false" customHeight="false" outlineLevel="0" collapsed="false">
      <c r="A36" s="2" t="s">
        <v>91</v>
      </c>
      <c r="B36" s="7" t="n">
        <f aca="false">Win_Probabilities!E35</f>
        <v>8.04363446644677</v>
      </c>
      <c r="C36" s="3" t="n">
        <v>8.5</v>
      </c>
      <c r="D36" s="3" t="n">
        <v>125</v>
      </c>
      <c r="E36" s="8" t="n">
        <f aca="false">IF(C36="","",SUMPRODUCT((COLUMN(Win_Probabilities!$F$1:$S$1)-COLUMN(Win_Probabilities!$F$1)&gt;C36)*Win_Probabilities!$F35:$S35))</f>
        <v>0.39404360642459</v>
      </c>
      <c r="F36" s="9" t="n">
        <f aca="false">E36*IF(D36&lt;0,10000/-D36,D36)-(1-E36)*100</f>
        <v>-11.3401885544673</v>
      </c>
      <c r="G36" s="3" t="n">
        <v>8.5</v>
      </c>
      <c r="H36" s="3" t="n">
        <v>125</v>
      </c>
      <c r="I36" s="8" t="n">
        <f aca="false">IF(G36="","",SUMPRODUCT((COLUMN(Win_Probabilities!$F$1:$S$1)-COLUMN(Win_Probabilities!$F$1)&gt;G36)*Win_Probabilities!$F35:$S35))</f>
        <v>0.39404360642459</v>
      </c>
      <c r="J36" s="9" t="n">
        <f aca="false">I36*IF(H36&lt;0,10000/-H36,H36)-(1-I36)*100</f>
        <v>-11.3401885544673</v>
      </c>
      <c r="K36" s="3" t="n">
        <v>7.5</v>
      </c>
      <c r="L36" s="3" t="n">
        <v>-148</v>
      </c>
      <c r="M36" s="8" t="n">
        <f aca="false">IF(K36="","",SUMPRODUCT((COLUMN(Win_Probabilities!$F$1:$S$1)-COLUMN(Win_Probabilities!$F$1)&gt;K36)*Win_Probabilities!$F35:$S35))</f>
        <v>0.645741155144783</v>
      </c>
      <c r="N36" s="9" t="n">
        <f aca="false">M36*IF(L36&lt;0,10000/-L36,L36)-(1-M36)*100</f>
        <v>8.20527464588255</v>
      </c>
      <c r="O36" s="3" t="n">
        <v>8.5</v>
      </c>
      <c r="P36" s="3" t="n">
        <v>110</v>
      </c>
      <c r="Q36" s="8" t="n">
        <f aca="false">IF(O36="","",SUMPRODUCT((COLUMN(Win_Probabilities!$F$1:$S$1)-COLUMN(Win_Probabilities!$F$1)&gt;O36)*Win_Probabilities!$F35:$S35))</f>
        <v>0.39404360642459</v>
      </c>
      <c r="R36" s="9" t="n">
        <f aca="false">Q36*IF(P36&lt;0,10000/-P36,P36)-(1-Q36)*100</f>
        <v>-17.2508426508361</v>
      </c>
      <c r="S36" s="2" t="str">
        <f aca="false">IF(F36=MAX(F36,J36,N36,R36),"BetMGM",IF(J36=MAX(F36,J36,N36,R36),"DraftKings",IF(N36=MAX(F36,J36,N36,R36),"FanDuel",IF(R36=MAX(F36,J36,N36,R36),"RiversCasino",""))))</f>
        <v>FanDuel</v>
      </c>
      <c r="T36" s="9" t="n">
        <f aca="false">MAX(F36,J36,N36,R36)</f>
        <v>8.20527464588255</v>
      </c>
      <c r="U36" s="2" t="n">
        <f aca="false">MAX(C36,G36,K36,O36)-MIN(C36,G36,K36,O36)</f>
        <v>1</v>
      </c>
    </row>
    <row r="37" customFormat="false" ht="15" hidden="false" customHeight="false" outlineLevel="0" collapsed="false">
      <c r="A37" s="2" t="s">
        <v>92</v>
      </c>
      <c r="B37" s="7" t="n">
        <f aca="false">Win_Probabilities!E36</f>
        <v>6.58429987356177</v>
      </c>
      <c r="C37" s="3" t="n">
        <v>5.5</v>
      </c>
      <c r="D37" s="3" t="n">
        <v>-165</v>
      </c>
      <c r="E37" s="8" t="n">
        <f aca="false">IF(C37="","",SUMPRODUCT((COLUMN(Win_Probabilities!$F$1:$S$1)-COLUMN(Win_Probabilities!$F$1)&gt;C37)*Win_Probabilities!$F36:$S36))</f>
        <v>0.764203228361237</v>
      </c>
      <c r="F37" s="9" t="n">
        <f aca="false">E37*IF(D37&lt;0,10000/-D37,D37)-(1-E37)*100</f>
        <v>22.735670009532</v>
      </c>
      <c r="G37" s="3" t="n">
        <v>5.5</v>
      </c>
      <c r="H37" s="3" t="n">
        <v>-175</v>
      </c>
      <c r="I37" s="8" t="n">
        <f aca="false">IF(G37="","",SUMPRODUCT((COLUMN(Win_Probabilities!$F$1:$S$1)-COLUMN(Win_Probabilities!$F$1)&gt;G37)*Win_Probabilities!$F36:$S36))</f>
        <v>0.764203228361237</v>
      </c>
      <c r="J37" s="9" t="n">
        <f aca="false">I37*IF(H37&lt;0,10000/-H37,H37)-(1-I37)*100</f>
        <v>20.0890787424801</v>
      </c>
      <c r="K37" s="3" t="n">
        <v>5.5</v>
      </c>
      <c r="L37" s="3" t="n">
        <v>-160</v>
      </c>
      <c r="M37" s="8" t="n">
        <f aca="false">IF(K37="","",SUMPRODUCT((COLUMN(Win_Probabilities!$F$1:$S$1)-COLUMN(Win_Probabilities!$F$1)&gt;K37)*Win_Probabilities!$F36:$S36))</f>
        <v>0.764203228361237</v>
      </c>
      <c r="N37" s="9" t="n">
        <f aca="false">M37*IF(L37&lt;0,10000/-L37,L37)-(1-M37)*100</f>
        <v>24.183024608701</v>
      </c>
      <c r="O37" s="3" t="n">
        <v>6.5</v>
      </c>
      <c r="P37" s="3" t="n">
        <v>140</v>
      </c>
      <c r="Q37" s="8" t="n">
        <f aca="false">IF(O37="","",SUMPRODUCT((COLUMN(Win_Probabilities!$F$1:$S$1)-COLUMN(Win_Probabilities!$F$1)&gt;O37)*Win_Probabilities!$F36:$S36))</f>
        <v>0.520812919690902</v>
      </c>
      <c r="R37" s="9" t="n">
        <f aca="false">Q37*IF(P37&lt;0,10000/-P37,P37)-(1-Q37)*100</f>
        <v>24.9951007258166</v>
      </c>
      <c r="S37" s="2" t="str">
        <f aca="false">IF(F37=MAX(F37,J37,N37,R37),"BetMGM",IF(J37=MAX(F37,J37,N37,R37),"DraftKings",IF(N37=MAX(F37,J37,N37,R37),"FanDuel",IF(R37=MAX(F37,J37,N37,R37),"RiversCasino",""))))</f>
        <v>RiversCasino</v>
      </c>
      <c r="T37" s="9" t="n">
        <f aca="false">MAX(F37,J37,N37,R37)</f>
        <v>24.9951007258166</v>
      </c>
      <c r="U37" s="2" t="n">
        <f aca="false">MAX(C37,G37,K37,O37)-MIN(C37,G37,K37,O37)</f>
        <v>1</v>
      </c>
    </row>
    <row r="38" customFormat="false" ht="15" hidden="false" customHeight="false" outlineLevel="0" collapsed="false">
      <c r="A38" s="2" t="s">
        <v>93</v>
      </c>
      <c r="B38" s="7" t="n">
        <f aca="false">Win_Probabilities!E37</f>
        <v>7.1372958185504</v>
      </c>
      <c r="C38" s="3" t="n">
        <v>6.5</v>
      </c>
      <c r="D38" s="3" t="n">
        <v>-175</v>
      </c>
      <c r="E38" s="8" t="n">
        <f aca="false">IF(C38="","",SUMPRODUCT((COLUMN(Win_Probabilities!$F$1:$S$1)-COLUMN(Win_Probabilities!$F$1)&gt;C38)*Win_Probabilities!$F37:$S37))</f>
        <v>0.667491164179685</v>
      </c>
      <c r="F38" s="9" t="n">
        <f aca="false">E38*IF(D38&lt;0,10000/-D38,D38)-(1-E38)*100</f>
        <v>4.89146865680767</v>
      </c>
      <c r="G38" s="3" t="n">
        <v>6.5</v>
      </c>
      <c r="H38" s="3" t="n">
        <v>-170</v>
      </c>
      <c r="I38" s="8" t="n">
        <f aca="false">IF(G38="","",SUMPRODUCT((COLUMN(Win_Probabilities!$F$1:$S$1)-COLUMN(Win_Probabilities!$F$1)&gt;G38)*Win_Probabilities!$F37:$S37))</f>
        <v>0.667491164179685</v>
      </c>
      <c r="J38" s="9" t="n">
        <f aca="false">I38*IF(H38&lt;0,10000/-H38,H38)-(1-I38)*100</f>
        <v>6.01330254618529</v>
      </c>
      <c r="K38" s="3" t="n">
        <v>6.5</v>
      </c>
      <c r="L38" s="3" t="n">
        <v>-172</v>
      </c>
      <c r="M38" s="8" t="n">
        <f aca="false">IF(K38="","",SUMPRODUCT((COLUMN(Win_Probabilities!$F$1:$S$1)-COLUMN(Win_Probabilities!$F$1)&gt;K38)*Win_Probabilities!$F37:$S37))</f>
        <v>0.667491164179685</v>
      </c>
      <c r="N38" s="9" t="n">
        <f aca="false">M38*IF(L38&lt;0,10000/-L38,L38)-(1-M38)*100</f>
        <v>5.55674224236881</v>
      </c>
      <c r="O38" s="3" t="n">
        <v>6.5</v>
      </c>
      <c r="P38" s="3" t="n">
        <v>-180</v>
      </c>
      <c r="Q38" s="8" t="n">
        <f aca="false">IF(O38="","",SUMPRODUCT((COLUMN(Win_Probabilities!$F$1:$S$1)-COLUMN(Win_Probabilities!$F$1)&gt;O38)*Win_Probabilities!$F37:$S37))</f>
        <v>0.667491164179685</v>
      </c>
      <c r="R38" s="9" t="n">
        <f aca="false">Q38*IF(P38&lt;0,10000/-P38,P38)-(1-Q38)*100</f>
        <v>3.83195887239547</v>
      </c>
      <c r="S38" s="2" t="str">
        <f aca="false">IF(F38=MAX(F38,J38,N38,R38),"BetMGM",IF(J38=MAX(F38,J38,N38,R38),"DraftKings",IF(N38=MAX(F38,J38,N38,R38),"FanDuel",IF(R38=MAX(F38,J38,N38,R38),"RiversCasino",""))))</f>
        <v>DraftKings</v>
      </c>
      <c r="T38" s="9" t="n">
        <f aca="false">MAX(F38,J38,N38,R38)</f>
        <v>6.01330254618529</v>
      </c>
      <c r="U38" s="2" t="n">
        <f aca="false">MAX(C38,G38,K38,O38)-MIN(C38,G38,K38,O38)</f>
        <v>0</v>
      </c>
    </row>
    <row r="39" customFormat="false" ht="15" hidden="false" customHeight="false" outlineLevel="0" collapsed="false">
      <c r="A39" s="2" t="s">
        <v>94</v>
      </c>
      <c r="B39" s="7" t="n">
        <f aca="false">Win_Probabilities!E38</f>
        <v>7.76529616305237</v>
      </c>
      <c r="C39" s="3" t="n">
        <v>7.5</v>
      </c>
      <c r="D39" s="3" t="n">
        <v>-145</v>
      </c>
      <c r="E39" s="8" t="n">
        <f aca="false">IF(C39="","",SUMPRODUCT((COLUMN(Win_Probabilities!$F$1:$S$1)-COLUMN(Win_Probabilities!$F$1)&gt;C39)*Win_Probabilities!$F38:$S38))</f>
        <v>0.576489615654294</v>
      </c>
      <c r="F39" s="9" t="n">
        <f aca="false">E39*IF(D39&lt;0,10000/-D39,D39)-(1-E39)*100</f>
        <v>-2.59313390668827</v>
      </c>
      <c r="G39" s="3" t="n">
        <v>7.5</v>
      </c>
      <c r="H39" s="3" t="n">
        <v>-150</v>
      </c>
      <c r="I39" s="8" t="n">
        <f aca="false">IF(G39="","",SUMPRODUCT((COLUMN(Win_Probabilities!$F$1:$S$1)-COLUMN(Win_Probabilities!$F$1)&gt;G39)*Win_Probabilities!$F38:$S38))</f>
        <v>0.576489615654294</v>
      </c>
      <c r="J39" s="9" t="n">
        <f aca="false">I39*IF(H39&lt;0,10000/-H39,H39)-(1-I39)*100</f>
        <v>-3.91839739095101</v>
      </c>
      <c r="K39" s="3" t="n">
        <v>7.5</v>
      </c>
      <c r="L39" s="3" t="n">
        <v>-138</v>
      </c>
      <c r="M39" s="8" t="n">
        <f aca="false">IF(K39="","",SUMPRODUCT((COLUMN(Win_Probabilities!$F$1:$S$1)-COLUMN(Win_Probabilities!$F$1)&gt;K39)*Win_Probabilities!$F38:$S38))</f>
        <v>0.576489615654294</v>
      </c>
      <c r="N39" s="9" t="n">
        <f aca="false">M39*IF(L39&lt;0,10000/-L39,L39)-(1-M39)*100</f>
        <v>-0.576428604549314</v>
      </c>
      <c r="O39" s="3" t="n">
        <v>7.5</v>
      </c>
      <c r="P39" s="3" t="n">
        <v>-150</v>
      </c>
      <c r="Q39" s="8" t="n">
        <f aca="false">IF(O39="","",SUMPRODUCT((COLUMN(Win_Probabilities!$F$1:$S$1)-COLUMN(Win_Probabilities!$F$1)&gt;O39)*Win_Probabilities!$F38:$S38))</f>
        <v>0.576489615654294</v>
      </c>
      <c r="R39" s="9" t="n">
        <f aca="false">Q39*IF(P39&lt;0,10000/-P39,P39)-(1-Q39)*100</f>
        <v>-3.91839739095101</v>
      </c>
      <c r="S39" s="2" t="str">
        <f aca="false">IF(F39=MAX(F39,J39,N39,R39),"BetMGM",IF(J39=MAX(F39,J39,N39,R39),"DraftKings",IF(N39=MAX(F39,J39,N39,R39),"FanDuel",IF(R39=MAX(F39,J39,N39,R39),"RiversCasino",""))))</f>
        <v>FanDuel</v>
      </c>
      <c r="T39" s="9" t="n">
        <f aca="false">MAX(F39,J39,N39,R39)</f>
        <v>-0.576428604549314</v>
      </c>
      <c r="U39" s="2" t="n">
        <f aca="false">MAX(C39,G39,K39,O39)-MIN(C39,G39,K39,O39)</f>
        <v>0</v>
      </c>
    </row>
    <row r="40" customFormat="false" ht="15" hidden="false" customHeight="false" outlineLevel="0" collapsed="false">
      <c r="A40" s="2" t="s">
        <v>95</v>
      </c>
      <c r="B40" s="7" t="n">
        <f aca="false">Win_Probabilities!E39</f>
        <v>7.42783940097388</v>
      </c>
      <c r="C40" s="3" t="n">
        <v>8.5</v>
      </c>
      <c r="D40" s="3" t="n">
        <v>120</v>
      </c>
      <c r="E40" s="8" t="n">
        <f aca="false">IF(C40="","",SUMPRODUCT((COLUMN(Win_Probabilities!$F$1:$S$1)-COLUMN(Win_Probabilities!$F$1)&gt;C40)*Win_Probabilities!$F39:$S39))</f>
        <v>0.239604266388424</v>
      </c>
      <c r="F40" s="9" t="n">
        <f aca="false">E40*IF(D40&lt;0,10000/-D40,D40)-(1-E40)*100</f>
        <v>-47.2870613945467</v>
      </c>
      <c r="G40" s="3" t="n">
        <v>8.5</v>
      </c>
      <c r="H40" s="3" t="n">
        <v>130</v>
      </c>
      <c r="I40" s="8" t="n">
        <f aca="false">IF(G40="","",SUMPRODUCT((COLUMN(Win_Probabilities!$F$1:$S$1)-COLUMN(Win_Probabilities!$F$1)&gt;G40)*Win_Probabilities!$F39:$S39))</f>
        <v>0.239604266388424</v>
      </c>
      <c r="J40" s="9" t="n">
        <f aca="false">I40*IF(H40&lt;0,10000/-H40,H40)-(1-I40)*100</f>
        <v>-44.8910187306624</v>
      </c>
      <c r="K40" s="3" t="n">
        <v>8.5</v>
      </c>
      <c r="L40" s="3" t="n">
        <v>112</v>
      </c>
      <c r="M40" s="8" t="n">
        <f aca="false">IF(K40="","",SUMPRODUCT((COLUMN(Win_Probabilities!$F$1:$S$1)-COLUMN(Win_Probabilities!$F$1)&gt;K40)*Win_Probabilities!$F39:$S39))</f>
        <v>0.239604266388424</v>
      </c>
      <c r="N40" s="9" t="n">
        <f aca="false">M40*IF(L40&lt;0,10000/-L40,L40)-(1-M40)*100</f>
        <v>-49.2038955256541</v>
      </c>
      <c r="O40" s="3" t="n">
        <v>7.5</v>
      </c>
      <c r="P40" s="3" t="n">
        <v>-165</v>
      </c>
      <c r="Q40" s="8" t="n">
        <f aca="false">IF(O40="","",SUMPRODUCT((COLUMN(Win_Probabilities!$F$1:$S$1)-COLUMN(Win_Probabilities!$F$1)&gt;O40)*Win_Probabilities!$F39:$S39))</f>
        <v>0.488587806508134</v>
      </c>
      <c r="R40" s="9" t="n">
        <f aca="false">Q40*IF(P40&lt;0,10000/-P40,P40)-(1-Q40)*100</f>
        <v>-21.5298371365725</v>
      </c>
      <c r="S40" s="2" t="str">
        <f aca="false">IF(F40=MAX(F40,J40,N40,R40),"BetMGM",IF(J40=MAX(F40,J40,N40,R40),"DraftKings",IF(N40=MAX(F40,J40,N40,R40),"FanDuel",IF(R40=MAX(F40,J40,N40,R40),"RiversCasino",""))))</f>
        <v>RiversCasino</v>
      </c>
      <c r="T40" s="9" t="n">
        <f aca="false">MAX(F40,J40,N40,R40)</f>
        <v>-21.5298371365725</v>
      </c>
      <c r="U40" s="2" t="n">
        <f aca="false">MAX(C40,G40,K40,O40)-MIN(C40,G40,K40,O40)</f>
        <v>1</v>
      </c>
    </row>
    <row r="41" customFormat="false" ht="15" hidden="false" customHeight="false" outlineLevel="0" collapsed="false">
      <c r="A41" s="2" t="s">
        <v>96</v>
      </c>
      <c r="B41" s="7" t="n">
        <f aca="false">Win_Probabilities!E40</f>
        <v>6.62569767140955</v>
      </c>
      <c r="C41" s="3" t="n">
        <v>6.5</v>
      </c>
      <c r="D41" s="3" t="n">
        <v>110</v>
      </c>
      <c r="E41" s="8" t="n">
        <f aca="false">IF(C41="","",SUMPRODUCT((COLUMN(Win_Probabilities!$F$1:$S$1)-COLUMN(Win_Probabilities!$F$1)&gt;C41)*Win_Probabilities!$F40:$S40))</f>
        <v>0.536994579049218</v>
      </c>
      <c r="F41" s="9" t="n">
        <f aca="false">E41*IF(D41&lt;0,10000/-D41,D41)-(1-E41)*100</f>
        <v>12.7688616003357</v>
      </c>
      <c r="G41" s="3" t="n">
        <v>6.5</v>
      </c>
      <c r="H41" s="3" t="n">
        <v>105</v>
      </c>
      <c r="I41" s="8" t="n">
        <f aca="false">IF(G41="","",SUMPRODUCT((COLUMN(Win_Probabilities!$F$1:$S$1)-COLUMN(Win_Probabilities!$F$1)&gt;G41)*Win_Probabilities!$F40:$S40))</f>
        <v>0.536994579049218</v>
      </c>
      <c r="J41" s="9" t="n">
        <f aca="false">I41*IF(H41&lt;0,10000/-H41,H41)-(1-I41)*100</f>
        <v>10.0838887050896</v>
      </c>
      <c r="K41" s="3" t="n">
        <v>6.5</v>
      </c>
      <c r="L41" s="3" t="n">
        <v>104</v>
      </c>
      <c r="M41" s="8" t="n">
        <f aca="false">IF(K41="","",SUMPRODUCT((COLUMN(Win_Probabilities!$F$1:$S$1)-COLUMN(Win_Probabilities!$F$1)&gt;K41)*Win_Probabilities!$F40:$S40))</f>
        <v>0.536994579049218</v>
      </c>
      <c r="N41" s="9" t="n">
        <f aca="false">M41*IF(L41&lt;0,10000/-L41,L41)-(1-M41)*100</f>
        <v>9.5468941260404</v>
      </c>
      <c r="O41" s="3" t="n">
        <v>6.5</v>
      </c>
      <c r="P41" s="3" t="n">
        <v>118</v>
      </c>
      <c r="Q41" s="8" t="n">
        <f aca="false">IF(O41="","",SUMPRODUCT((COLUMN(Win_Probabilities!$F$1:$S$1)-COLUMN(Win_Probabilities!$F$1)&gt;O41)*Win_Probabilities!$F40:$S40))</f>
        <v>0.536994579049218</v>
      </c>
      <c r="R41" s="9" t="n">
        <f aca="false">Q41*IF(P41&lt;0,10000/-P41,P41)-(1-Q41)*100</f>
        <v>17.0648182327295</v>
      </c>
      <c r="S41" s="2" t="str">
        <f aca="false">IF(F41=MAX(F41,J41,N41,R41),"BetMGM",IF(J41=MAX(F41,J41,N41,R41),"DraftKings",IF(N41=MAX(F41,J41,N41,R41),"FanDuel",IF(R41=MAX(F41,J41,N41,R41),"RiversCasino",""))))</f>
        <v>RiversCasino</v>
      </c>
      <c r="T41" s="9" t="n">
        <f aca="false">MAX(F41,J41,N41,R41)</f>
        <v>17.0648182327295</v>
      </c>
      <c r="U41" s="2" t="n">
        <f aca="false">MAX(C41,G41,K41,O41)-MIN(C41,G41,K41,O41)</f>
        <v>0</v>
      </c>
    </row>
    <row r="42" customFormat="false" ht="15" hidden="false" customHeight="false" outlineLevel="0" collapsed="false">
      <c r="A42" s="2" t="s">
        <v>97</v>
      </c>
      <c r="B42" s="7" t="n">
        <f aca="false">Win_Probabilities!E41</f>
        <v>6.06658349767067</v>
      </c>
      <c r="C42" s="3" t="n">
        <v>6.5</v>
      </c>
      <c r="D42" s="3" t="n">
        <v>125</v>
      </c>
      <c r="E42" s="8" t="n">
        <f aca="false">IF(C42="","",SUMPRODUCT((COLUMN(Win_Probabilities!$F$1:$S$1)-COLUMN(Win_Probabilities!$F$1)&gt;C42)*Win_Probabilities!$F41:$S41))</f>
        <v>0.378498916476587</v>
      </c>
      <c r="F42" s="9" t="n">
        <f aca="false">E42*IF(D42&lt;0,10000/-D42,D42)-(1-E42)*100</f>
        <v>-14.8377437927679</v>
      </c>
      <c r="G42" s="3" t="n">
        <v>6.5</v>
      </c>
      <c r="H42" s="3" t="n">
        <v>130</v>
      </c>
      <c r="I42" s="8" t="n">
        <f aca="false">IF(G42="","",SUMPRODUCT((COLUMN(Win_Probabilities!$F$1:$S$1)-COLUMN(Win_Probabilities!$F$1)&gt;G42)*Win_Probabilities!$F41:$S41))</f>
        <v>0.378498916476587</v>
      </c>
      <c r="J42" s="9" t="n">
        <f aca="false">I42*IF(H42&lt;0,10000/-H42,H42)-(1-I42)*100</f>
        <v>-12.945249210385</v>
      </c>
      <c r="K42" s="3" t="n">
        <v>5.5</v>
      </c>
      <c r="L42" s="3" t="n">
        <v>-160</v>
      </c>
      <c r="M42" s="8" t="n">
        <f aca="false">IF(K42="","",SUMPRODUCT((COLUMN(Win_Probabilities!$F$1:$S$1)-COLUMN(Win_Probabilities!$F$1)&gt;K42)*Win_Probabilities!$F41:$S41))</f>
        <v>0.649355591547697</v>
      </c>
      <c r="N42" s="9" t="n">
        <f aca="false">M42*IF(L42&lt;0,10000/-L42,L42)-(1-M42)*100</f>
        <v>5.52028362650077</v>
      </c>
      <c r="O42" s="3" t="n">
        <v>5.5</v>
      </c>
      <c r="P42" s="3" t="n">
        <v>-175</v>
      </c>
      <c r="Q42" s="8" t="n">
        <f aca="false">IF(O42="","",SUMPRODUCT((COLUMN(Win_Probabilities!$F$1:$S$1)-COLUMN(Win_Probabilities!$F$1)&gt;O42)*Win_Probabilities!$F41:$S41))</f>
        <v>0.649355591547697</v>
      </c>
      <c r="R42" s="9" t="n">
        <f aca="false">Q42*IF(P42&lt;0,10000/-P42,P42)-(1-Q42)*100</f>
        <v>2.04159295749525</v>
      </c>
      <c r="S42" s="2" t="str">
        <f aca="false">IF(F42=MAX(F42,J42,N42,R42),"BetMGM",IF(J42=MAX(F42,J42,N42,R42),"DraftKings",IF(N42=MAX(F42,J42,N42,R42),"FanDuel",IF(R42=MAX(F42,J42,N42,R42),"RiversCasino",""))))</f>
        <v>FanDuel</v>
      </c>
      <c r="T42" s="9" t="n">
        <f aca="false">MAX(F42,J42,N42,R42)</f>
        <v>5.52028362650077</v>
      </c>
      <c r="U42" s="2" t="n">
        <f aca="false">MAX(C42,G42,K42,O42)-MIN(C42,G42,K42,O42)</f>
        <v>1</v>
      </c>
    </row>
    <row r="43" customFormat="false" ht="15" hidden="false" customHeight="false" outlineLevel="0" collapsed="false">
      <c r="A43" s="2" t="s">
        <v>98</v>
      </c>
      <c r="B43" s="7" t="n">
        <f aca="false">Win_Probabilities!E42</f>
        <v>6.88421986427242</v>
      </c>
      <c r="C43" s="3" t="n">
        <v>7.5</v>
      </c>
      <c r="D43" s="3" t="n">
        <v>-145</v>
      </c>
      <c r="E43" s="8" t="n">
        <f aca="false">IF(C43="","",SUMPRODUCT((COLUMN(Win_Probabilities!$F$1:$S$1)-COLUMN(Win_Probabilities!$F$1)&gt;C43)*Win_Probabilities!$F42:$S42))</f>
        <v>0.347257226142962</v>
      </c>
      <c r="F43" s="9" t="n">
        <f aca="false">E43*IF(D43&lt;0,10000/-D43,D43)-(1-E43)*100</f>
        <v>-41.3255031689477</v>
      </c>
      <c r="G43" s="3" t="n">
        <v>7.5</v>
      </c>
      <c r="H43" s="3" t="n">
        <v>-146</v>
      </c>
      <c r="I43" s="8" t="n">
        <f aca="false">IF(G43="","",SUMPRODUCT((COLUMN(Win_Probabilities!$F$1:$S$1)-COLUMN(Win_Probabilities!$F$1)&gt;G43)*Win_Probabilities!$F42:$S42))</f>
        <v>0.347257226142962</v>
      </c>
      <c r="J43" s="9" t="n">
        <f aca="false">I43*IF(H43&lt;0,10000/-H43,H43)-(1-I43)*100</f>
        <v>-41.4895358690625</v>
      </c>
      <c r="K43" s="3" t="n">
        <v>7.5</v>
      </c>
      <c r="L43" s="3" t="n">
        <v>-128</v>
      </c>
      <c r="M43" s="8" t="n">
        <f aca="false">IF(K43="","",SUMPRODUCT((COLUMN(Win_Probabilities!$F$1:$S$1)-COLUMN(Win_Probabilities!$F$1)&gt;K43)*Win_Probabilities!$F42:$S42))</f>
        <v>0.347257226142962</v>
      </c>
      <c r="N43" s="9" t="n">
        <f aca="false">M43*IF(L43&lt;0,10000/-L43,L43)-(1-M43)*100</f>
        <v>-38.1448065932848</v>
      </c>
      <c r="O43" s="3" t="n">
        <v>7.5</v>
      </c>
      <c r="P43" s="3" t="n">
        <v>-143</v>
      </c>
      <c r="Q43" s="8" t="n">
        <f aca="false">IF(O43="","",SUMPRODUCT((COLUMN(Win_Probabilities!$F$1:$S$1)-COLUMN(Win_Probabilities!$F$1)&gt;O43)*Win_Probabilities!$F42:$S42))</f>
        <v>0.347257226142962</v>
      </c>
      <c r="R43" s="9" t="n">
        <f aca="false">Q43*IF(P43&lt;0,10000/-P43,P43)-(1-Q43)*100</f>
        <v>-40.9905552778043</v>
      </c>
      <c r="S43" s="2" t="str">
        <f aca="false">IF(F43=MAX(F43,J43,N43,R43),"BetMGM",IF(J43=MAX(F43,J43,N43,R43),"DraftKings",IF(N43=MAX(F43,J43,N43,R43),"FanDuel",IF(R43=MAX(F43,J43,N43,R43),"RiversCasino",""))))</f>
        <v>FanDuel</v>
      </c>
      <c r="T43" s="9" t="n">
        <f aca="false">MAX(F43,J43,N43,R43)</f>
        <v>-38.1448065932848</v>
      </c>
      <c r="U43" s="2" t="n">
        <f aca="false">MAX(C43,G43,K43,O43)-MIN(C43,G43,K43,O43)</f>
        <v>0</v>
      </c>
    </row>
    <row r="44" customFormat="false" ht="15" hidden="false" customHeight="false" outlineLevel="0" collapsed="false">
      <c r="A44" s="2" t="s">
        <v>99</v>
      </c>
      <c r="B44" s="7" t="n">
        <f aca="false">Win_Probabilities!E43</f>
        <v>6.12510888951263</v>
      </c>
      <c r="C44" s="3" t="n">
        <v>6.5</v>
      </c>
      <c r="D44" s="3" t="n">
        <v>115</v>
      </c>
      <c r="E44" s="8" t="n">
        <f aca="false">IF(C44="","",SUMPRODUCT((COLUMN(Win_Probabilities!$F$1:$S$1)-COLUMN(Win_Probabilities!$F$1)&gt;C44)*Win_Probabilities!$F43:$S43))</f>
        <v>0.402602077533196</v>
      </c>
      <c r="F44" s="9" t="n">
        <f aca="false">E44*IF(D44&lt;0,10000/-D44,D44)-(1-E44)*100</f>
        <v>-13.4405533303628</v>
      </c>
      <c r="G44" s="3" t="n">
        <v>6.5</v>
      </c>
      <c r="H44" s="3" t="n">
        <v>110</v>
      </c>
      <c r="I44" s="8" t="n">
        <f aca="false">IF(G44="","",SUMPRODUCT((COLUMN(Win_Probabilities!$F$1:$S$1)-COLUMN(Win_Probabilities!$F$1)&gt;G44)*Win_Probabilities!$F43:$S43))</f>
        <v>0.402602077533196</v>
      </c>
      <c r="J44" s="9" t="n">
        <f aca="false">I44*IF(H44&lt;0,10000/-H44,H44)-(1-I44)*100</f>
        <v>-15.4535637180288</v>
      </c>
      <c r="K44" s="3" t="n">
        <v>6.5</v>
      </c>
      <c r="L44" s="3" t="n">
        <v>116</v>
      </c>
      <c r="M44" s="8" t="n">
        <f aca="false">IF(K44="","",SUMPRODUCT((COLUMN(Win_Probabilities!$F$1:$S$1)-COLUMN(Win_Probabilities!$F$1)&gt;K44)*Win_Probabilities!$F43:$S43))</f>
        <v>0.402602077533196</v>
      </c>
      <c r="N44" s="9" t="n">
        <f aca="false">M44*IF(L44&lt;0,10000/-L44,L44)-(1-M44)*100</f>
        <v>-13.0379512528296</v>
      </c>
      <c r="O44" s="3" t="n">
        <v>6.5</v>
      </c>
      <c r="P44" s="3" t="n">
        <v>110</v>
      </c>
      <c r="Q44" s="8" t="n">
        <f aca="false">IF(O44="","",SUMPRODUCT((COLUMN(Win_Probabilities!$F$1:$S$1)-COLUMN(Win_Probabilities!$F$1)&gt;O44)*Win_Probabilities!$F43:$S43))</f>
        <v>0.402602077533196</v>
      </c>
      <c r="R44" s="9" t="n">
        <f aca="false">Q44*IF(P44&lt;0,10000/-P44,P44)-(1-Q44)*100</f>
        <v>-15.4535637180288</v>
      </c>
      <c r="S44" s="2" t="str">
        <f aca="false">IF(F44=MAX(F44,J44,N44,R44),"BetMGM",IF(J44=MAX(F44,J44,N44,R44),"DraftKings",IF(N44=MAX(F44,J44,N44,R44),"FanDuel",IF(R44=MAX(F44,J44,N44,R44),"RiversCasino",""))))</f>
        <v>FanDuel</v>
      </c>
      <c r="T44" s="9" t="n">
        <f aca="false">MAX(F44,J44,N44,R44)</f>
        <v>-13.0379512528296</v>
      </c>
      <c r="U44" s="2" t="n">
        <f aca="false">MAX(C44,G44,K44,O44)-MIN(C44,G44,K44,O44)</f>
        <v>0</v>
      </c>
    </row>
    <row r="45" customFormat="false" ht="15" hidden="false" customHeight="false" outlineLevel="0" collapsed="false">
      <c r="A45" s="2" t="s">
        <v>100</v>
      </c>
      <c r="B45" s="7" t="n">
        <f aca="false">Win_Probabilities!E44</f>
        <v>7.05158542903262</v>
      </c>
      <c r="C45" s="3" t="n">
        <v>7.5</v>
      </c>
      <c r="D45" s="3" t="n">
        <v>100</v>
      </c>
      <c r="E45" s="8" t="n">
        <f aca="false">IF(C45="","",SUMPRODUCT((COLUMN(Win_Probabilities!$F$1:$S$1)-COLUMN(Win_Probabilities!$F$1)&gt;C45)*Win_Probabilities!$F44:$S44))</f>
        <v>0.389747707481237</v>
      </c>
      <c r="F45" s="9" t="n">
        <f aca="false">E45*IF(D45&lt;0,10000/-D45,D45)-(1-E45)*100</f>
        <v>-22.0504585037527</v>
      </c>
      <c r="G45" s="3" t="n">
        <v>7.5</v>
      </c>
      <c r="H45" s="3" t="n">
        <v>120</v>
      </c>
      <c r="I45" s="8" t="n">
        <f aca="false">IF(G45="","",SUMPRODUCT((COLUMN(Win_Probabilities!$F$1:$S$1)-COLUMN(Win_Probabilities!$F$1)&gt;G45)*Win_Probabilities!$F44:$S44))</f>
        <v>0.389747707481237</v>
      </c>
      <c r="J45" s="9" t="n">
        <f aca="false">I45*IF(H45&lt;0,10000/-H45,H45)-(1-I45)*100</f>
        <v>-14.2555043541279</v>
      </c>
      <c r="K45" s="3" t="n">
        <v>7.5</v>
      </c>
      <c r="L45" s="3" t="n">
        <v>-100</v>
      </c>
      <c r="M45" s="8" t="n">
        <f aca="false">IF(K45="","",SUMPRODUCT((COLUMN(Win_Probabilities!$F$1:$S$1)-COLUMN(Win_Probabilities!$F$1)&gt;K45)*Win_Probabilities!$F44:$S44))</f>
        <v>0.389747707481237</v>
      </c>
      <c r="N45" s="9" t="n">
        <f aca="false">M45*IF(L45&lt;0,10000/-L45,L45)-(1-M45)*100</f>
        <v>-22.0504585037527</v>
      </c>
      <c r="O45" s="3" t="n">
        <v>7.5</v>
      </c>
      <c r="P45" s="3" t="n">
        <v>-103</v>
      </c>
      <c r="Q45" s="8" t="n">
        <f aca="false">IF(O45="","",SUMPRODUCT((COLUMN(Win_Probabilities!$F$1:$S$1)-COLUMN(Win_Probabilities!$F$1)&gt;O45)*Win_Probabilities!$F44:$S44))</f>
        <v>0.389747707481237</v>
      </c>
      <c r="R45" s="9" t="n">
        <f aca="false">Q45*IF(P45&lt;0,10000/-P45,P45)-(1-Q45)*100</f>
        <v>-23.1856460012708</v>
      </c>
      <c r="S45" s="2" t="str">
        <f aca="false">IF(F45=MAX(F45,J45,N45,R45),"BetMGM",IF(J45=MAX(F45,J45,N45,R45),"DraftKings",IF(N45=MAX(F45,J45,N45,R45),"FanDuel",IF(R45=MAX(F45,J45,N45,R45),"RiversCasino",""))))</f>
        <v>DraftKings</v>
      </c>
      <c r="T45" s="9" t="n">
        <f aca="false">MAX(F45,J45,N45,R45)</f>
        <v>-14.2555043541279</v>
      </c>
      <c r="U45" s="2" t="n">
        <f aca="false">MAX(C45,G45,K45,O45)-MIN(C45,G45,K45,O45)</f>
        <v>0</v>
      </c>
    </row>
    <row r="46" customFormat="false" ht="15" hidden="false" customHeight="false" outlineLevel="0" collapsed="false">
      <c r="A46" s="2" t="s">
        <v>102</v>
      </c>
      <c r="B46" s="7" t="n">
        <f aca="false">Win_Probabilities!E46</f>
        <v>6.40835846497933</v>
      </c>
      <c r="C46" s="3" t="n">
        <v>5.5</v>
      </c>
      <c r="D46" s="3" t="n">
        <v>-135</v>
      </c>
      <c r="E46" s="8" t="n">
        <f aca="false">IF(C46="","",SUMPRODUCT((COLUMN(Win_Probabilities!$F$1:$S$1)-COLUMN(Win_Probabilities!$F$1)&gt;C46)*Win_Probabilities!$F46:$S46))</f>
        <v>0.723918033605866</v>
      </c>
      <c r="F46" s="9" t="n">
        <f aca="false">E46*IF(D46&lt;0,10000/-D46,D46)-(1-E46)*100</f>
        <v>26.0153614054656</v>
      </c>
      <c r="G46" s="3" t="n">
        <v>5.5</v>
      </c>
      <c r="H46" s="3" t="n">
        <v>-146</v>
      </c>
      <c r="I46" s="8" t="n">
        <f aca="false">IF(G46="","",SUMPRODUCT((COLUMN(Win_Probabilities!$F$1:$S$1)-COLUMN(Win_Probabilities!$F$1)&gt;G46)*Win_Probabilities!$F46:$S46))</f>
        <v>0.723918033605866</v>
      </c>
      <c r="J46" s="9" t="n">
        <f aca="false">I46*IF(H46&lt;0,10000/-H46,H46)-(1-I46)*100</f>
        <v>21.9752303198925</v>
      </c>
      <c r="K46" s="3" t="n">
        <v>5.5</v>
      </c>
      <c r="L46" s="3" t="n">
        <v>-144</v>
      </c>
      <c r="M46" s="8" t="n">
        <f aca="false">IF(K46="","",SUMPRODUCT((COLUMN(Win_Probabilities!$F$1:$S$1)-COLUMN(Win_Probabilities!$F$1)&gt;K46)*Win_Probabilities!$F46:$S46))</f>
        <v>0.723918033605866</v>
      </c>
      <c r="N46" s="9" t="n">
        <f aca="false">M46*IF(L46&lt;0,10000/-L46,L46)-(1-M46)*100</f>
        <v>22.6638890276607</v>
      </c>
      <c r="O46" s="3" t="n">
        <v>5.5</v>
      </c>
      <c r="P46" s="3" t="n">
        <v>-130</v>
      </c>
      <c r="Q46" s="8" t="n">
        <f aca="false">IF(O46="","",SUMPRODUCT((COLUMN(Win_Probabilities!$F$1:$S$1)-COLUMN(Win_Probabilities!$F$1)&gt;O46)*Win_Probabilities!$F46:$S46))</f>
        <v>0.723918033605866</v>
      </c>
      <c r="R46" s="9" t="n">
        <f aca="false">Q46*IF(P46&lt;0,10000/-P46,P46)-(1-Q46)*100</f>
        <v>28.0778059456532</v>
      </c>
      <c r="S46" s="2" t="str">
        <f aca="false">IF(F46=MAX(F46,J46,N46,R46),"BetMGM",IF(J46=MAX(F46,J46,N46,R46),"DraftKings",IF(N46=MAX(F46,J46,N46,R46),"FanDuel",IF(R46=MAX(F46,J46,N46,R46),"RiversCasino",""))))</f>
        <v>RiversCasino</v>
      </c>
      <c r="T46" s="9" t="n">
        <f aca="false">MAX(F46,J46,N46,R46)</f>
        <v>28.0778059456532</v>
      </c>
      <c r="U46" s="2" t="n">
        <f aca="false">MAX(C46,G46,K46,O46)-MIN(C46,G46,K46,O46)</f>
        <v>0</v>
      </c>
    </row>
    <row r="47" customFormat="false" ht="15" hidden="false" customHeight="false" outlineLevel="0" collapsed="false">
      <c r="A47" s="2" t="s">
        <v>103</v>
      </c>
      <c r="B47" s="7" t="n">
        <f aca="false">Win_Probabilities!E47</f>
        <v>5.84559311278303</v>
      </c>
      <c r="C47" s="3" t="n">
        <v>6.5</v>
      </c>
      <c r="D47" s="3" t="n">
        <v>100</v>
      </c>
      <c r="E47" s="8" t="n">
        <f aca="false">IF(C47="","",SUMPRODUCT((COLUMN(Win_Probabilities!$F$1:$S$1)-COLUMN(Win_Probabilities!$F$1)&gt;C47)*Win_Probabilities!$F47:$S47))</f>
        <v>0.335447723083833</v>
      </c>
      <c r="F47" s="9" t="n">
        <f aca="false">E47*IF(D47&lt;0,10000/-D47,D47)-(1-E47)*100</f>
        <v>-32.9104553832334</v>
      </c>
      <c r="G47" s="3" t="n">
        <v>6.5</v>
      </c>
      <c r="H47" s="3" t="n">
        <v>110</v>
      </c>
      <c r="I47" s="8" t="n">
        <f aca="false">IF(G47="","",SUMPRODUCT((COLUMN(Win_Probabilities!$F$1:$S$1)-COLUMN(Win_Probabilities!$F$1)&gt;G47)*Win_Probabilities!$F47:$S47))</f>
        <v>0.335447723083833</v>
      </c>
      <c r="J47" s="9" t="n">
        <f aca="false">I47*IF(H47&lt;0,10000/-H47,H47)-(1-I47)*100</f>
        <v>-29.5559781523951</v>
      </c>
      <c r="K47" s="3" t="n">
        <v>6.5</v>
      </c>
      <c r="L47" s="3" t="n">
        <v>-102</v>
      </c>
      <c r="M47" s="8" t="n">
        <f aca="false">IF(K47="","",SUMPRODUCT((COLUMN(Win_Probabilities!$F$1:$S$1)-COLUMN(Win_Probabilities!$F$1)&gt;K47)*Win_Probabilities!$F47:$S47))</f>
        <v>0.335447723083833</v>
      </c>
      <c r="N47" s="9" t="n">
        <f aca="false">M47*IF(L47&lt;0,10000/-L47,L47)-(1-M47)*100</f>
        <v>-33.5681960167311</v>
      </c>
      <c r="O47" s="3" t="n">
        <v>5.5</v>
      </c>
      <c r="P47" s="3" t="n">
        <v>-200</v>
      </c>
      <c r="Q47" s="8" t="n">
        <f aca="false">IF(O47="","",SUMPRODUCT((COLUMN(Win_Probabilities!$F$1:$S$1)-COLUMN(Win_Probabilities!$F$1)&gt;O47)*Win_Probabilities!$F47:$S47))</f>
        <v>0.589532118218613</v>
      </c>
      <c r="R47" s="9" t="n">
        <f aca="false">Q47*IF(P47&lt;0,10000/-P47,P47)-(1-Q47)*100</f>
        <v>-11.5701822672081</v>
      </c>
      <c r="S47" s="2" t="str">
        <f aca="false">IF(F47=MAX(F47,J47,N47,R47),"BetMGM",IF(J47=MAX(F47,J47,N47,R47),"DraftKings",IF(N47=MAX(F47,J47,N47,R47),"FanDuel",IF(R47=MAX(F47,J47,N47,R47),"RiversCasino",""))))</f>
        <v>RiversCasino</v>
      </c>
      <c r="T47" s="9" t="n">
        <f aca="false">MAX(F47,J47,N47,R47)</f>
        <v>-11.5701822672081</v>
      </c>
      <c r="U47" s="2" t="n">
        <f aca="false">MAX(C47,G47,K47,O47)-MIN(C47,G47,K47,O47)</f>
        <v>1</v>
      </c>
    </row>
    <row r="48" customFormat="false" ht="15" hidden="false" customHeight="false" outlineLevel="0" collapsed="false">
      <c r="A48" s="2" t="s">
        <v>105</v>
      </c>
      <c r="B48" s="7" t="n">
        <f aca="false">Win_Probabilities!E49</f>
        <v>5.95088160070845</v>
      </c>
      <c r="C48" s="3" t="n">
        <v>5.5</v>
      </c>
      <c r="D48" s="3" t="n">
        <v>110</v>
      </c>
      <c r="E48" s="8" t="n">
        <f aca="false">IF(C48="","",SUMPRODUCT((COLUMN(Win_Probabilities!$F$1:$S$1)-COLUMN(Win_Probabilities!$F$1)&gt;C48)*Win_Probabilities!$F49:$S49))</f>
        <v>0.618490516439033</v>
      </c>
      <c r="F48" s="9" t="n">
        <f aca="false">E48*IF(D48&lt;0,10000/-D48,D48)-(1-E48)*100</f>
        <v>29.883008452197</v>
      </c>
      <c r="G48" s="3" t="n">
        <v>5.5</v>
      </c>
      <c r="H48" s="3" t="n">
        <v>105</v>
      </c>
      <c r="I48" s="8" t="n">
        <f aca="false">IF(G48="","",SUMPRODUCT((COLUMN(Win_Probabilities!$F$1:$S$1)-COLUMN(Win_Probabilities!$F$1)&gt;G48)*Win_Probabilities!$F49:$S49))</f>
        <v>0.618490516439033</v>
      </c>
      <c r="J48" s="9" t="n">
        <f aca="false">I48*IF(H48&lt;0,10000/-H48,H48)-(1-I48)*100</f>
        <v>26.7905558700018</v>
      </c>
      <c r="K48" s="3" t="n">
        <v>5.5</v>
      </c>
      <c r="L48" s="3" t="n">
        <v>122</v>
      </c>
      <c r="M48" s="8" t="n">
        <f aca="false">IF(K48="","",SUMPRODUCT((COLUMN(Win_Probabilities!$F$1:$S$1)-COLUMN(Win_Probabilities!$F$1)&gt;K48)*Win_Probabilities!$F49:$S49))</f>
        <v>0.618490516439033</v>
      </c>
      <c r="N48" s="9" t="n">
        <f aca="false">M48*IF(L48&lt;0,10000/-L48,L48)-(1-M48)*100</f>
        <v>37.3048946494654</v>
      </c>
      <c r="O48" s="3" t="n">
        <v>4.5</v>
      </c>
      <c r="P48" s="3" t="n">
        <v>-200</v>
      </c>
      <c r="Q48" s="8" t="n">
        <f aca="false">IF(O48="","",SUMPRODUCT((COLUMN(Win_Probabilities!$F$1:$S$1)-COLUMN(Win_Probabilities!$F$1)&gt;O48)*Win_Probabilities!$F49:$S49))</f>
        <v>0.835971573376798</v>
      </c>
      <c r="R48" s="9" t="n">
        <f aca="false">Q48*IF(P48&lt;0,10000/-P48,P48)-(1-Q48)*100</f>
        <v>25.3957360065197</v>
      </c>
      <c r="S48" s="2" t="str">
        <f aca="false">IF(F48=MAX(F48,J48,N48,R48),"BetMGM",IF(J48=MAX(F48,J48,N48,R48),"DraftKings",IF(N48=MAX(F48,J48,N48,R48),"FanDuel",IF(R48=MAX(F48,J48,N48,R48),"RiversCasino",""))))</f>
        <v>FanDuel</v>
      </c>
      <c r="T48" s="9" t="n">
        <f aca="false">MAX(F48,J48,N48,R48)</f>
        <v>37.3048946494654</v>
      </c>
      <c r="U48" s="2" t="n">
        <f aca="false">MAX(C48,G48,K48,O48)-MIN(C48,G48,K48,O48)</f>
        <v>1</v>
      </c>
    </row>
    <row r="49" customFormat="false" ht="15" hidden="false" customHeight="false" outlineLevel="0" collapsed="false">
      <c r="A49" s="2" t="s">
        <v>106</v>
      </c>
      <c r="B49" s="7" t="n">
        <f aca="false">Win_Probabilities!E50</f>
        <v>8.19572669377522</v>
      </c>
      <c r="C49" s="3" t="n">
        <v>7.5</v>
      </c>
      <c r="D49" s="3" t="n">
        <v>-175</v>
      </c>
      <c r="E49" s="8" t="n">
        <f aca="false">IF(C49="","",SUMPRODUCT((COLUMN(Win_Probabilities!$F$1:$S$1)-COLUMN(Win_Probabilities!$F$1)&gt;C49)*Win_Probabilities!$F50:$S50))</f>
        <v>0.698463102299935</v>
      </c>
      <c r="F49" s="9" t="n">
        <f aca="false">E49*IF(D49&lt;0,10000/-D49,D49)-(1-E49)*100</f>
        <v>9.75848750427542</v>
      </c>
      <c r="G49" s="3" t="n">
        <v>8.5</v>
      </c>
      <c r="H49" s="3" t="n">
        <v>150</v>
      </c>
      <c r="I49" s="8" t="n">
        <f aca="false">IF(G49="","",SUMPRODUCT((COLUMN(Win_Probabilities!$F$1:$S$1)-COLUMN(Win_Probabilities!$F$1)&gt;G49)*Win_Probabilities!$F50:$S50))</f>
        <v>0.435707202823531</v>
      </c>
      <c r="J49" s="9" t="n">
        <f aca="false">I49*IF(H49&lt;0,10000/-H49,H49)-(1-I49)*100</f>
        <v>8.92680070588269</v>
      </c>
      <c r="K49" s="3" t="n">
        <v>8.5</v>
      </c>
      <c r="L49" s="3" t="n">
        <v>-128</v>
      </c>
      <c r="M49" s="8" t="n">
        <f aca="false">IF(K49="","",SUMPRODUCT((COLUMN(Win_Probabilities!$F$1:$S$1)-COLUMN(Win_Probabilities!$F$1)&gt;K49)*Win_Probabilities!$F50:$S50))</f>
        <v>0.435707202823531</v>
      </c>
      <c r="N49" s="9" t="n">
        <f aca="false">M49*IF(L49&lt;0,10000/-L49,L49)-(1-M49)*100</f>
        <v>-22.3896544970586</v>
      </c>
      <c r="O49" s="3" t="n">
        <v>8.5</v>
      </c>
      <c r="P49" s="3" t="n">
        <v>100</v>
      </c>
      <c r="Q49" s="8" t="n">
        <f aca="false">IF(O49="","",SUMPRODUCT((COLUMN(Win_Probabilities!$F$1:$S$1)-COLUMN(Win_Probabilities!$F$1)&gt;O49)*Win_Probabilities!$F50:$S50))</f>
        <v>0.435707202823531</v>
      </c>
      <c r="R49" s="9" t="n">
        <f aca="false">Q49*IF(P49&lt;0,10000/-P49,P49)-(1-Q49)*100</f>
        <v>-12.8585594352938</v>
      </c>
      <c r="S49" s="2" t="str">
        <f aca="false">IF(F49=MAX(F49,J49,N49,R49),"BetMGM",IF(J49=MAX(F49,J49,N49,R49),"DraftKings",IF(N49=MAX(F49,J49,N49,R49),"FanDuel",IF(R49=MAX(F49,J49,N49,R49),"RiversCasino",""))))</f>
        <v>BetMGM</v>
      </c>
      <c r="T49" s="9" t="n">
        <f aca="false">MAX(F49,J49,N49,R49)</f>
        <v>9.75848750427542</v>
      </c>
      <c r="U49" s="2" t="n">
        <f aca="false">MAX(C49,G49,K49,O49)-MIN(C49,G49,K49,O49)</f>
        <v>1</v>
      </c>
    </row>
    <row r="50" customFormat="false" ht="15" hidden="false" customHeight="false" outlineLevel="0" collapsed="false">
      <c r="A50" s="2" t="s">
        <v>107</v>
      </c>
      <c r="B50" s="7" t="n">
        <f aca="false">Win_Probabilities!E51</f>
        <v>5.27368621198963</v>
      </c>
      <c r="C50" s="3" t="n">
        <v>5.5</v>
      </c>
      <c r="D50" s="3" t="n">
        <v>110</v>
      </c>
      <c r="E50" s="8" t="n">
        <f aca="false">IF(C50="","",SUMPRODUCT((COLUMN(Win_Probabilities!$F$1:$S$1)-COLUMN(Win_Probabilities!$F$1)&gt;C50)*Win_Probabilities!$F51:$S51))</f>
        <v>0.431227419968327</v>
      </c>
      <c r="F50" s="9" t="n">
        <f aca="false">E50*IF(D50&lt;0,10000/-D50,D50)-(1-E50)*100</f>
        <v>-9.44224180665137</v>
      </c>
      <c r="G50" s="3" t="n">
        <v>5.5</v>
      </c>
      <c r="H50" s="3" t="n">
        <v>110</v>
      </c>
      <c r="I50" s="8" t="n">
        <f aca="false">IF(G50="","",SUMPRODUCT((COLUMN(Win_Probabilities!$F$1:$S$1)-COLUMN(Win_Probabilities!$F$1)&gt;G50)*Win_Probabilities!$F51:$S51))</f>
        <v>0.431227419968327</v>
      </c>
      <c r="J50" s="9" t="n">
        <f aca="false">I50*IF(H50&lt;0,10000/-H50,H50)-(1-I50)*100</f>
        <v>-9.44224180665137</v>
      </c>
      <c r="K50" s="3" t="n">
        <v>5.5</v>
      </c>
      <c r="L50" s="3" t="n">
        <v>110</v>
      </c>
      <c r="M50" s="8" t="n">
        <f aca="false">IF(K50="","",SUMPRODUCT((COLUMN(Win_Probabilities!$F$1:$S$1)-COLUMN(Win_Probabilities!$F$1)&gt;K50)*Win_Probabilities!$F51:$S51))</f>
        <v>0.431227419968327</v>
      </c>
      <c r="N50" s="9" t="n">
        <f aca="false">M50*IF(L50&lt;0,10000/-L50,L50)-(1-M50)*100</f>
        <v>-9.44224180665137</v>
      </c>
      <c r="O50" s="3" t="n">
        <v>5.5</v>
      </c>
      <c r="P50" s="3" t="n">
        <v>108</v>
      </c>
      <c r="Q50" s="8" t="n">
        <f aca="false">IF(O50="","",SUMPRODUCT((COLUMN(Win_Probabilities!$F$1:$S$1)-COLUMN(Win_Probabilities!$F$1)&gt;O50)*Win_Probabilities!$F51:$S51))</f>
        <v>0.431227419968327</v>
      </c>
      <c r="R50" s="9" t="n">
        <f aca="false">Q50*IF(P50&lt;0,10000/-P50,P50)-(1-Q50)*100</f>
        <v>-10.304696646588</v>
      </c>
      <c r="S50" s="2" t="str">
        <f aca="false">IF(F50=MAX(F50,J50,N50,R50),"BetMGM",IF(J50=MAX(F50,J50,N50,R50),"DraftKings",IF(N50=MAX(F50,J50,N50,R50),"FanDuel",IF(R50=MAX(F50,J50,N50,R50),"RiversCasino",""))))</f>
        <v>BetMGM</v>
      </c>
      <c r="T50" s="9" t="n">
        <f aca="false">MAX(F50,J50,N50,R50)</f>
        <v>-9.44224180665137</v>
      </c>
      <c r="U50" s="2" t="n">
        <f aca="false">MAX(C50,G50,K50,O50)-MIN(C50,G50,K50,O50)</f>
        <v>0</v>
      </c>
    </row>
    <row r="51" customFormat="false" ht="15" hidden="false" customHeight="false" outlineLevel="0" collapsed="false">
      <c r="A51" s="2" t="s">
        <v>108</v>
      </c>
      <c r="B51" s="7" t="n">
        <f aca="false">Win_Probabilities!E52</f>
        <v>5.79201126565864</v>
      </c>
      <c r="C51" s="3" t="n">
        <v>6.5</v>
      </c>
      <c r="D51" s="3" t="n">
        <v>-120</v>
      </c>
      <c r="E51" s="8" t="n">
        <f aca="false">IF(C51="","",SUMPRODUCT((COLUMN(Win_Probabilities!$F$1:$S$1)-COLUMN(Win_Probabilities!$F$1)&gt;C51)*Win_Probabilities!$F52:$S52))</f>
        <v>0.317053385948434</v>
      </c>
      <c r="F51" s="9" t="n">
        <f aca="false">E51*IF(D51&lt;0,10000/-D51,D51)-(1-E51)*100</f>
        <v>-41.8735459094537</v>
      </c>
      <c r="G51" s="3" t="n">
        <v>6.5</v>
      </c>
      <c r="H51" s="3" t="n">
        <v>-115</v>
      </c>
      <c r="I51" s="8" t="n">
        <f aca="false">IF(G51="","",SUMPRODUCT((COLUMN(Win_Probabilities!$F$1:$S$1)-COLUMN(Win_Probabilities!$F$1)&gt;G51)*Win_Probabilities!$F52:$S52))</f>
        <v>0.317053385948434</v>
      </c>
      <c r="J51" s="9" t="n">
        <f aca="false">I51*IF(H51&lt;0,10000/-H51,H51)-(1-I51)*100</f>
        <v>-40.7248017574667</v>
      </c>
      <c r="K51" s="3" t="n">
        <v>6.5</v>
      </c>
      <c r="L51" s="3" t="n">
        <v>-110</v>
      </c>
      <c r="M51" s="8" t="n">
        <f aca="false">IF(K51="","",SUMPRODUCT((COLUMN(Win_Probabilities!$F$1:$S$1)-COLUMN(Win_Probabilities!$F$1)&gt;K51)*Win_Probabilities!$F52:$S52))</f>
        <v>0.317053385948434</v>
      </c>
      <c r="N51" s="9" t="n">
        <f aca="false">M51*IF(L51&lt;0,10000/-L51,L51)-(1-M51)*100</f>
        <v>-39.4716263189353</v>
      </c>
      <c r="O51" s="3" t="n">
        <v>6.5</v>
      </c>
      <c r="P51" s="3" t="n">
        <v>-134</v>
      </c>
      <c r="Q51" s="8" t="n">
        <f aca="false">IF(O51="","",SUMPRODUCT((COLUMN(Win_Probabilities!$F$1:$S$1)-COLUMN(Win_Probabilities!$F$1)&gt;O51)*Win_Probabilities!$F52:$S52))</f>
        <v>0.317053385948434</v>
      </c>
      <c r="R51" s="9" t="n">
        <f aca="false">Q51*IF(P51&lt;0,10000/-P51,P51)-(1-Q51)*100</f>
        <v>-44.6339609612436</v>
      </c>
      <c r="S51" s="2" t="str">
        <f aca="false">IF(F51=MAX(F51,J51,N51,R51),"BetMGM",IF(J51=MAX(F51,J51,N51,R51),"DraftKings",IF(N51=MAX(F51,J51,N51,R51),"FanDuel",IF(R51=MAX(F51,J51,N51,R51),"RiversCasino",""))))</f>
        <v>FanDuel</v>
      </c>
      <c r="T51" s="9" t="n">
        <f aca="false">MAX(F51,J51,N51,R51)</f>
        <v>-39.4716263189353</v>
      </c>
      <c r="U51" s="2" t="n">
        <f aca="false">MAX(C51,G51,K51,O51)-MIN(C51,G51,K51,O51)</f>
        <v>0</v>
      </c>
    </row>
    <row r="52" customFormat="false" ht="15" hidden="false" customHeight="false" outlineLevel="0" collapsed="false">
      <c r="A52" s="2" t="s">
        <v>110</v>
      </c>
      <c r="B52" s="7" t="n">
        <f aca="false">Win_Probabilities!E54</f>
        <v>5.63896835725539</v>
      </c>
      <c r="C52" s="3" t="n">
        <v>6.5</v>
      </c>
      <c r="D52" s="3" t="n">
        <v>-110</v>
      </c>
      <c r="E52" s="8" t="n">
        <f aca="false">IF(C52="","",SUMPRODUCT((COLUMN(Win_Probabilities!$F$1:$S$1)-COLUMN(Win_Probabilities!$F$1)&gt;C52)*Win_Probabilities!$F54:$S54))</f>
        <v>0.274777249223311</v>
      </c>
      <c r="F52" s="9" t="n">
        <f aca="false">E52*IF(D52&lt;0,10000/-D52,D52)-(1-E52)*100</f>
        <v>-47.542525148277</v>
      </c>
      <c r="G52" s="3" t="n">
        <v>6.5</v>
      </c>
      <c r="H52" s="3" t="n">
        <v>-105</v>
      </c>
      <c r="I52" s="8" t="n">
        <f aca="false">IF(G52="","",SUMPRODUCT((COLUMN(Win_Probabilities!$F$1:$S$1)-COLUMN(Win_Probabilities!$F$1)&gt;G52)*Win_Probabilities!$F54:$S54))</f>
        <v>0.274777249223311</v>
      </c>
      <c r="J52" s="9" t="n">
        <f aca="false">I52*IF(H52&lt;0,10000/-H52,H52)-(1-I52)*100</f>
        <v>-46.3530132468774</v>
      </c>
      <c r="K52" s="3" t="n">
        <v>6.5</v>
      </c>
      <c r="L52" s="3" t="n">
        <v>-114</v>
      </c>
      <c r="M52" s="8" t="n">
        <f aca="false">IF(K52="","",SUMPRODUCT((COLUMN(Win_Probabilities!$F$1:$S$1)-COLUMN(Win_Probabilities!$F$1)&gt;K52)*Win_Probabilities!$F54:$S54))</f>
        <v>0.274777249223311</v>
      </c>
      <c r="N52" s="9" t="n">
        <f aca="false">M52*IF(L52&lt;0,10000/-L52,L52)-(1-M52)*100</f>
        <v>-48.4190076019399</v>
      </c>
      <c r="O52" s="3" t="n">
        <v>6.5</v>
      </c>
      <c r="P52" s="3" t="n">
        <v>-113</v>
      </c>
      <c r="Q52" s="8" t="n">
        <f aca="false">IF(O52="","",SUMPRODUCT((COLUMN(Win_Probabilities!$F$1:$S$1)-COLUMN(Win_Probabilities!$F$1)&gt;O52)*Win_Probabilities!$F54:$S54))</f>
        <v>0.274777249223311</v>
      </c>
      <c r="R52" s="9" t="n">
        <f aca="false">Q52*IF(P52&lt;0,10000/-P52,P52)-(1-Q52)*100</f>
        <v>-48.2057043499423</v>
      </c>
      <c r="S52" s="2" t="str">
        <f aca="false">IF(F52=MAX(F52,J52,N52,R52),"BetMGM",IF(J52=MAX(F52,J52,N52,R52),"DraftKings",IF(N52=MAX(F52,J52,N52,R52),"FanDuel",IF(R52=MAX(F52,J52,N52,R52),"RiversCasino",""))))</f>
        <v>DraftKings</v>
      </c>
      <c r="T52" s="9" t="n">
        <f aca="false">MAX(F52,J52,N52,R52)</f>
        <v>-46.3530132468774</v>
      </c>
      <c r="U52" s="2" t="n">
        <f aca="false">MAX(C52,G52,K52,O52)-MIN(C52,G52,K52,O52)</f>
        <v>0</v>
      </c>
    </row>
    <row r="53" customFormat="false" ht="15" hidden="false" customHeight="false" outlineLevel="0" collapsed="false">
      <c r="A53" s="2" t="s">
        <v>111</v>
      </c>
      <c r="B53" s="7" t="n">
        <f aca="false">Win_Probabilities!E55</f>
        <v>5.93510339132248</v>
      </c>
      <c r="C53" s="3" t="n">
        <v>6.5</v>
      </c>
      <c r="D53" s="3" t="n">
        <v>160</v>
      </c>
      <c r="E53" s="8" t="n">
        <f aca="false">IF(C53="","",SUMPRODUCT((COLUMN(Win_Probabilities!$F$1:$S$1)-COLUMN(Win_Probabilities!$F$1)&gt;C53)*Win_Probabilities!$F55:$S55))</f>
        <v>0.351827975016281</v>
      </c>
      <c r="F53" s="9" t="n">
        <f aca="false">E53*IF(D53&lt;0,10000/-D53,D53)-(1-E53)*100</f>
        <v>-8.52472649576689</v>
      </c>
      <c r="G53" s="3" t="n">
        <v>5.5</v>
      </c>
      <c r="H53" s="3" t="n">
        <v>-166</v>
      </c>
      <c r="I53" s="8" t="n">
        <f aca="false">IF(G53="","",SUMPRODUCT((COLUMN(Win_Probabilities!$F$1:$S$1)-COLUMN(Win_Probabilities!$F$1)&gt;G53)*Win_Probabilities!$F55:$S55))</f>
        <v>0.608613793623041</v>
      </c>
      <c r="J53" s="9" t="n">
        <f aca="false">I53*IF(H53&lt;0,10000/-H53,H53)-(1-I53)*100</f>
        <v>-2.47513909413926</v>
      </c>
      <c r="K53" s="3" t="n">
        <v>6.5</v>
      </c>
      <c r="L53" s="3" t="n">
        <v>146</v>
      </c>
      <c r="M53" s="8" t="n">
        <f aca="false">IF(K53="","",SUMPRODUCT((COLUMN(Win_Probabilities!$F$1:$S$1)-COLUMN(Win_Probabilities!$F$1)&gt;K53)*Win_Probabilities!$F55:$S55))</f>
        <v>0.351827975016281</v>
      </c>
      <c r="N53" s="9" t="n">
        <f aca="false">M53*IF(L53&lt;0,10000/-L53,L53)-(1-M53)*100</f>
        <v>-13.4503181459948</v>
      </c>
      <c r="O53" s="3" t="n">
        <v>6.5</v>
      </c>
      <c r="P53" s="3" t="n">
        <v>135</v>
      </c>
      <c r="Q53" s="8" t="n">
        <f aca="false">IF(O53="","",SUMPRODUCT((COLUMN(Win_Probabilities!$F$1:$S$1)-COLUMN(Win_Probabilities!$F$1)&gt;O53)*Win_Probabilities!$F55:$S55))</f>
        <v>0.351827975016281</v>
      </c>
      <c r="R53" s="9" t="n">
        <f aca="false">Q53*IF(P53&lt;0,10000/-P53,P53)-(1-Q53)*100</f>
        <v>-17.3204258711739</v>
      </c>
      <c r="S53" s="2" t="str">
        <f aca="false">IF(F53=MAX(F53,J53,N53,R53),"BetMGM",IF(J53=MAX(F53,J53,N53,R53),"DraftKings",IF(N53=MAX(F53,J53,N53,R53),"FanDuel",IF(R53=MAX(F53,J53,N53,R53),"RiversCasino",""))))</f>
        <v>DraftKings</v>
      </c>
      <c r="T53" s="9" t="n">
        <f aca="false">MAX(F53,J53,N53,R53)</f>
        <v>-2.47513909413926</v>
      </c>
      <c r="U53" s="2" t="n">
        <f aca="false">MAX(C53,G53,K53,O53)-MIN(C53,G53,K53,O53)</f>
        <v>1</v>
      </c>
    </row>
    <row r="54" customFormat="false" ht="15" hidden="false" customHeight="false" outlineLevel="0" collapsed="false">
      <c r="A54" s="2" t="s">
        <v>112</v>
      </c>
      <c r="B54" s="7" t="n">
        <f aca="false">Win_Probabilities!E56</f>
        <v>8.8539808219114</v>
      </c>
      <c r="C54" s="3" t="n">
        <v>7.5</v>
      </c>
      <c r="D54" s="3" t="n">
        <v>-185</v>
      </c>
      <c r="E54" s="8" t="n">
        <f aca="false">IF(C54="","",SUMPRODUCT((COLUMN(Win_Probabilities!$F$1:$S$1)-COLUMN(Win_Probabilities!$F$1)&gt;C54)*Win_Probabilities!$F56:$S56))</f>
        <v>0.828639438330077</v>
      </c>
      <c r="F54" s="9" t="n">
        <f aca="false">E54*IF(D54&lt;0,10000/-D54,D54)-(1-E54)*100</f>
        <v>27.6552648238227</v>
      </c>
      <c r="G54" s="3" t="n">
        <v>7.5</v>
      </c>
      <c r="H54" s="3" t="n">
        <v>-174</v>
      </c>
      <c r="I54" s="8" t="n">
        <f aca="false">IF(G54="","",SUMPRODUCT((COLUMN(Win_Probabilities!$F$1:$S$1)-COLUMN(Win_Probabilities!$F$1)&gt;G54)*Win_Probabilities!$F56:$S56))</f>
        <v>0.828639438330077</v>
      </c>
      <c r="J54" s="9" t="n">
        <f aca="false">I54*IF(H54&lt;0,10000/-H54,H54)-(1-I54)*100</f>
        <v>30.4869000588742</v>
      </c>
      <c r="K54" s="3" t="n">
        <v>8.5</v>
      </c>
      <c r="L54" s="3" t="n">
        <v>112</v>
      </c>
      <c r="M54" s="8" t="n">
        <f aca="false">IF(K54="","",SUMPRODUCT((COLUMN(Win_Probabilities!$F$1:$S$1)-COLUMN(Win_Probabilities!$F$1)&gt;K54)*Win_Probabilities!$F56:$S56))</f>
        <v>0.612237855322084</v>
      </c>
      <c r="N54" s="9" t="n">
        <f aca="false">M54*IF(L54&lt;0,10000/-L54,L54)-(1-M54)*100</f>
        <v>29.7944253282818</v>
      </c>
      <c r="O54" s="3" t="n">
        <v>7.5</v>
      </c>
      <c r="P54" s="3" t="n">
        <v>-175</v>
      </c>
      <c r="Q54" s="8" t="n">
        <f aca="false">IF(O54="","",SUMPRODUCT((COLUMN(Win_Probabilities!$F$1:$S$1)-COLUMN(Win_Probabilities!$F$1)&gt;O54)*Win_Probabilities!$F56:$S56))</f>
        <v>0.828639438330077</v>
      </c>
      <c r="R54" s="9" t="n">
        <f aca="false">Q54*IF(P54&lt;0,10000/-P54,P54)-(1-Q54)*100</f>
        <v>30.2147688804407</v>
      </c>
      <c r="S54" s="2" t="str">
        <f aca="false">IF(F54=MAX(F54,J54,N54,R54),"BetMGM",IF(J54=MAX(F54,J54,N54,R54),"DraftKings",IF(N54=MAX(F54,J54,N54,R54),"FanDuel",IF(R54=MAX(F54,J54,N54,R54),"RiversCasino",""))))</f>
        <v>DraftKings</v>
      </c>
      <c r="T54" s="9" t="n">
        <f aca="false">MAX(F54,J54,N54,R54)</f>
        <v>30.4869000588742</v>
      </c>
      <c r="U54" s="2" t="n">
        <f aca="false">MAX(C54,G54,K54,O54)-MIN(C54,G54,K54,O54)</f>
        <v>1</v>
      </c>
    </row>
    <row r="55" customFormat="false" ht="15" hidden="false" customHeight="false" outlineLevel="0" collapsed="false">
      <c r="A55" s="2" t="s">
        <v>113</v>
      </c>
      <c r="B55" s="7" t="n">
        <f aca="false">Win_Probabilities!E57</f>
        <v>5.27710441763838</v>
      </c>
      <c r="C55" s="3" t="n">
        <v>4.5</v>
      </c>
      <c r="D55" s="3" t="n">
        <v>-105</v>
      </c>
      <c r="E55" s="8" t="n">
        <f aca="false">IF(C55="","",SUMPRODUCT((COLUMN(Win_Probabilities!$F$1:$S$1)-COLUMN(Win_Probabilities!$F$1)&gt;C55)*Win_Probabilities!$F57:$S57))</f>
        <v>0.6952201168335</v>
      </c>
      <c r="F55" s="9" t="n">
        <f aca="false">E55*IF(D55&lt;0,10000/-D55,D55)-(1-E55)*100</f>
        <v>35.7334513817786</v>
      </c>
      <c r="G55" s="3" t="n">
        <v>4.5</v>
      </c>
      <c r="H55" s="3" t="n">
        <v>-115</v>
      </c>
      <c r="I55" s="8" t="n">
        <f aca="false">IF(G55="","",SUMPRODUCT((COLUMN(Win_Probabilities!$F$1:$S$1)-COLUMN(Win_Probabilities!$F$1)&gt;G55)*Win_Probabilities!$F57:$S57))</f>
        <v>0.6952201168335</v>
      </c>
      <c r="J55" s="9" t="n">
        <f aca="false">I55*IF(H55&lt;0,10000/-H55,H55)-(1-I55)*100</f>
        <v>29.975934886263</v>
      </c>
      <c r="K55" s="3" t="n">
        <v>4.5</v>
      </c>
      <c r="L55" s="3" t="n">
        <v>-105</v>
      </c>
      <c r="M55" s="8" t="n">
        <f aca="false">IF(K55="","",SUMPRODUCT((COLUMN(Win_Probabilities!$F$1:$S$1)-COLUMN(Win_Probabilities!$F$1)&gt;K55)*Win_Probabilities!$F57:$S57))</f>
        <v>0.6952201168335</v>
      </c>
      <c r="N55" s="9" t="n">
        <f aca="false">M55*IF(L55&lt;0,10000/-L55,L55)-(1-M55)*100</f>
        <v>35.7334513817786</v>
      </c>
      <c r="O55" s="3" t="n">
        <v>4.5</v>
      </c>
      <c r="P55" s="3" t="n">
        <v>-121</v>
      </c>
      <c r="Q55" s="8" t="n">
        <f aca="false">IF(O55="","",SUMPRODUCT((COLUMN(Win_Probabilities!$F$1:$S$1)-COLUMN(Win_Probabilities!$F$1)&gt;O55)*Win_Probabilities!$F57:$S57))</f>
        <v>0.6952201168335</v>
      </c>
      <c r="R55" s="9" t="n">
        <f aca="false">Q55*IF(P55&lt;0,10000/-P55,P55)-(1-Q55)*100</f>
        <v>26.9782196861186</v>
      </c>
      <c r="S55" s="2" t="str">
        <f aca="false">IF(F55=MAX(F55,J55,N55,R55),"BetMGM",IF(J55=MAX(F55,J55,N55,R55),"DraftKings",IF(N55=MAX(F55,J55,N55,R55),"FanDuel",IF(R55=MAX(F55,J55,N55,R55),"RiversCasino",""))))</f>
        <v>BetMGM</v>
      </c>
      <c r="T55" s="9" t="n">
        <f aca="false">MAX(F55,J55,N55,R55)</f>
        <v>35.7334513817786</v>
      </c>
      <c r="U55" s="2" t="n">
        <f aca="false">MAX(C55,G55,K55,O55)-MIN(C55,G55,K55,O55)</f>
        <v>0</v>
      </c>
    </row>
    <row r="56" customFormat="false" ht="15" hidden="false" customHeight="false" outlineLevel="0" collapsed="false">
      <c r="A56" s="2" t="s">
        <v>114</v>
      </c>
      <c r="B56" s="7" t="n">
        <f aca="false">Win_Probabilities!E58</f>
        <v>6.05684127829602</v>
      </c>
      <c r="C56" s="3" t="n">
        <v>5.5</v>
      </c>
      <c r="D56" s="3" t="n">
        <v>-130</v>
      </c>
      <c r="E56" s="8" t="n">
        <f aca="false">IF(C56="","",SUMPRODUCT((COLUMN(Win_Probabilities!$F$1:$S$1)-COLUMN(Win_Probabilities!$F$1)&gt;C56)*Win_Probabilities!$F58:$S58))</f>
        <v>0.640747374625632</v>
      </c>
      <c r="F56" s="9" t="n">
        <f aca="false">E56*IF(D56&lt;0,10000/-D56,D56)-(1-E56)*100</f>
        <v>13.3629970491502</v>
      </c>
      <c r="G56" s="3" t="n">
        <v>5.5</v>
      </c>
      <c r="H56" s="3" t="n">
        <v>-136</v>
      </c>
      <c r="I56" s="8" t="n">
        <f aca="false">IF(G56="","",SUMPRODUCT((COLUMN(Win_Probabilities!$F$1:$S$1)-COLUMN(Win_Probabilities!$F$1)&gt;G56)*Win_Probabilities!$F58:$S58))</f>
        <v>0.640747374625632</v>
      </c>
      <c r="J56" s="9" t="n">
        <f aca="false">I56*IF(H56&lt;0,10000/-H56,H56)-(1-I56)*100</f>
        <v>11.1885150085655</v>
      </c>
      <c r="K56" s="3" t="n">
        <v>5.5</v>
      </c>
      <c r="L56" s="3" t="n">
        <v>-132</v>
      </c>
      <c r="M56" s="8" t="n">
        <f aca="false">IF(K56="","",SUMPRODUCT((COLUMN(Win_Probabilities!$F$1:$S$1)-COLUMN(Win_Probabilities!$F$1)&gt;K56)*Win_Probabilities!$F58:$S58))</f>
        <v>0.640747374625632</v>
      </c>
      <c r="N56" s="9" t="n">
        <f aca="false">M56*IF(L56&lt;0,10000/-L56,L56)-(1-M56)*100</f>
        <v>12.6162052372322</v>
      </c>
      <c r="O56" s="3" t="n">
        <v>5.5</v>
      </c>
      <c r="P56" s="3" t="n">
        <v>-125</v>
      </c>
      <c r="Q56" s="8" t="n">
        <f aca="false">IF(O56="","",SUMPRODUCT((COLUMN(Win_Probabilities!$F$1:$S$1)-COLUMN(Win_Probabilities!$F$1)&gt;O56)*Win_Probabilities!$F58:$S58))</f>
        <v>0.640747374625632</v>
      </c>
      <c r="R56" s="9" t="n">
        <f aca="false">Q56*IF(P56&lt;0,10000/-P56,P56)-(1-Q56)*100</f>
        <v>15.3345274326137</v>
      </c>
      <c r="S56" s="2" t="str">
        <f aca="false">IF(F56=MAX(F56,J56,N56,R56),"BetMGM",IF(J56=MAX(F56,J56,N56,R56),"DraftKings",IF(N56=MAX(F56,J56,N56,R56),"FanDuel",IF(R56=MAX(F56,J56,N56,R56),"RiversCasino",""))))</f>
        <v>RiversCasino</v>
      </c>
      <c r="T56" s="9" t="n">
        <f aca="false">MAX(F56,J56,N56,R56)</f>
        <v>15.3345274326137</v>
      </c>
      <c r="U56" s="2" t="n">
        <f aca="false">MAX(C56,G56,K56,O56)-MIN(C56,G56,K56,O56)</f>
        <v>0</v>
      </c>
    </row>
    <row r="57" customFormat="false" ht="15" hidden="false" customHeight="false" outlineLevel="0" collapsed="false">
      <c r="A57" s="2" t="s">
        <v>115</v>
      </c>
      <c r="B57" s="7" t="n">
        <f aca="false">Win_Probabilities!E59</f>
        <v>5.93384404787908</v>
      </c>
      <c r="C57" s="3" t="n">
        <v>5.5</v>
      </c>
      <c r="D57" s="3" t="n">
        <v>-150</v>
      </c>
      <c r="E57" s="8" t="n">
        <f aca="false">IF(C57="","",SUMPRODUCT((COLUMN(Win_Probabilities!$F$1:$S$1)-COLUMN(Win_Probabilities!$F$1)&gt;C57)*Win_Probabilities!$F59:$S59))</f>
        <v>0.605895033332852</v>
      </c>
      <c r="F57" s="9" t="n">
        <f aca="false">E57*IF(D57&lt;0,10000/-D57,D57)-(1-E57)*100</f>
        <v>0.982505555475264</v>
      </c>
      <c r="G57" s="3" t="n">
        <v>5.5</v>
      </c>
      <c r="H57" s="3" t="n">
        <v>-156</v>
      </c>
      <c r="I57" s="8" t="n">
        <f aca="false">IF(G57="","",SUMPRODUCT((COLUMN(Win_Probabilities!$F$1:$S$1)-COLUMN(Win_Probabilities!$F$1)&gt;G57)*Win_Probabilities!$F59:$S59))</f>
        <v>0.605895033332852</v>
      </c>
      <c r="J57" s="9" t="n">
        <f aca="false">I57*IF(H57&lt;0,10000/-H57,H57)-(1-I57)*100</f>
        <v>-0.571071453070509</v>
      </c>
      <c r="K57" s="3" t="n">
        <v>5.5</v>
      </c>
      <c r="L57" s="3" t="n">
        <v>-130</v>
      </c>
      <c r="M57" s="8" t="n">
        <f aca="false">IF(K57="","",SUMPRODUCT((COLUMN(Win_Probabilities!$F$1:$S$1)-COLUMN(Win_Probabilities!$F$1)&gt;K57)*Win_Probabilities!$F59:$S59))</f>
        <v>0.605895033332852</v>
      </c>
      <c r="N57" s="9" t="n">
        <f aca="false">M57*IF(L57&lt;0,10000/-L57,L57)-(1-M57)*100</f>
        <v>7.19681358965836</v>
      </c>
      <c r="O57" s="3" t="n">
        <v>5.5</v>
      </c>
      <c r="P57" s="3" t="n">
        <v>-152</v>
      </c>
      <c r="Q57" s="8" t="n">
        <f aca="false">IF(O57="","",SUMPRODUCT((COLUMN(Win_Probabilities!$F$1:$S$1)-COLUMN(Win_Probabilities!$F$1)&gt;O57)*Win_Probabilities!$F59:$S59))</f>
        <v>0.605895033332852</v>
      </c>
      <c r="R57" s="9" t="n">
        <f aca="false">Q57*IF(P57&lt;0,10000/-P57,P57)-(1-Q57)*100</f>
        <v>0.451018684130652</v>
      </c>
      <c r="S57" s="2" t="str">
        <f aca="false">IF(F57=MAX(F57,J57,N57,R57),"BetMGM",IF(J57=MAX(F57,J57,N57,R57),"DraftKings",IF(N57=MAX(F57,J57,N57,R57),"FanDuel",IF(R57=MAX(F57,J57,N57,R57),"RiversCasino",""))))</f>
        <v>FanDuel</v>
      </c>
      <c r="T57" s="9" t="n">
        <f aca="false">MAX(F57,J57,N57,R57)</f>
        <v>7.19681358965836</v>
      </c>
      <c r="U57" s="2" t="n">
        <f aca="false">MAX(C57,G57,K57,O57)-MIN(C57,G57,K57,O57)</f>
        <v>0</v>
      </c>
    </row>
    <row r="58" customFormat="false" ht="15" hidden="false" customHeight="false" outlineLevel="0" collapsed="false">
      <c r="A58" s="2" t="s">
        <v>116</v>
      </c>
      <c r="B58" s="7" t="n">
        <f aca="false">Win_Probabilities!E60</f>
        <v>5.80090513774092</v>
      </c>
      <c r="C58" s="3" t="n">
        <v>5.5</v>
      </c>
      <c r="D58" s="3" t="n">
        <v>130</v>
      </c>
      <c r="E58" s="8" t="n">
        <f aca="false">IF(C58="","",SUMPRODUCT((COLUMN(Win_Probabilities!$F$1:$S$1)-COLUMN(Win_Probabilities!$F$1)&gt;C58)*Win_Probabilities!$F60:$S60))</f>
        <v>0.57429445226573</v>
      </c>
      <c r="F58" s="9" t="n">
        <f aca="false">E58*IF(D58&lt;0,10000/-D58,D58)-(1-E58)*100</f>
        <v>32.0877240211178</v>
      </c>
      <c r="G58" s="3" t="n">
        <v>5.5</v>
      </c>
      <c r="H58" s="3" t="n">
        <v>125</v>
      </c>
      <c r="I58" s="8" t="n">
        <f aca="false">IF(G58="","",SUMPRODUCT((COLUMN(Win_Probabilities!$F$1:$S$1)-COLUMN(Win_Probabilities!$F$1)&gt;G58)*Win_Probabilities!$F60:$S60))</f>
        <v>0.57429445226573</v>
      </c>
      <c r="J58" s="9" t="n">
        <f aca="false">I58*IF(H58&lt;0,10000/-H58,H58)-(1-I58)*100</f>
        <v>29.2162517597891</v>
      </c>
      <c r="K58" s="3" t="n">
        <v>5.5</v>
      </c>
      <c r="L58" s="3" t="n">
        <v>132</v>
      </c>
      <c r="M58" s="8" t="n">
        <f aca="false">IF(K58="","",SUMPRODUCT((COLUMN(Win_Probabilities!$F$1:$S$1)-COLUMN(Win_Probabilities!$F$1)&gt;K58)*Win_Probabilities!$F60:$S60))</f>
        <v>0.57429445226573</v>
      </c>
      <c r="N58" s="9" t="n">
        <f aca="false">M58*IF(L58&lt;0,10000/-L58,L58)-(1-M58)*100</f>
        <v>33.2363129256492</v>
      </c>
      <c r="O58" s="3" t="n">
        <v>5.5</v>
      </c>
      <c r="P58" s="3" t="n">
        <v>118</v>
      </c>
      <c r="Q58" s="8" t="n">
        <f aca="false">IF(O58="","",SUMPRODUCT((COLUMN(Win_Probabilities!$F$1:$S$1)-COLUMN(Win_Probabilities!$F$1)&gt;O58)*Win_Probabilities!$F60:$S60))</f>
        <v>0.57429445226573</v>
      </c>
      <c r="R58" s="9" t="n">
        <f aca="false">Q58*IF(P58&lt;0,10000/-P58,P58)-(1-Q58)*100</f>
        <v>25.196190593929</v>
      </c>
      <c r="S58" s="2" t="str">
        <f aca="false">IF(F58=MAX(F58,J58,N58,R58),"BetMGM",IF(J58=MAX(F58,J58,N58,R58),"DraftKings",IF(N58=MAX(F58,J58,N58,R58),"FanDuel",IF(R58=MAX(F58,J58,N58,R58),"RiversCasino",""))))</f>
        <v>FanDuel</v>
      </c>
      <c r="T58" s="9" t="n">
        <f aca="false">MAX(F58,J58,N58,R58)</f>
        <v>33.2363129256492</v>
      </c>
      <c r="U58" s="2" t="n">
        <f aca="false">MAX(C58,G58,K58,O58)-MIN(C58,G58,K58,O58)</f>
        <v>0</v>
      </c>
    </row>
    <row r="59" customFormat="false" ht="15" hidden="false" customHeight="false" outlineLevel="0" collapsed="false">
      <c r="A59" s="2" t="s">
        <v>117</v>
      </c>
      <c r="B59" s="7" t="n">
        <f aca="false">Win_Probabilities!E61</f>
        <v>5.87156796803781</v>
      </c>
      <c r="C59" s="3" t="n">
        <v>6.5</v>
      </c>
      <c r="D59" s="3" t="n">
        <v>120</v>
      </c>
      <c r="E59" s="8" t="n">
        <f aca="false">IF(C59="","",SUMPRODUCT((COLUMN(Win_Probabilities!$F$1:$S$1)-COLUMN(Win_Probabilities!$F$1)&gt;C59)*Win_Probabilities!$F61:$S61))</f>
        <v>0.343822030056636</v>
      </c>
      <c r="F59" s="9" t="n">
        <f aca="false">E59*IF(D59&lt;0,10000/-D59,D59)-(1-E59)*100</f>
        <v>-24.3591533875401</v>
      </c>
      <c r="G59" s="3" t="n">
        <v>6.5</v>
      </c>
      <c r="H59" s="3" t="n">
        <v>125</v>
      </c>
      <c r="I59" s="8" t="n">
        <f aca="false">IF(G59="","",SUMPRODUCT((COLUMN(Win_Probabilities!$F$1:$S$1)-COLUMN(Win_Probabilities!$F$1)&gt;G59)*Win_Probabilities!$F61:$S61))</f>
        <v>0.343822030056636</v>
      </c>
      <c r="J59" s="9" t="n">
        <f aca="false">I59*IF(H59&lt;0,10000/-H59,H59)-(1-I59)*100</f>
        <v>-22.6400432372569</v>
      </c>
      <c r="K59" s="3" t="n">
        <v>6.5</v>
      </c>
      <c r="L59" s="3" t="n">
        <v>116</v>
      </c>
      <c r="M59" s="8" t="n">
        <f aca="false">IF(K59="","",SUMPRODUCT((COLUMN(Win_Probabilities!$F$1:$S$1)-COLUMN(Win_Probabilities!$F$1)&gt;K59)*Win_Probabilities!$F61:$S61))</f>
        <v>0.343822030056636</v>
      </c>
      <c r="N59" s="9" t="n">
        <f aca="false">M59*IF(L59&lt;0,10000/-L59,L59)-(1-M59)*100</f>
        <v>-25.7344415077666</v>
      </c>
      <c r="O59" s="3" t="n">
        <v>6.5</v>
      </c>
      <c r="P59" s="3" t="n">
        <v>115</v>
      </c>
      <c r="Q59" s="8" t="n">
        <f aca="false">IF(O59="","",SUMPRODUCT((COLUMN(Win_Probabilities!$F$1:$S$1)-COLUMN(Win_Probabilities!$F$1)&gt;O59)*Win_Probabilities!$F61:$S61))</f>
        <v>0.343822030056636</v>
      </c>
      <c r="R59" s="9" t="n">
        <f aca="false">Q59*IF(P59&lt;0,10000/-P59,P59)-(1-Q59)*100</f>
        <v>-26.0782635378233</v>
      </c>
      <c r="S59" s="2" t="str">
        <f aca="false">IF(F59=MAX(F59,J59,N59,R59),"BetMGM",IF(J59=MAX(F59,J59,N59,R59),"DraftKings",IF(N59=MAX(F59,J59,N59,R59),"FanDuel",IF(R59=MAX(F59,J59,N59,R59),"RiversCasino",""))))</f>
        <v>DraftKings</v>
      </c>
      <c r="T59" s="9" t="n">
        <f aca="false">MAX(F59,J59,N59,R59)</f>
        <v>-22.6400432372569</v>
      </c>
      <c r="U59" s="2" t="n">
        <f aca="false">MAX(C59,G59,K59,O59)-MIN(C59,G59,K59,O59)</f>
        <v>0</v>
      </c>
    </row>
    <row r="60" customFormat="false" ht="15" hidden="false" customHeight="false" outlineLevel="0" collapsed="false">
      <c r="A60" s="2" t="s">
        <v>119</v>
      </c>
      <c r="B60" s="7" t="n">
        <f aca="false">Win_Probabilities!E63</f>
        <v>4.62558548277933</v>
      </c>
      <c r="C60" s="3" t="n">
        <v>4.5</v>
      </c>
      <c r="D60" s="3" t="n">
        <v>140</v>
      </c>
      <c r="E60" s="8" t="n">
        <f aca="false">IF(C60="","",SUMPRODUCT((COLUMN(Win_Probabilities!$F$1:$S$1)-COLUMN(Win_Probabilities!$F$1)&gt;C60)*Win_Probabilities!$F63:$S63))</f>
        <v>0.525691793464295</v>
      </c>
      <c r="F60" s="9" t="n">
        <f aca="false">E60*IF(D60&lt;0,10000/-D60,D60)-(1-E60)*100</f>
        <v>26.1660304314309</v>
      </c>
      <c r="G60" s="3" t="n">
        <v>4.5</v>
      </c>
      <c r="H60" s="3" t="n">
        <v>130</v>
      </c>
      <c r="I60" s="8" t="n">
        <f aca="false">IF(G60="","",SUMPRODUCT((COLUMN(Win_Probabilities!$F$1:$S$1)-COLUMN(Win_Probabilities!$F$1)&gt;G60)*Win_Probabilities!$F63:$S63))</f>
        <v>0.525691793464295</v>
      </c>
      <c r="J60" s="9" t="n">
        <f aca="false">I60*IF(H60&lt;0,10000/-H60,H60)-(1-I60)*100</f>
        <v>20.9091124967879</v>
      </c>
      <c r="K60" s="3" t="n">
        <v>3.5</v>
      </c>
      <c r="L60" s="3" t="n">
        <v>-144</v>
      </c>
      <c r="M60" s="8" t="n">
        <f aca="false">IF(K60="","",SUMPRODUCT((COLUMN(Win_Probabilities!$F$1:$S$1)-COLUMN(Win_Probabilities!$F$1)&gt;K60)*Win_Probabilities!$F63:$S63))</f>
        <v>0.780796703551918</v>
      </c>
      <c r="N60" s="9" t="n">
        <f aca="false">M60*IF(L60&lt;0,10000/-L60,L60)-(1-M60)*100</f>
        <v>32.3016636574084</v>
      </c>
      <c r="O60" s="3" t="n">
        <v>4.5</v>
      </c>
      <c r="P60" s="3" t="n">
        <v>120</v>
      </c>
      <c r="Q60" s="8" t="n">
        <f aca="false">IF(O60="","",SUMPRODUCT((COLUMN(Win_Probabilities!$F$1:$S$1)-COLUMN(Win_Probabilities!$F$1)&gt;O60)*Win_Probabilities!$F63:$S63))</f>
        <v>0.525691793464295</v>
      </c>
      <c r="R60" s="9" t="n">
        <f aca="false">Q60*IF(P60&lt;0,10000/-P60,P60)-(1-Q60)*100</f>
        <v>15.652194562145</v>
      </c>
      <c r="S60" s="2" t="str">
        <f aca="false">IF(F60=MAX(F60,J60,N60,R60),"BetMGM",IF(J60=MAX(F60,J60,N60,R60),"DraftKings",IF(N60=MAX(F60,J60,N60,R60),"FanDuel",IF(R60=MAX(F60,J60,N60,R60),"RiversCasino",""))))</f>
        <v>FanDuel</v>
      </c>
      <c r="T60" s="9" t="n">
        <f aca="false">MAX(F60,J60,N60,R60)</f>
        <v>32.3016636574084</v>
      </c>
      <c r="U60" s="2" t="n">
        <f aca="false">MAX(C60,G60,K60,O60)-MIN(C60,G60,K60,O60)</f>
        <v>1</v>
      </c>
    </row>
    <row r="61" customFormat="false" ht="15" hidden="false" customHeight="false" outlineLevel="0" collapsed="false">
      <c r="A61" s="2" t="s">
        <v>120</v>
      </c>
      <c r="B61" s="7" t="n">
        <f aca="false">Win_Probabilities!E64</f>
        <v>6.01865163468711</v>
      </c>
      <c r="C61" s="3" t="n">
        <v>5.5</v>
      </c>
      <c r="D61" s="3" t="n">
        <v>-155</v>
      </c>
      <c r="E61" s="8" t="n">
        <f aca="false">IF(C61="","",SUMPRODUCT((COLUMN(Win_Probabilities!$F$1:$S$1)-COLUMN(Win_Probabilities!$F$1)&gt;C61)*Win_Probabilities!$F64:$S64))</f>
        <v>0.626233388766679</v>
      </c>
      <c r="F61" s="9" t="n">
        <f aca="false">E61*IF(D61&lt;0,10000/-D61,D61)-(1-E61)*100</f>
        <v>3.02549299064719</v>
      </c>
      <c r="G61" s="3" t="n">
        <v>5.5</v>
      </c>
      <c r="H61" s="3" t="n">
        <v>-140</v>
      </c>
      <c r="I61" s="8" t="n">
        <f aca="false">IF(G61="","",SUMPRODUCT((COLUMN(Win_Probabilities!$F$1:$S$1)-COLUMN(Win_Probabilities!$F$1)&gt;G61)*Win_Probabilities!$F64:$S64))</f>
        <v>0.626233388766679</v>
      </c>
      <c r="J61" s="9" t="n">
        <f aca="false">I61*IF(H61&lt;0,10000/-H61,H61)-(1-I61)*100</f>
        <v>7.35429521714497</v>
      </c>
      <c r="K61" s="3" t="n">
        <v>5.5</v>
      </c>
      <c r="L61" s="3" t="n">
        <v>-148</v>
      </c>
      <c r="M61" s="8" t="n">
        <f aca="false">IF(K61="","",SUMPRODUCT((COLUMN(Win_Probabilities!$F$1:$S$1)-COLUMN(Win_Probabilities!$F$1)&gt;K61)*Win_Probabilities!$F64:$S64))</f>
        <v>0.626233388766679</v>
      </c>
      <c r="N61" s="9" t="n">
        <f aca="false">M61*IF(L61&lt;0,10000/-L61,L61)-(1-M61)*100</f>
        <v>4.93640568522729</v>
      </c>
      <c r="O61" s="3" t="n">
        <v>5.5</v>
      </c>
      <c r="P61" s="3" t="n">
        <v>-155</v>
      </c>
      <c r="Q61" s="8" t="n">
        <f aca="false">IF(O61="","",SUMPRODUCT((COLUMN(Win_Probabilities!$F$1:$S$1)-COLUMN(Win_Probabilities!$F$1)&gt;O61)*Win_Probabilities!$F64:$S64))</f>
        <v>0.626233388766679</v>
      </c>
      <c r="R61" s="9" t="n">
        <f aca="false">Q61*IF(P61&lt;0,10000/-P61,P61)-(1-Q61)*100</f>
        <v>3.02549299064719</v>
      </c>
      <c r="S61" s="2" t="str">
        <f aca="false">IF(F61=MAX(F61,J61,N61,R61),"BetMGM",IF(J61=MAX(F61,J61,N61,R61),"DraftKings",IF(N61=MAX(F61,J61,N61,R61),"FanDuel",IF(R61=MAX(F61,J61,N61,R61),"RiversCasino",""))))</f>
        <v>DraftKings</v>
      </c>
      <c r="T61" s="9" t="n">
        <f aca="false">MAX(F61,J61,N61,R61)</f>
        <v>7.35429521714497</v>
      </c>
      <c r="U61" s="2" t="n">
        <f aca="false">MAX(C61,G61,K61,O61)-MIN(C61,G61,K61,O61)</f>
        <v>0</v>
      </c>
    </row>
    <row r="62" customFormat="false" ht="15" hidden="false" customHeight="false" outlineLevel="0" collapsed="false">
      <c r="A62" s="2" t="s">
        <v>121</v>
      </c>
      <c r="B62" s="7" t="n">
        <f aca="false">Win_Probabilities!E65</f>
        <v>7.97438142000781</v>
      </c>
      <c r="C62" s="3" t="n">
        <v>7.5</v>
      </c>
      <c r="D62" s="3" t="n">
        <v>-160</v>
      </c>
      <c r="E62" s="8" t="n">
        <f aca="false">IF(C62="","",SUMPRODUCT((COLUMN(Win_Probabilities!$F$1:$S$1)-COLUMN(Win_Probabilities!$F$1)&gt;C62)*Win_Probabilities!$F65:$S65))</f>
        <v>0.642531110518191</v>
      </c>
      <c r="F62" s="9" t="n">
        <f aca="false">E62*IF(D62&lt;0,10000/-D62,D62)-(1-E62)*100</f>
        <v>4.41130545920595</v>
      </c>
      <c r="G62" s="3" t="n">
        <v>7.5</v>
      </c>
      <c r="H62" s="3" t="n">
        <v>-160</v>
      </c>
      <c r="I62" s="8" t="n">
        <f aca="false">IF(G62="","",SUMPRODUCT((COLUMN(Win_Probabilities!$F$1:$S$1)-COLUMN(Win_Probabilities!$F$1)&gt;G62)*Win_Probabilities!$F65:$S65))</f>
        <v>0.642531110518191</v>
      </c>
      <c r="J62" s="9" t="n">
        <f aca="false">I62*IF(H62&lt;0,10000/-H62,H62)-(1-I62)*100</f>
        <v>4.41130545920595</v>
      </c>
      <c r="K62" s="3" t="n">
        <v>8.5</v>
      </c>
      <c r="L62" s="3" t="n">
        <v>122</v>
      </c>
      <c r="M62" s="8" t="n">
        <f aca="false">IF(K62="","",SUMPRODUCT((COLUMN(Win_Probabilities!$F$1:$S$1)-COLUMN(Win_Probabilities!$F$1)&gt;K62)*Win_Probabilities!$F65:$S65))</f>
        <v>0.367130355444681</v>
      </c>
      <c r="N62" s="9" t="n">
        <f aca="false">M62*IF(L62&lt;0,10000/-L62,L62)-(1-M62)*100</f>
        <v>-18.4970610912809</v>
      </c>
      <c r="O62" s="3" t="n">
        <v>7.5</v>
      </c>
      <c r="P62" s="3" t="n">
        <v>-177</v>
      </c>
      <c r="Q62" s="8" t="n">
        <f aca="false">IF(O62="","",SUMPRODUCT((COLUMN(Win_Probabilities!$F$1:$S$1)-COLUMN(Win_Probabilities!$F$1)&gt;O62)*Win_Probabilities!$F65:$S65))</f>
        <v>0.642531110518191</v>
      </c>
      <c r="R62" s="9" t="n">
        <f aca="false">Q62*IF(P62&lt;0,10000/-P62,P62)-(1-Q62)*100</f>
        <v>0.554303736462579</v>
      </c>
      <c r="S62" s="2" t="str">
        <f aca="false">IF(F62=MAX(F62,J62,N62,R62),"BetMGM",IF(J62=MAX(F62,J62,N62,R62),"DraftKings",IF(N62=MAX(F62,J62,N62,R62),"FanDuel",IF(R62=MAX(F62,J62,N62,R62),"RiversCasino",""))))</f>
        <v>BetMGM</v>
      </c>
      <c r="T62" s="9" t="n">
        <f aca="false">MAX(F62,J62,N62,R62)</f>
        <v>4.41130545920595</v>
      </c>
      <c r="U62" s="2" t="n">
        <f aca="false">MAX(C62,G62,K62,O62)-MIN(C62,G62,K62,O62)</f>
        <v>1</v>
      </c>
    </row>
    <row r="63" customFormat="false" ht="15" hidden="false" customHeight="false" outlineLevel="0" collapsed="false">
      <c r="A63" s="2" t="s">
        <v>122</v>
      </c>
      <c r="B63" s="7" t="n">
        <f aca="false">Win_Probabilities!E66</f>
        <v>7.37890476431345</v>
      </c>
      <c r="C63" s="3" t="n">
        <v>7.5</v>
      </c>
      <c r="D63" s="3" t="n">
        <v>115</v>
      </c>
      <c r="E63" s="8" t="n">
        <f aca="false">IF(C63="","",SUMPRODUCT((COLUMN(Win_Probabilities!$F$1:$S$1)-COLUMN(Win_Probabilities!$F$1)&gt;C63)*Win_Probabilities!$F66:$S66))</f>
        <v>0.477184903247749</v>
      </c>
      <c r="F63" s="9" t="n">
        <f aca="false">E63*IF(D63&lt;0,10000/-D63,D63)-(1-E63)*100</f>
        <v>2.5947541982661</v>
      </c>
      <c r="G63" s="3" t="n">
        <v>7.5</v>
      </c>
      <c r="H63" s="3" t="n">
        <v>130</v>
      </c>
      <c r="I63" s="8" t="n">
        <f aca="false">IF(G63="","",SUMPRODUCT((COLUMN(Win_Probabilities!$F$1:$S$1)-COLUMN(Win_Probabilities!$F$1)&gt;G63)*Win_Probabilities!$F66:$S66))</f>
        <v>0.477184903247749</v>
      </c>
      <c r="J63" s="9" t="n">
        <f aca="false">I63*IF(H63&lt;0,10000/-H63,H63)-(1-I63)*100</f>
        <v>9.75252774698234</v>
      </c>
      <c r="K63" s="3" t="n">
        <v>7.5</v>
      </c>
      <c r="L63" s="3" t="n">
        <v>126</v>
      </c>
      <c r="M63" s="8" t="n">
        <f aca="false">IF(K63="","",SUMPRODUCT((COLUMN(Win_Probabilities!$F$1:$S$1)-COLUMN(Win_Probabilities!$F$1)&gt;K63)*Win_Probabilities!$F66:$S66))</f>
        <v>0.477184903247749</v>
      </c>
      <c r="N63" s="9" t="n">
        <f aca="false">M63*IF(L63&lt;0,10000/-L63,L63)-(1-M63)*100</f>
        <v>7.84378813399134</v>
      </c>
      <c r="O63" s="3" t="n">
        <v>7.5</v>
      </c>
      <c r="P63" s="3" t="n">
        <v>115</v>
      </c>
      <c r="Q63" s="8" t="n">
        <f aca="false">IF(O63="","",SUMPRODUCT((COLUMN(Win_Probabilities!$F$1:$S$1)-COLUMN(Win_Probabilities!$F$1)&gt;O63)*Win_Probabilities!$F66:$S66))</f>
        <v>0.477184903247749</v>
      </c>
      <c r="R63" s="9" t="n">
        <f aca="false">Q63*IF(P63&lt;0,10000/-P63,P63)-(1-Q63)*100</f>
        <v>2.5947541982661</v>
      </c>
      <c r="S63" s="2" t="str">
        <f aca="false">IF(F63=MAX(F63,J63,N63,R63),"BetMGM",IF(J63=MAX(F63,J63,N63,R63),"DraftKings",IF(N63=MAX(F63,J63,N63,R63),"FanDuel",IF(R63=MAX(F63,J63,N63,R63),"RiversCasino",""))))</f>
        <v>DraftKings</v>
      </c>
      <c r="T63" s="9" t="n">
        <f aca="false">MAX(F63,J63,N63,R63)</f>
        <v>9.75252774698234</v>
      </c>
      <c r="U63" s="2" t="n">
        <f aca="false">MAX(C63,G63,K63,O63)-MIN(C63,G63,K63,O63)</f>
        <v>0</v>
      </c>
    </row>
    <row r="64" customFormat="false" ht="15" hidden="false" customHeight="false" outlineLevel="0" collapsed="false">
      <c r="A64" s="2" t="s">
        <v>124</v>
      </c>
      <c r="B64" s="7" t="n">
        <f aca="false">Win_Probabilities!E68</f>
        <v>7.77954859290289</v>
      </c>
      <c r="C64" s="3" t="n">
        <v>7.5</v>
      </c>
      <c r="D64" s="3" t="n">
        <v>-105</v>
      </c>
      <c r="E64" s="8" t="n">
        <f aca="false">IF(C64="","",SUMPRODUCT((COLUMN(Win_Probabilities!$F$1:$S$1)-COLUMN(Win_Probabilities!$F$1)&gt;C64)*Win_Probabilities!$F68:$S68))</f>
        <v>0.581202606617277</v>
      </c>
      <c r="F64" s="9" t="n">
        <f aca="false">E64*IF(D64&lt;0,10000/-D64,D64)-(1-E64)*100</f>
        <v>13.4728898633732</v>
      </c>
      <c r="G64" s="3" t="n">
        <v>7.5</v>
      </c>
      <c r="H64" s="3" t="n">
        <v>-105</v>
      </c>
      <c r="I64" s="8" t="n">
        <f aca="false">IF(G64="","",SUMPRODUCT((COLUMN(Win_Probabilities!$F$1:$S$1)-COLUMN(Win_Probabilities!$F$1)&gt;G64)*Win_Probabilities!$F68:$S68))</f>
        <v>0.581202606617277</v>
      </c>
      <c r="J64" s="9" t="n">
        <f aca="false">I64*IF(H64&lt;0,10000/-H64,H64)-(1-I64)*100</f>
        <v>13.4728898633732</v>
      </c>
      <c r="K64" s="3" t="n">
        <v>7.5</v>
      </c>
      <c r="L64" s="3" t="n">
        <v>-100</v>
      </c>
      <c r="M64" s="8" t="n">
        <f aca="false">IF(K64="","",SUMPRODUCT((COLUMN(Win_Probabilities!$F$1:$S$1)-COLUMN(Win_Probabilities!$F$1)&gt;K64)*Win_Probabilities!$F68:$S68))</f>
        <v>0.581202606617277</v>
      </c>
      <c r="N64" s="9" t="n">
        <f aca="false">M64*IF(L64&lt;0,10000/-L64,L64)-(1-M64)*100</f>
        <v>16.2405213234555</v>
      </c>
      <c r="O64" s="3" t="n">
        <v>7.5</v>
      </c>
      <c r="P64" s="3" t="n">
        <v>-106</v>
      </c>
      <c r="Q64" s="8" t="n">
        <f aca="false">IF(O64="","",SUMPRODUCT((COLUMN(Win_Probabilities!$F$1:$S$1)-COLUMN(Win_Probabilities!$F$1)&gt;O64)*Win_Probabilities!$F68:$S68))</f>
        <v>0.581202606617277</v>
      </c>
      <c r="R64" s="9" t="n">
        <f aca="false">Q64*IF(P64&lt;0,10000/-P64,P64)-(1-Q64)*100</f>
        <v>12.9506952482633</v>
      </c>
      <c r="S64" s="2" t="str">
        <f aca="false">IF(F64=MAX(F64,J64,N64,R64),"BetMGM",IF(J64=MAX(F64,J64,N64,R64),"DraftKings",IF(N64=MAX(F64,J64,N64,R64),"FanDuel",IF(R64=MAX(F64,J64,N64,R64),"RiversCasino",""))))</f>
        <v>FanDuel</v>
      </c>
      <c r="T64" s="9" t="n">
        <f aca="false">MAX(F64,J64,N64,R64)</f>
        <v>16.2405213234555</v>
      </c>
      <c r="U64" s="2" t="n">
        <f aca="false">MAX(C64,G64,K64,O64)-MIN(C64,G64,K64,O64)</f>
        <v>0</v>
      </c>
    </row>
    <row r="65" customFormat="false" ht="15" hidden="false" customHeight="false" outlineLevel="0" collapsed="false">
      <c r="A65" s="2" t="s">
        <v>125</v>
      </c>
      <c r="B65" s="7" t="n">
        <f aca="false">Win_Probabilities!E69</f>
        <v>8.14148501153408</v>
      </c>
      <c r="C65" s="3" t="n">
        <v>7.5</v>
      </c>
      <c r="D65" s="3" t="n">
        <v>-210</v>
      </c>
      <c r="E65" s="8" t="n">
        <f aca="false">IF(C65="","",SUMPRODUCT((COLUMN(Win_Probabilities!$F$1:$S$1)-COLUMN(Win_Probabilities!$F$1)&gt;C65)*Win_Probabilities!$F69:$S69))</f>
        <v>0.686832519708042</v>
      </c>
      <c r="F65" s="9" t="n">
        <f aca="false">E65*IF(D65&lt;0,10000/-D65,D65)-(1-E65)*100</f>
        <v>1.38956243309195</v>
      </c>
      <c r="G65" s="3" t="n">
        <v>8.5</v>
      </c>
      <c r="H65" s="3" t="n">
        <v>140</v>
      </c>
      <c r="I65" s="8" t="n">
        <f aca="false">IF(G65="","",SUMPRODUCT((COLUMN(Win_Probabilities!$F$1:$S$1)-COLUMN(Win_Probabilities!$F$1)&gt;G65)*Win_Probabilities!$F69:$S69))</f>
        <v>0.411726311165885</v>
      </c>
      <c r="J65" s="9" t="n">
        <f aca="false">I65*IF(H65&lt;0,10000/-H65,H65)-(1-I65)*100</f>
        <v>-1.18568532018757</v>
      </c>
      <c r="K65" s="3" t="n">
        <v>8.5</v>
      </c>
      <c r="L65" s="3" t="n">
        <v>108</v>
      </c>
      <c r="M65" s="8" t="n">
        <f aca="false">IF(K65="","",SUMPRODUCT((COLUMN(Win_Probabilities!$F$1:$S$1)-COLUMN(Win_Probabilities!$F$1)&gt;K65)*Win_Probabilities!$F69:$S69))</f>
        <v>0.411726311165885</v>
      </c>
      <c r="N65" s="9" t="n">
        <f aca="false">M65*IF(L65&lt;0,10000/-L65,L65)-(1-M65)*100</f>
        <v>-14.3609272774959</v>
      </c>
      <c r="O65" s="3" t="n">
        <v>7.5</v>
      </c>
      <c r="P65" s="3" t="n">
        <v>-200</v>
      </c>
      <c r="Q65" s="8" t="n">
        <f aca="false">IF(O65="","",SUMPRODUCT((COLUMN(Win_Probabilities!$F$1:$S$1)-COLUMN(Win_Probabilities!$F$1)&gt;O65)*Win_Probabilities!$F69:$S69))</f>
        <v>0.686832519708042</v>
      </c>
      <c r="R65" s="9" t="n">
        <f aca="false">Q65*IF(P65&lt;0,10000/-P65,P65)-(1-Q65)*100</f>
        <v>3.02487795620634</v>
      </c>
      <c r="S65" s="2" t="str">
        <f aca="false">IF(F65=MAX(F65,J65,N65,R65),"BetMGM",IF(J65=MAX(F65,J65,N65,R65),"DraftKings",IF(N65=MAX(F65,J65,N65,R65),"FanDuel",IF(R65=MAX(F65,J65,N65,R65),"RiversCasino",""))))</f>
        <v>RiversCasino</v>
      </c>
      <c r="T65" s="9" t="n">
        <f aca="false">MAX(F65,J65,N65,R65)</f>
        <v>3.02487795620634</v>
      </c>
      <c r="U65" s="2" t="n">
        <f aca="false">MAX(C65,G65,K65,O65)-MIN(C65,G65,K65,O65)</f>
        <v>1</v>
      </c>
    </row>
    <row r="66" customFormat="false" ht="15" hidden="false" customHeight="false" outlineLevel="0" collapsed="false">
      <c r="A66" s="2" t="s">
        <v>126</v>
      </c>
      <c r="B66" s="7" t="n">
        <f aca="false">Win_Probabilities!E70</f>
        <v>5.15361596853874</v>
      </c>
      <c r="C66" s="3" t="n">
        <v>4.5</v>
      </c>
      <c r="D66" s="3" t="n">
        <v>-145</v>
      </c>
      <c r="E66" s="8" t="n">
        <f aca="false">IF(C66="","",SUMPRODUCT((COLUMN(Win_Probabilities!$F$1:$S$1)-COLUMN(Win_Probabilities!$F$1)&gt;C66)*Win_Probabilities!$F70:$S70))</f>
        <v>0.663938505967004</v>
      </c>
      <c r="F66" s="9" t="n">
        <f aca="false">E66*IF(D66&lt;0,10000/-D66,D66)-(1-E66)*100</f>
        <v>12.1827130771835</v>
      </c>
      <c r="G66" s="3" t="n">
        <v>4.5</v>
      </c>
      <c r="H66" s="3" t="n">
        <v>-136</v>
      </c>
      <c r="I66" s="8" t="n">
        <f aca="false">IF(G66="","",SUMPRODUCT((COLUMN(Win_Probabilities!$F$1:$S$1)-COLUMN(Win_Probabilities!$F$1)&gt;G66)*Win_Probabilities!$F70:$S70))</f>
        <v>0.663938505967004</v>
      </c>
      <c r="J66" s="9" t="n">
        <f aca="false">I66*IF(H66&lt;0,10000/-H66,H66)-(1-I66)*100</f>
        <v>15.2128583883919</v>
      </c>
      <c r="K66" s="3" t="n">
        <v>4.5</v>
      </c>
      <c r="L66" s="3" t="n">
        <v>-132</v>
      </c>
      <c r="M66" s="8" t="n">
        <f aca="false">IF(K66="","",SUMPRODUCT((COLUMN(Win_Probabilities!$F$1:$S$1)-COLUMN(Win_Probabilities!$F$1)&gt;K66)*Win_Probabilities!$F70:$S70))</f>
        <v>0.663938505967004</v>
      </c>
      <c r="N66" s="9" t="n">
        <f aca="false">M66*IF(L66&lt;0,10000/-L66,L66)-(1-M66)*100</f>
        <v>16.6922222608674</v>
      </c>
      <c r="O66" s="3" t="n">
        <v>4.5</v>
      </c>
      <c r="P66" s="3" t="n">
        <v>-159</v>
      </c>
      <c r="Q66" s="8" t="n">
        <f aca="false">IF(O66="","",SUMPRODUCT((COLUMN(Win_Probabilities!$F$1:$S$1)-COLUMN(Win_Probabilities!$F$1)&gt;O66)*Win_Probabilities!$F70:$S70))</f>
        <v>0.663938505967004</v>
      </c>
      <c r="R66" s="9" t="n">
        <f aca="false">Q66*IF(P66&lt;0,10000/-P66,P66)-(1-Q66)*100</f>
        <v>8.15098933676359</v>
      </c>
      <c r="S66" s="2" t="str">
        <f aca="false">IF(F66=MAX(F66,J66,N66,R66),"BetMGM",IF(J66=MAX(F66,J66,N66,R66),"DraftKings",IF(N66=MAX(F66,J66,N66,R66),"FanDuel",IF(R66=MAX(F66,J66,N66,R66),"RiversCasino",""))))</f>
        <v>FanDuel</v>
      </c>
      <c r="T66" s="9" t="n">
        <f aca="false">MAX(F66,J66,N66,R66)</f>
        <v>16.6922222608674</v>
      </c>
      <c r="U66" s="2" t="n">
        <f aca="false">MAX(C66,G66,K66,O66)-MIN(C66,G66,K66,O66)</f>
        <v>0</v>
      </c>
    </row>
    <row r="67" customFormat="false" ht="15" hidden="false" customHeight="false" outlineLevel="0" collapsed="false">
      <c r="A67" s="2" t="s">
        <v>127</v>
      </c>
      <c r="B67" s="7" t="n">
        <f aca="false">Win_Probabilities!E71</f>
        <v>8.88647445177503</v>
      </c>
      <c r="C67" s="3" t="n">
        <v>8.5</v>
      </c>
      <c r="D67" s="3" t="n">
        <v>-140</v>
      </c>
      <c r="E67" s="8" t="n">
        <f aca="false">IF(C67="","",SUMPRODUCT((COLUMN(Win_Probabilities!$F$1:$S$1)-COLUMN(Win_Probabilities!$F$1)&gt;C67)*Win_Probabilities!$F71:$S71))</f>
        <v>0.622248933403821</v>
      </c>
      <c r="F67" s="9" t="n">
        <f aca="false">E67*IF(D67&lt;0,10000/-D67,D67)-(1-E67)*100</f>
        <v>6.67124572636932</v>
      </c>
      <c r="G67" s="3" t="n">
        <v>8.5</v>
      </c>
      <c r="H67" s="3" t="n">
        <v>-130</v>
      </c>
      <c r="I67" s="8" t="n">
        <f aca="false">IF(G67="","",SUMPRODUCT((COLUMN(Win_Probabilities!$F$1:$S$1)-COLUMN(Win_Probabilities!$F$1)&gt;G67)*Win_Probabilities!$F71:$S71))</f>
        <v>0.622248933403821</v>
      </c>
      <c r="J67" s="9" t="n">
        <f aca="false">I67*IF(H67&lt;0,10000/-H67,H67)-(1-I67)*100</f>
        <v>10.0901959099068</v>
      </c>
      <c r="K67" s="3" t="n">
        <v>8.5</v>
      </c>
      <c r="L67" s="3" t="n">
        <v>-142</v>
      </c>
      <c r="M67" s="8" t="n">
        <f aca="false">IF(K67="","",SUMPRODUCT((COLUMN(Win_Probabilities!$F$1:$S$1)-COLUMN(Win_Probabilities!$F$1)&gt;K67)*Win_Probabilities!$F71:$S71))</f>
        <v>0.622248933403821</v>
      </c>
      <c r="N67" s="9" t="n">
        <f aca="false">M67*IF(L67&lt;0,10000/-L67,L67)-(1-M67)*100</f>
        <v>6.0452407631864</v>
      </c>
      <c r="O67" s="3" t="n">
        <v>8.5</v>
      </c>
      <c r="P67" s="3" t="n">
        <v>-137</v>
      </c>
      <c r="Q67" s="8" t="n">
        <f aca="false">IF(O67="","",SUMPRODUCT((COLUMN(Win_Probabilities!$F$1:$S$1)-COLUMN(Win_Probabilities!$F$1)&gt;O67)*Win_Probabilities!$F71:$S71))</f>
        <v>0.622248933403821</v>
      </c>
      <c r="R67" s="9" t="n">
        <f aca="false">Q67*IF(P67&lt;0,10000/-P67,P67)-(1-Q67)*100</f>
        <v>7.6445235158435</v>
      </c>
      <c r="S67" s="2" t="str">
        <f aca="false">IF(F67=MAX(F67,J67,N67,R67),"BetMGM",IF(J67=MAX(F67,J67,N67,R67),"DraftKings",IF(N67=MAX(F67,J67,N67,R67),"FanDuel",IF(R67=MAX(F67,J67,N67,R67),"RiversCasino",""))))</f>
        <v>DraftKings</v>
      </c>
      <c r="T67" s="9" t="n">
        <f aca="false">MAX(F67,J67,N67,R67)</f>
        <v>10.0901959099068</v>
      </c>
      <c r="U67" s="2" t="n">
        <f aca="false">MAX(C67,G67,K67,O67)-MIN(C67,G67,K67,O67)</f>
        <v>0</v>
      </c>
    </row>
    <row r="68" customFormat="false" ht="15" hidden="false" customHeight="false" outlineLevel="0" collapsed="false">
      <c r="A68" s="2" t="s">
        <v>128</v>
      </c>
      <c r="B68" s="7" t="n">
        <f aca="false">Win_Probabilities!E72</f>
        <v>7.50673729946991</v>
      </c>
      <c r="C68" s="3" t="n">
        <v>7.5</v>
      </c>
      <c r="D68" s="3" t="n">
        <v>-145</v>
      </c>
      <c r="E68" s="8" t="n">
        <f aca="false">IF(C68="","",SUMPRODUCT((COLUMN(Win_Probabilities!$F$1:$S$1)-COLUMN(Win_Probabilities!$F$1)&gt;C68)*Win_Probabilities!$F72:$S72))</f>
        <v>0.512367354862663</v>
      </c>
      <c r="F68" s="9" t="n">
        <f aca="false">E68*IF(D68&lt;0,10000/-D68,D68)-(1-E68)*100</f>
        <v>-13.4275848680328</v>
      </c>
      <c r="G68" s="3" t="n">
        <v>7.5</v>
      </c>
      <c r="H68" s="3" t="n">
        <v>-125</v>
      </c>
      <c r="I68" s="8" t="n">
        <f aca="false">IF(G68="","",SUMPRODUCT((COLUMN(Win_Probabilities!$F$1:$S$1)-COLUMN(Win_Probabilities!$F$1)&gt;G68)*Win_Probabilities!$F72:$S72))</f>
        <v>0.512367354862663</v>
      </c>
      <c r="J68" s="9" t="n">
        <f aca="false">I68*IF(H68&lt;0,10000/-H68,H68)-(1-I68)*100</f>
        <v>-7.77387612472069</v>
      </c>
      <c r="K68" s="3" t="n">
        <v>7.5</v>
      </c>
      <c r="L68" s="3" t="n">
        <v>-158</v>
      </c>
      <c r="M68" s="8" t="n">
        <f aca="false">IF(K68="","",SUMPRODUCT((COLUMN(Win_Probabilities!$F$1:$S$1)-COLUMN(Win_Probabilities!$F$1)&gt;K68)*Win_Probabilities!$F72:$S72))</f>
        <v>0.512367354862663</v>
      </c>
      <c r="N68" s="9" t="n">
        <f aca="false">M68*IF(L68&lt;0,10000/-L68,L68)-(1-M68)*100</f>
        <v>-16.334950914831</v>
      </c>
      <c r="O68" s="3" t="n">
        <v>7.5</v>
      </c>
      <c r="P68" s="3" t="n">
        <v>-130</v>
      </c>
      <c r="Q68" s="8" t="n">
        <f aca="false">IF(O68="","",SUMPRODUCT((COLUMN(Win_Probabilities!$F$1:$S$1)-COLUMN(Win_Probabilities!$F$1)&gt;O68)*Win_Probabilities!$F72:$S72))</f>
        <v>0.512367354862663</v>
      </c>
      <c r="R68" s="9" t="n">
        <f aca="false">Q68*IF(P68&lt;0,10000/-P68,P68)-(1-Q68)*100</f>
        <v>-9.35039106275966</v>
      </c>
      <c r="S68" s="2" t="str">
        <f aca="false">IF(F68=MAX(F68,J68,N68,R68),"BetMGM",IF(J68=MAX(F68,J68,N68,R68),"DraftKings",IF(N68=MAX(F68,J68,N68,R68),"FanDuel",IF(R68=MAX(F68,J68,N68,R68),"RiversCasino",""))))</f>
        <v>DraftKings</v>
      </c>
      <c r="T68" s="9" t="n">
        <f aca="false">MAX(F68,J68,N68,R68)</f>
        <v>-7.77387612472069</v>
      </c>
      <c r="U68" s="2" t="n">
        <f aca="false">MAX(C68,G68,K68,O68)-MIN(C68,G68,K68,O68)</f>
        <v>0</v>
      </c>
    </row>
    <row r="69" customFormat="false" ht="15" hidden="false" customHeight="false" outlineLevel="0" collapsed="false">
      <c r="A69" s="2" t="s">
        <v>129</v>
      </c>
      <c r="B69" s="7" t="n">
        <f aca="false">Win_Probabilities!E73</f>
        <v>4.89235386889607</v>
      </c>
      <c r="C69" s="3" t="n">
        <v>5.5</v>
      </c>
      <c r="D69" s="3" t="n">
        <v>-175</v>
      </c>
      <c r="E69" s="8" t="n">
        <f aca="false">IF(C69="","",SUMPRODUCT((COLUMN(Win_Probabilities!$F$1:$S$1)-COLUMN(Win_Probabilities!$F$1)&gt;C69)*Win_Probabilities!$F73:$S73))</f>
        <v>0.329535792653573</v>
      </c>
      <c r="F69" s="9" t="n">
        <f aca="false">E69*IF(D69&lt;0,10000/-D69,D69)-(1-E69)*100</f>
        <v>-48.2158040115813</v>
      </c>
      <c r="G69" s="3" t="n">
        <v>5.5</v>
      </c>
      <c r="H69" s="3" t="n">
        <v>-160</v>
      </c>
      <c r="I69" s="8" t="n">
        <f aca="false">IF(G69="","",SUMPRODUCT((COLUMN(Win_Probabilities!$F$1:$S$1)-COLUMN(Win_Probabilities!$F$1)&gt;G69)*Win_Probabilities!$F73:$S73))</f>
        <v>0.329535792653573</v>
      </c>
      <c r="J69" s="9" t="n">
        <f aca="false">I69*IF(H69&lt;0,10000/-H69,H69)-(1-I69)*100</f>
        <v>-46.4504336937943</v>
      </c>
      <c r="K69" s="3" t="n">
        <v>5.5</v>
      </c>
      <c r="L69" s="3" t="n">
        <v>-170</v>
      </c>
      <c r="M69" s="8" t="n">
        <f aca="false">IF(K69="","",SUMPRODUCT((COLUMN(Win_Probabilities!$F$1:$S$1)-COLUMN(Win_Probabilities!$F$1)&gt;K69)*Win_Probabilities!$F73:$S73))</f>
        <v>0.329535792653573</v>
      </c>
      <c r="N69" s="9" t="n">
        <f aca="false">M69*IF(L69&lt;0,10000/-L69,L69)-(1-M69)*100</f>
        <v>-47.661962343256</v>
      </c>
      <c r="O69" s="3" t="n">
        <v>5.5</v>
      </c>
      <c r="P69" s="3" t="n">
        <v>-175</v>
      </c>
      <c r="Q69" s="8" t="n">
        <f aca="false">IF(O69="","",SUMPRODUCT((COLUMN(Win_Probabilities!$F$1:$S$1)-COLUMN(Win_Probabilities!$F$1)&gt;O69)*Win_Probabilities!$F73:$S73))</f>
        <v>0.329535792653573</v>
      </c>
      <c r="R69" s="9" t="n">
        <f aca="false">Q69*IF(P69&lt;0,10000/-P69,P69)-(1-Q69)*100</f>
        <v>-48.2158040115813</v>
      </c>
      <c r="S69" s="2" t="str">
        <f aca="false">IF(F69=MAX(F69,J69,N69,R69),"BetMGM",IF(J69=MAX(F69,J69,N69,R69),"DraftKings",IF(N69=MAX(F69,J69,N69,R69),"FanDuel",IF(R69=MAX(F69,J69,N69,R69),"RiversCasino",""))))</f>
        <v>DraftKings</v>
      </c>
      <c r="T69" s="9" t="n">
        <f aca="false">MAX(F69,J69,N69,R69)</f>
        <v>-46.4504336937943</v>
      </c>
      <c r="U69" s="2" t="n">
        <f aca="false">MAX(C69,G69,K69,O69)-MIN(C69,G69,K69,O69)</f>
        <v>0</v>
      </c>
    </row>
    <row r="70" customFormat="false" ht="15" hidden="false" customHeight="false" outlineLevel="0" collapsed="false">
      <c r="A70" s="2" t="s">
        <v>130</v>
      </c>
      <c r="B70" s="7" t="n">
        <f aca="false">Win_Probabilities!E74</f>
        <v>6.95321677149019</v>
      </c>
      <c r="C70" s="3" t="n">
        <v>6.5</v>
      </c>
      <c r="D70" s="3" t="n">
        <v>-150</v>
      </c>
      <c r="E70" s="8" t="n">
        <f aca="false">IF(C70="","",SUMPRODUCT((COLUMN(Win_Probabilities!$F$1:$S$1)-COLUMN(Win_Probabilities!$F$1)&gt;C70)*Win_Probabilities!$F74:$S74))</f>
        <v>0.622135002085202</v>
      </c>
      <c r="F70" s="9" t="n">
        <f aca="false">E70*IF(D70&lt;0,10000/-D70,D70)-(1-E70)*100</f>
        <v>3.68916701420039</v>
      </c>
      <c r="G70" s="3" t="n">
        <v>7.5</v>
      </c>
      <c r="H70" s="3" t="n">
        <v>170</v>
      </c>
      <c r="I70" s="8" t="n">
        <f aca="false">IF(G70="","",SUMPRODUCT((COLUMN(Win_Probabilities!$F$1:$S$1)-COLUMN(Win_Probabilities!$F$1)&gt;G70)*Win_Probabilities!$F74:$S74))</f>
        <v>0.363549574064987</v>
      </c>
      <c r="J70" s="9" t="n">
        <f aca="false">I70*IF(H70&lt;0,10000/-H70,H70)-(1-I70)*100</f>
        <v>-1.84161500245358</v>
      </c>
      <c r="K70" s="3" t="n">
        <v>6.5</v>
      </c>
      <c r="L70" s="3" t="n">
        <v>-144</v>
      </c>
      <c r="M70" s="8" t="n">
        <f aca="false">IF(K70="","",SUMPRODUCT((COLUMN(Win_Probabilities!$F$1:$S$1)-COLUMN(Win_Probabilities!$F$1)&gt;K70)*Win_Probabilities!$F74:$S74))</f>
        <v>0.622135002085202</v>
      </c>
      <c r="N70" s="9" t="n">
        <f aca="false">M70*IF(L70&lt;0,10000/-L70,L70)-(1-M70)*100</f>
        <v>5.41731979777039</v>
      </c>
      <c r="O70" s="3" t="n">
        <v>6.5</v>
      </c>
      <c r="P70" s="3" t="n">
        <v>-143</v>
      </c>
      <c r="Q70" s="8" t="n">
        <f aca="false">IF(O70="","",SUMPRODUCT((COLUMN(Win_Probabilities!$F$1:$S$1)-COLUMN(Win_Probabilities!$F$1)&gt;O70)*Win_Probabilities!$F74:$S74))</f>
        <v>0.622135002085202</v>
      </c>
      <c r="R70" s="9" t="n">
        <f aca="false">Q70*IF(P70&lt;0,10000/-P70,P70)-(1-Q70)*100</f>
        <v>5.71944441028263</v>
      </c>
      <c r="S70" s="2" t="str">
        <f aca="false">IF(F70=MAX(F70,J70,N70,R70),"BetMGM",IF(J70=MAX(F70,J70,N70,R70),"DraftKings",IF(N70=MAX(F70,J70,N70,R70),"FanDuel",IF(R70=MAX(F70,J70,N70,R70),"RiversCasino",""))))</f>
        <v>RiversCasino</v>
      </c>
      <c r="T70" s="9" t="n">
        <f aca="false">MAX(F70,J70,N70,R70)</f>
        <v>5.71944441028263</v>
      </c>
      <c r="U70" s="2" t="n">
        <f aca="false">MAX(C70,G70,K70,O70)-MIN(C70,G70,K70,O70)</f>
        <v>1</v>
      </c>
    </row>
    <row r="71" customFormat="false" ht="15" hidden="false" customHeight="false" outlineLevel="0" collapsed="false">
      <c r="A71" s="2" t="s">
        <v>131</v>
      </c>
      <c r="B71" s="7" t="n">
        <f aca="false">Win_Probabilities!E75</f>
        <v>8.12610673094654</v>
      </c>
      <c r="C71" s="3" t="n">
        <v>8.5</v>
      </c>
      <c r="D71" s="3" t="n">
        <v>115</v>
      </c>
      <c r="E71" s="8" t="n">
        <f aca="false">IF(C71="","",SUMPRODUCT((COLUMN(Win_Probabilities!$F$1:$S$1)-COLUMN(Win_Probabilities!$F$1)&gt;C71)*Win_Probabilities!$F75:$S75))</f>
        <v>0.40827216340438</v>
      </c>
      <c r="F71" s="9" t="n">
        <f aca="false">E71*IF(D71&lt;0,10000/-D71,D71)-(1-E71)*100</f>
        <v>-12.2214848680583</v>
      </c>
      <c r="G71" s="3" t="n">
        <v>8.5</v>
      </c>
      <c r="H71" s="3" t="n">
        <v>115</v>
      </c>
      <c r="I71" s="8" t="n">
        <f aca="false">IF(G71="","",SUMPRODUCT((COLUMN(Win_Probabilities!$F$1:$S$1)-COLUMN(Win_Probabilities!$F$1)&gt;G71)*Win_Probabilities!$F75:$S75))</f>
        <v>0.40827216340438</v>
      </c>
      <c r="J71" s="9" t="n">
        <f aca="false">I71*IF(H71&lt;0,10000/-H71,H71)-(1-I71)*100</f>
        <v>-12.2214848680583</v>
      </c>
      <c r="K71" s="3" t="n">
        <v>8.5</v>
      </c>
      <c r="L71" s="3" t="n">
        <v>110</v>
      </c>
      <c r="M71" s="8" t="n">
        <f aca="false">IF(K71="","",SUMPRODUCT((COLUMN(Win_Probabilities!$F$1:$S$1)-COLUMN(Win_Probabilities!$F$1)&gt;K71)*Win_Probabilities!$F75:$S75))</f>
        <v>0.40827216340438</v>
      </c>
      <c r="N71" s="9" t="n">
        <f aca="false">M71*IF(L71&lt;0,10000/-L71,L71)-(1-M71)*100</f>
        <v>-14.2628456850802</v>
      </c>
      <c r="O71" s="3" t="n">
        <v>8.5</v>
      </c>
      <c r="P71" s="3" t="n">
        <v>115</v>
      </c>
      <c r="Q71" s="8" t="n">
        <f aca="false">IF(O71="","",SUMPRODUCT((COLUMN(Win_Probabilities!$F$1:$S$1)-COLUMN(Win_Probabilities!$F$1)&gt;O71)*Win_Probabilities!$F75:$S75))</f>
        <v>0.40827216340438</v>
      </c>
      <c r="R71" s="9" t="n">
        <f aca="false">Q71*IF(P71&lt;0,10000/-P71,P71)-(1-Q71)*100</f>
        <v>-12.2214848680583</v>
      </c>
      <c r="S71" s="2" t="str">
        <f aca="false">IF(F71=MAX(F71,J71,N71,R71),"BetMGM",IF(J71=MAX(F71,J71,N71,R71),"DraftKings",IF(N71=MAX(F71,J71,N71,R71),"FanDuel",IF(R71=MAX(F71,J71,N71,R71),"RiversCasino",""))))</f>
        <v>BetMGM</v>
      </c>
      <c r="T71" s="9" t="n">
        <f aca="false">MAX(F71,J71,N71,R71)</f>
        <v>-12.2214848680583</v>
      </c>
      <c r="U71" s="2" t="n">
        <f aca="false">MAX(C71,G71,K71,O71)-MIN(C71,G71,K71,O71)</f>
        <v>0</v>
      </c>
    </row>
    <row r="72" customFormat="false" ht="15" hidden="false" customHeight="false" outlineLevel="0" collapsed="false">
      <c r="A72" s="2" t="s">
        <v>132</v>
      </c>
      <c r="B72" s="7" t="n">
        <f aca="false">Win_Probabilities!E76</f>
        <v>8.28790492295924</v>
      </c>
      <c r="C72" s="3" t="n">
        <v>9.5</v>
      </c>
      <c r="D72" s="3" t="n">
        <v>175</v>
      </c>
      <c r="E72" s="8" t="n">
        <f aca="false">IF(C72="","",SUMPRODUCT((COLUMN(Win_Probabilities!$F$1:$S$1)-COLUMN(Win_Probabilities!$F$1)&gt;C72)*Win_Probabilities!$F76:$S76))</f>
        <v>0.196082461727865</v>
      </c>
      <c r="F72" s="9" t="n">
        <f aca="false">E72*IF(D72&lt;0,10000/-D72,D72)-(1-E72)*100</f>
        <v>-46.0773230248372</v>
      </c>
      <c r="G72" s="3" t="n">
        <v>8.5</v>
      </c>
      <c r="H72" s="3" t="n">
        <v>-170</v>
      </c>
      <c r="I72" s="8" t="n">
        <f aca="false">IF(G72="","",SUMPRODUCT((COLUMN(Win_Probabilities!$F$1:$S$1)-COLUMN(Win_Probabilities!$F$1)&gt;G72)*Win_Probabilities!$F76:$S76))</f>
        <v>0.450503865084355</v>
      </c>
      <c r="J72" s="9" t="n">
        <f aca="false">I72*IF(H72&lt;0,10000/-H72,H72)-(1-I72)*100</f>
        <v>-28.4493861336612</v>
      </c>
      <c r="K72" s="3" t="n">
        <v>8.5</v>
      </c>
      <c r="L72" s="3" t="n">
        <v>-148</v>
      </c>
      <c r="M72" s="8" t="n">
        <f aca="false">IF(K72="","",SUMPRODUCT((COLUMN(Win_Probabilities!$F$1:$S$1)-COLUMN(Win_Probabilities!$F$1)&gt;K72)*Win_Probabilities!$F76:$S76))</f>
        <v>0.450503865084355</v>
      </c>
      <c r="N72" s="9" t="n">
        <f aca="false">M72*IF(L72&lt;0,10000/-L72,L72)-(1-M72)*100</f>
        <v>-24.5101631480269</v>
      </c>
      <c r="O72" s="2" t="s">
        <v>233</v>
      </c>
      <c r="Q72" s="10"/>
      <c r="R72" s="11"/>
      <c r="S72" s="2" t="str">
        <f aca="false">IF(F72=MAX(F72,J72,N72),"BetMGM",IF(J72=MAX(F72,J72,N72),"DraftKings",IF(N72=MAX(F72,J72,N72),"FanDuel","")))</f>
        <v>FanDuel</v>
      </c>
      <c r="T72" s="9" t="n">
        <f aca="false">MAX(F72,J72,N72)</f>
        <v>-24.5101631480269</v>
      </c>
      <c r="U72" s="2" t="n">
        <f aca="false">MAX(C72,G72,K72)-MIN(C72,G72,K72)</f>
        <v>1</v>
      </c>
    </row>
    <row r="73" customFormat="false" ht="15" hidden="false" customHeight="false" outlineLevel="0" collapsed="false">
      <c r="A73" s="2" t="s">
        <v>133</v>
      </c>
      <c r="B73" s="7" t="n">
        <f aca="false">Win_Probabilities!E77</f>
        <v>4.33317902416729</v>
      </c>
      <c r="C73" s="3" t="n">
        <v>4.5</v>
      </c>
      <c r="D73" s="3" t="n">
        <v>-120</v>
      </c>
      <c r="E73" s="8" t="n">
        <f aca="false">IF(C73="","",SUMPRODUCT((COLUMN(Win_Probabilities!$F$1:$S$1)-COLUMN(Win_Probabilities!$F$1)&gt;C73)*Win_Probabilities!$F77:$S77))</f>
        <v>0.440273597507821</v>
      </c>
      <c r="F73" s="9" t="n">
        <f aca="false">E73*IF(D73&lt;0,10000/-D73,D73)-(1-E73)*100</f>
        <v>-19.2831737902328</v>
      </c>
      <c r="G73" s="3" t="n">
        <v>4.5</v>
      </c>
      <c r="H73" s="3" t="n">
        <v>-105</v>
      </c>
      <c r="I73" s="8" t="n">
        <f aca="false">IF(G73="","",SUMPRODUCT((COLUMN(Win_Probabilities!$F$1:$S$1)-COLUMN(Win_Probabilities!$F$1)&gt;G73)*Win_Probabilities!$F77:$S77))</f>
        <v>0.440273597507821</v>
      </c>
      <c r="J73" s="9" t="n">
        <f aca="false">I73*IF(H73&lt;0,10000/-H73,H73)-(1-I73)*100</f>
        <v>-14.0418214389492</v>
      </c>
      <c r="K73" s="3" t="n">
        <v>4.5</v>
      </c>
      <c r="L73" s="3" t="n">
        <v>-120</v>
      </c>
      <c r="M73" s="8" t="n">
        <f aca="false">IF(K73="","",SUMPRODUCT((COLUMN(Win_Probabilities!$F$1:$S$1)-COLUMN(Win_Probabilities!$F$1)&gt;K73)*Win_Probabilities!$F77:$S77))</f>
        <v>0.440273597507821</v>
      </c>
      <c r="N73" s="9" t="n">
        <f aca="false">M73*IF(L73&lt;0,10000/-L73,L73)-(1-M73)*100</f>
        <v>-19.2831737902328</v>
      </c>
      <c r="O73" s="3" t="n">
        <v>4.5</v>
      </c>
      <c r="P73" s="3" t="n">
        <v>-113</v>
      </c>
      <c r="Q73" s="8" t="n">
        <f aca="false">IF(O73="","",SUMPRODUCT((COLUMN(Win_Probabilities!$F$1:$S$1)-COLUMN(Win_Probabilities!$F$1)&gt;O73)*Win_Probabilities!$F77:$S77))</f>
        <v>0.440273597507821</v>
      </c>
      <c r="R73" s="9" t="n">
        <f aca="false">Q73*IF(P73&lt;0,10000/-P73,P73)-(1-Q73)*100</f>
        <v>-17.010374983039</v>
      </c>
      <c r="S73" s="2" t="str">
        <f aca="false">IF(F73=MAX(F73,J73,N73,R73),"BetMGM",IF(J73=MAX(F73,J73,N73,R73),"DraftKings",IF(N73=MAX(F73,J73,N73,R73),"FanDuel",IF(R73=MAX(F73,J73,N73,R73),"RiversCasino",""))))</f>
        <v>DraftKings</v>
      </c>
      <c r="T73" s="9" t="n">
        <f aca="false">MAX(F73,J73,N73,R73)</f>
        <v>-14.0418214389492</v>
      </c>
      <c r="U73" s="2" t="n">
        <f aca="false">MAX(C73,G73,K73,O73)-MIN(C73,G73,K73,O73)</f>
        <v>0</v>
      </c>
    </row>
    <row r="74" customFormat="false" ht="15" hidden="false" customHeight="false" outlineLevel="0" collapsed="false">
      <c r="A74" s="2" t="s">
        <v>134</v>
      </c>
      <c r="B74" s="7" t="n">
        <f aca="false">Win_Probabilities!E78</f>
        <v>6.7935671268459</v>
      </c>
      <c r="C74" s="3" t="n">
        <v>6.5</v>
      </c>
      <c r="D74" s="3" t="n">
        <v>100</v>
      </c>
      <c r="E74" s="8" t="n">
        <f aca="false">IF(C74="","",SUMPRODUCT((COLUMN(Win_Probabilities!$F$1:$S$1)-COLUMN(Win_Probabilities!$F$1)&gt;C74)*Win_Probabilities!$F78:$S78))</f>
        <v>0.583063108736882</v>
      </c>
      <c r="F74" s="9" t="n">
        <f aca="false">E74*IF(D74&lt;0,10000/-D74,D74)-(1-E74)*100</f>
        <v>16.6126217473765</v>
      </c>
      <c r="G74" s="3" t="n">
        <v>6.5</v>
      </c>
      <c r="H74" s="3" t="n">
        <v>120</v>
      </c>
      <c r="I74" s="8" t="n">
        <f aca="false">IF(G74="","",SUMPRODUCT((COLUMN(Win_Probabilities!$F$1:$S$1)-COLUMN(Win_Probabilities!$F$1)&gt;G74)*Win_Probabilities!$F78:$S78))</f>
        <v>0.583063108736882</v>
      </c>
      <c r="J74" s="9" t="n">
        <f aca="false">I74*IF(H74&lt;0,10000/-H74,H74)-(1-I74)*100</f>
        <v>28.2738839221141</v>
      </c>
      <c r="K74" s="3" t="n">
        <v>6.5</v>
      </c>
      <c r="L74" s="3" t="n">
        <v>-104</v>
      </c>
      <c r="M74" s="8" t="n">
        <f aca="false">IF(K74="","",SUMPRODUCT((COLUMN(Win_Probabilities!$F$1:$S$1)-COLUMN(Win_Probabilities!$F$1)&gt;K74)*Win_Probabilities!$F78:$S78))</f>
        <v>0.583063108736882</v>
      </c>
      <c r="N74" s="9" t="n">
        <f aca="false">M74*IF(L74&lt;0,10000/-L74,L74)-(1-M74)*100</f>
        <v>14.3700713291577</v>
      </c>
      <c r="O74" s="3" t="n">
        <v>6.5</v>
      </c>
      <c r="P74" s="3" t="n">
        <v>-122</v>
      </c>
      <c r="Q74" s="8" t="n">
        <f aca="false">IF(O74="","",SUMPRODUCT((COLUMN(Win_Probabilities!$F$1:$S$1)-COLUMN(Win_Probabilities!$F$1)&gt;O74)*Win_Probabilities!$F78:$S78))</f>
        <v>0.583063108736882</v>
      </c>
      <c r="R74" s="9" t="n">
        <f aca="false">Q74*IF(P74&lt;0,10000/-P74,P74)-(1-Q74)*100</f>
        <v>6.09836896687532</v>
      </c>
      <c r="S74" s="2" t="str">
        <f aca="false">IF(F74=MAX(F74,J74,N74,R74),"BetMGM",IF(J74=MAX(F74,J74,N74,R74),"DraftKings",IF(N74=MAX(F74,J74,N74,R74),"FanDuel",IF(R74=MAX(F74,J74,N74,R74),"RiversCasino",""))))</f>
        <v>DraftKings</v>
      </c>
      <c r="T74" s="9" t="n">
        <f aca="false">MAX(F74,J74,N74,R74)</f>
        <v>28.2738839221141</v>
      </c>
      <c r="U74" s="2" t="n">
        <f aca="false">MAX(C74,G74,K74,O74)-MIN(C74,G74,K74,O74)</f>
        <v>0</v>
      </c>
    </row>
    <row r="75" customFormat="false" ht="15" hidden="false" customHeight="false" outlineLevel="0" collapsed="false">
      <c r="A75" s="2" t="s">
        <v>137</v>
      </c>
      <c r="B75" s="7" t="n">
        <f aca="false">Win_Probabilities!E81</f>
        <v>7.65709454843347</v>
      </c>
      <c r="C75" s="3" t="n">
        <v>7.5</v>
      </c>
      <c r="D75" s="3" t="n">
        <v>135</v>
      </c>
      <c r="E75" s="8" t="n">
        <f aca="false">IF(C75="","",SUMPRODUCT((COLUMN(Win_Probabilities!$F$1:$S$1)-COLUMN(Win_Probabilities!$F$1)&gt;C75)*Win_Probabilities!$F81:$S81))</f>
        <v>0.553574470286599</v>
      </c>
      <c r="F75" s="9" t="n">
        <f aca="false">E75*IF(D75&lt;0,10000/-D75,D75)-(1-E75)*100</f>
        <v>30.0900005173508</v>
      </c>
      <c r="G75" s="3" t="n">
        <v>7.5</v>
      </c>
      <c r="H75" s="3" t="n">
        <v>125</v>
      </c>
      <c r="I75" s="8" t="n">
        <f aca="false">IF(G75="","",SUMPRODUCT((COLUMN(Win_Probabilities!$F$1:$S$1)-COLUMN(Win_Probabilities!$F$1)&gt;G75)*Win_Probabilities!$F81:$S81))</f>
        <v>0.553574470286599</v>
      </c>
      <c r="J75" s="9" t="n">
        <f aca="false">I75*IF(H75&lt;0,10000/-H75,H75)-(1-I75)*100</f>
        <v>24.5542558144848</v>
      </c>
      <c r="K75" s="3" t="n">
        <v>7.5</v>
      </c>
      <c r="L75" s="3" t="n">
        <v>120</v>
      </c>
      <c r="M75" s="8" t="n">
        <f aca="false">IF(K75="","",SUMPRODUCT((COLUMN(Win_Probabilities!$F$1:$S$1)-COLUMN(Win_Probabilities!$F$1)&gt;K75)*Win_Probabilities!$F81:$S81))</f>
        <v>0.553574470286599</v>
      </c>
      <c r="N75" s="9" t="n">
        <f aca="false">M75*IF(L75&lt;0,10000/-L75,L75)-(1-M75)*100</f>
        <v>21.7863834630518</v>
      </c>
      <c r="O75" s="3" t="n">
        <v>7.5</v>
      </c>
      <c r="P75" s="3" t="n">
        <v>115</v>
      </c>
      <c r="Q75" s="8" t="n">
        <f aca="false">IF(O75="","",SUMPRODUCT((COLUMN(Win_Probabilities!$F$1:$S$1)-COLUMN(Win_Probabilities!$F$1)&gt;O75)*Win_Probabilities!$F81:$S81))</f>
        <v>0.553574470286599</v>
      </c>
      <c r="R75" s="9" t="n">
        <f aca="false">Q75*IF(P75&lt;0,10000/-P75,P75)-(1-Q75)*100</f>
        <v>19.0185111116188</v>
      </c>
      <c r="S75" s="2" t="str">
        <f aca="false">IF(F75=MAX(F75,J75,N75,R75),"BetMGM",IF(J75=MAX(F75,J75,N75,R75),"DraftKings",IF(N75=MAX(F75,J75,N75,R75),"FanDuel",IF(R75=MAX(F75,J75,N75,R75),"RiversCasino",""))))</f>
        <v>BetMGM</v>
      </c>
      <c r="T75" s="9" t="n">
        <f aca="false">MAX(F75,J75,N75,R75)</f>
        <v>30.0900005173508</v>
      </c>
      <c r="U75" s="2" t="n">
        <f aca="false">MAX(C75,G75,K75,O75)-MIN(C75,G75,K75,O75)</f>
        <v>0</v>
      </c>
    </row>
    <row r="76" customFormat="false" ht="15" hidden="false" customHeight="false" outlineLevel="0" collapsed="false">
      <c r="A76" s="2" t="s">
        <v>138</v>
      </c>
      <c r="B76" s="7" t="n">
        <f aca="false">Win_Probabilities!E82</f>
        <v>7.15652716078985</v>
      </c>
      <c r="C76" s="3" t="n">
        <v>7.5</v>
      </c>
      <c r="D76" s="3" t="n">
        <v>-125</v>
      </c>
      <c r="E76" s="8" t="n">
        <f aca="false">IF(C76="","",SUMPRODUCT((COLUMN(Win_Probabilities!$F$1:$S$1)-COLUMN(Win_Probabilities!$F$1)&gt;C76)*Win_Probabilities!$F82:$S82))</f>
        <v>0.42218234378639</v>
      </c>
      <c r="F76" s="9" t="n">
        <f aca="false">E76*IF(D76&lt;0,10000/-D76,D76)-(1-E76)*100</f>
        <v>-24.0071781184497</v>
      </c>
      <c r="G76" s="3" t="n">
        <v>7.5</v>
      </c>
      <c r="H76" s="3" t="n">
        <v>-140</v>
      </c>
      <c r="I76" s="8" t="n">
        <f aca="false">IF(G76="","",SUMPRODUCT((COLUMN(Win_Probabilities!$F$1:$S$1)-COLUMN(Win_Probabilities!$F$1)&gt;G76)*Win_Probabilities!$F82:$S82))</f>
        <v>0.42218234378639</v>
      </c>
      <c r="J76" s="9" t="n">
        <f aca="false">I76*IF(H76&lt;0,10000/-H76,H76)-(1-I76)*100</f>
        <v>-27.6258839223331</v>
      </c>
      <c r="K76" s="3" t="n">
        <v>7.5</v>
      </c>
      <c r="L76" s="3" t="n">
        <v>-122</v>
      </c>
      <c r="M76" s="8" t="n">
        <f aca="false">IF(K76="","",SUMPRODUCT((COLUMN(Win_Probabilities!$F$1:$S$1)-COLUMN(Win_Probabilities!$F$1)&gt;K76)*Win_Probabilities!$F82:$S82))</f>
        <v>0.42218234378639</v>
      </c>
      <c r="N76" s="9" t="n">
        <f aca="false">M76*IF(L76&lt;0,10000/-L76,L76)-(1-M76)*100</f>
        <v>-23.1766554749355</v>
      </c>
      <c r="O76" s="3" t="n">
        <v>7.5</v>
      </c>
      <c r="P76" s="3" t="n">
        <v>-120</v>
      </c>
      <c r="Q76" s="8" t="n">
        <f aca="false">IF(O76="","",SUMPRODUCT((COLUMN(Win_Probabilities!$F$1:$S$1)-COLUMN(Win_Probabilities!$F$1)&gt;O76)*Win_Probabilities!$F82:$S82))</f>
        <v>0.42218234378639</v>
      </c>
      <c r="R76" s="9" t="n">
        <f aca="false">Q76*IF(P76&lt;0,10000/-P76,P76)-(1-Q76)*100</f>
        <v>-22.5999036391618</v>
      </c>
      <c r="S76" s="2" t="str">
        <f aca="false">IF(F76=MAX(F76,J76,N76,R76),"BetMGM",IF(J76=MAX(F76,J76,N76,R76),"DraftKings",IF(N76=MAX(F76,J76,N76,R76),"FanDuel",IF(R76=MAX(F76,J76,N76,R76),"RiversCasino",""))))</f>
        <v>RiversCasino</v>
      </c>
      <c r="T76" s="9" t="n">
        <f aca="false">MAX(F76,J76,N76,R76)</f>
        <v>-22.5999036391618</v>
      </c>
      <c r="U76" s="2" t="n">
        <f aca="false">MAX(C76,G76,K76,O76)-MIN(C76,G76,K76,O76)</f>
        <v>0</v>
      </c>
    </row>
    <row r="77" customFormat="false" ht="15" hidden="false" customHeight="false" outlineLevel="0" collapsed="false">
      <c r="A77" s="2" t="s">
        <v>140</v>
      </c>
      <c r="B77" s="7" t="n">
        <f aca="false">Win_Probabilities!E84</f>
        <v>7.66941873111988</v>
      </c>
      <c r="C77" s="3" t="n">
        <v>7.5</v>
      </c>
      <c r="D77" s="3" t="n">
        <v>140</v>
      </c>
      <c r="E77" s="8" t="n">
        <f aca="false">IF(C77="","",SUMPRODUCT((COLUMN(Win_Probabilities!$F$1:$S$1)-COLUMN(Win_Probabilities!$F$1)&gt;C77)*Win_Probabilities!$F84:$S84))</f>
        <v>0.552674038028116</v>
      </c>
      <c r="F77" s="9" t="n">
        <f aca="false">E77*IF(D77&lt;0,10000/-D77,D77)-(1-E77)*100</f>
        <v>32.6417691267477</v>
      </c>
      <c r="G77" s="3" t="n">
        <v>7.5</v>
      </c>
      <c r="H77" s="3" t="n">
        <v>120</v>
      </c>
      <c r="I77" s="8" t="n">
        <f aca="false">IF(G77="","",SUMPRODUCT((COLUMN(Win_Probabilities!$F$1:$S$1)-COLUMN(Win_Probabilities!$F$1)&gt;G77)*Win_Probabilities!$F84:$S84))</f>
        <v>0.552674038028116</v>
      </c>
      <c r="J77" s="9" t="n">
        <f aca="false">I77*IF(H77&lt;0,10000/-H77,H77)-(1-I77)*100</f>
        <v>21.5882883661854</v>
      </c>
      <c r="K77" s="3" t="n">
        <v>7.5</v>
      </c>
      <c r="L77" s="3" t="n">
        <v>132</v>
      </c>
      <c r="M77" s="8" t="n">
        <f aca="false">IF(K77="","",SUMPRODUCT((COLUMN(Win_Probabilities!$F$1:$S$1)-COLUMN(Win_Probabilities!$F$1)&gt;K77)*Win_Probabilities!$F84:$S84))</f>
        <v>0.552674038028116</v>
      </c>
      <c r="N77" s="9" t="n">
        <f aca="false">M77*IF(L77&lt;0,10000/-L77,L77)-(1-M77)*100</f>
        <v>28.2203768225228</v>
      </c>
      <c r="O77" s="3" t="n">
        <v>7.5</v>
      </c>
      <c r="P77" s="3" t="n">
        <v>121</v>
      </c>
      <c r="Q77" s="8" t="n">
        <f aca="false">IF(O77="","",SUMPRODUCT((COLUMN(Win_Probabilities!$F$1:$S$1)-COLUMN(Win_Probabilities!$F$1)&gt;O77)*Win_Probabilities!$F84:$S84))</f>
        <v>0.552674038028116</v>
      </c>
      <c r="R77" s="9" t="n">
        <f aca="false">Q77*IF(P77&lt;0,10000/-P77,P77)-(1-Q77)*100</f>
        <v>22.1409624042135</v>
      </c>
      <c r="S77" s="2" t="str">
        <f aca="false">IF(F77=MAX(F77,J77,N77,R77),"BetMGM",IF(J77=MAX(F77,J77,N77,R77),"DraftKings",IF(N77=MAX(F77,J77,N77,R77),"FanDuel",IF(R77=MAX(F77,J77,N77,R77),"RiversCasino",""))))</f>
        <v>BetMGM</v>
      </c>
      <c r="T77" s="9" t="n">
        <f aca="false">MAX(F77,J77,N77,R77)</f>
        <v>32.6417691267477</v>
      </c>
      <c r="U77" s="2" t="n">
        <f aca="false">MAX(C77,G77,K77,O77)-MIN(C77,G77,K77,O77)</f>
        <v>0</v>
      </c>
    </row>
    <row r="78" customFormat="false" ht="15" hidden="false" customHeight="false" outlineLevel="0" collapsed="false">
      <c r="A78" s="2" t="s">
        <v>141</v>
      </c>
      <c r="B78" s="7" t="n">
        <f aca="false">Win_Probabilities!E85</f>
        <v>7.64625919733599</v>
      </c>
      <c r="C78" s="3" t="n">
        <v>7.5</v>
      </c>
      <c r="D78" s="3" t="n">
        <v>-110</v>
      </c>
      <c r="E78" s="8" t="n">
        <f aca="false">IF(C78="","",SUMPRODUCT((COLUMN(Win_Probabilities!$F$1:$S$1)-COLUMN(Win_Probabilities!$F$1)&gt;C78)*Win_Probabilities!$F85:$S85))</f>
        <v>0.54471709437165</v>
      </c>
      <c r="F78" s="9" t="n">
        <f aca="false">E78*IF(D78&lt;0,10000/-D78,D78)-(1-E78)*100</f>
        <v>3.99144528913321</v>
      </c>
      <c r="G78" s="3" t="n">
        <v>7.5</v>
      </c>
      <c r="H78" s="3" t="n">
        <v>120</v>
      </c>
      <c r="I78" s="8" t="n">
        <f aca="false">IF(G78="","",SUMPRODUCT((COLUMN(Win_Probabilities!$F$1:$S$1)-COLUMN(Win_Probabilities!$F$1)&gt;G78)*Win_Probabilities!$F85:$S85))</f>
        <v>0.54471709437165</v>
      </c>
      <c r="J78" s="9" t="n">
        <f aca="false">I78*IF(H78&lt;0,10000/-H78,H78)-(1-I78)*100</f>
        <v>19.837760761763</v>
      </c>
      <c r="K78" s="3" t="n">
        <v>7.5</v>
      </c>
      <c r="L78" s="3" t="n">
        <v>104</v>
      </c>
      <c r="M78" s="8" t="n">
        <f aca="false">IF(K78="","",SUMPRODUCT((COLUMN(Win_Probabilities!$F$1:$S$1)-COLUMN(Win_Probabilities!$F$1)&gt;K78)*Win_Probabilities!$F85:$S85))</f>
        <v>0.54471709437165</v>
      </c>
      <c r="N78" s="9" t="n">
        <f aca="false">M78*IF(L78&lt;0,10000/-L78,L78)-(1-M78)*100</f>
        <v>11.1222872518166</v>
      </c>
      <c r="O78" s="3" t="n">
        <v>7.5</v>
      </c>
      <c r="P78" s="3" t="n">
        <v>100</v>
      </c>
      <c r="Q78" s="8" t="n">
        <f aca="false">IF(O78="","",SUMPRODUCT((COLUMN(Win_Probabilities!$F$1:$S$1)-COLUMN(Win_Probabilities!$F$1)&gt;O78)*Win_Probabilities!$F85:$S85))</f>
        <v>0.54471709437165</v>
      </c>
      <c r="R78" s="9" t="n">
        <f aca="false">Q78*IF(P78&lt;0,10000/-P78,P78)-(1-Q78)*100</f>
        <v>8.94341887433004</v>
      </c>
      <c r="S78" s="2" t="str">
        <f aca="false">IF(F78=MAX(F78,J78,N78,R78),"BetMGM",IF(J78=MAX(F78,J78,N78,R78),"DraftKings",IF(N78=MAX(F78,J78,N78,R78),"FanDuel",IF(R78=MAX(F78,J78,N78,R78),"RiversCasino",""))))</f>
        <v>DraftKings</v>
      </c>
      <c r="T78" s="9" t="n">
        <f aca="false">MAX(F78,J78,N78,R78)</f>
        <v>19.837760761763</v>
      </c>
      <c r="U78" s="2" t="n">
        <f aca="false">MAX(C78,G78,K78,O78)-MIN(C78,G78,K78,O78)</f>
        <v>0</v>
      </c>
    </row>
    <row r="79" customFormat="false" ht="15" hidden="false" customHeight="false" outlineLevel="0" collapsed="false">
      <c r="A79" s="2" t="s">
        <v>142</v>
      </c>
      <c r="B79" s="7" t="n">
        <f aca="false">Win_Probabilities!E86</f>
        <v>8.46781672929093</v>
      </c>
      <c r="C79" s="3" t="n">
        <v>7.5</v>
      </c>
      <c r="D79" s="3" t="n">
        <v>-110</v>
      </c>
      <c r="E79" s="8" t="n">
        <f aca="false">IF(C79="","",SUMPRODUCT((COLUMN(Win_Probabilities!$F$1:$S$1)-COLUMN(Win_Probabilities!$F$1)&gt;C79)*Win_Probabilities!$F86:$S86))</f>
        <v>0.76945138584609</v>
      </c>
      <c r="F79" s="9" t="n">
        <f aca="false">E79*IF(D79&lt;0,10000/-D79,D79)-(1-E79)*100</f>
        <v>46.8952645706172</v>
      </c>
      <c r="G79" s="3" t="n">
        <v>7.5</v>
      </c>
      <c r="H79" s="3" t="n">
        <v>105</v>
      </c>
      <c r="I79" s="8" t="n">
        <f aca="false">IF(G79="","",SUMPRODUCT((COLUMN(Win_Probabilities!$F$1:$S$1)-COLUMN(Win_Probabilities!$F$1)&gt;G79)*Win_Probabilities!$F86:$S86))</f>
        <v>0.76945138584609</v>
      </c>
      <c r="J79" s="9" t="n">
        <f aca="false">I79*IF(H79&lt;0,10000/-H79,H79)-(1-I79)*100</f>
        <v>57.7375340984485</v>
      </c>
      <c r="K79" s="3" t="n">
        <v>7.5</v>
      </c>
      <c r="L79" s="3" t="n">
        <v>-138</v>
      </c>
      <c r="M79" s="8" t="n">
        <f aca="false">IF(K79="","",SUMPRODUCT((COLUMN(Win_Probabilities!$F$1:$S$1)-COLUMN(Win_Probabilities!$F$1)&gt;K79)*Win_Probabilities!$F86:$S86))</f>
        <v>0.76945138584609</v>
      </c>
      <c r="N79" s="9" t="n">
        <f aca="false">M79*IF(L79&lt;0,10000/-L79,L79)-(1-M79)*100</f>
        <v>32.7024853850504</v>
      </c>
      <c r="O79" s="3" t="n">
        <v>7.5</v>
      </c>
      <c r="P79" s="3" t="n">
        <v>105</v>
      </c>
      <c r="Q79" s="8" t="n">
        <f aca="false">IF(O79="","",SUMPRODUCT((COLUMN(Win_Probabilities!$F$1:$S$1)-COLUMN(Win_Probabilities!$F$1)&gt;O79)*Win_Probabilities!$F86:$S86))</f>
        <v>0.76945138584609</v>
      </c>
      <c r="R79" s="9" t="n">
        <f aca="false">Q79*IF(P79&lt;0,10000/-P79,P79)-(1-Q79)*100</f>
        <v>57.7375340984485</v>
      </c>
      <c r="S79" s="2" t="str">
        <f aca="false">IF(F79=MAX(F79,J79,N79,R79),"BetMGM",IF(J79=MAX(F79,J79,N79,R79),"DraftKings",IF(N79=MAX(F79,J79,N79,R79),"FanDuel",IF(R79=MAX(F79,J79,N79,R79),"RiversCasino",""))))</f>
        <v>DraftKings</v>
      </c>
      <c r="T79" s="9" t="n">
        <f aca="false">MAX(F79,J79,N79,R79)</f>
        <v>57.7375340984485</v>
      </c>
      <c r="U79" s="2" t="n">
        <f aca="false">MAX(C79,G79,K79,O79)-MIN(C79,G79,K79,O79)</f>
        <v>0</v>
      </c>
    </row>
    <row r="80" customFormat="false" ht="15" hidden="false" customHeight="false" outlineLevel="0" collapsed="false">
      <c r="A80" s="2" t="s">
        <v>143</v>
      </c>
      <c r="B80" s="7" t="n">
        <f aca="false">Win_Probabilities!E87</f>
        <v>5.32194152339325</v>
      </c>
      <c r="C80" s="3" t="n">
        <v>5.5</v>
      </c>
      <c r="D80" s="3" t="n">
        <v>120</v>
      </c>
      <c r="E80" s="8" t="n">
        <f aca="false">IF(C80="","",SUMPRODUCT((COLUMN(Win_Probabilities!$F$1:$S$1)-COLUMN(Win_Probabilities!$F$1)&gt;C80)*Win_Probabilities!$F87:$S87))</f>
        <v>0.446540871240812</v>
      </c>
      <c r="F80" s="9" t="n">
        <f aca="false">E80*IF(D80&lt;0,10000/-D80,D80)-(1-E80)*100</f>
        <v>-1.76100832702138</v>
      </c>
      <c r="G80" s="3" t="n">
        <v>5.5</v>
      </c>
      <c r="H80" s="3" t="n">
        <v>134</v>
      </c>
      <c r="I80" s="8" t="n">
        <f aca="false">IF(G80="","",SUMPRODUCT((COLUMN(Win_Probabilities!$F$1:$S$1)-COLUMN(Win_Probabilities!$F$1)&gt;G80)*Win_Probabilities!$F87:$S87))</f>
        <v>0.446540871240812</v>
      </c>
      <c r="J80" s="9" t="n">
        <f aca="false">I80*IF(H80&lt;0,10000/-H80,H80)-(1-I80)*100</f>
        <v>4.49056387034999</v>
      </c>
      <c r="K80" s="3" t="n">
        <v>5.5</v>
      </c>
      <c r="L80" s="3" t="n">
        <v>118</v>
      </c>
      <c r="M80" s="8" t="n">
        <f aca="false">IF(K80="","",SUMPRODUCT((COLUMN(Win_Probabilities!$F$1:$S$1)-COLUMN(Win_Probabilities!$F$1)&gt;K80)*Win_Probabilities!$F87:$S87))</f>
        <v>0.446540871240812</v>
      </c>
      <c r="N80" s="9" t="n">
        <f aca="false">M80*IF(L80&lt;0,10000/-L80,L80)-(1-M80)*100</f>
        <v>-2.65409006950301</v>
      </c>
      <c r="O80" s="3" t="n">
        <v>5.5</v>
      </c>
      <c r="P80" s="3" t="n">
        <v>114</v>
      </c>
      <c r="Q80" s="8" t="n">
        <f aca="false">IF(O80="","",SUMPRODUCT((COLUMN(Win_Probabilities!$F$1:$S$1)-COLUMN(Win_Probabilities!$F$1)&gt;O80)*Win_Probabilities!$F87:$S87))</f>
        <v>0.446540871240812</v>
      </c>
      <c r="R80" s="9" t="n">
        <f aca="false">Q80*IF(P80&lt;0,10000/-P80,P80)-(1-Q80)*100</f>
        <v>-4.44025355446625</v>
      </c>
      <c r="S80" s="2" t="str">
        <f aca="false">IF(F80=MAX(F80,J80,N80,R80),"BetMGM",IF(J80=MAX(F80,J80,N80,R80),"DraftKings",IF(N80=MAX(F80,J80,N80,R80),"FanDuel",IF(R80=MAX(F80,J80,N80,R80),"RiversCasino",""))))</f>
        <v>DraftKings</v>
      </c>
      <c r="T80" s="9" t="n">
        <f aca="false">MAX(F80,J80,N80,R80)</f>
        <v>4.49056387034999</v>
      </c>
      <c r="U80" s="2" t="n">
        <f aca="false">MAX(C80,G80,K80,O80)-MIN(C80,G80,K80,O80)</f>
        <v>0</v>
      </c>
    </row>
    <row r="81" customFormat="false" ht="15" hidden="false" customHeight="false" outlineLevel="0" collapsed="false">
      <c r="A81" s="2" t="s">
        <v>144</v>
      </c>
      <c r="B81" s="7" t="n">
        <f aca="false">Win_Probabilities!E88</f>
        <v>6.64259448335862</v>
      </c>
      <c r="C81" s="3" t="n">
        <v>7.5</v>
      </c>
      <c r="D81" s="3" t="n">
        <v>130</v>
      </c>
      <c r="E81" s="8" t="n">
        <f aca="false">IF(C81="","",SUMPRODUCT((COLUMN(Win_Probabilities!$F$1:$S$1)-COLUMN(Win_Probabilities!$F$1)&gt;C81)*Win_Probabilities!$F88:$S88))</f>
        <v>0.286950034156062</v>
      </c>
      <c r="F81" s="9" t="n">
        <f aca="false">E81*IF(D81&lt;0,10000/-D81,D81)-(1-E81)*100</f>
        <v>-34.0014921441058</v>
      </c>
      <c r="G81" s="3" t="n">
        <v>7.5</v>
      </c>
      <c r="H81" s="3" t="n">
        <v>120</v>
      </c>
      <c r="I81" s="8" t="n">
        <f aca="false">IF(G81="","",SUMPRODUCT((COLUMN(Win_Probabilities!$F$1:$S$1)-COLUMN(Win_Probabilities!$F$1)&gt;G81)*Win_Probabilities!$F88:$S88))</f>
        <v>0.286950034156062</v>
      </c>
      <c r="J81" s="9" t="n">
        <f aca="false">I81*IF(H81&lt;0,10000/-H81,H81)-(1-I81)*100</f>
        <v>-36.8709924856664</v>
      </c>
      <c r="K81" s="3" t="n">
        <v>7.5</v>
      </c>
      <c r="L81" s="3" t="n">
        <v>116</v>
      </c>
      <c r="M81" s="8" t="n">
        <f aca="false">IF(K81="","",SUMPRODUCT((COLUMN(Win_Probabilities!$F$1:$S$1)-COLUMN(Win_Probabilities!$F$1)&gt;K81)*Win_Probabilities!$F88:$S88))</f>
        <v>0.286950034156062</v>
      </c>
      <c r="N81" s="9" t="n">
        <f aca="false">M81*IF(L81&lt;0,10000/-L81,L81)-(1-M81)*100</f>
        <v>-38.0187926222907</v>
      </c>
      <c r="O81" s="3" t="n">
        <v>7.5</v>
      </c>
      <c r="P81" s="3" t="n">
        <v>120</v>
      </c>
      <c r="Q81" s="8" t="n">
        <f aca="false">IF(O81="","",SUMPRODUCT((COLUMN(Win_Probabilities!$F$1:$S$1)-COLUMN(Win_Probabilities!$F$1)&gt;O81)*Win_Probabilities!$F88:$S88))</f>
        <v>0.286950034156062</v>
      </c>
      <c r="R81" s="9" t="n">
        <f aca="false">Q81*IF(P81&lt;0,10000/-P81,P81)-(1-Q81)*100</f>
        <v>-36.8709924856664</v>
      </c>
      <c r="S81" s="2" t="str">
        <f aca="false">IF(F81=MAX(F81,J81,N81,R81),"BetMGM",IF(J81=MAX(F81,J81,N81,R81),"DraftKings",IF(N81=MAX(F81,J81,N81,R81),"FanDuel",IF(R81=MAX(F81,J81,N81,R81),"RiversCasino",""))))</f>
        <v>BetMGM</v>
      </c>
      <c r="T81" s="9" t="n">
        <f aca="false">MAX(F81,J81,N81,R81)</f>
        <v>-34.0014921441058</v>
      </c>
      <c r="U81" s="2" t="n">
        <f aca="false">MAX(C81,G81,K81,O81)-MIN(C81,G81,K81,O81)</f>
        <v>0</v>
      </c>
    </row>
    <row r="82" customFormat="false" ht="15" hidden="false" customHeight="false" outlineLevel="0" collapsed="false">
      <c r="A82" s="2" t="s">
        <v>145</v>
      </c>
      <c r="B82" s="7" t="n">
        <f aca="false">Win_Probabilities!E89</f>
        <v>8.88658366045359</v>
      </c>
      <c r="C82" s="3" t="n">
        <v>8.5</v>
      </c>
      <c r="D82" s="3" t="n">
        <v>105</v>
      </c>
      <c r="E82" s="8" t="n">
        <f aca="false">IF(C82="","",SUMPRODUCT((COLUMN(Win_Probabilities!$F$1:$S$1)-COLUMN(Win_Probabilities!$F$1)&gt;C82)*Win_Probabilities!$F89:$S89))</f>
        <v>0.624295623759753</v>
      </c>
      <c r="F82" s="9" t="n">
        <f aca="false">E82*IF(D82&lt;0,10000/-D82,D82)-(1-E82)*100</f>
        <v>27.9806028707494</v>
      </c>
      <c r="G82" s="3" t="n">
        <v>8.5</v>
      </c>
      <c r="H82" s="3" t="n">
        <v>110</v>
      </c>
      <c r="I82" s="8" t="n">
        <f aca="false">IF(G82="","",SUMPRODUCT((COLUMN(Win_Probabilities!$F$1:$S$1)-COLUMN(Win_Probabilities!$F$1)&gt;G82)*Win_Probabilities!$F89:$S89))</f>
        <v>0.624295623759753</v>
      </c>
      <c r="J82" s="9" t="n">
        <f aca="false">I82*IF(H82&lt;0,10000/-H82,H82)-(1-I82)*100</f>
        <v>31.1020809895482</v>
      </c>
      <c r="K82" s="3" t="n">
        <v>8.5</v>
      </c>
      <c r="L82" s="3" t="n">
        <v>-114</v>
      </c>
      <c r="M82" s="8" t="n">
        <f aca="false">IF(K82="","",SUMPRODUCT((COLUMN(Win_Probabilities!$F$1:$S$1)-COLUMN(Win_Probabilities!$F$1)&gt;K82)*Win_Probabilities!$F89:$S89))</f>
        <v>0.624295623759753</v>
      </c>
      <c r="N82" s="9" t="n">
        <f aca="false">M82*IF(L82&lt;0,10000/-L82,L82)-(1-M82)*100</f>
        <v>17.1923363899888</v>
      </c>
      <c r="O82" s="3" t="n">
        <v>8.5</v>
      </c>
      <c r="P82" s="3" t="n">
        <v>110</v>
      </c>
      <c r="Q82" s="8" t="n">
        <f aca="false">IF(O82="","",SUMPRODUCT((COLUMN(Win_Probabilities!$F$1:$S$1)-COLUMN(Win_Probabilities!$F$1)&gt;O82)*Win_Probabilities!$F89:$S89))</f>
        <v>0.624295623759753</v>
      </c>
      <c r="R82" s="9" t="n">
        <f aca="false">Q82*IF(P82&lt;0,10000/-P82,P82)-(1-Q82)*100</f>
        <v>31.1020809895482</v>
      </c>
      <c r="S82" s="2" t="str">
        <f aca="false">IF(F82=MAX(F82,J82,N82,R82),"BetMGM",IF(J82=MAX(F82,J82,N82,R82),"DraftKings",IF(N82=MAX(F82,J82,N82,R82),"FanDuel",IF(R82=MAX(F82,J82,N82,R82),"RiversCasino",""))))</f>
        <v>DraftKings</v>
      </c>
      <c r="T82" s="9" t="n">
        <f aca="false">MAX(F82,J82,N82,R82)</f>
        <v>31.1020809895482</v>
      </c>
      <c r="U82" s="2" t="n">
        <f aca="false">MAX(C82,G82,K82,O82)-MIN(C82,G82,K82,O82)</f>
        <v>0</v>
      </c>
    </row>
    <row r="83" customFormat="false" ht="15" hidden="false" customHeight="false" outlineLevel="0" collapsed="false">
      <c r="A83" s="2" t="s">
        <v>146</v>
      </c>
      <c r="B83" s="7" t="n">
        <f aca="false">Win_Probabilities!E90</f>
        <v>5.31979991596699</v>
      </c>
      <c r="C83" s="3" t="n">
        <v>4.5</v>
      </c>
      <c r="D83" s="3" t="n">
        <v>120</v>
      </c>
      <c r="E83" s="8" t="n">
        <f aca="false">IF(C83="","",SUMPRODUCT((COLUMN(Win_Probabilities!$F$1:$S$1)-COLUMN(Win_Probabilities!$F$1)&gt;C83)*Win_Probabilities!$F90:$S90))</f>
        <v>0.700874771614295</v>
      </c>
      <c r="F83" s="9" t="n">
        <f aca="false">E83*IF(D83&lt;0,10000/-D83,D83)-(1-E83)*100</f>
        <v>54.1924497551449</v>
      </c>
      <c r="G83" s="3" t="n">
        <v>4.5</v>
      </c>
      <c r="H83" s="3" t="n">
        <v>154</v>
      </c>
      <c r="I83" s="8" t="n">
        <f aca="false">IF(G83="","",SUMPRODUCT((COLUMN(Win_Probabilities!$F$1:$S$1)-COLUMN(Win_Probabilities!$F$1)&gt;G83)*Win_Probabilities!$F90:$S90))</f>
        <v>0.700874771614295</v>
      </c>
      <c r="J83" s="9" t="n">
        <f aca="false">I83*IF(H83&lt;0,10000/-H83,H83)-(1-I83)*100</f>
        <v>78.022191990031</v>
      </c>
      <c r="K83" s="3" t="n">
        <v>4.5</v>
      </c>
      <c r="L83" s="3" t="n">
        <v>108</v>
      </c>
      <c r="M83" s="8" t="n">
        <f aca="false">IF(K83="","",SUMPRODUCT((COLUMN(Win_Probabilities!$F$1:$S$1)-COLUMN(Win_Probabilities!$F$1)&gt;K83)*Win_Probabilities!$F90:$S90))</f>
        <v>0.700874771614295</v>
      </c>
      <c r="N83" s="9" t="n">
        <f aca="false">M83*IF(L83&lt;0,10000/-L83,L83)-(1-M83)*100</f>
        <v>45.7819524957734</v>
      </c>
      <c r="O83" s="3" t="n">
        <v>4.5</v>
      </c>
      <c r="P83" s="3" t="n">
        <v>108</v>
      </c>
      <c r="Q83" s="8" t="n">
        <f aca="false">IF(O83="","",SUMPRODUCT((COLUMN(Win_Probabilities!$F$1:$S$1)-COLUMN(Win_Probabilities!$F$1)&gt;O83)*Win_Probabilities!$F90:$S90))</f>
        <v>0.700874771614295</v>
      </c>
      <c r="R83" s="9" t="n">
        <f aca="false">Q83*IF(P83&lt;0,10000/-P83,P83)-(1-Q83)*100</f>
        <v>45.7819524957734</v>
      </c>
      <c r="S83" s="2" t="str">
        <f aca="false">IF(F83=MAX(F83,J83,N83,R83),"BetMGM",IF(J83=MAX(F83,J83,N83,R83),"DraftKings",IF(N83=MAX(F83,J83,N83,R83),"FanDuel",IF(R83=MAX(F83,J83,N83,R83),"RiversCasino",""))))</f>
        <v>DraftKings</v>
      </c>
      <c r="T83" s="9" t="n">
        <f aca="false">MAX(F83,J83,N83,R83)</f>
        <v>78.022191990031</v>
      </c>
      <c r="U83" s="2" t="n">
        <f aca="false">MAX(C83,G83,K83,O83)-MIN(C83,G83,K83,O83)</f>
        <v>0</v>
      </c>
    </row>
    <row r="84" customFormat="false" ht="15" hidden="false" customHeight="false" outlineLevel="0" collapsed="false">
      <c r="A84" s="2" t="s">
        <v>147</v>
      </c>
      <c r="B84" s="7" t="n">
        <f aca="false">Win_Probabilities!E91</f>
        <v>7.42826269651413</v>
      </c>
      <c r="C84" s="3" t="n">
        <v>7.5</v>
      </c>
      <c r="D84" s="3" t="n">
        <v>145</v>
      </c>
      <c r="E84" s="8" t="n">
        <f aca="false">IF(C84="","",SUMPRODUCT((COLUMN(Win_Probabilities!$F$1:$S$1)-COLUMN(Win_Probabilities!$F$1)&gt;C84)*Win_Probabilities!$F91:$S91))</f>
        <v>0.492126772998945</v>
      </c>
      <c r="F84" s="9" t="n">
        <f aca="false">E84*IF(D84&lt;0,10000/-D84,D84)-(1-E84)*100</f>
        <v>20.5710593847416</v>
      </c>
      <c r="G84" s="3" t="n">
        <v>7.5</v>
      </c>
      <c r="H84" s="3" t="n">
        <v>125</v>
      </c>
      <c r="I84" s="8" t="n">
        <f aca="false">IF(G84="","",SUMPRODUCT((COLUMN(Win_Probabilities!$F$1:$S$1)-COLUMN(Win_Probabilities!$F$1)&gt;G84)*Win_Probabilities!$F91:$S91))</f>
        <v>0.492126772998945</v>
      </c>
      <c r="J84" s="9" t="n">
        <f aca="false">I84*IF(H84&lt;0,10000/-H84,H84)-(1-I84)*100</f>
        <v>10.7285239247627</v>
      </c>
      <c r="K84" s="3" t="n">
        <v>7.5</v>
      </c>
      <c r="L84" s="3" t="n">
        <v>128</v>
      </c>
      <c r="M84" s="8" t="n">
        <f aca="false">IF(K84="","",SUMPRODUCT((COLUMN(Win_Probabilities!$F$1:$S$1)-COLUMN(Win_Probabilities!$F$1)&gt;K84)*Win_Probabilities!$F91:$S91))</f>
        <v>0.492126772998945</v>
      </c>
      <c r="N84" s="9" t="n">
        <f aca="false">M84*IF(L84&lt;0,10000/-L84,L84)-(1-M84)*100</f>
        <v>12.2049042437595</v>
      </c>
      <c r="O84" s="3" t="n">
        <v>7.5</v>
      </c>
      <c r="P84" s="3" t="n">
        <v>125</v>
      </c>
      <c r="Q84" s="8" t="n">
        <f aca="false">IF(O84="","",SUMPRODUCT((COLUMN(Win_Probabilities!$F$1:$S$1)-COLUMN(Win_Probabilities!$F$1)&gt;O84)*Win_Probabilities!$F91:$S91))</f>
        <v>0.492126772998945</v>
      </c>
      <c r="R84" s="9" t="n">
        <f aca="false">Q84*IF(P84&lt;0,10000/-P84,P84)-(1-Q84)*100</f>
        <v>10.7285239247627</v>
      </c>
      <c r="S84" s="2" t="str">
        <f aca="false">IF(F84=MAX(F84,J84,N84,R84),"BetMGM",IF(J84=MAX(F84,J84,N84,R84),"DraftKings",IF(N84=MAX(F84,J84,N84,R84),"FanDuel",IF(R84=MAX(F84,J84,N84,R84),"RiversCasino",""))))</f>
        <v>BetMGM</v>
      </c>
      <c r="T84" s="9" t="n">
        <f aca="false">MAX(F84,J84,N84,R84)</f>
        <v>20.5710593847416</v>
      </c>
      <c r="U84" s="2" t="n">
        <f aca="false">MAX(C84,G84,K84,O84)-MIN(C84,G84,K84,O84)</f>
        <v>0</v>
      </c>
    </row>
    <row r="85" customFormat="false" ht="15" hidden="false" customHeight="false" outlineLevel="0" collapsed="false">
      <c r="A85" s="2" t="s">
        <v>148</v>
      </c>
      <c r="B85" s="7" t="n">
        <f aca="false">Win_Probabilities!E92</f>
        <v>6.45891165143637</v>
      </c>
      <c r="C85" s="3" t="n">
        <v>5.5</v>
      </c>
      <c r="D85" s="3" t="n">
        <v>-160</v>
      </c>
      <c r="E85" s="8" t="n">
        <f aca="false">IF(C85="","",SUMPRODUCT((COLUMN(Win_Probabilities!$F$1:$S$1)-COLUMN(Win_Probabilities!$F$1)&gt;C85)*Win_Probabilities!$F92:$S92))</f>
        <v>0.741192124167726</v>
      </c>
      <c r="F85" s="9" t="n">
        <f aca="false">E85*IF(D85&lt;0,10000/-D85,D85)-(1-E85)*100</f>
        <v>20.4437201772555</v>
      </c>
      <c r="G85" s="3" t="n">
        <v>5.5</v>
      </c>
      <c r="H85" s="3" t="n">
        <v>-160</v>
      </c>
      <c r="I85" s="8" t="n">
        <f aca="false">IF(G85="","",SUMPRODUCT((COLUMN(Win_Probabilities!$F$1:$S$1)-COLUMN(Win_Probabilities!$F$1)&gt;G85)*Win_Probabilities!$F92:$S92))</f>
        <v>0.741192124167726</v>
      </c>
      <c r="J85" s="9" t="n">
        <f aca="false">I85*IF(H85&lt;0,10000/-H85,H85)-(1-I85)*100</f>
        <v>20.4437201772555</v>
      </c>
      <c r="K85" s="3" t="n">
        <v>6.5</v>
      </c>
      <c r="L85" s="3" t="n">
        <v>112</v>
      </c>
      <c r="M85" s="8" t="n">
        <f aca="false">IF(K85="","",SUMPRODUCT((COLUMN(Win_Probabilities!$F$1:$S$1)-COLUMN(Win_Probabilities!$F$1)&gt;K85)*Win_Probabilities!$F92:$S92))</f>
        <v>0.488092439257747</v>
      </c>
      <c r="N85" s="9" t="n">
        <f aca="false">M85*IF(L85&lt;0,10000/-L85,L85)-(1-M85)*100</f>
        <v>3.47559712264228</v>
      </c>
      <c r="O85" s="3" t="n">
        <v>5.5</v>
      </c>
      <c r="P85" s="3" t="n">
        <v>-167</v>
      </c>
      <c r="Q85" s="8" t="n">
        <f aca="false">IF(O85="","",SUMPRODUCT((COLUMN(Win_Probabilities!$F$1:$S$1)-COLUMN(Win_Probabilities!$F$1)&gt;O85)*Win_Probabilities!$F92:$S92))</f>
        <v>0.741192124167726</v>
      </c>
      <c r="R85" s="9" t="n">
        <f aca="false">Q85*IF(P85&lt;0,10000/-P85,P85)-(1-Q85)*100</f>
        <v>18.5019743429837</v>
      </c>
      <c r="S85" s="2" t="str">
        <f aca="false">IF(F85=MAX(F85,J85,N85,R85),"BetMGM",IF(J85=MAX(F85,J85,N85,R85),"DraftKings",IF(N85=MAX(F85,J85,N85,R85),"FanDuel",IF(R85=MAX(F85,J85,N85,R85),"RiversCasino",""))))</f>
        <v>BetMGM</v>
      </c>
      <c r="T85" s="9" t="n">
        <f aca="false">MAX(F85,J85,N85,R85)</f>
        <v>20.4437201772555</v>
      </c>
      <c r="U85" s="2" t="n">
        <f aca="false">MAX(C85,G85,K85,O85)-MIN(C85,G85,K85,O85)</f>
        <v>1</v>
      </c>
    </row>
    <row r="86" customFormat="false" ht="15" hidden="false" customHeight="false" outlineLevel="0" collapsed="false">
      <c r="A86" s="2" t="s">
        <v>149</v>
      </c>
      <c r="B86" s="7" t="n">
        <f aca="false">Win_Probabilities!E93</f>
        <v>6.56105068833914</v>
      </c>
      <c r="C86" s="3" t="n">
        <v>5.5</v>
      </c>
      <c r="D86" s="3" t="n">
        <v>-140</v>
      </c>
      <c r="E86" s="8" t="n">
        <f aca="false">IF(C86="","",SUMPRODUCT((COLUMN(Win_Probabilities!$F$1:$S$1)-COLUMN(Win_Probabilities!$F$1)&gt;C86)*Win_Probabilities!$F93:$S93))</f>
        <v>0.766483396648389</v>
      </c>
      <c r="F86" s="9" t="n">
        <f aca="false">E86*IF(D86&lt;0,10000/-D86,D86)-(1-E86)*100</f>
        <v>31.3971537111523</v>
      </c>
      <c r="G86" s="3" t="n">
        <v>5.5</v>
      </c>
      <c r="H86" s="3" t="n">
        <v>-130</v>
      </c>
      <c r="I86" s="8" t="n">
        <f aca="false">IF(G86="","",SUMPRODUCT((COLUMN(Win_Probabilities!$F$1:$S$1)-COLUMN(Win_Probabilities!$F$1)&gt;G86)*Win_Probabilities!$F93:$S93))</f>
        <v>0.766483396648389</v>
      </c>
      <c r="J86" s="9" t="n">
        <f aca="false">I86*IF(H86&lt;0,10000/-H86,H86)-(1-I86)*100</f>
        <v>35.6086009454841</v>
      </c>
      <c r="K86" s="3" t="n">
        <v>5.5</v>
      </c>
      <c r="L86" s="3" t="n">
        <v>-144</v>
      </c>
      <c r="M86" s="8" t="n">
        <f aca="false">IF(K86="","",SUMPRODUCT((COLUMN(Win_Probabilities!$F$1:$S$1)-COLUMN(Win_Probabilities!$F$1)&gt;K86)*Win_Probabilities!$F93:$S93))</f>
        <v>0.766483396648389</v>
      </c>
      <c r="N86" s="9" t="n">
        <f aca="false">M86*IF(L86&lt;0,10000/-L86,L86)-(1-M86)*100</f>
        <v>29.8763533209769</v>
      </c>
      <c r="O86" s="3" t="n">
        <v>5.5</v>
      </c>
      <c r="P86" s="3" t="n">
        <v>-130</v>
      </c>
      <c r="Q86" s="8" t="n">
        <f aca="false">IF(O86="","",SUMPRODUCT((COLUMN(Win_Probabilities!$F$1:$S$1)-COLUMN(Win_Probabilities!$F$1)&gt;O86)*Win_Probabilities!$F93:$S93))</f>
        <v>0.766483396648389</v>
      </c>
      <c r="R86" s="9" t="n">
        <f aca="false">Q86*IF(P86&lt;0,10000/-P86,P86)-(1-Q86)*100</f>
        <v>35.6086009454841</v>
      </c>
      <c r="S86" s="2" t="str">
        <f aca="false">IF(F86=MAX(F86,J86,N86,R86),"BetMGM",IF(J86=MAX(F86,J86,N86,R86),"DraftKings",IF(N86=MAX(F86,J86,N86,R86),"FanDuel",IF(R86=MAX(F86,J86,N86,R86),"RiversCasino",""))))</f>
        <v>DraftKings</v>
      </c>
      <c r="T86" s="9" t="n">
        <f aca="false">MAX(F86,J86,N86,R86)</f>
        <v>35.6086009454841</v>
      </c>
      <c r="U86" s="2" t="n">
        <f aca="false">MAX(C86,G86,K86,O86)-MIN(C86,G86,K86,O86)</f>
        <v>0</v>
      </c>
    </row>
    <row r="87" customFormat="false" ht="15" hidden="false" customHeight="false" outlineLevel="0" collapsed="false">
      <c r="A87" s="2" t="s">
        <v>150</v>
      </c>
      <c r="B87" s="7" t="n">
        <f aca="false">Win_Probabilities!E94</f>
        <v>7.2306231563346</v>
      </c>
      <c r="C87" s="3" t="n">
        <v>7.5</v>
      </c>
      <c r="D87" s="3" t="n">
        <v>-120</v>
      </c>
      <c r="E87" s="8" t="n">
        <f aca="false">IF(C87="","",SUMPRODUCT((COLUMN(Win_Probabilities!$F$1:$S$1)-COLUMN(Win_Probabilities!$F$1)&gt;C87)*Win_Probabilities!$F94:$S94))</f>
        <v>0.434580862960885</v>
      </c>
      <c r="F87" s="9" t="n">
        <f aca="false">E87*IF(D87&lt;0,10000/-D87,D87)-(1-E87)*100</f>
        <v>-20.3268417905044</v>
      </c>
      <c r="G87" s="3" t="n">
        <v>7.5</v>
      </c>
      <c r="H87" s="3" t="n">
        <v>-120</v>
      </c>
      <c r="I87" s="8" t="n">
        <f aca="false">IF(G87="","",SUMPRODUCT((COLUMN(Win_Probabilities!$F$1:$S$1)-COLUMN(Win_Probabilities!$F$1)&gt;G87)*Win_Probabilities!$F94:$S94))</f>
        <v>0.434580862960885</v>
      </c>
      <c r="J87" s="9" t="n">
        <f aca="false">I87*IF(H87&lt;0,10000/-H87,H87)-(1-I87)*100</f>
        <v>-20.3268417905044</v>
      </c>
      <c r="K87" s="3" t="n">
        <v>7.5</v>
      </c>
      <c r="L87" s="3" t="n">
        <v>-130</v>
      </c>
      <c r="M87" s="8" t="n">
        <f aca="false">IF(K87="","",SUMPRODUCT((COLUMN(Win_Probabilities!$F$1:$S$1)-COLUMN(Win_Probabilities!$F$1)&gt;K87)*Win_Probabilities!$F94:$S94))</f>
        <v>0.434580862960885</v>
      </c>
      <c r="N87" s="9" t="n">
        <f aca="false">M87*IF(L87&lt;0,10000/-L87,L87)-(1-M87)*100</f>
        <v>-23.1126165530742</v>
      </c>
      <c r="O87" s="3" t="n">
        <v>7.5</v>
      </c>
      <c r="P87" s="3" t="n">
        <v>-115</v>
      </c>
      <c r="Q87" s="8" t="n">
        <f aca="false">IF(O87="","",SUMPRODUCT((COLUMN(Win_Probabilities!$F$1:$S$1)-COLUMN(Win_Probabilities!$F$1)&gt;O87)*Win_Probabilities!$F94:$S94))</f>
        <v>0.434580862960885</v>
      </c>
      <c r="R87" s="9" t="n">
        <f aca="false">Q87*IF(P87&lt;0,10000/-P87,P87)-(1-Q87)*100</f>
        <v>-18.7522734464432</v>
      </c>
      <c r="S87" s="2" t="str">
        <f aca="false">IF(F87=MAX(F87,J87,N87,R87),"BetMGM",IF(J87=MAX(F87,J87,N87,R87),"DraftKings",IF(N87=MAX(F87,J87,N87,R87),"FanDuel",IF(R87=MAX(F87,J87,N87,R87),"RiversCasino",""))))</f>
        <v>RiversCasino</v>
      </c>
      <c r="T87" s="9" t="n">
        <f aca="false">MAX(F87,J87,N87,R87)</f>
        <v>-18.7522734464432</v>
      </c>
      <c r="U87" s="2" t="n">
        <f aca="false">MAX(C87,G87,K87,O87)-MIN(C87,G87,K87,O87)</f>
        <v>0</v>
      </c>
    </row>
    <row r="88" customFormat="false" ht="15" hidden="false" customHeight="false" outlineLevel="0" collapsed="false">
      <c r="A88" s="2" t="s">
        <v>151</v>
      </c>
      <c r="B88" s="7" t="n">
        <f aca="false">Win_Probabilities!E95</f>
        <v>7.13940924065596</v>
      </c>
      <c r="C88" s="3" t="n">
        <v>6.5</v>
      </c>
      <c r="D88" s="3" t="n">
        <v>-185</v>
      </c>
      <c r="E88" s="8" t="n">
        <f aca="false">IF(C88="","",SUMPRODUCT((COLUMN(Win_Probabilities!$F$1:$S$1)-COLUMN(Win_Probabilities!$F$1)&gt;C88)*Win_Probabilities!$F95:$S95))</f>
        <v>0.693579514424501</v>
      </c>
      <c r="F88" s="9" t="n">
        <f aca="false">E88*IF(D88&lt;0,10000/-D88,D88)-(1-E88)*100</f>
        <v>6.84873600593664</v>
      </c>
      <c r="G88" s="3" t="n">
        <v>7.5</v>
      </c>
      <c r="H88" s="3" t="n">
        <v>125</v>
      </c>
      <c r="I88" s="8" t="n">
        <f aca="false">IF(G88="","",SUMPRODUCT((COLUMN(Win_Probabilities!$F$1:$S$1)-COLUMN(Win_Probabilities!$F$1)&gt;G88)*Win_Probabilities!$F95:$S95))</f>
        <v>0.407655709273168</v>
      </c>
      <c r="J88" s="9" t="n">
        <f aca="false">I88*IF(H88&lt;0,10000/-H88,H88)-(1-I88)*100</f>
        <v>-8.27746541353729</v>
      </c>
      <c r="K88" s="3" t="n">
        <v>6.5</v>
      </c>
      <c r="L88" s="3" t="n">
        <v>-154</v>
      </c>
      <c r="M88" s="8" t="n">
        <f aca="false">IF(K88="","",SUMPRODUCT((COLUMN(Win_Probabilities!$F$1:$S$1)-COLUMN(Win_Probabilities!$F$1)&gt;K88)*Win_Probabilities!$F95:$S95))</f>
        <v>0.693579514424501</v>
      </c>
      <c r="N88" s="9" t="n">
        <f aca="false">M88*IF(L88&lt;0,10000/-L88,L88)-(1-M88)*100</f>
        <v>14.3955822492359</v>
      </c>
      <c r="O88" s="3" t="n">
        <v>6.5</v>
      </c>
      <c r="P88" s="3" t="n">
        <v>-177</v>
      </c>
      <c r="Q88" s="8" t="n">
        <f aca="false">IF(O88="","",SUMPRODUCT((COLUMN(Win_Probabilities!$F$1:$S$1)-COLUMN(Win_Probabilities!$F$1)&gt;O88)*Win_Probabilities!$F95:$S95))</f>
        <v>0.693579514424501</v>
      </c>
      <c r="R88" s="9" t="n">
        <f aca="false">Q88*IF(P88&lt;0,10000/-P88,P88)-(1-Q88)*100</f>
        <v>8.54323474326936</v>
      </c>
      <c r="S88" s="2" t="str">
        <f aca="false">IF(F88=MAX(F88,J88,N88,R88),"BetMGM",IF(J88=MAX(F88,J88,N88,R88),"DraftKings",IF(N88=MAX(F88,J88,N88,R88),"FanDuel",IF(R88=MAX(F88,J88,N88,R88),"RiversCasino",""))))</f>
        <v>FanDuel</v>
      </c>
      <c r="T88" s="9" t="n">
        <f aca="false">MAX(F88,J88,N88,R88)</f>
        <v>14.3955822492359</v>
      </c>
      <c r="U88" s="2" t="n">
        <f aca="false">MAX(C88,G88,K88,O88)-MIN(C88,G88,K88,O88)</f>
        <v>1</v>
      </c>
    </row>
    <row r="89" customFormat="false" ht="15" hidden="false" customHeight="false" outlineLevel="0" collapsed="false">
      <c r="A89" s="2" t="s">
        <v>152</v>
      </c>
      <c r="B89" s="7" t="n">
        <f aca="false">Win_Probabilities!E96</f>
        <v>8.01100644219977</v>
      </c>
      <c r="C89" s="3" t="n">
        <v>7.5</v>
      </c>
      <c r="D89" s="3" t="n">
        <v>105</v>
      </c>
      <c r="E89" s="8" t="n">
        <f aca="false">IF(C89="","",SUMPRODUCT((COLUMN(Win_Probabilities!$F$1:$S$1)-COLUMN(Win_Probabilities!$F$1)&gt;C89)*Win_Probabilities!$F96:$S96))</f>
        <v>0.642569342009122</v>
      </c>
      <c r="F89" s="9" t="n">
        <f aca="false">E89*IF(D89&lt;0,10000/-D89,D89)-(1-E89)*100</f>
        <v>31.7267151118701</v>
      </c>
      <c r="G89" s="3" t="n">
        <v>7.5</v>
      </c>
      <c r="H89" s="3" t="n">
        <v>105</v>
      </c>
      <c r="I89" s="8" t="n">
        <f aca="false">IF(G89="","",SUMPRODUCT((COLUMN(Win_Probabilities!$F$1:$S$1)-COLUMN(Win_Probabilities!$F$1)&gt;G89)*Win_Probabilities!$F96:$S96))</f>
        <v>0.642569342009122</v>
      </c>
      <c r="J89" s="9" t="n">
        <f aca="false">I89*IF(H89&lt;0,10000/-H89,H89)-(1-I89)*100</f>
        <v>31.7267151118701</v>
      </c>
      <c r="K89" s="3" t="n">
        <v>7.5</v>
      </c>
      <c r="L89" s="3" t="n">
        <v>-100</v>
      </c>
      <c r="M89" s="8" t="n">
        <f aca="false">IF(K89="","",SUMPRODUCT((COLUMN(Win_Probabilities!$F$1:$S$1)-COLUMN(Win_Probabilities!$F$1)&gt;K89)*Win_Probabilities!$F96:$S96))</f>
        <v>0.642569342009122</v>
      </c>
      <c r="N89" s="9" t="n">
        <f aca="false">M89*IF(L89&lt;0,10000/-L89,L89)-(1-M89)*100</f>
        <v>28.5138684018245</v>
      </c>
      <c r="O89" s="3" t="n">
        <v>7.5</v>
      </c>
      <c r="P89" s="3" t="n">
        <v>-104</v>
      </c>
      <c r="Q89" s="8" t="n">
        <f aca="false">IF(O89="","",SUMPRODUCT((COLUMN(Win_Probabilities!$F$1:$S$1)-COLUMN(Win_Probabilities!$F$1)&gt;O89)*Win_Probabilities!$F96:$S96))</f>
        <v>0.642569342009122</v>
      </c>
      <c r="R89" s="9" t="n">
        <f aca="false">Q89*IF(P89&lt;0,10000/-P89,P89)-(1-Q89)*100</f>
        <v>26.0424478556356</v>
      </c>
      <c r="S89" s="2" t="str">
        <f aca="false">IF(F89=MAX(F89,J89,N89,R89),"BetMGM",IF(J89=MAX(F89,J89,N89,R89),"DraftKings",IF(N89=MAX(F89,J89,N89,R89),"FanDuel",IF(R89=MAX(F89,J89,N89,R89),"RiversCasino",""))))</f>
        <v>BetMGM</v>
      </c>
      <c r="T89" s="9" t="n">
        <f aca="false">MAX(F89,J89,N89,R89)</f>
        <v>31.7267151118701</v>
      </c>
      <c r="U89" s="2" t="n">
        <f aca="false">MAX(C89,G89,K89,O89)-MIN(C89,G89,K89,O89)</f>
        <v>0</v>
      </c>
    </row>
    <row r="90" customFormat="false" ht="15" hidden="false" customHeight="false" outlineLevel="0" collapsed="false">
      <c r="A90" s="2" t="s">
        <v>153</v>
      </c>
      <c r="B90" s="7" t="n">
        <f aca="false">Win_Probabilities!E97</f>
        <v>4.45786253364784</v>
      </c>
      <c r="C90" s="3" t="n">
        <v>4.5</v>
      </c>
      <c r="D90" s="3" t="n">
        <v>-140</v>
      </c>
      <c r="E90" s="8" t="n">
        <f aca="false">IF(C90="","",SUMPRODUCT((COLUMN(Win_Probabilities!$F$1:$S$1)-COLUMN(Win_Probabilities!$F$1)&gt;C90)*Win_Probabilities!$F97:$S97))</f>
        <v>0.479668676246972</v>
      </c>
      <c r="F90" s="9" t="n">
        <f aca="false">E90*IF(D90&lt;0,10000/-D90,D90)-(1-E90)*100</f>
        <v>-17.7710840719476</v>
      </c>
      <c r="G90" s="3" t="n">
        <v>5.5</v>
      </c>
      <c r="H90" s="3" t="n">
        <v>175</v>
      </c>
      <c r="I90" s="8" t="n">
        <f aca="false">IF(G90="","",SUMPRODUCT((COLUMN(Win_Probabilities!$F$1:$S$1)-COLUMN(Win_Probabilities!$F$1)&gt;G90)*Win_Probabilities!$F97:$S97))</f>
        <v>0.235508815570245</v>
      </c>
      <c r="J90" s="9" t="n">
        <f aca="false">I90*IF(H90&lt;0,10000/-H90,H90)-(1-I90)*100</f>
        <v>-35.2350757181827</v>
      </c>
      <c r="K90" s="3" t="n">
        <v>5.5</v>
      </c>
      <c r="L90" s="3" t="n">
        <v>124</v>
      </c>
      <c r="M90" s="8" t="n">
        <f aca="false">IF(K90="","",SUMPRODUCT((COLUMN(Win_Probabilities!$F$1:$S$1)-COLUMN(Win_Probabilities!$F$1)&gt;K90)*Win_Probabilities!$F97:$S97))</f>
        <v>0.235508815570245</v>
      </c>
      <c r="N90" s="9" t="n">
        <f aca="false">M90*IF(L90&lt;0,10000/-L90,L90)-(1-M90)*100</f>
        <v>-47.2460253122651</v>
      </c>
      <c r="O90" s="3" t="n">
        <v>5.5</v>
      </c>
      <c r="P90" s="3" t="n">
        <v>115</v>
      </c>
      <c r="Q90" s="8" t="n">
        <f aca="false">IF(O90="","",SUMPRODUCT((COLUMN(Win_Probabilities!$F$1:$S$1)-COLUMN(Win_Probabilities!$F$1)&gt;O90)*Win_Probabilities!$F97:$S97))</f>
        <v>0.235508815570245</v>
      </c>
      <c r="R90" s="9" t="n">
        <f aca="false">Q90*IF(P90&lt;0,10000/-P90,P90)-(1-Q90)*100</f>
        <v>-49.3656046523973</v>
      </c>
      <c r="S90" s="2" t="str">
        <f aca="false">IF(F90=MAX(F90,J90,N90,R90),"BetMGM",IF(J90=MAX(F90,J90,N90,R90),"DraftKings",IF(N90=MAX(F90,J90,N90,R90),"FanDuel",IF(R90=MAX(F90,J90,N90,R90),"RiversCasino",""))))</f>
        <v>BetMGM</v>
      </c>
      <c r="T90" s="9" t="n">
        <f aca="false">MAX(F90,J90,N90,R90)</f>
        <v>-17.7710840719476</v>
      </c>
      <c r="U90" s="2" t="n">
        <f aca="false">MAX(C90,G90,K90,O90)-MIN(C90,G90,K90,O90)</f>
        <v>1</v>
      </c>
    </row>
    <row r="91" customFormat="false" ht="15" hidden="false" customHeight="false" outlineLevel="0" collapsed="false">
      <c r="A91" s="2" t="s">
        <v>154</v>
      </c>
      <c r="B91" s="7" t="n">
        <f aca="false">Win_Probabilities!E98</f>
        <v>7.25808439995502</v>
      </c>
      <c r="C91" s="3" t="n">
        <v>6.5</v>
      </c>
      <c r="D91" s="3" t="n">
        <v>-155</v>
      </c>
      <c r="E91" s="8" t="n">
        <f aca="false">IF(C91="","",SUMPRODUCT((COLUMN(Win_Probabilities!$F$1:$S$1)-COLUMN(Win_Probabilities!$F$1)&gt;C91)*Win_Probabilities!$F98:$S98))</f>
        <v>0.707147734357431</v>
      </c>
      <c r="F91" s="9" t="n">
        <f aca="false">E91*IF(D91&lt;0,10000/-D91,D91)-(1-E91)*100</f>
        <v>16.337207910416</v>
      </c>
      <c r="G91" s="3" t="n">
        <v>6.5</v>
      </c>
      <c r="H91" s="3" t="n">
        <v>-150</v>
      </c>
      <c r="I91" s="8" t="n">
        <f aca="false">IF(G91="","",SUMPRODUCT((COLUMN(Win_Probabilities!$F$1:$S$1)-COLUMN(Win_Probabilities!$F$1)&gt;G91)*Win_Probabilities!$F98:$S98))</f>
        <v>0.707147734357431</v>
      </c>
      <c r="J91" s="9" t="n">
        <f aca="false">I91*IF(H91&lt;0,10000/-H91,H91)-(1-I91)*100</f>
        <v>17.8579557262384</v>
      </c>
      <c r="K91" s="3" t="n">
        <v>6.5</v>
      </c>
      <c r="L91" s="3" t="n">
        <v>-164</v>
      </c>
      <c r="M91" s="8" t="n">
        <f aca="false">IF(K91="","",SUMPRODUCT((COLUMN(Win_Probabilities!$F$1:$S$1)-COLUMN(Win_Probabilities!$F$1)&gt;K91)*Win_Probabilities!$F98:$S98))</f>
        <v>0.707147734357431</v>
      </c>
      <c r="N91" s="9" t="n">
        <f aca="false">M91*IF(L91&lt;0,10000/-L91,L91)-(1-M91)*100</f>
        <v>13.8335377258303</v>
      </c>
      <c r="O91" s="3" t="n">
        <v>6.5</v>
      </c>
      <c r="P91" s="3" t="n">
        <v>-159</v>
      </c>
      <c r="Q91" s="8" t="n">
        <f aca="false">IF(O91="","",SUMPRODUCT((COLUMN(Win_Probabilities!$F$1:$S$1)-COLUMN(Win_Probabilities!$F$1)&gt;O91)*Win_Probabilities!$F98:$S98))</f>
        <v>0.707147734357431</v>
      </c>
      <c r="R91" s="9" t="n">
        <f aca="false">Q91*IF(P91&lt;0,10000/-P91,P91)-(1-Q91)*100</f>
        <v>15.1894737097953</v>
      </c>
      <c r="S91" s="2" t="str">
        <f aca="false">IF(F91=MAX(F91,J91,N91,R91),"BetMGM",IF(J91=MAX(F91,J91,N91,R91),"DraftKings",IF(N91=MAX(F91,J91,N91,R91),"FanDuel",IF(R91=MAX(F91,J91,N91,R91),"RiversCasino",""))))</f>
        <v>DraftKings</v>
      </c>
      <c r="T91" s="9" t="n">
        <f aca="false">MAX(F91,J91,N91,R91)</f>
        <v>17.8579557262384</v>
      </c>
      <c r="U91" s="2" t="n">
        <f aca="false">MAX(C91,G91,K91,O91)-MIN(C91,G91,K91,O91)</f>
        <v>0</v>
      </c>
    </row>
    <row r="92" customFormat="false" ht="15" hidden="false" customHeight="false" outlineLevel="0" collapsed="false">
      <c r="A92" s="2" t="s">
        <v>155</v>
      </c>
      <c r="B92" s="7" t="n">
        <f aca="false">Win_Probabilities!E99</f>
        <v>7.68547562691023</v>
      </c>
      <c r="C92" s="3" t="n">
        <v>7.5</v>
      </c>
      <c r="D92" s="3" t="n">
        <v>-115</v>
      </c>
      <c r="E92" s="8" t="n">
        <f aca="false">IF(C92="","",SUMPRODUCT((COLUMN(Win_Probabilities!$F$1:$S$1)-COLUMN(Win_Probabilities!$F$1)&gt;C92)*Win_Probabilities!$F99:$S99))</f>
        <v>0.56493027899483</v>
      </c>
      <c r="F92" s="9" t="n">
        <f aca="false">E92*IF(D92&lt;0,10000/-D92,D92)-(1-E92)*100</f>
        <v>5.61739998598993</v>
      </c>
      <c r="G92" s="3" t="n">
        <v>7.5</v>
      </c>
      <c r="H92" s="3" t="n">
        <v>100</v>
      </c>
      <c r="I92" s="8" t="n">
        <f aca="false">IF(G92="","",SUMPRODUCT((COLUMN(Win_Probabilities!$F$1:$S$1)-COLUMN(Win_Probabilities!$F$1)&gt;G92)*Win_Probabilities!$F99:$S99))</f>
        <v>0.56493027899483</v>
      </c>
      <c r="J92" s="9" t="n">
        <f aca="false">I92*IF(H92&lt;0,10000/-H92,H92)-(1-I92)*100</f>
        <v>12.986055798966</v>
      </c>
      <c r="K92" s="3" t="n">
        <v>7.5</v>
      </c>
      <c r="L92" s="3" t="n">
        <v>-115</v>
      </c>
      <c r="M92" s="8" t="n">
        <f aca="false">IF(K92="","",SUMPRODUCT((COLUMN(Win_Probabilities!$F$1:$S$1)-COLUMN(Win_Probabilities!$F$1)&gt;K92)*Win_Probabilities!$F99:$S99))</f>
        <v>0.56493027899483</v>
      </c>
      <c r="N92" s="9" t="n">
        <f aca="false">M92*IF(L92&lt;0,10000/-L92,L92)-(1-M92)*100</f>
        <v>5.61739998598993</v>
      </c>
      <c r="O92" s="3" t="n">
        <v>7.5</v>
      </c>
      <c r="P92" s="3" t="n">
        <v>105</v>
      </c>
      <c r="Q92" s="8" t="n">
        <f aca="false">IF(O92="","",SUMPRODUCT((COLUMN(Win_Probabilities!$F$1:$S$1)-COLUMN(Win_Probabilities!$F$1)&gt;O92)*Win_Probabilities!$F99:$S99))</f>
        <v>0.56493027899483</v>
      </c>
      <c r="R92" s="9" t="n">
        <f aca="false">Q92*IF(P92&lt;0,10000/-P92,P92)-(1-Q92)*100</f>
        <v>15.8107071939401</v>
      </c>
      <c r="S92" s="2" t="str">
        <f aca="false">IF(F92=MAX(F92,J92,N92,R92),"BetMGM",IF(J92=MAX(F92,J92,N92,R92),"DraftKings",IF(N92=MAX(F92,J92,N92,R92),"FanDuel",IF(R92=MAX(F92,J92,N92,R92),"RiversCasino",""))))</f>
        <v>RiversCasino</v>
      </c>
      <c r="T92" s="9" t="n">
        <f aca="false">MAX(F92,J92,N92,R92)</f>
        <v>15.8107071939401</v>
      </c>
      <c r="U92" s="2" t="n">
        <f aca="false">MAX(C92,G92,K92,O92)-MIN(C92,G92,K92,O92)</f>
        <v>0</v>
      </c>
    </row>
    <row r="93" customFormat="false" ht="15" hidden="false" customHeight="false" outlineLevel="0" collapsed="false">
      <c r="A93" s="2" t="s">
        <v>156</v>
      </c>
      <c r="B93" s="7" t="n">
        <f aca="false">Win_Probabilities!E100</f>
        <v>6.43107176508425</v>
      </c>
      <c r="C93" s="3" t="n">
        <v>5.5</v>
      </c>
      <c r="D93" s="3" t="n">
        <v>-150</v>
      </c>
      <c r="E93" s="8" t="n">
        <f aca="false">IF(C93="","",SUMPRODUCT((COLUMN(Win_Probabilities!$F$1:$S$1)-COLUMN(Win_Probabilities!$F$1)&gt;C93)*Win_Probabilities!$F100:$S100))</f>
        <v>0.738834809525751</v>
      </c>
      <c r="F93" s="9" t="n">
        <f aca="false">E93*IF(D93&lt;0,10000/-D93,D93)-(1-E93)*100</f>
        <v>23.1391349209585</v>
      </c>
      <c r="G93" s="3" t="n">
        <v>5.5</v>
      </c>
      <c r="H93" s="3" t="n">
        <v>-160</v>
      </c>
      <c r="I93" s="8" t="n">
        <f aca="false">IF(G93="","",SUMPRODUCT((COLUMN(Win_Probabilities!$F$1:$S$1)-COLUMN(Win_Probabilities!$F$1)&gt;G93)*Win_Probabilities!$F100:$S100))</f>
        <v>0.738834809525751</v>
      </c>
      <c r="J93" s="9" t="n">
        <f aca="false">I93*IF(H93&lt;0,10000/-H93,H93)-(1-I93)*100</f>
        <v>20.0606565479346</v>
      </c>
      <c r="K93" s="3" t="n">
        <v>5.5</v>
      </c>
      <c r="L93" s="3" t="n">
        <v>-150</v>
      </c>
      <c r="M93" s="8" t="n">
        <f aca="false">IF(K93="","",SUMPRODUCT((COLUMN(Win_Probabilities!$F$1:$S$1)-COLUMN(Win_Probabilities!$F$1)&gt;K93)*Win_Probabilities!$F100:$S100))</f>
        <v>0.738834809525751</v>
      </c>
      <c r="N93" s="9" t="n">
        <f aca="false">M93*IF(L93&lt;0,10000/-L93,L93)-(1-M93)*100</f>
        <v>23.1391349209585</v>
      </c>
      <c r="O93" s="3" t="n">
        <v>5.5</v>
      </c>
      <c r="P93" s="3" t="n">
        <v>-159</v>
      </c>
      <c r="Q93" s="8" t="n">
        <f aca="false">IF(O93="","",SUMPRODUCT((COLUMN(Win_Probabilities!$F$1:$S$1)-COLUMN(Win_Probabilities!$F$1)&gt;O93)*Win_Probabilities!$F100:$S100))</f>
        <v>0.738834809525751</v>
      </c>
      <c r="R93" s="9" t="n">
        <f aca="false">Q93*IF(P93&lt;0,10000/-P93,P93)-(1-Q93)*100</f>
        <v>20.3510790359557</v>
      </c>
      <c r="S93" s="2" t="str">
        <f aca="false">IF(F93=MAX(F93,J93,N93,R93),"BetMGM",IF(J93=MAX(F93,J93,N93,R93),"DraftKings",IF(N93=MAX(F93,J93,N93,R93),"FanDuel",IF(R93=MAX(F93,J93,N93,R93),"RiversCasino",""))))</f>
        <v>BetMGM</v>
      </c>
      <c r="T93" s="9" t="n">
        <f aca="false">MAX(F93,J93,N93,R93)</f>
        <v>23.1391349209585</v>
      </c>
      <c r="U93" s="2" t="n">
        <f aca="false">MAX(C93,G93,K93,O93)-MIN(C93,G93,K93,O93)</f>
        <v>0</v>
      </c>
    </row>
    <row r="94" customFormat="false" ht="15" hidden="false" customHeight="false" outlineLevel="0" collapsed="false">
      <c r="A94" s="2" t="s">
        <v>157</v>
      </c>
      <c r="B94" s="7" t="n">
        <f aca="false">Win_Probabilities!E101</f>
        <v>5.68408754548397</v>
      </c>
      <c r="C94" s="3" t="n">
        <v>5.5</v>
      </c>
      <c r="D94" s="3" t="n">
        <v>-110</v>
      </c>
      <c r="E94" s="8" t="n">
        <f aca="false">IF(C94="","",SUMPRODUCT((COLUMN(Win_Probabilities!$F$1:$S$1)-COLUMN(Win_Probabilities!$F$1)&gt;C94)*Win_Probabilities!$F101:$S101))</f>
        <v>0.547923588171437</v>
      </c>
      <c r="F94" s="9" t="n">
        <f aca="false">E94*IF(D94&lt;0,10000/-D94,D94)-(1-E94)*100</f>
        <v>4.60359410545618</v>
      </c>
      <c r="G94" s="3" t="n">
        <v>5.5</v>
      </c>
      <c r="H94" s="3" t="n">
        <v>-110</v>
      </c>
      <c r="I94" s="8" t="n">
        <f aca="false">IF(G94="","",SUMPRODUCT((COLUMN(Win_Probabilities!$F$1:$S$1)-COLUMN(Win_Probabilities!$F$1)&gt;G94)*Win_Probabilities!$F101:$S101))</f>
        <v>0.547923588171437</v>
      </c>
      <c r="J94" s="9" t="n">
        <f aca="false">I94*IF(H94&lt;0,10000/-H94,H94)-(1-I94)*100</f>
        <v>4.60359410545618</v>
      </c>
      <c r="K94" s="3" t="n">
        <v>5.5</v>
      </c>
      <c r="L94" s="3" t="n">
        <v>-120</v>
      </c>
      <c r="M94" s="8" t="n">
        <f aca="false">IF(K94="","",SUMPRODUCT((COLUMN(Win_Probabilities!$F$1:$S$1)-COLUMN(Win_Probabilities!$F$1)&gt;K94)*Win_Probabilities!$F101:$S101))</f>
        <v>0.547923588171437</v>
      </c>
      <c r="N94" s="9" t="n">
        <f aca="false">M94*IF(L94&lt;0,10000/-L94,L94)-(1-M94)*100</f>
        <v>0.452657831430145</v>
      </c>
      <c r="O94" s="3" t="n">
        <v>5.5</v>
      </c>
      <c r="P94" s="3" t="n">
        <v>108</v>
      </c>
      <c r="Q94" s="8" t="n">
        <f aca="false">IF(O94="","",SUMPRODUCT((COLUMN(Win_Probabilities!$F$1:$S$1)-COLUMN(Win_Probabilities!$F$1)&gt;O94)*Win_Probabilities!$F101:$S101))</f>
        <v>0.547923588171437</v>
      </c>
      <c r="R94" s="9" t="n">
        <f aca="false">Q94*IF(P94&lt;0,10000/-P94,P94)-(1-Q94)*100</f>
        <v>13.9681063396589</v>
      </c>
      <c r="S94" s="2" t="str">
        <f aca="false">IF(F94=MAX(F94,J94,N94,R94),"BetMGM",IF(J94=MAX(F94,J94,N94,R94),"DraftKings",IF(N94=MAX(F94,J94,N94,R94),"FanDuel",IF(R94=MAX(F94,J94,N94,R94),"RiversCasino",""))))</f>
        <v>RiversCasino</v>
      </c>
      <c r="T94" s="9" t="n">
        <f aca="false">MAX(F94,J94,N94,R94)</f>
        <v>13.9681063396589</v>
      </c>
      <c r="U94" s="2" t="n">
        <f aca="false">MAX(C94,G94,K94,O94)-MIN(C94,G94,K94,O94)</f>
        <v>0</v>
      </c>
    </row>
    <row r="95" customFormat="false" ht="15" hidden="false" customHeight="false" outlineLevel="0" collapsed="false">
      <c r="A95" s="2" t="s">
        <v>158</v>
      </c>
      <c r="B95" s="7" t="n">
        <f aca="false">Win_Probabilities!E102</f>
        <v>7.54591111237292</v>
      </c>
      <c r="C95" s="3" t="n">
        <v>7.5</v>
      </c>
      <c r="D95" s="3" t="n">
        <v>-130</v>
      </c>
      <c r="E95" s="8" t="n">
        <f aca="false">IF(C95="","",SUMPRODUCT((COLUMN(Win_Probabilities!$F$1:$S$1)-COLUMN(Win_Probabilities!$F$1)&gt;C95)*Win_Probabilities!$F102:$S102))</f>
        <v>0.518794785315527</v>
      </c>
      <c r="F95" s="9" t="n">
        <f aca="false">E95*IF(D95&lt;0,10000/-D95,D95)-(1-E95)*100</f>
        <v>-8.21323029032979</v>
      </c>
      <c r="G95" s="3" t="n">
        <v>7.5</v>
      </c>
      <c r="H95" s="3" t="n">
        <v>-130</v>
      </c>
      <c r="I95" s="8" t="n">
        <f aca="false">IF(G95="","",SUMPRODUCT((COLUMN(Win_Probabilities!$F$1:$S$1)-COLUMN(Win_Probabilities!$F$1)&gt;G95)*Win_Probabilities!$F102:$S102))</f>
        <v>0.518794785315527</v>
      </c>
      <c r="J95" s="9" t="n">
        <f aca="false">I95*IF(H95&lt;0,10000/-H95,H95)-(1-I95)*100</f>
        <v>-8.21323029032979</v>
      </c>
      <c r="K95" s="3" t="n">
        <v>7.5</v>
      </c>
      <c r="L95" s="3" t="n">
        <v>-140</v>
      </c>
      <c r="M95" s="8" t="n">
        <f aca="false">IF(K95="","",SUMPRODUCT((COLUMN(Win_Probabilities!$F$1:$S$1)-COLUMN(Win_Probabilities!$F$1)&gt;K95)*Win_Probabilities!$F102:$S102))</f>
        <v>0.518794785315527</v>
      </c>
      <c r="N95" s="9" t="n">
        <f aca="false">M95*IF(L95&lt;0,10000/-L95,L95)-(1-M95)*100</f>
        <v>-11.0637510887668</v>
      </c>
      <c r="O95" s="3" t="n">
        <v>7.5</v>
      </c>
      <c r="P95" s="3" t="n">
        <v>-130</v>
      </c>
      <c r="Q95" s="8" t="n">
        <f aca="false">IF(O95="","",SUMPRODUCT((COLUMN(Win_Probabilities!$F$1:$S$1)-COLUMN(Win_Probabilities!$F$1)&gt;O95)*Win_Probabilities!$F102:$S102))</f>
        <v>0.518794785315527</v>
      </c>
      <c r="R95" s="9" t="n">
        <f aca="false">Q95*IF(P95&lt;0,10000/-P95,P95)-(1-Q95)*100</f>
        <v>-8.21323029032979</v>
      </c>
      <c r="S95" s="2" t="str">
        <f aca="false">IF(F95=MAX(F95,J95,N95,R95),"BetMGM",IF(J95=MAX(F95,J95,N95,R95),"DraftKings",IF(N95=MAX(F95,J95,N95,R95),"FanDuel",IF(R95=MAX(F95,J95,N95,R95),"RiversCasino",""))))</f>
        <v>BetMGM</v>
      </c>
      <c r="T95" s="9" t="n">
        <f aca="false">MAX(F95,J95,N95,R95)</f>
        <v>-8.21323029032979</v>
      </c>
      <c r="U95" s="2" t="n">
        <f aca="false">MAX(C95,G95,K95,O95)-MIN(C95,G95,K95,O95)</f>
        <v>0</v>
      </c>
    </row>
    <row r="96" customFormat="false" ht="15" hidden="false" customHeight="false" outlineLevel="0" collapsed="false">
      <c r="A96" s="2" t="s">
        <v>159</v>
      </c>
      <c r="B96" s="7" t="n">
        <f aca="false">Win_Probabilities!E103</f>
        <v>7.64444093276646</v>
      </c>
      <c r="C96" s="3" t="n">
        <v>7.5</v>
      </c>
      <c r="D96" s="3" t="n">
        <v>100</v>
      </c>
      <c r="E96" s="8" t="n">
        <f aca="false">IF(C96="","",SUMPRODUCT((COLUMN(Win_Probabilities!$F$1:$S$1)-COLUMN(Win_Probabilities!$F$1)&gt;C96)*Win_Probabilities!$F103:$S103))</f>
        <v>0.552578245560156</v>
      </c>
      <c r="F96" s="9" t="n">
        <f aca="false">E96*IF(D96&lt;0,10000/-D96,D96)-(1-E96)*100</f>
        <v>10.5156491120312</v>
      </c>
      <c r="G96" s="3" t="n">
        <v>7.5</v>
      </c>
      <c r="H96" s="3" t="n">
        <v>105</v>
      </c>
      <c r="I96" s="8" t="n">
        <f aca="false">IF(G96="","",SUMPRODUCT((COLUMN(Win_Probabilities!$F$1:$S$1)-COLUMN(Win_Probabilities!$F$1)&gt;G96)*Win_Probabilities!$F103:$S103))</f>
        <v>0.552578245560156</v>
      </c>
      <c r="J96" s="9" t="n">
        <f aca="false">I96*IF(H96&lt;0,10000/-H96,H96)-(1-I96)*100</f>
        <v>13.278540339832</v>
      </c>
      <c r="K96" s="3" t="n">
        <v>7.5</v>
      </c>
      <c r="L96" s="3" t="n">
        <v>-115</v>
      </c>
      <c r="M96" s="8" t="n">
        <f aca="false">IF(K96="","",SUMPRODUCT((COLUMN(Win_Probabilities!$F$1:$S$1)-COLUMN(Win_Probabilities!$F$1)&gt;K96)*Win_Probabilities!$F103:$S103))</f>
        <v>0.552578245560156</v>
      </c>
      <c r="N96" s="9" t="n">
        <f aca="false">M96*IF(L96&lt;0,10000/-L96,L96)-(1-M96)*100</f>
        <v>3.30810677863789</v>
      </c>
      <c r="O96" s="3" t="n">
        <v>7.5</v>
      </c>
      <c r="P96" s="3" t="n">
        <v>105</v>
      </c>
      <c r="Q96" s="8" t="n">
        <f aca="false">IF(O96="","",SUMPRODUCT((COLUMN(Win_Probabilities!$F$1:$S$1)-COLUMN(Win_Probabilities!$F$1)&gt;O96)*Win_Probabilities!$F103:$S103))</f>
        <v>0.552578245560156</v>
      </c>
      <c r="R96" s="9" t="n">
        <f aca="false">Q96*IF(P96&lt;0,10000/-P96,P96)-(1-Q96)*100</f>
        <v>13.278540339832</v>
      </c>
      <c r="S96" s="2" t="str">
        <f aca="false">IF(F96=MAX(F96,J96,N96,R96),"BetMGM",IF(J96=MAX(F96,J96,N96,R96),"DraftKings",IF(N96=MAX(F96,J96,N96,R96),"FanDuel",IF(R96=MAX(F96,J96,N96,R96),"RiversCasino",""))))</f>
        <v>DraftKings</v>
      </c>
      <c r="T96" s="9" t="n">
        <f aca="false">MAX(F96,J96,N96,R96)</f>
        <v>13.278540339832</v>
      </c>
      <c r="U96" s="2" t="n">
        <f aca="false">MAX(C96,G96,K96,O96)-MIN(C96,G96,K96,O96)</f>
        <v>0</v>
      </c>
    </row>
    <row r="97" customFormat="false" ht="15" hidden="false" customHeight="false" outlineLevel="0" collapsed="false">
      <c r="A97" s="2" t="s">
        <v>160</v>
      </c>
      <c r="B97" s="7" t="n">
        <f aca="false">Win_Probabilities!E104</f>
        <v>5.56277636573744</v>
      </c>
      <c r="C97" s="3" t="n">
        <v>4.5</v>
      </c>
      <c r="D97" s="3" t="n">
        <v>-165</v>
      </c>
      <c r="E97" s="8" t="n">
        <f aca="false">IF(C97="","",SUMPRODUCT((COLUMN(Win_Probabilities!$F$1:$S$1)-COLUMN(Win_Probabilities!$F$1)&gt;C97)*Win_Probabilities!$F104:$S104))</f>
        <v>0.759088936545536</v>
      </c>
      <c r="F97" s="9" t="n">
        <f aca="false">E97*IF(D97&lt;0,10000/-D97,D97)-(1-E97)*100</f>
        <v>21.9142837482225</v>
      </c>
      <c r="G97" s="3" t="n">
        <v>4.5</v>
      </c>
      <c r="H97" s="3" t="n">
        <v>-166</v>
      </c>
      <c r="I97" s="8" t="n">
        <f aca="false">IF(G97="","",SUMPRODUCT((COLUMN(Win_Probabilities!$F$1:$S$1)-COLUMN(Win_Probabilities!$F$1)&gt;G97)*Win_Probabilities!$F104:$S104))</f>
        <v>0.759088936545536</v>
      </c>
      <c r="J97" s="9" t="n">
        <f aca="false">I97*IF(H97&lt;0,10000/-H97,H97)-(1-I97)*100</f>
        <v>21.6371428440438</v>
      </c>
      <c r="K97" s="3" t="n">
        <v>4.5</v>
      </c>
      <c r="L97" s="3" t="n">
        <v>-162</v>
      </c>
      <c r="M97" s="8" t="n">
        <f aca="false">IF(K97="","",SUMPRODUCT((COLUMN(Win_Probabilities!$F$1:$S$1)-COLUMN(Win_Probabilities!$F$1)&gt;K97)*Win_Probabilities!$F104:$S104))</f>
        <v>0.759088936545536</v>
      </c>
      <c r="N97" s="9" t="n">
        <f aca="false">M97*IF(L97&lt;0,10000/-L97,L97)-(1-M97)*100</f>
        <v>22.7662354166238</v>
      </c>
      <c r="O97" s="3" t="n">
        <v>4.5</v>
      </c>
      <c r="P97" s="3" t="n">
        <v>-159</v>
      </c>
      <c r="Q97" s="8" t="n">
        <f aca="false">IF(O97="","",SUMPRODUCT((COLUMN(Win_Probabilities!$F$1:$S$1)-COLUMN(Win_Probabilities!$F$1)&gt;O97)*Win_Probabilities!$F104:$S104))</f>
        <v>0.759088936545536</v>
      </c>
      <c r="R97" s="9" t="n">
        <f aca="false">Q97*IF(P97&lt;0,10000/-P97,P97)-(1-Q97)*100</f>
        <v>23.6503362045874</v>
      </c>
      <c r="S97" s="2" t="str">
        <f aca="false">IF(F97=MAX(F97,J97,N97,R97),"BetMGM",IF(J97=MAX(F97,J97,N97,R97),"DraftKings",IF(N97=MAX(F97,J97,N97,R97),"FanDuel",IF(R97=MAX(F97,J97,N97,R97),"RiversCasino",""))))</f>
        <v>RiversCasino</v>
      </c>
      <c r="T97" s="9" t="n">
        <f aca="false">MAX(F97,J97,N97,R97)</f>
        <v>23.6503362045874</v>
      </c>
      <c r="U97" s="2" t="n">
        <f aca="false">MAX(C97,G97,K97,O97)-MIN(C97,G97,K97,O97)</f>
        <v>0</v>
      </c>
    </row>
    <row r="98" customFormat="false" ht="15" hidden="false" customHeight="false" outlineLevel="0" collapsed="false">
      <c r="A98" s="2" t="s">
        <v>161</v>
      </c>
      <c r="B98" s="7" t="n">
        <f aca="false">Win_Probabilities!E105</f>
        <v>5.74846994025482</v>
      </c>
      <c r="C98" s="3" t="n">
        <v>5.5</v>
      </c>
      <c r="D98" s="3" t="n">
        <v>-140</v>
      </c>
      <c r="E98" s="8" t="n">
        <f aca="false">IF(C98="","",SUMPRODUCT((COLUMN(Win_Probabilities!$F$1:$S$1)-COLUMN(Win_Probabilities!$F$1)&gt;C98)*Win_Probabilities!$F105:$S105))</f>
        <v>0.560823305094314</v>
      </c>
      <c r="F98" s="9" t="n">
        <f aca="false">E98*IF(D98&lt;0,10000/-D98,D98)-(1-E98)*100</f>
        <v>-3.85886198383189</v>
      </c>
      <c r="G98" s="3" t="n">
        <v>5.5</v>
      </c>
      <c r="H98" s="3" t="n">
        <v>-140</v>
      </c>
      <c r="I98" s="8" t="n">
        <f aca="false">IF(G98="","",SUMPRODUCT((COLUMN(Win_Probabilities!$F$1:$S$1)-COLUMN(Win_Probabilities!$F$1)&gt;G98)*Win_Probabilities!$F105:$S105))</f>
        <v>0.560823305094314</v>
      </c>
      <c r="J98" s="9" t="n">
        <f aca="false">I98*IF(H98&lt;0,10000/-H98,H98)-(1-I98)*100</f>
        <v>-3.85886198383189</v>
      </c>
      <c r="K98" s="3" t="n">
        <v>5.5</v>
      </c>
      <c r="L98" s="3" t="n">
        <v>-130</v>
      </c>
      <c r="M98" s="8" t="n">
        <f aca="false">IF(K98="","",SUMPRODUCT((COLUMN(Win_Probabilities!$F$1:$S$1)-COLUMN(Win_Probabilities!$F$1)&gt;K98)*Win_Probabilities!$F105:$S105))</f>
        <v>0.560823305094314</v>
      </c>
      <c r="N98" s="9" t="n">
        <f aca="false">M98*IF(L98&lt;0,10000/-L98,L98)-(1-M98)*100</f>
        <v>-0.777415252544451</v>
      </c>
      <c r="O98" s="3" t="n">
        <v>5.5</v>
      </c>
      <c r="P98" s="3" t="n">
        <v>-112</v>
      </c>
      <c r="Q98" s="8" t="n">
        <f aca="false">IF(O98="","",SUMPRODUCT((COLUMN(Win_Probabilities!$F$1:$S$1)-COLUMN(Win_Probabilities!$F$1)&gt;O98)*Win_Probabilities!$F105:$S105))</f>
        <v>0.560823305094314</v>
      </c>
      <c r="R98" s="9" t="n">
        <f aca="false">Q98*IF(P98&lt;0,10000/-P98,P98)-(1-Q98)*100</f>
        <v>6.1558398928523</v>
      </c>
      <c r="S98" s="2" t="str">
        <f aca="false">IF(F98=MAX(F98,J98,N98,R98),"BetMGM",IF(J98=MAX(F98,J98,N98,R98),"DraftKings",IF(N98=MAX(F98,J98,N98,R98),"FanDuel",IF(R98=MAX(F98,J98,N98,R98),"RiversCasino",""))))</f>
        <v>RiversCasino</v>
      </c>
      <c r="T98" s="9" t="n">
        <f aca="false">MAX(F98,J98,N98,R98)</f>
        <v>6.1558398928523</v>
      </c>
      <c r="U98" s="2" t="n">
        <f aca="false">MAX(C98,G98,K98,O98)-MIN(C98,G98,K98,O98)</f>
        <v>0</v>
      </c>
    </row>
    <row r="99" customFormat="false" ht="15" hidden="false" customHeight="false" outlineLevel="0" collapsed="false">
      <c r="A99" s="2" t="s">
        <v>162</v>
      </c>
      <c r="B99" s="7" t="n">
        <f aca="false">Win_Probabilities!E106</f>
        <v>4.94555895938669</v>
      </c>
      <c r="C99" s="3" t="n">
        <v>5.5</v>
      </c>
      <c r="D99" s="3" t="n">
        <v>-130</v>
      </c>
      <c r="E99" s="8" t="n">
        <f aca="false">IF(C99="","",SUMPRODUCT((COLUMN(Win_Probabilities!$F$1:$S$1)-COLUMN(Win_Probabilities!$F$1)&gt;C99)*Win_Probabilities!$F106:$S106))</f>
        <v>0.337563532040044</v>
      </c>
      <c r="F99" s="9" t="n">
        <f aca="false">E99*IF(D99&lt;0,10000/-D99,D99)-(1-E99)*100</f>
        <v>-40.2772212544537</v>
      </c>
      <c r="G99" s="3" t="n">
        <v>5.5</v>
      </c>
      <c r="H99" s="3" t="n">
        <v>-130</v>
      </c>
      <c r="I99" s="8" t="n">
        <f aca="false">IF(G99="","",SUMPRODUCT((COLUMN(Win_Probabilities!$F$1:$S$1)-COLUMN(Win_Probabilities!$F$1)&gt;G99)*Win_Probabilities!$F106:$S106))</f>
        <v>0.337563532040044</v>
      </c>
      <c r="J99" s="9" t="n">
        <f aca="false">I99*IF(H99&lt;0,10000/-H99,H99)-(1-I99)*100</f>
        <v>-40.2772212544537</v>
      </c>
      <c r="K99" s="3" t="n">
        <v>5.5</v>
      </c>
      <c r="L99" s="3" t="n">
        <v>-122</v>
      </c>
      <c r="M99" s="8" t="n">
        <f aca="false">IF(K99="","",SUMPRODUCT((COLUMN(Win_Probabilities!$F$1:$S$1)-COLUMN(Win_Probabilities!$F$1)&gt;K99)*Win_Probabilities!$F106:$S106))</f>
        <v>0.337563532040044</v>
      </c>
      <c r="N99" s="9" t="n">
        <f aca="false">M99*IF(L99&lt;0,10000/-L99,L99)-(1-M99)*100</f>
        <v>-38.5745048255001</v>
      </c>
      <c r="O99" s="3" t="n">
        <v>5.5</v>
      </c>
      <c r="P99" s="3" t="n">
        <v>-127</v>
      </c>
      <c r="Q99" s="8" t="n">
        <f aca="false">IF(O99="","",SUMPRODUCT((COLUMN(Win_Probabilities!$F$1:$S$1)-COLUMN(Win_Probabilities!$F$1)&gt;O99)*Win_Probabilities!$F106:$S106))</f>
        <v>0.337563532040044</v>
      </c>
      <c r="R99" s="9" t="n">
        <f aca="false">Q99*IF(P99&lt;0,10000/-P99,P99)-(1-Q99)*100</f>
        <v>-39.6638411235511</v>
      </c>
      <c r="S99" s="2" t="str">
        <f aca="false">IF(F99=MAX(F99,J99,N99,R99),"BetMGM",IF(J99=MAX(F99,J99,N99,R99),"DraftKings",IF(N99=MAX(F99,J99,N99,R99),"FanDuel",IF(R99=MAX(F99,J99,N99,R99),"RiversCasino",""))))</f>
        <v>FanDuel</v>
      </c>
      <c r="T99" s="9" t="n">
        <f aca="false">MAX(F99,J99,N99,R99)</f>
        <v>-38.5745048255001</v>
      </c>
      <c r="U99" s="2" t="n">
        <f aca="false">MAX(C99,G99,K99,O99)-MIN(C99,G99,K99,O99)</f>
        <v>0</v>
      </c>
    </row>
    <row r="100" customFormat="false" ht="15" hidden="false" customHeight="false" outlineLevel="0" collapsed="false">
      <c r="A100" s="2" t="s">
        <v>163</v>
      </c>
      <c r="B100" s="7" t="n">
        <f aca="false">Win_Probabilities!E107</f>
        <v>6.69791668134009</v>
      </c>
      <c r="C100" s="3" t="n">
        <v>6.5</v>
      </c>
      <c r="D100" s="3" t="n">
        <v>115</v>
      </c>
      <c r="E100" s="8" t="n">
        <f aca="false">IF(C100="","",SUMPRODUCT((COLUMN(Win_Probabilities!$F$1:$S$1)-COLUMN(Win_Probabilities!$F$1)&gt;C100)*Win_Probabilities!$F107:$S107))</f>
        <v>0.556367118677781</v>
      </c>
      <c r="F100" s="9" t="n">
        <f aca="false">E100*IF(D100&lt;0,10000/-D100,D100)-(1-E100)*100</f>
        <v>19.6189305157229</v>
      </c>
      <c r="G100" s="3" t="n">
        <v>6.5</v>
      </c>
      <c r="H100" s="3" t="n">
        <v>110</v>
      </c>
      <c r="I100" s="8" t="n">
        <f aca="false">IF(G100="","",SUMPRODUCT((COLUMN(Win_Probabilities!$F$1:$S$1)-COLUMN(Win_Probabilities!$F$1)&gt;G100)*Win_Probabilities!$F107:$S107))</f>
        <v>0.556367118677781</v>
      </c>
      <c r="J100" s="9" t="n">
        <f aca="false">I100*IF(H100&lt;0,10000/-H100,H100)-(1-I100)*100</f>
        <v>16.837094922334</v>
      </c>
      <c r="K100" s="3" t="n">
        <v>6.5</v>
      </c>
      <c r="L100" s="3" t="n">
        <v>106</v>
      </c>
      <c r="M100" s="8" t="n">
        <f aca="false">IF(K100="","",SUMPRODUCT((COLUMN(Win_Probabilities!$F$1:$S$1)-COLUMN(Win_Probabilities!$F$1)&gt;K100)*Win_Probabilities!$F107:$S107))</f>
        <v>0.556367118677781</v>
      </c>
      <c r="N100" s="9" t="n">
        <f aca="false">M100*IF(L100&lt;0,10000/-L100,L100)-(1-M100)*100</f>
        <v>14.6116264476229</v>
      </c>
      <c r="O100" s="3" t="n">
        <v>6.5</v>
      </c>
      <c r="P100" s="3" t="n">
        <v>110</v>
      </c>
      <c r="Q100" s="8" t="n">
        <f aca="false">IF(O100="","",SUMPRODUCT((COLUMN(Win_Probabilities!$F$1:$S$1)-COLUMN(Win_Probabilities!$F$1)&gt;O100)*Win_Probabilities!$F107:$S107))</f>
        <v>0.556367118677781</v>
      </c>
      <c r="R100" s="9" t="n">
        <f aca="false">Q100*IF(P100&lt;0,10000/-P100,P100)-(1-Q100)*100</f>
        <v>16.837094922334</v>
      </c>
      <c r="S100" s="2" t="str">
        <f aca="false">IF(F100=MAX(F100,J100,N100,R100),"BetMGM",IF(J100=MAX(F100,J100,N100,R100),"DraftKings",IF(N100=MAX(F100,J100,N100,R100),"FanDuel",IF(R100=MAX(F100,J100,N100,R100),"RiversCasino",""))))</f>
        <v>BetMGM</v>
      </c>
      <c r="T100" s="9" t="n">
        <f aca="false">MAX(F100,J100,N100,R100)</f>
        <v>19.6189305157229</v>
      </c>
      <c r="U100" s="2" t="n">
        <f aca="false">MAX(C100,G100,K100,O100)-MIN(C100,G100,K100,O100)</f>
        <v>0</v>
      </c>
    </row>
    <row r="101" customFormat="false" ht="15" hidden="false" customHeight="false" outlineLevel="0" collapsed="false">
      <c r="A101" s="2" t="s">
        <v>164</v>
      </c>
      <c r="B101" s="7" t="n">
        <f aca="false">Win_Probabilities!E108</f>
        <v>4.01114666247414</v>
      </c>
      <c r="C101" s="3" t="n">
        <v>3.5</v>
      </c>
      <c r="D101" s="3" t="n">
        <v>-150</v>
      </c>
      <c r="E101" s="8" t="n">
        <f aca="false">IF(C101="","",SUMPRODUCT((COLUMN(Win_Probabilities!$F$1:$S$1)-COLUMN(Win_Probabilities!$F$1)&gt;C101)*Win_Probabilities!$F108:$S108))</f>
        <v>0.622962443268171</v>
      </c>
      <c r="F101" s="9" t="n">
        <f aca="false">E101*IF(D101&lt;0,10000/-D101,D101)-(1-E101)*100</f>
        <v>3.82707387802849</v>
      </c>
      <c r="G101" s="3" t="n">
        <v>4.5</v>
      </c>
      <c r="H101" s="3" t="n">
        <v>150</v>
      </c>
      <c r="I101" s="8" t="n">
        <f aca="false">IF(G101="","",SUMPRODUCT((COLUMN(Win_Probabilities!$F$1:$S$1)-COLUMN(Win_Probabilities!$F$1)&gt;G101)*Win_Probabilities!$F108:$S108))</f>
        <v>0.354837191171701</v>
      </c>
      <c r="J101" s="9" t="n">
        <f aca="false">I101*IF(H101&lt;0,10000/-H101,H101)-(1-I101)*100</f>
        <v>-11.2907022070747</v>
      </c>
      <c r="K101" s="3" t="n">
        <v>4.5</v>
      </c>
      <c r="L101" s="3" t="n">
        <v>124</v>
      </c>
      <c r="M101" s="8" t="n">
        <f aca="false">IF(K101="","",SUMPRODUCT((COLUMN(Win_Probabilities!$F$1:$S$1)-COLUMN(Win_Probabilities!$F$1)&gt;K101)*Win_Probabilities!$F108:$S108))</f>
        <v>0.354837191171701</v>
      </c>
      <c r="N101" s="9" t="n">
        <f aca="false">M101*IF(L101&lt;0,10000/-L101,L101)-(1-M101)*100</f>
        <v>-20.5164691775389</v>
      </c>
      <c r="O101" s="3" t="n">
        <v>3.5</v>
      </c>
      <c r="P101" s="3" t="n">
        <v>-152</v>
      </c>
      <c r="Q101" s="8" t="n">
        <f aca="false">IF(O101="","",SUMPRODUCT((COLUMN(Win_Probabilities!$F$1:$S$1)-COLUMN(Win_Probabilities!$F$1)&gt;O101)*Win_Probabilities!$F108:$S108))</f>
        <v>0.622962443268171</v>
      </c>
      <c r="R101" s="9" t="n">
        <f aca="false">Q101*IF(P101&lt;0,10000/-P101,P101)-(1-Q101)*100</f>
        <v>3.28061559445992</v>
      </c>
      <c r="S101" s="2" t="str">
        <f aca="false">IF(F101=MAX(F101,J101,N101,R101),"BetMGM",IF(J101=MAX(F101,J101,N101,R101),"DraftKings",IF(N101=MAX(F101,J101,N101,R101),"FanDuel",IF(R101=MAX(F101,J101,N101,R101),"RiversCasino",""))))</f>
        <v>BetMGM</v>
      </c>
      <c r="T101" s="9" t="n">
        <f aca="false">MAX(F101,J101,N101,R101)</f>
        <v>3.82707387802849</v>
      </c>
      <c r="U101" s="2" t="n">
        <f aca="false">MAX(C101,G101,K101,O101)-MIN(C101,G101,K101,O101)</f>
        <v>1</v>
      </c>
    </row>
    <row r="102" customFormat="false" ht="15" hidden="false" customHeight="false" outlineLevel="0" collapsed="false">
      <c r="A102" s="2" t="s">
        <v>165</v>
      </c>
      <c r="B102" s="7" t="n">
        <f aca="false">Win_Probabilities!E109</f>
        <v>5.16923623900584</v>
      </c>
      <c r="C102" s="3" t="n">
        <v>4.5</v>
      </c>
      <c r="D102" s="3" t="n">
        <v>-105</v>
      </c>
      <c r="E102" s="8" t="n">
        <f aca="false">IF(C102="","",SUMPRODUCT((COLUMN(Win_Probabilities!$F$1:$S$1)-COLUMN(Win_Probabilities!$F$1)&gt;C102)*Win_Probabilities!$F109:$S109))</f>
        <v>0.665513516019624</v>
      </c>
      <c r="F102" s="9" t="n">
        <f aca="false">E102*IF(D102&lt;0,10000/-D102,D102)-(1-E102)*100</f>
        <v>29.9335912228789</v>
      </c>
      <c r="G102" s="3" t="n">
        <v>4.5</v>
      </c>
      <c r="H102" s="3" t="n">
        <v>120</v>
      </c>
      <c r="I102" s="8" t="n">
        <f aca="false">IF(G102="","",SUMPRODUCT((COLUMN(Win_Probabilities!$F$1:$S$1)-COLUMN(Win_Probabilities!$F$1)&gt;G102)*Win_Probabilities!$F109:$S109))</f>
        <v>0.665513516019624</v>
      </c>
      <c r="J102" s="9" t="n">
        <f aca="false">I102*IF(H102&lt;0,10000/-H102,H102)-(1-I102)*100</f>
        <v>46.4129735243172</v>
      </c>
      <c r="K102" s="3" t="n">
        <v>4.5</v>
      </c>
      <c r="L102" s="3" t="n">
        <v>-112</v>
      </c>
      <c r="M102" s="8" t="n">
        <f aca="false">IF(K102="","",SUMPRODUCT((COLUMN(Win_Probabilities!$F$1:$S$1)-COLUMN(Win_Probabilities!$F$1)&gt;K102)*Win_Probabilities!$F109:$S109))</f>
        <v>0.665513516019624</v>
      </c>
      <c r="N102" s="9" t="n">
        <f aca="false">M102*IF(L102&lt;0,10000/-L102,L102)-(1-M102)*100</f>
        <v>25.9722012465716</v>
      </c>
      <c r="O102" s="3" t="n">
        <v>4.5</v>
      </c>
      <c r="P102" s="3" t="n">
        <v>105</v>
      </c>
      <c r="Q102" s="8" t="n">
        <f aca="false">IF(O102="","",SUMPRODUCT((COLUMN(Win_Probabilities!$F$1:$S$1)-COLUMN(Win_Probabilities!$F$1)&gt;O102)*Win_Probabilities!$F109:$S109))</f>
        <v>0.665513516019624</v>
      </c>
      <c r="R102" s="9" t="n">
        <f aca="false">Q102*IF(P102&lt;0,10000/-P102,P102)-(1-Q102)*100</f>
        <v>36.4302707840228</v>
      </c>
      <c r="S102" s="2" t="str">
        <f aca="false">IF(F102=MAX(F102,J102,N102,R102),"BetMGM",IF(J102=MAX(F102,J102,N102,R102),"DraftKings",IF(N102=MAX(F102,J102,N102,R102),"FanDuel",IF(R102=MAX(F102,J102,N102,R102),"RiversCasino",""))))</f>
        <v>DraftKings</v>
      </c>
      <c r="T102" s="9" t="n">
        <f aca="false">MAX(F102,J102,N102,R102)</f>
        <v>46.4129735243172</v>
      </c>
      <c r="U102" s="2" t="n">
        <f aca="false">MAX(C102,G102,K102,O102)-MIN(C102,G102,K102,O102)</f>
        <v>0</v>
      </c>
    </row>
    <row r="103" customFormat="false" ht="15" hidden="false" customHeight="false" outlineLevel="0" collapsed="false">
      <c r="A103" s="2" t="s">
        <v>166</v>
      </c>
      <c r="B103" s="7" t="n">
        <f aca="false">Win_Probabilities!E110</f>
        <v>7.0511938512134</v>
      </c>
      <c r="C103" s="3" t="n">
        <v>6.5</v>
      </c>
      <c r="D103" s="3" t="n">
        <v>-120</v>
      </c>
      <c r="E103" s="8" t="n">
        <f aca="false">IF(C103="","",SUMPRODUCT((COLUMN(Win_Probabilities!$F$1:$S$1)-COLUMN(Win_Probabilities!$F$1)&gt;C103)*Win_Probabilities!$F110:$S110))</f>
        <v>0.649932550281076</v>
      </c>
      <c r="F103" s="9" t="n">
        <f aca="false">E103*IF(D103&lt;0,10000/-D103,D103)-(1-E103)*100</f>
        <v>19.1543008848639</v>
      </c>
      <c r="G103" s="3" t="n">
        <v>6.5</v>
      </c>
      <c r="H103" s="3" t="n">
        <v>-130</v>
      </c>
      <c r="I103" s="8" t="n">
        <f aca="false">IF(G103="","",SUMPRODUCT((COLUMN(Win_Probabilities!$F$1:$S$1)-COLUMN(Win_Probabilities!$F$1)&gt;G103)*Win_Probabilities!$F110:$S110))</f>
        <v>0.649932550281076</v>
      </c>
      <c r="J103" s="9" t="n">
        <f aca="false">I103*IF(H103&lt;0,10000/-H103,H103)-(1-I103)*100</f>
        <v>14.9880665881903</v>
      </c>
      <c r="K103" s="3" t="n">
        <v>6.5</v>
      </c>
      <c r="L103" s="3" t="n">
        <v>-118</v>
      </c>
      <c r="M103" s="8" t="n">
        <f aca="false">IF(K103="","",SUMPRODUCT((COLUMN(Win_Probabilities!$F$1:$S$1)-COLUMN(Win_Probabilities!$F$1)&gt;K103)*Win_Probabilities!$F110:$S110))</f>
        <v>0.649932550281076</v>
      </c>
      <c r="N103" s="9" t="n">
        <f aca="false">M103*IF(L103&lt;0,10000/-L103,L103)-(1-M103)*100</f>
        <v>20.0722847129445</v>
      </c>
      <c r="O103" s="3" t="n">
        <v>6.5</v>
      </c>
      <c r="P103" s="3" t="n">
        <v>-132</v>
      </c>
      <c r="Q103" s="8" t="n">
        <f aca="false">IF(O103="","",SUMPRODUCT((COLUMN(Win_Probabilities!$F$1:$S$1)-COLUMN(Win_Probabilities!$F$1)&gt;O103)*Win_Probabilities!$F110:$S110))</f>
        <v>0.649932550281076</v>
      </c>
      <c r="R103" s="9" t="n">
        <f aca="false">Q103*IF(P103&lt;0,10000/-P103,P103)-(1-Q103)*100</f>
        <v>14.2305694433406</v>
      </c>
      <c r="S103" s="2" t="str">
        <f aca="false">IF(F103=MAX(F103,J103,N103,R103),"BetMGM",IF(J103=MAX(F103,J103,N103,R103),"DraftKings",IF(N103=MAX(F103,J103,N103,R103),"FanDuel",IF(R103=MAX(F103,J103,N103,R103),"RiversCasino",""))))</f>
        <v>FanDuel</v>
      </c>
      <c r="T103" s="9" t="n">
        <f aca="false">MAX(F103,J103,N103,R103)</f>
        <v>20.0722847129445</v>
      </c>
      <c r="U103" s="2" t="n">
        <f aca="false">MAX(C103,G103,K103,O103)-MIN(C103,G103,K103,O103)</f>
        <v>0</v>
      </c>
    </row>
    <row r="104" customFormat="false" ht="15" hidden="false" customHeight="false" outlineLevel="0" collapsed="false">
      <c r="A104" s="2" t="s">
        <v>167</v>
      </c>
      <c r="B104" s="7" t="n">
        <f aca="false">Win_Probabilities!E111</f>
        <v>5.27700440754715</v>
      </c>
      <c r="C104" s="3" t="n">
        <v>5.5</v>
      </c>
      <c r="D104" s="3" t="n">
        <v>105</v>
      </c>
      <c r="E104" s="8" t="n">
        <f aca="false">IF(C104="","",SUMPRODUCT((COLUMN(Win_Probabilities!$F$1:$S$1)-COLUMN(Win_Probabilities!$F$1)&gt;C104)*Win_Probabilities!$F111:$S111))</f>
        <v>0.428305173331277</v>
      </c>
      <c r="F104" s="9" t="n">
        <f aca="false">E104*IF(D104&lt;0,10000/-D104,D104)-(1-E104)*100</f>
        <v>-12.1974394670882</v>
      </c>
      <c r="G104" s="3" t="n">
        <v>5.5</v>
      </c>
      <c r="H104" s="3" t="n">
        <v>105</v>
      </c>
      <c r="I104" s="8" t="n">
        <f aca="false">IF(G104="","",SUMPRODUCT((COLUMN(Win_Probabilities!$F$1:$S$1)-COLUMN(Win_Probabilities!$F$1)&gt;G104)*Win_Probabilities!$F111:$S111))</f>
        <v>0.428305173331277</v>
      </c>
      <c r="J104" s="9" t="n">
        <f aca="false">I104*IF(H104&lt;0,10000/-H104,H104)-(1-I104)*100</f>
        <v>-12.1974394670882</v>
      </c>
      <c r="K104" s="3" t="n">
        <v>5.5</v>
      </c>
      <c r="L104" s="3" t="n">
        <v>112</v>
      </c>
      <c r="M104" s="8" t="n">
        <f aca="false">IF(K104="","",SUMPRODUCT((COLUMN(Win_Probabilities!$F$1:$S$1)-COLUMN(Win_Probabilities!$F$1)&gt;K104)*Win_Probabilities!$F111:$S111))</f>
        <v>0.428305173331277</v>
      </c>
      <c r="N104" s="9" t="n">
        <f aca="false">M104*IF(L104&lt;0,10000/-L104,L104)-(1-M104)*100</f>
        <v>-9.19930325376924</v>
      </c>
      <c r="O104" s="3" t="n">
        <v>5.5</v>
      </c>
      <c r="P104" s="3" t="n">
        <v>110</v>
      </c>
      <c r="Q104" s="8" t="n">
        <f aca="false">IF(O104="","",SUMPRODUCT((COLUMN(Win_Probabilities!$F$1:$S$1)-COLUMN(Win_Probabilities!$F$1)&gt;O104)*Win_Probabilities!$F111:$S111))</f>
        <v>0.428305173331277</v>
      </c>
      <c r="R104" s="9" t="n">
        <f aca="false">Q104*IF(P104&lt;0,10000/-P104,P104)-(1-Q104)*100</f>
        <v>-10.0559136004318</v>
      </c>
      <c r="S104" s="2" t="str">
        <f aca="false">IF(F104=MAX(F104,J104,N104,R104),"BetMGM",IF(J104=MAX(F104,J104,N104,R104),"DraftKings",IF(N104=MAX(F104,J104,N104,R104),"FanDuel",IF(R104=MAX(F104,J104,N104,R104),"RiversCasino",""))))</f>
        <v>FanDuel</v>
      </c>
      <c r="T104" s="9" t="n">
        <f aca="false">MAX(F104,J104,N104,R104)</f>
        <v>-9.19930325376924</v>
      </c>
      <c r="U104" s="2" t="n">
        <f aca="false">MAX(C104,G104,K104,O104)-MIN(C104,G104,K104,O104)</f>
        <v>0</v>
      </c>
    </row>
    <row r="105" customFormat="false" ht="15" hidden="false" customHeight="false" outlineLevel="0" collapsed="false">
      <c r="A105" s="2" t="s">
        <v>168</v>
      </c>
      <c r="B105" s="7" t="n">
        <f aca="false">Win_Probabilities!E112</f>
        <v>6.84421268434775</v>
      </c>
      <c r="C105" s="3" t="n">
        <v>5.5</v>
      </c>
      <c r="D105" s="3" t="n">
        <v>-145</v>
      </c>
      <c r="E105" s="8" t="n">
        <f aca="false">IF(C105="","",SUMPRODUCT((COLUMN(Win_Probabilities!$F$1:$S$1)-COLUMN(Win_Probabilities!$F$1)&gt;C105)*Win_Probabilities!$F112:$S112))</f>
        <v>0.827014484885833</v>
      </c>
      <c r="F105" s="9" t="n">
        <f aca="false">E105*IF(D105&lt;0,10000/-D105,D105)-(1-E105)*100</f>
        <v>39.7369302048477</v>
      </c>
      <c r="G105" s="3" t="n">
        <v>5.5</v>
      </c>
      <c r="H105" s="3" t="n">
        <v>-140</v>
      </c>
      <c r="I105" s="8" t="n">
        <f aca="false">IF(G105="","",SUMPRODUCT((COLUMN(Win_Probabilities!$F$1:$S$1)-COLUMN(Win_Probabilities!$F$1)&gt;G105)*Win_Probabilities!$F112:$S112))</f>
        <v>0.827014484885833</v>
      </c>
      <c r="J105" s="9" t="n">
        <f aca="false">I105*IF(H105&lt;0,10000/-H105,H105)-(1-I105)*100</f>
        <v>41.7739116947143</v>
      </c>
      <c r="K105" s="3" t="n">
        <v>5.5</v>
      </c>
      <c r="L105" s="3" t="n">
        <v>-144</v>
      </c>
      <c r="M105" s="8" t="n">
        <f aca="false">IF(K105="","",SUMPRODUCT((COLUMN(Win_Probabilities!$F$1:$S$1)-COLUMN(Win_Probabilities!$F$1)&gt;K105)*Win_Probabilities!$F112:$S112))</f>
        <v>0.827014484885833</v>
      </c>
      <c r="N105" s="9" t="n">
        <f aca="false">M105*IF(L105&lt;0,10000/-L105,L105)-(1-M105)*100</f>
        <v>40.1330099389884</v>
      </c>
      <c r="O105" s="3" t="n">
        <v>5.5</v>
      </c>
      <c r="P105" s="3" t="n">
        <v>-167</v>
      </c>
      <c r="Q105" s="8" t="n">
        <f aca="false">IF(O105="","",SUMPRODUCT((COLUMN(Win_Probabilities!$F$1:$S$1)-COLUMN(Win_Probabilities!$F$1)&gt;O105)*Win_Probabilities!$F112:$S112))</f>
        <v>0.827014484885833</v>
      </c>
      <c r="R105" s="9" t="n">
        <f aca="false">Q105*IF(P105&lt;0,10000/-P105,P105)-(1-Q105)*100</f>
        <v>32.2232739308488</v>
      </c>
      <c r="S105" s="2" t="str">
        <f aca="false">IF(F105=MAX(F105,J105,N105,R105),"BetMGM",IF(J105=MAX(F105,J105,N105,R105),"DraftKings",IF(N105=MAX(F105,J105,N105,R105),"FanDuel",IF(R105=MAX(F105,J105,N105,R105),"RiversCasino",""))))</f>
        <v>DraftKings</v>
      </c>
      <c r="T105" s="9" t="n">
        <f aca="false">MAX(F105,J105,N105,R105)</f>
        <v>41.7739116947143</v>
      </c>
      <c r="U105" s="2" t="n">
        <f aca="false">MAX(C105,G105,K105,O105)-MIN(C105,G105,K105,O105)</f>
        <v>0</v>
      </c>
    </row>
    <row r="106" customFormat="false" ht="15" hidden="false" customHeight="false" outlineLevel="0" collapsed="false">
      <c r="A106" s="2" t="s">
        <v>169</v>
      </c>
      <c r="B106" s="7" t="n">
        <f aca="false">Win_Probabilities!E113</f>
        <v>6.1079968895353</v>
      </c>
      <c r="C106" s="3" t="n">
        <v>5.5</v>
      </c>
      <c r="D106" s="3" t="n">
        <v>-175</v>
      </c>
      <c r="E106" s="8" t="n">
        <f aca="false">IF(C106="","",SUMPRODUCT((COLUMN(Win_Probabilities!$F$1:$S$1)-COLUMN(Win_Probabilities!$F$1)&gt;C106)*Win_Probabilities!$F113:$S113))</f>
        <v>0.659911470202833</v>
      </c>
      <c r="F106" s="9" t="n">
        <f aca="false">E106*IF(D106&lt;0,10000/-D106,D106)-(1-E106)*100</f>
        <v>3.70037388901658</v>
      </c>
      <c r="G106" s="3" t="n">
        <v>5.5</v>
      </c>
      <c r="H106" s="3" t="n">
        <v>-166</v>
      </c>
      <c r="I106" s="8" t="n">
        <f aca="false">IF(G106="","",SUMPRODUCT((COLUMN(Win_Probabilities!$F$1:$S$1)-COLUMN(Win_Probabilities!$F$1)&gt;G106)*Win_Probabilities!$F113:$S113))</f>
        <v>0.659911470202833</v>
      </c>
      <c r="J106" s="9" t="n">
        <f aca="false">I106*IF(H106&lt;0,10000/-H106,H106)-(1-I106)*100</f>
        <v>5.74485004455032</v>
      </c>
      <c r="K106" s="3" t="n">
        <v>5.5</v>
      </c>
      <c r="L106" s="3" t="n">
        <v>-162</v>
      </c>
      <c r="M106" s="8" t="n">
        <f aca="false">IF(K106="","",SUMPRODUCT((COLUMN(Win_Probabilities!$F$1:$S$1)-COLUMN(Win_Probabilities!$F$1)&gt;K106)*Win_Probabilities!$F113:$S113))</f>
        <v>0.659911470202833</v>
      </c>
      <c r="N106" s="9" t="n">
        <f aca="false">M106*IF(L106&lt;0,10000/-L106,L106)-(1-M106)*100</f>
        <v>6.72642295872975</v>
      </c>
      <c r="O106" s="3" t="n">
        <v>5.5</v>
      </c>
      <c r="P106" s="3" t="n">
        <v>-167</v>
      </c>
      <c r="Q106" s="8" t="n">
        <f aca="false">IF(O106="","",SUMPRODUCT((COLUMN(Win_Probabilities!$F$1:$S$1)-COLUMN(Win_Probabilities!$F$1)&gt;O106)*Win_Probabilities!$F113:$S113))</f>
        <v>0.659911470202833</v>
      </c>
      <c r="R106" s="9" t="n">
        <f aca="false">Q106*IF(P106&lt;0,10000/-P106,P106)-(1-Q106)*100</f>
        <v>5.5068039186565</v>
      </c>
      <c r="S106" s="2" t="str">
        <f aca="false">IF(F106=MAX(F106,J106,N106,R106),"BetMGM",IF(J106=MAX(F106,J106,N106,R106),"DraftKings",IF(N106=MAX(F106,J106,N106,R106),"FanDuel",IF(R106=MAX(F106,J106,N106,R106),"RiversCasino",""))))</f>
        <v>FanDuel</v>
      </c>
      <c r="T106" s="9" t="n">
        <f aca="false">MAX(F106,J106,N106,R106)</f>
        <v>6.72642295872975</v>
      </c>
      <c r="U106" s="2" t="n">
        <f aca="false">MAX(C106,G106,K106,O106)-MIN(C106,G106,K106,O106)</f>
        <v>0</v>
      </c>
    </row>
    <row r="107" customFormat="false" ht="15" hidden="false" customHeight="false" outlineLevel="0" collapsed="false">
      <c r="A107" s="2" t="s">
        <v>170</v>
      </c>
      <c r="B107" s="7" t="n">
        <f aca="false">Win_Probabilities!E114</f>
        <v>5.91203476245741</v>
      </c>
      <c r="C107" s="3" t="n">
        <v>6.5</v>
      </c>
      <c r="D107" s="3" t="n">
        <v>115</v>
      </c>
      <c r="E107" s="8" t="n">
        <f aca="false">IF(C107="","",SUMPRODUCT((COLUMN(Win_Probabilities!$F$1:$S$1)-COLUMN(Win_Probabilities!$F$1)&gt;C107)*Win_Probabilities!$F114:$S114))</f>
        <v>0.345994198146178</v>
      </c>
      <c r="F107" s="9" t="n">
        <f aca="false">E107*IF(D107&lt;0,10000/-D107,D107)-(1-E107)*100</f>
        <v>-25.6112473985718</v>
      </c>
      <c r="G107" s="3" t="n">
        <v>6.5</v>
      </c>
      <c r="H107" s="3" t="n">
        <v>130</v>
      </c>
      <c r="I107" s="8" t="n">
        <f aca="false">IF(G107="","",SUMPRODUCT((COLUMN(Win_Probabilities!$F$1:$S$1)-COLUMN(Win_Probabilities!$F$1)&gt;G107)*Win_Probabilities!$F114:$S114))</f>
        <v>0.345994198146178</v>
      </c>
      <c r="J107" s="9" t="n">
        <f aca="false">I107*IF(H107&lt;0,10000/-H107,H107)-(1-I107)*100</f>
        <v>-20.4213344263791</v>
      </c>
      <c r="K107" s="3" t="n">
        <v>6.5</v>
      </c>
      <c r="L107" s="3" t="n">
        <v>-100</v>
      </c>
      <c r="M107" s="8" t="n">
        <f aca="false">IF(K107="","",SUMPRODUCT((COLUMN(Win_Probabilities!$F$1:$S$1)-COLUMN(Win_Probabilities!$F$1)&gt;K107)*Win_Probabilities!$F114:$S114))</f>
        <v>0.345994198146178</v>
      </c>
      <c r="N107" s="9" t="n">
        <f aca="false">M107*IF(L107&lt;0,10000/-L107,L107)-(1-M107)*100</f>
        <v>-30.8011603707645</v>
      </c>
      <c r="O107" s="3" t="n">
        <v>5.5</v>
      </c>
      <c r="P107" s="3" t="n">
        <v>-167</v>
      </c>
      <c r="Q107" s="8" t="n">
        <f aca="false">IF(O107="","",SUMPRODUCT((COLUMN(Win_Probabilities!$F$1:$S$1)-COLUMN(Win_Probabilities!$F$1)&gt;O107)*Win_Probabilities!$F114:$S114))</f>
        <v>0.610343829333072</v>
      </c>
      <c r="R107" s="9" t="n">
        <f aca="false">Q107*IF(P107&lt;0,10000/-P107,P107)-(1-Q107)*100</f>
        <v>-2.41808237608962</v>
      </c>
      <c r="S107" s="2" t="str">
        <f aca="false">IF(F107=MAX(F107,J107,N107,R107),"BetMGM",IF(J107=MAX(F107,J107,N107,R107),"DraftKings",IF(N107=MAX(F107,J107,N107,R107),"FanDuel",IF(R107=MAX(F107,J107,N107,R107),"RiversCasino",""))))</f>
        <v>RiversCasino</v>
      </c>
      <c r="T107" s="9" t="n">
        <f aca="false">MAX(F107,J107,N107,R107)</f>
        <v>-2.41808237608962</v>
      </c>
      <c r="U107" s="2" t="n">
        <f aca="false">MAX(C107,G107,K107,O107)-MIN(C107,G107,K107,O107)</f>
        <v>1</v>
      </c>
    </row>
    <row r="108" customFormat="false" ht="15" hidden="false" customHeight="false" outlineLevel="0" collapsed="false">
      <c r="A108" s="2" t="s">
        <v>171</v>
      </c>
      <c r="B108" s="7" t="n">
        <f aca="false">Win_Probabilities!E115</f>
        <v>6.66623463827472</v>
      </c>
      <c r="C108" s="3" t="n">
        <v>6.5</v>
      </c>
      <c r="D108" s="3" t="n">
        <v>100</v>
      </c>
      <c r="E108" s="8" t="n">
        <f aca="false">IF(C108="","",SUMPRODUCT((COLUMN(Win_Probabilities!$F$1:$S$1)-COLUMN(Win_Probabilities!$F$1)&gt;C108)*Win_Probabilities!$F115:$S115))</f>
        <v>0.548289509799965</v>
      </c>
      <c r="F108" s="9" t="n">
        <f aca="false">E108*IF(D108&lt;0,10000/-D108,D108)-(1-E108)*100</f>
        <v>9.65790195999297</v>
      </c>
      <c r="G108" s="3" t="n">
        <v>6.5</v>
      </c>
      <c r="H108" s="3" t="n">
        <v>100</v>
      </c>
      <c r="I108" s="8" t="n">
        <f aca="false">IF(G108="","",SUMPRODUCT((COLUMN(Win_Probabilities!$F$1:$S$1)-COLUMN(Win_Probabilities!$F$1)&gt;G108)*Win_Probabilities!$F115:$S115))</f>
        <v>0.548289509799965</v>
      </c>
      <c r="J108" s="9" t="n">
        <f aca="false">I108*IF(H108&lt;0,10000/-H108,H108)-(1-I108)*100</f>
        <v>9.65790195999297</v>
      </c>
      <c r="K108" s="3" t="n">
        <v>6.5</v>
      </c>
      <c r="L108" s="3" t="n">
        <v>-110</v>
      </c>
      <c r="M108" s="8" t="n">
        <f aca="false">IF(K108="","",SUMPRODUCT((COLUMN(Win_Probabilities!$F$1:$S$1)-COLUMN(Win_Probabilities!$F$1)&gt;K108)*Win_Probabilities!$F115:$S115))</f>
        <v>0.548289509799965</v>
      </c>
      <c r="N108" s="9" t="n">
        <f aca="false">M108*IF(L108&lt;0,10000/-L108,L108)-(1-M108)*100</f>
        <v>4.67345187090238</v>
      </c>
      <c r="O108" s="3" t="n">
        <v>6.5</v>
      </c>
      <c r="P108" s="3" t="n">
        <v>100</v>
      </c>
      <c r="Q108" s="8" t="n">
        <f aca="false">IF(O108="","",SUMPRODUCT((COLUMN(Win_Probabilities!$F$1:$S$1)-COLUMN(Win_Probabilities!$F$1)&gt;O108)*Win_Probabilities!$F115:$S115))</f>
        <v>0.548289509799965</v>
      </c>
      <c r="R108" s="9" t="n">
        <f aca="false">Q108*IF(P108&lt;0,10000/-P108,P108)-(1-Q108)*100</f>
        <v>9.65790195999297</v>
      </c>
      <c r="S108" s="2" t="str">
        <f aca="false">IF(F108=MAX(F108,J108,N108,R108),"BetMGM",IF(J108=MAX(F108,J108,N108,R108),"DraftKings",IF(N108=MAX(F108,J108,N108,R108),"FanDuel",IF(R108=MAX(F108,J108,N108,R108),"RiversCasino",""))))</f>
        <v>BetMGM</v>
      </c>
      <c r="T108" s="9" t="n">
        <f aca="false">MAX(F108,J108,N108,R108)</f>
        <v>9.65790195999297</v>
      </c>
      <c r="U108" s="2" t="n">
        <f aca="false">MAX(C108,G108,K108,O108)-MIN(C108,G108,K108,O108)</f>
        <v>0</v>
      </c>
    </row>
    <row r="109" customFormat="false" ht="15" hidden="false" customHeight="false" outlineLevel="0" collapsed="false">
      <c r="A109" s="2" t="s">
        <v>172</v>
      </c>
      <c r="B109" s="7" t="n">
        <f aca="false">Win_Probabilities!E116</f>
        <v>6.1930395439547</v>
      </c>
      <c r="C109" s="3" t="n">
        <v>6.5</v>
      </c>
      <c r="D109" s="3" t="n">
        <v>105</v>
      </c>
      <c r="E109" s="8" t="n">
        <f aca="false">IF(C109="","",SUMPRODUCT((COLUMN(Win_Probabilities!$F$1:$S$1)-COLUMN(Win_Probabilities!$F$1)&gt;C109)*Win_Probabilities!$F116:$S116))</f>
        <v>0.415089096524195</v>
      </c>
      <c r="F109" s="9" t="n">
        <f aca="false">E109*IF(D109&lt;0,10000/-D109,D109)-(1-E109)*100</f>
        <v>-14.9067352125401</v>
      </c>
      <c r="G109" s="3" t="n">
        <v>6.5</v>
      </c>
      <c r="H109" s="3" t="n">
        <v>120</v>
      </c>
      <c r="I109" s="8" t="n">
        <f aca="false">IF(G109="","",SUMPRODUCT((COLUMN(Win_Probabilities!$F$1:$S$1)-COLUMN(Win_Probabilities!$F$1)&gt;G109)*Win_Probabilities!$F116:$S116))</f>
        <v>0.415089096524195</v>
      </c>
      <c r="J109" s="9" t="n">
        <f aca="false">I109*IF(H109&lt;0,10000/-H109,H109)-(1-I109)*100</f>
        <v>-8.68039876467715</v>
      </c>
      <c r="K109" s="3" t="n">
        <v>6.5</v>
      </c>
      <c r="L109" s="3" t="n">
        <v>-100</v>
      </c>
      <c r="M109" s="8" t="n">
        <f aca="false">IF(K109="","",SUMPRODUCT((COLUMN(Win_Probabilities!$F$1:$S$1)-COLUMN(Win_Probabilities!$F$1)&gt;K109)*Win_Probabilities!$F116:$S116))</f>
        <v>0.415089096524195</v>
      </c>
      <c r="N109" s="9" t="n">
        <f aca="false">M109*IF(L109&lt;0,10000/-L109,L109)-(1-M109)*100</f>
        <v>-16.9821806951611</v>
      </c>
      <c r="O109" s="3" t="n">
        <v>6.5</v>
      </c>
      <c r="P109" s="3" t="n">
        <v>115</v>
      </c>
      <c r="Q109" s="8" t="n">
        <f aca="false">IF(O109="","",SUMPRODUCT((COLUMN(Win_Probabilities!$F$1:$S$1)-COLUMN(Win_Probabilities!$F$1)&gt;O109)*Win_Probabilities!$F116:$S116))</f>
        <v>0.415089096524195</v>
      </c>
      <c r="R109" s="9" t="n">
        <f aca="false">Q109*IF(P109&lt;0,10000/-P109,P109)-(1-Q109)*100</f>
        <v>-10.7558442472981</v>
      </c>
      <c r="S109" s="2" t="str">
        <f aca="false">IF(F109=MAX(F109,J109,N109,R109),"BetMGM",IF(J109=MAX(F109,J109,N109,R109),"DraftKings",IF(N109=MAX(F109,J109,N109,R109),"FanDuel",IF(R109=MAX(F109,J109,N109,R109),"RiversCasino",""))))</f>
        <v>DraftKings</v>
      </c>
      <c r="T109" s="9" t="n">
        <f aca="false">MAX(F109,J109,N109,R109)</f>
        <v>-8.68039876467715</v>
      </c>
      <c r="U109" s="2" t="n">
        <f aca="false">MAX(C109,G109,K109,O109)-MIN(C109,G109,K109,O109)</f>
        <v>0</v>
      </c>
    </row>
    <row r="110" customFormat="false" ht="15" hidden="false" customHeight="false" outlineLevel="0" collapsed="false">
      <c r="A110" s="2" t="s">
        <v>173</v>
      </c>
      <c r="B110" s="7" t="n">
        <f aca="false">Win_Probabilities!E117</f>
        <v>5.47897145073943</v>
      </c>
      <c r="C110" s="3" t="n">
        <v>5.5</v>
      </c>
      <c r="D110" s="3" t="n">
        <v>-115</v>
      </c>
      <c r="E110" s="8" t="n">
        <f aca="false">IF(C110="","",SUMPRODUCT((COLUMN(Win_Probabilities!$F$1:$S$1)-COLUMN(Win_Probabilities!$F$1)&gt;C110)*Win_Probabilities!$F117:$S117))</f>
        <v>0.48914651365984</v>
      </c>
      <c r="F110" s="9" t="n">
        <f aca="false">E110*IF(D110&lt;0,10000/-D110,D110)-(1-E110)*100</f>
        <v>-8.55086918533429</v>
      </c>
      <c r="G110" s="3" t="n">
        <v>5.5</v>
      </c>
      <c r="H110" s="3" t="n">
        <v>-130</v>
      </c>
      <c r="I110" s="8" t="n">
        <f aca="false">IF(G110="","",SUMPRODUCT((COLUMN(Win_Probabilities!$F$1:$S$1)-COLUMN(Win_Probabilities!$F$1)&gt;G110)*Win_Probabilities!$F117:$S117))</f>
        <v>0.48914651365984</v>
      </c>
      <c r="J110" s="9" t="n">
        <f aca="false">I110*IF(H110&lt;0,10000/-H110,H110)-(1-I110)*100</f>
        <v>-13.4586937371053</v>
      </c>
      <c r="K110" s="3" t="n">
        <v>5.5</v>
      </c>
      <c r="L110" s="3" t="n">
        <v>-115</v>
      </c>
      <c r="M110" s="8" t="n">
        <f aca="false">IF(K110="","",SUMPRODUCT((COLUMN(Win_Probabilities!$F$1:$S$1)-COLUMN(Win_Probabilities!$F$1)&gt;K110)*Win_Probabilities!$F117:$S117))</f>
        <v>0.48914651365984</v>
      </c>
      <c r="N110" s="9" t="n">
        <f aca="false">M110*IF(L110&lt;0,10000/-L110,L110)-(1-M110)*100</f>
        <v>-8.55086918533429</v>
      </c>
      <c r="O110" s="3" t="n">
        <v>5.5</v>
      </c>
      <c r="P110" s="3" t="n">
        <v>-143</v>
      </c>
      <c r="Q110" s="8" t="n">
        <f aca="false">IF(O110="","",SUMPRODUCT((COLUMN(Win_Probabilities!$F$1:$S$1)-COLUMN(Win_Probabilities!$F$1)&gt;O110)*Win_Probabilities!$F117:$S117))</f>
        <v>0.48914651365984</v>
      </c>
      <c r="R110" s="9" t="n">
        <f aca="false">Q110*IF(P110&lt;0,10000/-P110,P110)-(1-Q110)*100</f>
        <v>-16.8792987277335</v>
      </c>
      <c r="S110" s="2" t="str">
        <f aca="false">IF(F110=MAX(F110,J110,N110,R110),"BetMGM",IF(J110=MAX(F110,J110,N110,R110),"DraftKings",IF(N110=MAX(F110,J110,N110,R110),"FanDuel",IF(R110=MAX(F110,J110,N110,R110),"RiversCasino",""))))</f>
        <v>BetMGM</v>
      </c>
      <c r="T110" s="9" t="n">
        <f aca="false">MAX(F110,J110,N110,R110)</f>
        <v>-8.55086918533429</v>
      </c>
      <c r="U110" s="2" t="n">
        <f aca="false">MAX(C110,G110,K110,O110)-MIN(C110,G110,K110,O110)</f>
        <v>0</v>
      </c>
    </row>
    <row r="111" customFormat="false" ht="15" hidden="false" customHeight="false" outlineLevel="0" collapsed="false">
      <c r="A111" s="2" t="s">
        <v>175</v>
      </c>
      <c r="B111" s="7" t="n">
        <f aca="false">Win_Probabilities!E119</f>
        <v>5.50695422319775</v>
      </c>
      <c r="C111" s="3" t="n">
        <v>4.5</v>
      </c>
      <c r="D111" s="3" t="n">
        <v>-160</v>
      </c>
      <c r="E111" s="8" t="n">
        <f aca="false">IF(C111="","",SUMPRODUCT((COLUMN(Win_Probabilities!$F$1:$S$1)-COLUMN(Win_Probabilities!$F$1)&gt;C111)*Win_Probabilities!$F119:$S119))</f>
        <v>0.767901464459249</v>
      </c>
      <c r="F111" s="9" t="n">
        <f aca="false">E111*IF(D111&lt;0,10000/-D111,D111)-(1-E111)*100</f>
        <v>24.7839879746279</v>
      </c>
      <c r="G111" s="3" t="n">
        <v>4.5</v>
      </c>
      <c r="H111" s="3" t="n">
        <v>-160</v>
      </c>
      <c r="I111" s="8" t="n">
        <f aca="false">IF(G111="","",SUMPRODUCT((COLUMN(Win_Probabilities!$F$1:$S$1)-COLUMN(Win_Probabilities!$F$1)&gt;G111)*Win_Probabilities!$F119:$S119))</f>
        <v>0.767901464459249</v>
      </c>
      <c r="J111" s="9" t="n">
        <f aca="false">I111*IF(H111&lt;0,10000/-H111,H111)-(1-I111)*100</f>
        <v>24.7839879746279</v>
      </c>
      <c r="K111" s="3" t="n">
        <v>4.5</v>
      </c>
      <c r="L111" s="3" t="n">
        <v>-152</v>
      </c>
      <c r="M111" s="8" t="n">
        <f aca="false">IF(K111="","",SUMPRODUCT((COLUMN(Win_Probabilities!$F$1:$S$1)-COLUMN(Win_Probabilities!$F$1)&gt;K111)*Win_Probabilities!$F119:$S119))</f>
        <v>0.767901464459249</v>
      </c>
      <c r="N111" s="9" t="n">
        <f aca="false">M111*IF(L111&lt;0,10000/-L111,L111)-(1-M111)*100</f>
        <v>27.3099796340333</v>
      </c>
      <c r="O111" s="3" t="n">
        <v>4.5</v>
      </c>
      <c r="P111" s="3" t="n">
        <v>-155</v>
      </c>
      <c r="Q111" s="8" t="n">
        <f aca="false">IF(O111="","",SUMPRODUCT((COLUMN(Win_Probabilities!$F$1:$S$1)-COLUMN(Win_Probabilities!$F$1)&gt;O111)*Win_Probabilities!$F119:$S119))</f>
        <v>0.767901464459249</v>
      </c>
      <c r="R111" s="9" t="n">
        <f aca="false">Q111*IF(P111&lt;0,10000/-P111,P111)-(1-Q111)*100</f>
        <v>26.3321764110376</v>
      </c>
      <c r="S111" s="2" t="str">
        <f aca="false">IF(F111=MAX(F111,J111,N111,R111),"BetMGM",IF(J111=MAX(F111,J111,N111,R111),"DraftKings",IF(N111=MAX(F111,J111,N111,R111),"FanDuel",IF(R111=MAX(F111,J111,N111,R111),"RiversCasino",""))))</f>
        <v>FanDuel</v>
      </c>
      <c r="T111" s="9" t="n">
        <f aca="false">MAX(F111,J111,N111,R111)</f>
        <v>27.3099796340333</v>
      </c>
      <c r="U111" s="2" t="n">
        <f aca="false">MAX(C111,G111,K111,O111)-MIN(C111,G111,K111,O111)</f>
        <v>0</v>
      </c>
    </row>
    <row r="112" customFormat="false" ht="15" hidden="false" customHeight="false" outlineLevel="0" collapsed="false">
      <c r="A112" s="2" t="s">
        <v>176</v>
      </c>
      <c r="B112" s="7" t="n">
        <f aca="false">Win_Probabilities!E120</f>
        <v>5.61730071828797</v>
      </c>
      <c r="C112" s="3" t="n">
        <v>6.5</v>
      </c>
      <c r="D112" s="3" t="n">
        <v>110</v>
      </c>
      <c r="E112" s="8" t="n">
        <f aca="false">IF(C112="","",SUMPRODUCT((COLUMN(Win_Probabilities!$F$1:$S$1)-COLUMN(Win_Probabilities!$F$1)&gt;C112)*Win_Probabilities!$F120:$S120))</f>
        <v>0.272384418110482</v>
      </c>
      <c r="F112" s="9" t="n">
        <f aca="false">E112*IF(D112&lt;0,10000/-D112,D112)-(1-E112)*100</f>
        <v>-42.7992721967989</v>
      </c>
      <c r="G112" s="3" t="n">
        <v>6.5</v>
      </c>
      <c r="H112" s="3" t="n">
        <v>110</v>
      </c>
      <c r="I112" s="8" t="n">
        <f aca="false">IF(G112="","",SUMPRODUCT((COLUMN(Win_Probabilities!$F$1:$S$1)-COLUMN(Win_Probabilities!$F$1)&gt;G112)*Win_Probabilities!$F120:$S120))</f>
        <v>0.272384418110482</v>
      </c>
      <c r="J112" s="9" t="n">
        <f aca="false">I112*IF(H112&lt;0,10000/-H112,H112)-(1-I112)*100</f>
        <v>-42.7992721967989</v>
      </c>
      <c r="K112" s="3" t="n">
        <v>6.5</v>
      </c>
      <c r="L112" s="3" t="n">
        <v>106</v>
      </c>
      <c r="M112" s="8" t="n">
        <f aca="false">IF(K112="","",SUMPRODUCT((COLUMN(Win_Probabilities!$F$1:$S$1)-COLUMN(Win_Probabilities!$F$1)&gt;K112)*Win_Probabilities!$F120:$S120))</f>
        <v>0.272384418110482</v>
      </c>
      <c r="N112" s="9" t="n">
        <f aca="false">M112*IF(L112&lt;0,10000/-L112,L112)-(1-M112)*100</f>
        <v>-43.8888098692408</v>
      </c>
      <c r="O112" s="3" t="n">
        <v>6.5</v>
      </c>
      <c r="P112" s="3" t="n">
        <v>110</v>
      </c>
      <c r="Q112" s="8" t="n">
        <f aca="false">IF(O112="","",SUMPRODUCT((COLUMN(Win_Probabilities!$F$1:$S$1)-COLUMN(Win_Probabilities!$F$1)&gt;O112)*Win_Probabilities!$F120:$S120))</f>
        <v>0.272384418110482</v>
      </c>
      <c r="R112" s="9" t="n">
        <f aca="false">Q112*IF(P112&lt;0,10000/-P112,P112)-(1-Q112)*100</f>
        <v>-42.7992721967989</v>
      </c>
      <c r="S112" s="2" t="str">
        <f aca="false">IF(F112=MAX(F112,J112,N112,R112),"BetMGM",IF(J112=MAX(F112,J112,N112,R112),"DraftKings",IF(N112=MAX(F112,J112,N112,R112),"FanDuel",IF(R112=MAX(F112,J112,N112,R112),"RiversCasino",""))))</f>
        <v>BetMGM</v>
      </c>
      <c r="T112" s="9" t="n">
        <f aca="false">MAX(F112,J112,N112,R112)</f>
        <v>-42.7992721967989</v>
      </c>
      <c r="U112" s="2" t="n">
        <f aca="false">MAX(C112,G112,K112,O112)-MIN(C112,G112,K112,O112)</f>
        <v>0</v>
      </c>
    </row>
    <row r="113" customFormat="false" ht="15" hidden="false" customHeight="false" outlineLevel="0" collapsed="false">
      <c r="A113" s="2" t="s">
        <v>179</v>
      </c>
      <c r="B113" s="7" t="n">
        <f aca="false">Win_Probabilities!E123</f>
        <v>5.94777120433265</v>
      </c>
      <c r="C113" s="3" t="n">
        <v>5.5</v>
      </c>
      <c r="D113" s="3" t="n">
        <v>-155</v>
      </c>
      <c r="E113" s="8" t="n">
        <f aca="false">IF(C113="","",SUMPRODUCT((COLUMN(Win_Probabilities!$F$1:$S$1)-COLUMN(Win_Probabilities!$F$1)&gt;C113)*Win_Probabilities!$F123:$S123))</f>
        <v>0.621786233849576</v>
      </c>
      <c r="F113" s="9" t="n">
        <f aca="false">E113*IF(D113&lt;0,10000/-D113,D113)-(1-E113)*100</f>
        <v>2.29386427847871</v>
      </c>
      <c r="G113" s="3" t="n">
        <v>5.5</v>
      </c>
      <c r="H113" s="3" t="n">
        <v>-166</v>
      </c>
      <c r="I113" s="8" t="n">
        <f aca="false">IF(G113="","",SUMPRODUCT((COLUMN(Win_Probabilities!$F$1:$S$1)-COLUMN(Win_Probabilities!$F$1)&gt;G113)*Win_Probabilities!$F123:$S123))</f>
        <v>0.621786233849576</v>
      </c>
      <c r="J113" s="9" t="n">
        <f aca="false">I113*IF(H113&lt;0,10000/-H113,H113)-(1-I113)*100</f>
        <v>-0.364374575911242</v>
      </c>
      <c r="K113" s="3" t="n">
        <v>6.5</v>
      </c>
      <c r="L113" s="3" t="n">
        <v>112</v>
      </c>
      <c r="M113" s="8" t="n">
        <f aca="false">IF(K113="","",SUMPRODUCT((COLUMN(Win_Probabilities!$F$1:$S$1)-COLUMN(Win_Probabilities!$F$1)&gt;K113)*Win_Probabilities!$F123:$S123))</f>
        <v>0.35240695551869</v>
      </c>
      <c r="N113" s="9" t="n">
        <f aca="false">M113*IF(L113&lt;0,10000/-L113,L113)-(1-M113)*100</f>
        <v>-25.2897254300378</v>
      </c>
      <c r="O113" s="3" t="n">
        <v>5.5</v>
      </c>
      <c r="P113" s="3" t="n">
        <v>-159</v>
      </c>
      <c r="Q113" s="8" t="n">
        <f aca="false">IF(O113="","",SUMPRODUCT((COLUMN(Win_Probabilities!$F$1:$S$1)-COLUMN(Win_Probabilities!$F$1)&gt;O113)*Win_Probabilities!$F123:$S123))</f>
        <v>0.621786233849576</v>
      </c>
      <c r="R113" s="9" t="n">
        <f aca="false">Q113*IF(P113&lt;0,10000/-P113,P113)-(1-Q113)*100</f>
        <v>1.28467582832723</v>
      </c>
      <c r="S113" s="2" t="str">
        <f aca="false">IF(F113=MAX(F113,J113,N113,R113),"BetMGM",IF(J113=MAX(F113,J113,N113,R113),"DraftKings",IF(N113=MAX(F113,J113,N113,R113),"FanDuel",IF(R113=MAX(F113,J113,N113,R113),"RiversCasino",""))))</f>
        <v>BetMGM</v>
      </c>
      <c r="T113" s="9" t="n">
        <f aca="false">MAX(F113,J113,N113,R113)</f>
        <v>2.29386427847871</v>
      </c>
      <c r="U113" s="2" t="n">
        <f aca="false">MAX(C113,G113,K113,O113)-MIN(C113,G113,K113,O113)</f>
        <v>1</v>
      </c>
    </row>
    <row r="114" customFormat="false" ht="15" hidden="false" customHeight="false" outlineLevel="0" collapsed="false">
      <c r="A114" s="2" t="s">
        <v>182</v>
      </c>
      <c r="B114" s="7" t="n">
        <f aca="false">Win_Probabilities!E126</f>
        <v>4.63212584364565</v>
      </c>
      <c r="C114" s="3" t="n">
        <v>4.5</v>
      </c>
      <c r="D114" s="3" t="n">
        <v>100</v>
      </c>
      <c r="E114" s="8" t="n">
        <f aca="false">IF(C114="","",SUMPRODUCT((COLUMN(Win_Probabilities!$F$1:$S$1)-COLUMN(Win_Probabilities!$F$1)&gt;C114)*Win_Probabilities!$F126:$S126))</f>
        <v>0.525793582628064</v>
      </c>
      <c r="F114" s="9" t="n">
        <f aca="false">E114*IF(D114&lt;0,10000/-D114,D114)-(1-E114)*100</f>
        <v>5.15871652561278</v>
      </c>
      <c r="G114" s="3" t="n">
        <v>4.5</v>
      </c>
      <c r="H114" s="3" t="n">
        <v>-110</v>
      </c>
      <c r="I114" s="8" t="n">
        <f aca="false">IF(G114="","",SUMPRODUCT((COLUMN(Win_Probabilities!$F$1:$S$1)-COLUMN(Win_Probabilities!$F$1)&gt;G114)*Win_Probabilities!$F126:$S126))</f>
        <v>0.525793582628064</v>
      </c>
      <c r="J114" s="9" t="n">
        <f aca="false">I114*IF(H114&lt;0,10000/-H114,H114)-(1-I114)*100</f>
        <v>0.378774865357649</v>
      </c>
      <c r="K114" s="3" t="n">
        <v>4.5</v>
      </c>
      <c r="L114" s="3" t="n">
        <v>108</v>
      </c>
      <c r="M114" s="8" t="n">
        <f aca="false">IF(K114="","",SUMPRODUCT((COLUMN(Win_Probabilities!$F$1:$S$1)-COLUMN(Win_Probabilities!$F$1)&gt;K114)*Win_Probabilities!$F126:$S126))</f>
        <v>0.525793582628064</v>
      </c>
      <c r="N114" s="9" t="n">
        <f aca="false">M114*IF(L114&lt;0,10000/-L114,L114)-(1-M114)*100</f>
        <v>9.36506518663728</v>
      </c>
      <c r="O114" s="3" t="n">
        <v>4.5</v>
      </c>
      <c r="P114" s="3" t="n">
        <v>105</v>
      </c>
      <c r="Q114" s="8" t="n">
        <f aca="false">IF(O114="","",SUMPRODUCT((COLUMN(Win_Probabilities!$F$1:$S$1)-COLUMN(Win_Probabilities!$F$1)&gt;O114)*Win_Probabilities!$F126:$S126))</f>
        <v>0.525793582628064</v>
      </c>
      <c r="R114" s="9" t="n">
        <f aca="false">Q114*IF(P114&lt;0,10000/-P114,P114)-(1-Q114)*100</f>
        <v>7.78768443875309</v>
      </c>
      <c r="S114" s="2" t="str">
        <f aca="false">IF(F114=MAX(F114,J114,N114,R114),"BetMGM",IF(J114=MAX(F114,J114,N114,R114),"DraftKings",IF(N114=MAX(F114,J114,N114,R114),"FanDuel",IF(R114=MAX(F114,J114,N114,R114),"RiversCasino",""))))</f>
        <v>FanDuel</v>
      </c>
      <c r="T114" s="9" t="n">
        <f aca="false">MAX(F114,J114,N114,R114)</f>
        <v>9.36506518663728</v>
      </c>
      <c r="U114" s="2" t="n">
        <f aca="false">MAX(C114,G114,K114,O114)-MIN(C114,G114,K114,O114)</f>
        <v>0</v>
      </c>
    </row>
    <row r="115" customFormat="false" ht="15" hidden="false" customHeight="false" outlineLevel="0" collapsed="false">
      <c r="A115" s="2" t="s">
        <v>187</v>
      </c>
      <c r="B115" s="7" t="n">
        <f aca="false">Win_Probabilities!E131</f>
        <v>3.57436943162509</v>
      </c>
      <c r="C115" s="3" t="n">
        <v>4.5</v>
      </c>
      <c r="D115" s="3" t="n">
        <v>-105</v>
      </c>
      <c r="E115" s="8" t="n">
        <f aca="false">IF(C115="","",SUMPRODUCT((COLUMN(Win_Probabilities!$F$1:$S$1)-COLUMN(Win_Probabilities!$F$1)&gt;C115)*Win_Probabilities!$F131:$S131))</f>
        <v>0.239653339236214</v>
      </c>
      <c r="F115" s="9" t="n">
        <f aca="false">E115*IF(D115&lt;0,10000/-D115,D115)-(1-E115)*100</f>
        <v>-53.2105385300726</v>
      </c>
      <c r="G115" s="3" t="n">
        <v>4.5</v>
      </c>
      <c r="H115" s="3" t="n">
        <v>-125</v>
      </c>
      <c r="I115" s="8" t="n">
        <f aca="false">IF(G115="","",SUMPRODUCT((COLUMN(Win_Probabilities!$F$1:$S$1)-COLUMN(Win_Probabilities!$F$1)&gt;G115)*Win_Probabilities!$F131:$S131))</f>
        <v>0.239653339236214</v>
      </c>
      <c r="J115" s="9" t="n">
        <f aca="false">I115*IF(H115&lt;0,10000/-H115,H115)-(1-I115)*100</f>
        <v>-56.8623989374815</v>
      </c>
      <c r="K115" s="3" t="n">
        <v>4.5</v>
      </c>
      <c r="L115" s="3" t="n">
        <v>-100</v>
      </c>
      <c r="M115" s="8" t="n">
        <f aca="false">IF(K115="","",SUMPRODUCT((COLUMN(Win_Probabilities!$F$1:$S$1)-COLUMN(Win_Probabilities!$F$1)&gt;K115)*Win_Probabilities!$F131:$S131))</f>
        <v>0.239653339236214</v>
      </c>
      <c r="N115" s="9" t="n">
        <f aca="false">M115*IF(L115&lt;0,10000/-L115,L115)-(1-M115)*100</f>
        <v>-52.0693321527573</v>
      </c>
      <c r="O115" s="3" t="n">
        <v>4.5</v>
      </c>
      <c r="P115" s="3" t="n">
        <v>-118</v>
      </c>
      <c r="Q115" s="8" t="n">
        <f aca="false">IF(O115="","",SUMPRODUCT((COLUMN(Win_Probabilities!$F$1:$S$1)-COLUMN(Win_Probabilities!$F$1)&gt;O115)*Win_Probabilities!$F131:$S131))</f>
        <v>0.239653339236214</v>
      </c>
      <c r="R115" s="9" t="n">
        <f aca="false">Q115*IF(P115&lt;0,10000/-P115,P115)-(1-Q115)*100</f>
        <v>-55.7250610563605</v>
      </c>
      <c r="S115" s="2" t="str">
        <f aca="false">IF(F115=MAX(F115,J115,N115,R115),"BetMGM",IF(J115=MAX(F115,J115,N115,R115),"DraftKings",IF(N115=MAX(F115,J115,N115,R115),"FanDuel",IF(R115=MAX(F115,J115,N115,R115),"RiversCasino",""))))</f>
        <v>FanDuel</v>
      </c>
      <c r="T115" s="9" t="n">
        <f aca="false">MAX(F115,J115,N115,R115)</f>
        <v>-52.0693321527573</v>
      </c>
      <c r="U115" s="2" t="n">
        <f aca="false">MAX(C115,G115,K115,O115)-MIN(C115,G115,K115,O115)</f>
        <v>0</v>
      </c>
    </row>
    <row r="117" customFormat="false" ht="15" hidden="false" customHeight="false" outlineLevel="0" collapsed="false">
      <c r="A117" s="2" t="s">
        <v>234</v>
      </c>
    </row>
  </sheetData>
  <autoFilter ref="A2:U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5" t="s">
        <v>36</v>
      </c>
      <c r="B1" s="5" t="s">
        <v>37</v>
      </c>
      <c r="C1" s="5" t="s">
        <v>235</v>
      </c>
      <c r="D1" s="5" t="s">
        <v>236</v>
      </c>
      <c r="E1" s="5" t="s">
        <v>237</v>
      </c>
    </row>
    <row r="2" customFormat="false" ht="15" hidden="false" customHeight="false" outlineLevel="0" collapsed="false">
      <c r="A2" s="2" t="s">
        <v>58</v>
      </c>
      <c r="B2" s="3" t="n">
        <v>32.7</v>
      </c>
      <c r="C2" s="2" t="s">
        <v>238</v>
      </c>
    </row>
    <row r="3" customFormat="false" ht="15" hidden="false" customHeight="false" outlineLevel="0" collapsed="false">
      <c r="A3" s="2" t="s">
        <v>59</v>
      </c>
      <c r="B3" s="3" t="n">
        <v>29.2</v>
      </c>
      <c r="C3" s="2" t="s">
        <v>238</v>
      </c>
    </row>
    <row r="4" customFormat="false" ht="15" hidden="false" customHeight="false" outlineLevel="0" collapsed="false">
      <c r="A4" s="2" t="s">
        <v>60</v>
      </c>
      <c r="B4" s="3" t="n">
        <v>26.5</v>
      </c>
      <c r="C4" s="2" t="s">
        <v>238</v>
      </c>
    </row>
    <row r="5" customFormat="false" ht="15" hidden="false" customHeight="false" outlineLevel="0" collapsed="false">
      <c r="A5" s="2" t="s">
        <v>61</v>
      </c>
      <c r="B5" s="3" t="n">
        <v>26.4</v>
      </c>
      <c r="C5" s="2" t="s">
        <v>238</v>
      </c>
    </row>
    <row r="6" customFormat="false" ht="15" hidden="false" customHeight="false" outlineLevel="0" collapsed="false">
      <c r="A6" s="2" t="s">
        <v>62</v>
      </c>
      <c r="B6" s="3" t="n">
        <v>25.8</v>
      </c>
      <c r="C6" s="2" t="s">
        <v>238</v>
      </c>
    </row>
    <row r="7" customFormat="false" ht="15" hidden="false" customHeight="false" outlineLevel="0" collapsed="false">
      <c r="A7" s="2" t="s">
        <v>63</v>
      </c>
      <c r="B7" s="3" t="n">
        <v>22.8</v>
      </c>
      <c r="C7" s="2" t="s">
        <v>238</v>
      </c>
    </row>
    <row r="8" customFormat="false" ht="15" hidden="false" customHeight="false" outlineLevel="0" collapsed="false">
      <c r="A8" s="2" t="s">
        <v>64</v>
      </c>
      <c r="B8" s="3" t="n">
        <v>22</v>
      </c>
      <c r="C8" s="2" t="s">
        <v>238</v>
      </c>
    </row>
    <row r="9" customFormat="false" ht="15" hidden="false" customHeight="false" outlineLevel="0" collapsed="false">
      <c r="A9" s="2" t="s">
        <v>65</v>
      </c>
      <c r="B9" s="3" t="n">
        <v>21.8</v>
      </c>
      <c r="C9" s="2" t="s">
        <v>238</v>
      </c>
    </row>
    <row r="10" customFormat="false" ht="15" hidden="false" customHeight="false" outlineLevel="0" collapsed="false">
      <c r="A10" s="2" t="s">
        <v>66</v>
      </c>
      <c r="B10" s="3" t="n">
        <v>20.9</v>
      </c>
      <c r="C10" s="2" t="s">
        <v>238</v>
      </c>
    </row>
    <row r="11" customFormat="false" ht="15" hidden="false" customHeight="false" outlineLevel="0" collapsed="false">
      <c r="A11" s="2" t="s">
        <v>67</v>
      </c>
      <c r="B11" s="3" t="n">
        <v>20.4</v>
      </c>
      <c r="C11" s="2" t="s">
        <v>238</v>
      </c>
    </row>
    <row r="12" customFormat="false" ht="15" hidden="false" customHeight="false" outlineLevel="0" collapsed="false">
      <c r="A12" s="2" t="s">
        <v>68</v>
      </c>
      <c r="B12" s="3" t="n">
        <v>18.8</v>
      </c>
      <c r="C12" s="2" t="s">
        <v>238</v>
      </c>
    </row>
    <row r="13" customFormat="false" ht="15" hidden="false" customHeight="false" outlineLevel="0" collapsed="false">
      <c r="A13" s="2" t="s">
        <v>69</v>
      </c>
      <c r="B13" s="3" t="n">
        <v>17.7</v>
      </c>
      <c r="C13" s="2" t="s">
        <v>238</v>
      </c>
    </row>
    <row r="14" customFormat="false" ht="15" hidden="false" customHeight="false" outlineLevel="0" collapsed="false">
      <c r="A14" s="2" t="s">
        <v>70</v>
      </c>
      <c r="B14" s="3" t="n">
        <v>17.6</v>
      </c>
      <c r="C14" s="2" t="s">
        <v>238</v>
      </c>
    </row>
    <row r="15" customFormat="false" ht="15" hidden="false" customHeight="false" outlineLevel="0" collapsed="false">
      <c r="A15" s="2" t="s">
        <v>71</v>
      </c>
      <c r="B15" s="3" t="n">
        <v>17.3</v>
      </c>
      <c r="C15" s="2" t="s">
        <v>238</v>
      </c>
    </row>
    <row r="16" customFormat="false" ht="15" hidden="false" customHeight="false" outlineLevel="0" collapsed="false">
      <c r="A16" s="2" t="s">
        <v>72</v>
      </c>
      <c r="B16" s="3" t="n">
        <v>17</v>
      </c>
      <c r="C16" s="2" t="s">
        <v>238</v>
      </c>
    </row>
    <row r="17" customFormat="false" ht="15" hidden="false" customHeight="false" outlineLevel="0" collapsed="false">
      <c r="A17" s="2" t="s">
        <v>73</v>
      </c>
      <c r="B17" s="3" t="n">
        <v>16.5</v>
      </c>
      <c r="C17" s="2" t="s">
        <v>238</v>
      </c>
    </row>
    <row r="18" customFormat="false" ht="15" hidden="false" customHeight="false" outlineLevel="0" collapsed="false">
      <c r="A18" s="2" t="s">
        <v>74</v>
      </c>
      <c r="B18" s="3" t="n">
        <v>16.2</v>
      </c>
      <c r="C18" s="2" t="s">
        <v>238</v>
      </c>
    </row>
    <row r="19" customFormat="false" ht="15" hidden="false" customHeight="false" outlineLevel="0" collapsed="false">
      <c r="A19" s="2" t="s">
        <v>75</v>
      </c>
      <c r="B19" s="3" t="n">
        <v>15.8</v>
      </c>
      <c r="C19" s="2" t="s">
        <v>238</v>
      </c>
    </row>
    <row r="20" customFormat="false" ht="15" hidden="false" customHeight="false" outlineLevel="0" collapsed="false">
      <c r="A20" s="2" t="s">
        <v>76</v>
      </c>
      <c r="B20" s="3" t="n">
        <v>15.4</v>
      </c>
      <c r="C20" s="2" t="s">
        <v>238</v>
      </c>
    </row>
    <row r="21" customFormat="false" ht="15" hidden="false" customHeight="false" outlineLevel="0" collapsed="false">
      <c r="A21" s="2" t="s">
        <v>77</v>
      </c>
      <c r="B21" s="3" t="n">
        <v>15.2</v>
      </c>
      <c r="C21" s="2" t="s">
        <v>238</v>
      </c>
    </row>
    <row r="22" customFormat="false" ht="15" hidden="false" customHeight="false" outlineLevel="0" collapsed="false">
      <c r="A22" s="2" t="s">
        <v>78</v>
      </c>
      <c r="B22" s="3" t="n">
        <v>14.9</v>
      </c>
      <c r="C22" s="2" t="s">
        <v>238</v>
      </c>
    </row>
    <row r="23" customFormat="false" ht="15" hidden="false" customHeight="false" outlineLevel="0" collapsed="false">
      <c r="A23" s="2" t="s">
        <v>79</v>
      </c>
      <c r="B23" s="3" t="n">
        <v>14.6</v>
      </c>
      <c r="C23" s="2" t="s">
        <v>238</v>
      </c>
    </row>
    <row r="24" customFormat="false" ht="15" hidden="false" customHeight="false" outlineLevel="0" collapsed="false">
      <c r="A24" s="2" t="s">
        <v>80</v>
      </c>
      <c r="B24" s="3" t="n">
        <v>13.1</v>
      </c>
      <c r="C24" s="2" t="s">
        <v>238</v>
      </c>
    </row>
    <row r="25" customFormat="false" ht="15" hidden="false" customHeight="false" outlineLevel="0" collapsed="false">
      <c r="A25" s="2" t="s">
        <v>81</v>
      </c>
      <c r="B25" s="3" t="n">
        <v>12.6</v>
      </c>
      <c r="C25" s="2" t="s">
        <v>238</v>
      </c>
    </row>
    <row r="26" customFormat="false" ht="15" hidden="false" customHeight="false" outlineLevel="0" collapsed="false">
      <c r="A26" s="2" t="s">
        <v>82</v>
      </c>
      <c r="B26" s="3" t="n">
        <v>12.1</v>
      </c>
      <c r="C26" s="2" t="s">
        <v>238</v>
      </c>
    </row>
    <row r="27" customFormat="false" ht="15" hidden="false" customHeight="false" outlineLevel="0" collapsed="false">
      <c r="A27" s="2" t="s">
        <v>83</v>
      </c>
      <c r="B27" s="3" t="n">
        <v>11.5</v>
      </c>
      <c r="C27" s="2" t="s">
        <v>238</v>
      </c>
    </row>
    <row r="28" customFormat="false" ht="15" hidden="false" customHeight="false" outlineLevel="0" collapsed="false">
      <c r="A28" s="2" t="s">
        <v>84</v>
      </c>
      <c r="B28" s="3" t="n">
        <v>11.1</v>
      </c>
      <c r="C28" s="2" t="s">
        <v>238</v>
      </c>
    </row>
    <row r="29" customFormat="false" ht="15" hidden="false" customHeight="false" outlineLevel="0" collapsed="false">
      <c r="A29" s="2" t="s">
        <v>85</v>
      </c>
      <c r="B29" s="3" t="n">
        <v>10.4</v>
      </c>
      <c r="C29" s="2" t="s">
        <v>238</v>
      </c>
    </row>
    <row r="30" customFormat="false" ht="15" hidden="false" customHeight="false" outlineLevel="0" collapsed="false">
      <c r="A30" s="2" t="s">
        <v>86</v>
      </c>
      <c r="B30" s="3" t="n">
        <v>9.8</v>
      </c>
      <c r="C30" s="2" t="s">
        <v>238</v>
      </c>
    </row>
    <row r="31" customFormat="false" ht="15" hidden="false" customHeight="false" outlineLevel="0" collapsed="false">
      <c r="A31" s="2" t="s">
        <v>87</v>
      </c>
      <c r="B31" s="3" t="n">
        <v>9.8</v>
      </c>
      <c r="C31" s="2" t="s">
        <v>238</v>
      </c>
    </row>
    <row r="32" customFormat="false" ht="15" hidden="false" customHeight="false" outlineLevel="0" collapsed="false">
      <c r="A32" s="2" t="s">
        <v>88</v>
      </c>
      <c r="B32" s="3" t="n">
        <v>9.5</v>
      </c>
      <c r="C32" s="2" t="s">
        <v>238</v>
      </c>
    </row>
    <row r="33" customFormat="false" ht="15" hidden="false" customHeight="false" outlineLevel="0" collapsed="false">
      <c r="A33" s="2" t="s">
        <v>89</v>
      </c>
      <c r="B33" s="3" t="n">
        <v>9.4</v>
      </c>
      <c r="C33" s="2" t="s">
        <v>238</v>
      </c>
    </row>
    <row r="34" customFormat="false" ht="15" hidden="false" customHeight="false" outlineLevel="0" collapsed="false">
      <c r="A34" s="2" t="s">
        <v>90</v>
      </c>
      <c r="B34" s="3" t="n">
        <v>9.3</v>
      </c>
      <c r="C34" s="2" t="s">
        <v>238</v>
      </c>
    </row>
    <row r="35" customFormat="false" ht="15" hidden="false" customHeight="false" outlineLevel="0" collapsed="false">
      <c r="A35" s="2" t="s">
        <v>91</v>
      </c>
      <c r="B35" s="3" t="n">
        <v>9.2</v>
      </c>
      <c r="C35" s="2" t="s">
        <v>238</v>
      </c>
    </row>
    <row r="36" customFormat="false" ht="15" hidden="false" customHeight="false" outlineLevel="0" collapsed="false">
      <c r="A36" s="2" t="s">
        <v>92</v>
      </c>
      <c r="B36" s="3" t="n">
        <v>9.1</v>
      </c>
      <c r="C36" s="2" t="s">
        <v>238</v>
      </c>
    </row>
    <row r="37" customFormat="false" ht="15" hidden="false" customHeight="false" outlineLevel="0" collapsed="false">
      <c r="A37" s="2" t="s">
        <v>93</v>
      </c>
      <c r="B37" s="3" t="n">
        <v>8.6</v>
      </c>
      <c r="C37" s="2" t="s">
        <v>238</v>
      </c>
    </row>
    <row r="38" customFormat="false" ht="15" hidden="false" customHeight="false" outlineLevel="0" collapsed="false">
      <c r="A38" s="2" t="s">
        <v>94</v>
      </c>
      <c r="B38" s="3" t="n">
        <v>8.1</v>
      </c>
      <c r="C38" s="2" t="s">
        <v>238</v>
      </c>
    </row>
    <row r="39" customFormat="false" ht="15" hidden="false" customHeight="false" outlineLevel="0" collapsed="false">
      <c r="A39" s="2" t="s">
        <v>95</v>
      </c>
      <c r="B39" s="3" t="n">
        <v>7.4</v>
      </c>
      <c r="C39" s="2" t="s">
        <v>238</v>
      </c>
    </row>
    <row r="40" customFormat="false" ht="15" hidden="false" customHeight="false" outlineLevel="0" collapsed="false">
      <c r="A40" s="2" t="s">
        <v>96</v>
      </c>
      <c r="B40" s="3" t="n">
        <v>6.9</v>
      </c>
      <c r="C40" s="2" t="s">
        <v>238</v>
      </c>
    </row>
    <row r="41" customFormat="false" ht="15" hidden="false" customHeight="false" outlineLevel="0" collapsed="false">
      <c r="A41" s="2" t="s">
        <v>97</v>
      </c>
      <c r="B41" s="3" t="n">
        <v>6.2</v>
      </c>
      <c r="C41" s="2" t="s">
        <v>238</v>
      </c>
    </row>
    <row r="42" customFormat="false" ht="15" hidden="false" customHeight="false" outlineLevel="0" collapsed="false">
      <c r="A42" s="2" t="s">
        <v>98</v>
      </c>
      <c r="B42" s="3" t="n">
        <v>6.2</v>
      </c>
      <c r="C42" s="2" t="s">
        <v>238</v>
      </c>
    </row>
    <row r="43" customFormat="false" ht="15" hidden="false" customHeight="false" outlineLevel="0" collapsed="false">
      <c r="A43" s="2" t="s">
        <v>99</v>
      </c>
      <c r="B43" s="3" t="n">
        <v>5.9</v>
      </c>
      <c r="C43" s="2" t="s">
        <v>238</v>
      </c>
    </row>
    <row r="44" customFormat="false" ht="15" hidden="false" customHeight="false" outlineLevel="0" collapsed="false">
      <c r="A44" s="2" t="s">
        <v>100</v>
      </c>
      <c r="B44" s="3" t="n">
        <v>5.7</v>
      </c>
      <c r="C44" s="2" t="s">
        <v>238</v>
      </c>
    </row>
    <row r="45" customFormat="false" ht="15" hidden="false" customHeight="false" outlineLevel="0" collapsed="false">
      <c r="A45" s="2" t="s">
        <v>101</v>
      </c>
      <c r="B45" s="3" t="n">
        <v>5.6</v>
      </c>
      <c r="C45" s="2" t="s">
        <v>238</v>
      </c>
    </row>
    <row r="46" customFormat="false" ht="15" hidden="false" customHeight="false" outlineLevel="0" collapsed="false">
      <c r="A46" s="2" t="s">
        <v>102</v>
      </c>
      <c r="B46" s="3" t="n">
        <v>5.6</v>
      </c>
      <c r="C46" s="2" t="s">
        <v>238</v>
      </c>
    </row>
    <row r="47" customFormat="false" ht="15" hidden="false" customHeight="false" outlineLevel="0" collapsed="false">
      <c r="A47" s="2" t="s">
        <v>103</v>
      </c>
      <c r="B47" s="3" t="n">
        <v>5.4</v>
      </c>
      <c r="C47" s="2" t="s">
        <v>238</v>
      </c>
    </row>
    <row r="48" customFormat="false" ht="15" hidden="false" customHeight="false" outlineLevel="0" collapsed="false">
      <c r="A48" s="2" t="s">
        <v>104</v>
      </c>
      <c r="B48" s="3" t="n">
        <v>5.2</v>
      </c>
      <c r="C48" s="2" t="s">
        <v>238</v>
      </c>
    </row>
    <row r="49" customFormat="false" ht="15" hidden="false" customHeight="false" outlineLevel="0" collapsed="false">
      <c r="A49" s="2" t="s">
        <v>105</v>
      </c>
      <c r="B49" s="3" t="n">
        <v>5.2</v>
      </c>
      <c r="C49" s="2" t="s">
        <v>238</v>
      </c>
    </row>
    <row r="50" customFormat="false" ht="15" hidden="false" customHeight="false" outlineLevel="0" collapsed="false">
      <c r="A50" s="2" t="s">
        <v>106</v>
      </c>
      <c r="B50" s="3" t="n">
        <v>5.1</v>
      </c>
      <c r="C50" s="2" t="s">
        <v>238</v>
      </c>
    </row>
    <row r="51" customFormat="false" ht="15" hidden="false" customHeight="false" outlineLevel="0" collapsed="false">
      <c r="A51" s="2" t="s">
        <v>107</v>
      </c>
      <c r="B51" s="3" t="n">
        <v>5.1</v>
      </c>
      <c r="C51" s="2" t="s">
        <v>238</v>
      </c>
    </row>
    <row r="52" customFormat="false" ht="15" hidden="false" customHeight="false" outlineLevel="0" collapsed="false">
      <c r="A52" s="2" t="s">
        <v>108</v>
      </c>
      <c r="B52" s="3" t="n">
        <v>4.9</v>
      </c>
      <c r="C52" s="2" t="s">
        <v>238</v>
      </c>
    </row>
    <row r="53" customFormat="false" ht="15" hidden="false" customHeight="false" outlineLevel="0" collapsed="false">
      <c r="A53" s="2" t="s">
        <v>109</v>
      </c>
      <c r="B53" s="3" t="n">
        <v>4.8</v>
      </c>
      <c r="C53" s="2" t="s">
        <v>238</v>
      </c>
    </row>
    <row r="54" customFormat="false" ht="15" hidden="false" customHeight="false" outlineLevel="0" collapsed="false">
      <c r="A54" s="2" t="s">
        <v>110</v>
      </c>
      <c r="B54" s="3" t="n">
        <v>3.8</v>
      </c>
      <c r="C54" s="2" t="s">
        <v>238</v>
      </c>
    </row>
    <row r="55" customFormat="false" ht="15" hidden="false" customHeight="false" outlineLevel="0" collapsed="false">
      <c r="A55" s="2" t="s">
        <v>111</v>
      </c>
      <c r="B55" s="3" t="n">
        <v>3.8</v>
      </c>
      <c r="C55" s="2" t="s">
        <v>238</v>
      </c>
    </row>
    <row r="56" customFormat="false" ht="15" hidden="false" customHeight="false" outlineLevel="0" collapsed="false">
      <c r="A56" s="2" t="s">
        <v>112</v>
      </c>
      <c r="B56" s="3" t="n">
        <v>3.6</v>
      </c>
      <c r="C56" s="2" t="s">
        <v>238</v>
      </c>
    </row>
    <row r="57" customFormat="false" ht="15" hidden="false" customHeight="false" outlineLevel="0" collapsed="false">
      <c r="A57" s="2" t="s">
        <v>113</v>
      </c>
      <c r="B57" s="3" t="n">
        <v>3.5</v>
      </c>
      <c r="C57" s="2" t="s">
        <v>238</v>
      </c>
    </row>
    <row r="58" customFormat="false" ht="15" hidden="false" customHeight="false" outlineLevel="0" collapsed="false">
      <c r="A58" s="2" t="s">
        <v>114</v>
      </c>
      <c r="B58" s="3" t="n">
        <v>3.4</v>
      </c>
      <c r="C58" s="2" t="s">
        <v>238</v>
      </c>
    </row>
    <row r="59" customFormat="false" ht="15" hidden="false" customHeight="false" outlineLevel="0" collapsed="false">
      <c r="A59" s="2" t="s">
        <v>115</v>
      </c>
      <c r="B59" s="3" t="n">
        <v>3.3</v>
      </c>
      <c r="C59" s="2" t="s">
        <v>238</v>
      </c>
    </row>
    <row r="60" customFormat="false" ht="15" hidden="false" customHeight="false" outlineLevel="0" collapsed="false">
      <c r="A60" s="2" t="s">
        <v>116</v>
      </c>
      <c r="B60" s="3" t="n">
        <v>3</v>
      </c>
      <c r="C60" s="2" t="s">
        <v>238</v>
      </c>
    </row>
    <row r="61" customFormat="false" ht="15" hidden="false" customHeight="false" outlineLevel="0" collapsed="false">
      <c r="A61" s="2" t="s">
        <v>117</v>
      </c>
      <c r="B61" s="3" t="n">
        <v>3</v>
      </c>
      <c r="C61" s="2" t="s">
        <v>238</v>
      </c>
    </row>
    <row r="62" customFormat="false" ht="15" hidden="false" customHeight="false" outlineLevel="0" collapsed="false">
      <c r="A62" s="2" t="s">
        <v>118</v>
      </c>
      <c r="B62" s="3" t="n">
        <v>2.7</v>
      </c>
      <c r="C62" s="2" t="s">
        <v>238</v>
      </c>
    </row>
    <row r="63" customFormat="false" ht="15" hidden="false" customHeight="false" outlineLevel="0" collapsed="false">
      <c r="A63" s="2" t="s">
        <v>119</v>
      </c>
      <c r="B63" s="3" t="n">
        <v>2.2</v>
      </c>
      <c r="C63" s="2" t="s">
        <v>238</v>
      </c>
    </row>
    <row r="64" customFormat="false" ht="15" hidden="false" customHeight="false" outlineLevel="0" collapsed="false">
      <c r="A64" s="2" t="s">
        <v>120</v>
      </c>
      <c r="B64" s="3" t="n">
        <v>1.7</v>
      </c>
      <c r="C64" s="2" t="s">
        <v>238</v>
      </c>
    </row>
    <row r="65" customFormat="false" ht="15" hidden="false" customHeight="false" outlineLevel="0" collapsed="false">
      <c r="A65" s="2" t="s">
        <v>121</v>
      </c>
      <c r="B65" s="3" t="n">
        <v>1.2</v>
      </c>
      <c r="C65" s="2" t="s">
        <v>238</v>
      </c>
    </row>
    <row r="66" customFormat="false" ht="15" hidden="false" customHeight="false" outlineLevel="0" collapsed="false">
      <c r="A66" s="2" t="s">
        <v>122</v>
      </c>
      <c r="B66" s="3" t="n">
        <v>0.7</v>
      </c>
      <c r="C66" s="2" t="s">
        <v>238</v>
      </c>
    </row>
    <row r="67" customFormat="false" ht="15" hidden="false" customHeight="false" outlineLevel="0" collapsed="false">
      <c r="A67" s="2" t="s">
        <v>123</v>
      </c>
      <c r="B67" s="3" t="n">
        <v>0.7</v>
      </c>
      <c r="C67" s="2" t="s">
        <v>238</v>
      </c>
    </row>
    <row r="68" customFormat="false" ht="15" hidden="false" customHeight="false" outlineLevel="0" collapsed="false">
      <c r="A68" s="2" t="s">
        <v>124</v>
      </c>
      <c r="B68" s="3" t="n">
        <v>0.3</v>
      </c>
      <c r="C68" s="2" t="s">
        <v>238</v>
      </c>
    </row>
    <row r="69" customFormat="false" ht="15" hidden="false" customHeight="false" outlineLevel="0" collapsed="false">
      <c r="A69" s="2" t="s">
        <v>125</v>
      </c>
      <c r="B69" s="3" t="n">
        <v>0</v>
      </c>
      <c r="C69" s="2" t="s">
        <v>238</v>
      </c>
    </row>
    <row r="70" customFormat="false" ht="15" hidden="false" customHeight="false" outlineLevel="0" collapsed="false">
      <c r="A70" s="2" t="s">
        <v>126</v>
      </c>
      <c r="B70" s="3" t="n">
        <v>-0.4</v>
      </c>
      <c r="C70" s="2" t="s">
        <v>238</v>
      </c>
    </row>
    <row r="71" customFormat="false" ht="15" hidden="false" customHeight="false" outlineLevel="0" collapsed="false">
      <c r="A71" s="2" t="s">
        <v>127</v>
      </c>
      <c r="B71" s="3" t="n">
        <v>-0.9</v>
      </c>
      <c r="C71" s="2" t="s">
        <v>238</v>
      </c>
    </row>
    <row r="72" customFormat="false" ht="15" hidden="false" customHeight="false" outlineLevel="0" collapsed="false">
      <c r="A72" s="2" t="s">
        <v>128</v>
      </c>
      <c r="B72" s="3" t="n">
        <v>-1.1</v>
      </c>
      <c r="C72" s="2" t="s">
        <v>238</v>
      </c>
    </row>
    <row r="73" customFormat="false" ht="15" hidden="false" customHeight="false" outlineLevel="0" collapsed="false">
      <c r="A73" s="2" t="s">
        <v>129</v>
      </c>
      <c r="B73" s="3" t="n">
        <v>-1.3</v>
      </c>
      <c r="C73" s="2" t="s">
        <v>238</v>
      </c>
    </row>
    <row r="74" customFormat="false" ht="15" hidden="false" customHeight="false" outlineLevel="0" collapsed="false">
      <c r="A74" s="2" t="s">
        <v>130</v>
      </c>
      <c r="B74" s="3" t="n">
        <v>-1.4</v>
      </c>
      <c r="C74" s="2" t="s">
        <v>238</v>
      </c>
    </row>
    <row r="75" customFormat="false" ht="15" hidden="false" customHeight="false" outlineLevel="0" collapsed="false">
      <c r="A75" s="2" t="s">
        <v>131</v>
      </c>
      <c r="B75" s="3" t="n">
        <v>-1.7</v>
      </c>
      <c r="C75" s="2" t="s">
        <v>238</v>
      </c>
    </row>
    <row r="76" customFormat="false" ht="15" hidden="false" customHeight="false" outlineLevel="0" collapsed="false">
      <c r="A76" s="2" t="s">
        <v>132</v>
      </c>
      <c r="B76" s="3" t="n">
        <v>-1.8</v>
      </c>
      <c r="C76" s="2" t="s">
        <v>238</v>
      </c>
    </row>
    <row r="77" customFormat="false" ht="15" hidden="false" customHeight="false" outlineLevel="0" collapsed="false">
      <c r="A77" s="2" t="s">
        <v>133</v>
      </c>
      <c r="B77" s="3" t="n">
        <v>-1.9</v>
      </c>
      <c r="C77" s="2" t="s">
        <v>238</v>
      </c>
    </row>
    <row r="78" customFormat="false" ht="15" hidden="false" customHeight="false" outlineLevel="0" collapsed="false">
      <c r="A78" s="2" t="s">
        <v>134</v>
      </c>
      <c r="B78" s="3" t="n">
        <v>-2.1</v>
      </c>
      <c r="C78" s="2" t="s">
        <v>238</v>
      </c>
    </row>
    <row r="79" customFormat="false" ht="15" hidden="false" customHeight="false" outlineLevel="0" collapsed="false">
      <c r="A79" s="2" t="s">
        <v>135</v>
      </c>
      <c r="B79" s="3" t="n">
        <v>-2.2</v>
      </c>
      <c r="C79" s="2" t="s">
        <v>238</v>
      </c>
    </row>
    <row r="80" customFormat="false" ht="15" hidden="false" customHeight="false" outlineLevel="0" collapsed="false">
      <c r="A80" s="2" t="s">
        <v>136</v>
      </c>
      <c r="B80" s="3" t="n">
        <v>-2.3</v>
      </c>
      <c r="C80" s="2" t="s">
        <v>238</v>
      </c>
    </row>
    <row r="81" customFormat="false" ht="15" hidden="false" customHeight="false" outlineLevel="0" collapsed="false">
      <c r="A81" s="2" t="s">
        <v>137</v>
      </c>
      <c r="B81" s="3" t="n">
        <v>-2.3</v>
      </c>
      <c r="C81" s="2" t="s">
        <v>238</v>
      </c>
    </row>
    <row r="82" customFormat="false" ht="15" hidden="false" customHeight="false" outlineLevel="0" collapsed="false">
      <c r="A82" s="2" t="s">
        <v>138</v>
      </c>
      <c r="B82" s="3" t="n">
        <v>-2.4</v>
      </c>
      <c r="C82" s="2" t="s">
        <v>238</v>
      </c>
    </row>
    <row r="83" customFormat="false" ht="15" hidden="false" customHeight="false" outlineLevel="0" collapsed="false">
      <c r="A83" s="2" t="s">
        <v>139</v>
      </c>
      <c r="B83" s="3" t="n">
        <v>-2.5</v>
      </c>
      <c r="C83" s="2" t="s">
        <v>238</v>
      </c>
    </row>
    <row r="84" customFormat="false" ht="15" hidden="false" customHeight="false" outlineLevel="0" collapsed="false">
      <c r="A84" s="2" t="s">
        <v>140</v>
      </c>
      <c r="B84" s="3" t="n">
        <v>-2.6</v>
      </c>
      <c r="C84" s="2" t="s">
        <v>238</v>
      </c>
    </row>
    <row r="85" customFormat="false" ht="15" hidden="false" customHeight="false" outlineLevel="0" collapsed="false">
      <c r="A85" s="2" t="s">
        <v>141</v>
      </c>
      <c r="B85" s="3" t="n">
        <v>-3.2</v>
      </c>
      <c r="C85" s="2" t="s">
        <v>238</v>
      </c>
    </row>
    <row r="86" customFormat="false" ht="15" hidden="false" customHeight="false" outlineLevel="0" collapsed="false">
      <c r="A86" s="2" t="s">
        <v>142</v>
      </c>
      <c r="B86" s="3" t="n">
        <v>-4</v>
      </c>
      <c r="C86" s="2" t="s">
        <v>238</v>
      </c>
    </row>
    <row r="87" customFormat="false" ht="15" hidden="false" customHeight="false" outlineLevel="0" collapsed="false">
      <c r="A87" s="2" t="s">
        <v>143</v>
      </c>
      <c r="B87" s="3" t="n">
        <v>-4.3</v>
      </c>
      <c r="C87" s="2" t="s">
        <v>238</v>
      </c>
    </row>
    <row r="88" customFormat="false" ht="15" hidden="false" customHeight="false" outlineLevel="0" collapsed="false">
      <c r="A88" s="2" t="s">
        <v>144</v>
      </c>
      <c r="B88" s="3" t="n">
        <v>-4.3</v>
      </c>
      <c r="C88" s="2" t="s">
        <v>238</v>
      </c>
    </row>
    <row r="89" customFormat="false" ht="15" hidden="false" customHeight="false" outlineLevel="0" collapsed="false">
      <c r="A89" s="2" t="s">
        <v>145</v>
      </c>
      <c r="B89" s="3" t="n">
        <v>-5.3</v>
      </c>
      <c r="C89" s="2" t="s">
        <v>238</v>
      </c>
    </row>
    <row r="90" customFormat="false" ht="15" hidden="false" customHeight="false" outlineLevel="0" collapsed="false">
      <c r="A90" s="2" t="s">
        <v>146</v>
      </c>
      <c r="B90" s="3" t="n">
        <v>-5.6</v>
      </c>
      <c r="C90" s="2" t="s">
        <v>238</v>
      </c>
    </row>
    <row r="91" customFormat="false" ht="15" hidden="false" customHeight="false" outlineLevel="0" collapsed="false">
      <c r="A91" s="2" t="s">
        <v>147</v>
      </c>
      <c r="B91" s="3" t="n">
        <v>-6</v>
      </c>
      <c r="C91" s="2" t="s">
        <v>238</v>
      </c>
    </row>
    <row r="92" customFormat="false" ht="15" hidden="false" customHeight="false" outlineLevel="0" collapsed="false">
      <c r="A92" s="2" t="s">
        <v>148</v>
      </c>
      <c r="B92" s="3" t="n">
        <v>-6.1</v>
      </c>
      <c r="C92" s="2" t="s">
        <v>238</v>
      </c>
    </row>
    <row r="93" customFormat="false" ht="15" hidden="false" customHeight="false" outlineLevel="0" collapsed="false">
      <c r="A93" s="2" t="s">
        <v>149</v>
      </c>
      <c r="B93" s="3" t="n">
        <v>-6.1</v>
      </c>
      <c r="C93" s="2" t="s">
        <v>238</v>
      </c>
    </row>
    <row r="94" customFormat="false" ht="15" hidden="false" customHeight="false" outlineLevel="0" collapsed="false">
      <c r="A94" s="2" t="s">
        <v>150</v>
      </c>
      <c r="B94" s="3" t="n">
        <v>-6.9</v>
      </c>
      <c r="C94" s="2" t="s">
        <v>238</v>
      </c>
    </row>
    <row r="95" customFormat="false" ht="15" hidden="false" customHeight="false" outlineLevel="0" collapsed="false">
      <c r="A95" s="2" t="s">
        <v>151</v>
      </c>
      <c r="B95" s="3" t="n">
        <v>-7.3</v>
      </c>
      <c r="C95" s="2" t="s">
        <v>238</v>
      </c>
    </row>
    <row r="96" customFormat="false" ht="15" hidden="false" customHeight="false" outlineLevel="0" collapsed="false">
      <c r="A96" s="2" t="s">
        <v>152</v>
      </c>
      <c r="B96" s="3" t="n">
        <v>-7.8</v>
      </c>
      <c r="C96" s="2" t="s">
        <v>238</v>
      </c>
    </row>
    <row r="97" customFormat="false" ht="15" hidden="false" customHeight="false" outlineLevel="0" collapsed="false">
      <c r="A97" s="2" t="s">
        <v>153</v>
      </c>
      <c r="B97" s="3" t="n">
        <v>-7.9</v>
      </c>
      <c r="C97" s="2" t="s">
        <v>238</v>
      </c>
    </row>
    <row r="98" customFormat="false" ht="15" hidden="false" customHeight="false" outlineLevel="0" collapsed="false">
      <c r="A98" s="2" t="s">
        <v>154</v>
      </c>
      <c r="B98" s="3" t="n">
        <v>-8</v>
      </c>
      <c r="C98" s="2" t="s">
        <v>238</v>
      </c>
    </row>
    <row r="99" customFormat="false" ht="15" hidden="false" customHeight="false" outlineLevel="0" collapsed="false">
      <c r="A99" s="2" t="s">
        <v>155</v>
      </c>
      <c r="B99" s="3" t="n">
        <v>-8.2</v>
      </c>
      <c r="C99" s="2" t="s">
        <v>238</v>
      </c>
    </row>
    <row r="100" customFormat="false" ht="15" hidden="false" customHeight="false" outlineLevel="0" collapsed="false">
      <c r="A100" s="2" t="s">
        <v>156</v>
      </c>
      <c r="B100" s="3" t="n">
        <v>-9.1</v>
      </c>
      <c r="C100" s="2" t="s">
        <v>238</v>
      </c>
    </row>
    <row r="101" customFormat="false" ht="15" hidden="false" customHeight="false" outlineLevel="0" collapsed="false">
      <c r="A101" s="2" t="s">
        <v>157</v>
      </c>
      <c r="B101" s="3" t="n">
        <v>-9.1</v>
      </c>
      <c r="C101" s="2" t="s">
        <v>238</v>
      </c>
    </row>
    <row r="102" customFormat="false" ht="15" hidden="false" customHeight="false" outlineLevel="0" collapsed="false">
      <c r="A102" s="2" t="s">
        <v>158</v>
      </c>
      <c r="B102" s="3" t="n">
        <v>-9.1</v>
      </c>
      <c r="C102" s="2" t="s">
        <v>238</v>
      </c>
    </row>
    <row r="103" customFormat="false" ht="15" hidden="false" customHeight="false" outlineLevel="0" collapsed="false">
      <c r="A103" s="2" t="s">
        <v>159</v>
      </c>
      <c r="B103" s="3" t="n">
        <v>-10.6</v>
      </c>
      <c r="C103" s="2" t="s">
        <v>238</v>
      </c>
    </row>
    <row r="104" customFormat="false" ht="15" hidden="false" customHeight="false" outlineLevel="0" collapsed="false">
      <c r="A104" s="2" t="s">
        <v>160</v>
      </c>
      <c r="B104" s="3" t="n">
        <v>-10.8</v>
      </c>
      <c r="C104" s="2" t="s">
        <v>238</v>
      </c>
    </row>
    <row r="105" customFormat="false" ht="15" hidden="false" customHeight="false" outlineLevel="0" collapsed="false">
      <c r="A105" s="2" t="s">
        <v>161</v>
      </c>
      <c r="B105" s="3" t="n">
        <v>-10.8</v>
      </c>
      <c r="C105" s="2" t="s">
        <v>238</v>
      </c>
    </row>
    <row r="106" customFormat="false" ht="15" hidden="false" customHeight="false" outlineLevel="0" collapsed="false">
      <c r="A106" s="2" t="s">
        <v>162</v>
      </c>
      <c r="B106" s="3" t="n">
        <v>-11.6</v>
      </c>
      <c r="C106" s="2" t="s">
        <v>238</v>
      </c>
    </row>
    <row r="107" customFormat="false" ht="15" hidden="false" customHeight="false" outlineLevel="0" collapsed="false">
      <c r="A107" s="2" t="s">
        <v>163</v>
      </c>
      <c r="B107" s="3" t="n">
        <v>-11.6</v>
      </c>
      <c r="C107" s="2" t="s">
        <v>238</v>
      </c>
    </row>
    <row r="108" customFormat="false" ht="15" hidden="false" customHeight="false" outlineLevel="0" collapsed="false">
      <c r="A108" s="2" t="s">
        <v>164</v>
      </c>
      <c r="B108" s="3" t="n">
        <v>-11.6</v>
      </c>
      <c r="C108" s="2" t="s">
        <v>238</v>
      </c>
    </row>
    <row r="109" customFormat="false" ht="15" hidden="false" customHeight="false" outlineLevel="0" collapsed="false">
      <c r="A109" s="2" t="s">
        <v>165</v>
      </c>
      <c r="B109" s="3" t="n">
        <v>-11.7</v>
      </c>
      <c r="C109" s="2" t="s">
        <v>238</v>
      </c>
    </row>
    <row r="110" customFormat="false" ht="15" hidden="false" customHeight="false" outlineLevel="0" collapsed="false">
      <c r="A110" s="2" t="s">
        <v>166</v>
      </c>
      <c r="B110" s="3" t="n">
        <v>-11.8</v>
      </c>
      <c r="C110" s="2" t="s">
        <v>238</v>
      </c>
    </row>
    <row r="111" customFormat="false" ht="15" hidden="false" customHeight="false" outlineLevel="0" collapsed="false">
      <c r="A111" s="2" t="s">
        <v>167</v>
      </c>
      <c r="B111" s="3" t="n">
        <v>-11.9</v>
      </c>
      <c r="C111" s="2" t="s">
        <v>238</v>
      </c>
    </row>
    <row r="112" customFormat="false" ht="15" hidden="false" customHeight="false" outlineLevel="0" collapsed="false">
      <c r="A112" s="2" t="s">
        <v>168</v>
      </c>
      <c r="B112" s="3" t="n">
        <v>-12.7</v>
      </c>
      <c r="C112" s="2" t="s">
        <v>238</v>
      </c>
    </row>
    <row r="113" customFormat="false" ht="15" hidden="false" customHeight="false" outlineLevel="0" collapsed="false">
      <c r="A113" s="2" t="s">
        <v>169</v>
      </c>
      <c r="B113" s="3" t="n">
        <v>-12.7</v>
      </c>
      <c r="C113" s="2" t="s">
        <v>238</v>
      </c>
    </row>
    <row r="114" customFormat="false" ht="15" hidden="false" customHeight="false" outlineLevel="0" collapsed="false">
      <c r="A114" s="2" t="s">
        <v>170</v>
      </c>
      <c r="B114" s="3" t="n">
        <v>-12.9</v>
      </c>
      <c r="C114" s="2" t="s">
        <v>238</v>
      </c>
    </row>
    <row r="115" customFormat="false" ht="15" hidden="false" customHeight="false" outlineLevel="0" collapsed="false">
      <c r="A115" s="2" t="s">
        <v>171</v>
      </c>
      <c r="B115" s="3" t="n">
        <v>-12.9</v>
      </c>
      <c r="C115" s="2" t="s">
        <v>238</v>
      </c>
    </row>
    <row r="116" customFormat="false" ht="15" hidden="false" customHeight="false" outlineLevel="0" collapsed="false">
      <c r="A116" s="2" t="s">
        <v>172</v>
      </c>
      <c r="B116" s="3" t="n">
        <v>-14.5</v>
      </c>
      <c r="C116" s="2" t="s">
        <v>238</v>
      </c>
    </row>
    <row r="117" customFormat="false" ht="15" hidden="false" customHeight="false" outlineLevel="0" collapsed="false">
      <c r="A117" s="2" t="s">
        <v>173</v>
      </c>
      <c r="B117" s="3" t="n">
        <v>-14.6</v>
      </c>
      <c r="C117" s="2" t="s">
        <v>238</v>
      </c>
    </row>
    <row r="118" customFormat="false" ht="15" hidden="false" customHeight="false" outlineLevel="0" collapsed="false">
      <c r="A118" s="2" t="s">
        <v>174</v>
      </c>
      <c r="B118" s="3" t="n">
        <v>-14.7</v>
      </c>
      <c r="C118" s="2" t="s">
        <v>238</v>
      </c>
    </row>
    <row r="119" customFormat="false" ht="15" hidden="false" customHeight="false" outlineLevel="0" collapsed="false">
      <c r="A119" s="2" t="s">
        <v>175</v>
      </c>
      <c r="B119" s="3" t="n">
        <v>-15</v>
      </c>
      <c r="C119" s="2" t="s">
        <v>238</v>
      </c>
    </row>
    <row r="120" customFormat="false" ht="15" hidden="false" customHeight="false" outlineLevel="0" collapsed="false">
      <c r="A120" s="2" t="s">
        <v>176</v>
      </c>
      <c r="B120" s="3" t="n">
        <v>-15.1</v>
      </c>
      <c r="C120" s="2" t="s">
        <v>238</v>
      </c>
    </row>
    <row r="121" customFormat="false" ht="15" hidden="false" customHeight="false" outlineLevel="0" collapsed="false">
      <c r="A121" s="2" t="s">
        <v>177</v>
      </c>
      <c r="B121" s="3" t="n">
        <v>-15.3</v>
      </c>
      <c r="C121" s="2" t="s">
        <v>238</v>
      </c>
    </row>
    <row r="122" customFormat="false" ht="15" hidden="false" customHeight="false" outlineLevel="0" collapsed="false">
      <c r="A122" s="2" t="s">
        <v>178</v>
      </c>
      <c r="B122" s="3" t="n">
        <v>-15.7</v>
      </c>
      <c r="C122" s="2" t="s">
        <v>238</v>
      </c>
    </row>
    <row r="123" customFormat="false" ht="15" hidden="false" customHeight="false" outlineLevel="0" collapsed="false">
      <c r="A123" s="2" t="s">
        <v>179</v>
      </c>
      <c r="B123" s="3" t="n">
        <v>-16.1</v>
      </c>
      <c r="C123" s="2" t="s">
        <v>238</v>
      </c>
    </row>
    <row r="124" customFormat="false" ht="15" hidden="false" customHeight="false" outlineLevel="0" collapsed="false">
      <c r="A124" s="2" t="s">
        <v>180</v>
      </c>
      <c r="B124" s="3" t="n">
        <v>-17.2</v>
      </c>
      <c r="C124" s="2" t="s">
        <v>238</v>
      </c>
    </row>
    <row r="125" customFormat="false" ht="15" hidden="false" customHeight="false" outlineLevel="0" collapsed="false">
      <c r="A125" s="2" t="s">
        <v>181</v>
      </c>
      <c r="B125" s="3" t="n">
        <v>-17.5</v>
      </c>
      <c r="C125" s="2" t="s">
        <v>238</v>
      </c>
    </row>
    <row r="126" customFormat="false" ht="15" hidden="false" customHeight="false" outlineLevel="0" collapsed="false">
      <c r="A126" s="2" t="s">
        <v>182</v>
      </c>
      <c r="B126" s="3" t="n">
        <v>-18.5</v>
      </c>
      <c r="C126" s="2" t="s">
        <v>238</v>
      </c>
    </row>
    <row r="127" customFormat="false" ht="15" hidden="false" customHeight="false" outlineLevel="0" collapsed="false">
      <c r="A127" s="2" t="s">
        <v>183</v>
      </c>
      <c r="B127" s="3" t="n">
        <v>-19.1</v>
      </c>
      <c r="C127" s="2" t="s">
        <v>238</v>
      </c>
    </row>
    <row r="128" customFormat="false" ht="15" hidden="false" customHeight="false" outlineLevel="0" collapsed="false">
      <c r="A128" s="2" t="s">
        <v>184</v>
      </c>
      <c r="B128" s="3" t="n">
        <v>-19.3</v>
      </c>
      <c r="C128" s="2" t="s">
        <v>238</v>
      </c>
    </row>
    <row r="129" customFormat="false" ht="15" hidden="false" customHeight="false" outlineLevel="0" collapsed="false">
      <c r="A129" s="2" t="s">
        <v>185</v>
      </c>
      <c r="B129" s="3" t="n">
        <v>-20.7</v>
      </c>
      <c r="C129" s="2" t="s">
        <v>238</v>
      </c>
    </row>
    <row r="130" customFormat="false" ht="15" hidden="false" customHeight="false" outlineLevel="0" collapsed="false">
      <c r="A130" s="2" t="s">
        <v>186</v>
      </c>
      <c r="B130" s="3" t="n">
        <v>-22.4</v>
      </c>
      <c r="C130" s="2" t="s">
        <v>238</v>
      </c>
    </row>
    <row r="131" customFormat="false" ht="15" hidden="false" customHeight="false" outlineLevel="0" collapsed="false">
      <c r="A131" s="2" t="s">
        <v>187</v>
      </c>
      <c r="B131" s="3" t="n">
        <v>-22.9</v>
      </c>
      <c r="C131" s="2" t="s">
        <v>238</v>
      </c>
    </row>
    <row r="132" customFormat="false" ht="15" hidden="false" customHeight="false" outlineLevel="0" collapsed="false">
      <c r="A132" s="2" t="s">
        <v>188</v>
      </c>
      <c r="B132" s="3" t="n">
        <v>-23.4</v>
      </c>
      <c r="C132" s="2" t="s">
        <v>238</v>
      </c>
    </row>
    <row r="133" customFormat="false" ht="15" hidden="false" customHeight="false" outlineLevel="0" collapsed="false">
      <c r="A133" s="2" t="s">
        <v>189</v>
      </c>
      <c r="B133" s="3" t="n">
        <v>-24.1</v>
      </c>
      <c r="C133" s="2" t="s">
        <v>238</v>
      </c>
    </row>
    <row r="134" customFormat="false" ht="15" hidden="false" customHeight="false" outlineLevel="0" collapsed="false">
      <c r="A134" s="2" t="s">
        <v>190</v>
      </c>
      <c r="B134" s="3" t="n">
        <v>-25.1</v>
      </c>
      <c r="C134" s="2" t="s">
        <v>238</v>
      </c>
    </row>
    <row r="135" customFormat="false" ht="15" hidden="false" customHeight="false" outlineLevel="0" collapsed="false">
      <c r="A135" s="2" t="s">
        <v>191</v>
      </c>
      <c r="B135" s="3" t="n">
        <v>-26</v>
      </c>
      <c r="C135" s="2" t="s">
        <v>238</v>
      </c>
    </row>
    <row r="136" customFormat="false" ht="15" hidden="false" customHeight="false" outlineLevel="0" collapsed="false">
      <c r="A136" s="2" t="s">
        <v>192</v>
      </c>
      <c r="B136" s="3" t="n">
        <v>-26.5</v>
      </c>
      <c r="C136" s="2" t="s">
        <v>238</v>
      </c>
    </row>
    <row r="137" customFormat="false" ht="15" hidden="false" customHeight="false" outlineLevel="0" collapsed="false">
      <c r="A137" s="2" t="s">
        <v>193</v>
      </c>
      <c r="B137" s="3" t="n">
        <v>-28.9</v>
      </c>
      <c r="C137" s="2" t="s">
        <v>238</v>
      </c>
    </row>
    <row r="138" customFormat="false" ht="15" hidden="false" customHeight="false" outlineLevel="0" collapsed="false">
      <c r="A138" s="2" t="s">
        <v>194</v>
      </c>
      <c r="B138" s="3" t="n">
        <v>-29.3</v>
      </c>
      <c r="C138" s="2" t="s">
        <v>238</v>
      </c>
    </row>
    <row r="139" customFormat="false" ht="15" hidden="false" customHeight="false" outlineLevel="0" collapsed="false">
      <c r="A139" s="2" t="s">
        <v>195</v>
      </c>
      <c r="B139" s="3" t="n">
        <v>-32.9</v>
      </c>
      <c r="C139" s="2" t="s">
        <v>238</v>
      </c>
    </row>
    <row r="140" customFormat="false" ht="15" hidden="false" customHeight="false" outlineLevel="0" collapsed="false">
      <c r="A140" s="2" t="s">
        <v>239</v>
      </c>
      <c r="B140" s="12" t="n">
        <f aca="false">VLOOKUP(D140,Assumptions!$A$9:$B$19,2,FALSE())+VLOOKUP(E140,Assumptions!$A$22:$B$26,2,FALSE())</f>
        <v>-29</v>
      </c>
      <c r="C140" s="2" t="s">
        <v>240</v>
      </c>
      <c r="D140" s="3" t="s">
        <v>17</v>
      </c>
      <c r="E140" s="3" t="s">
        <v>26</v>
      </c>
    </row>
    <row r="141" customFormat="false" ht="15" hidden="false" customHeight="false" outlineLevel="0" collapsed="false">
      <c r="A141" s="2" t="s">
        <v>241</v>
      </c>
      <c r="B141" s="12" t="n">
        <f aca="false">VLOOKUP(D141,Assumptions!$A$9:$B$19,2,FALSE())+VLOOKUP(E141,Assumptions!$A$22:$B$26,2,FALSE())</f>
        <v>-42</v>
      </c>
      <c r="C141" s="2" t="s">
        <v>240</v>
      </c>
      <c r="D141" s="3" t="s">
        <v>20</v>
      </c>
      <c r="E141" s="3" t="s">
        <v>28</v>
      </c>
    </row>
    <row r="142" customFormat="false" ht="15" hidden="false" customHeight="false" outlineLevel="0" collapsed="false">
      <c r="A142" s="2" t="s">
        <v>242</v>
      </c>
      <c r="B142" s="12" t="n">
        <f aca="false">VLOOKUP(D142,Assumptions!$A$9:$B$19,2,FALSE())+VLOOKUP(E142,Assumptions!$A$22:$B$26,2,FALSE())</f>
        <v>-37</v>
      </c>
      <c r="C142" s="2" t="s">
        <v>240</v>
      </c>
      <c r="D142" s="3" t="s">
        <v>20</v>
      </c>
      <c r="E142" s="3" t="s">
        <v>27</v>
      </c>
    </row>
    <row r="143" customFormat="false" ht="15" hidden="false" customHeight="false" outlineLevel="0" collapsed="false">
      <c r="A143" s="2" t="s">
        <v>243</v>
      </c>
      <c r="B143" s="12" t="n">
        <f aca="false">VLOOKUP(D143,Assumptions!$A$9:$B$19,2,FALSE())+VLOOKUP(E143,Assumptions!$A$22:$B$26,2,FALSE())</f>
        <v>-33</v>
      </c>
      <c r="C143" s="2" t="s">
        <v>240</v>
      </c>
      <c r="D143" s="3" t="s">
        <v>17</v>
      </c>
      <c r="E143" s="3" t="s">
        <v>27</v>
      </c>
    </row>
    <row r="144" customFormat="false" ht="15" hidden="false" customHeight="false" outlineLevel="0" collapsed="false">
      <c r="A144" s="2" t="s">
        <v>244</v>
      </c>
      <c r="B144" s="12" t="n">
        <f aca="false">VLOOKUP(D144,Assumptions!$A$9:$B$19,2,FALSE())+VLOOKUP(E144,Assumptions!$A$22:$B$26,2,FALSE())</f>
        <v>-37</v>
      </c>
      <c r="C144" s="2" t="s">
        <v>240</v>
      </c>
      <c r="D144" s="3" t="s">
        <v>20</v>
      </c>
      <c r="E144" s="3" t="s">
        <v>27</v>
      </c>
    </row>
    <row r="145" customFormat="false" ht="15" hidden="false" customHeight="false" outlineLevel="0" collapsed="false">
      <c r="A145" s="2" t="s">
        <v>245</v>
      </c>
      <c r="B145" s="12" t="n">
        <f aca="false">VLOOKUP(D145,Assumptions!$A$9:$B$19,2,FALSE())+VLOOKUP(E145,Assumptions!$A$22:$B$26,2,FALSE())</f>
        <v>-26</v>
      </c>
      <c r="C145" s="2" t="s">
        <v>240</v>
      </c>
      <c r="D145" s="3" t="s">
        <v>15</v>
      </c>
      <c r="E145" s="3" t="s">
        <v>27</v>
      </c>
    </row>
    <row r="146" customFormat="false" ht="15" hidden="false" customHeight="false" outlineLevel="0" collapsed="false">
      <c r="A146" s="2" t="s">
        <v>246</v>
      </c>
      <c r="B146" s="12" t="n">
        <f aca="false">VLOOKUP(D146,Assumptions!$A$9:$B$19,2,FALSE())+VLOOKUP(E146,Assumptions!$A$22:$B$26,2,FALSE())</f>
        <v>-44</v>
      </c>
      <c r="C146" s="2" t="s">
        <v>240</v>
      </c>
      <c r="D146" s="3" t="s">
        <v>21</v>
      </c>
      <c r="E146" s="3" t="s">
        <v>28</v>
      </c>
    </row>
    <row r="147" customFormat="false" ht="15" hidden="false" customHeight="false" outlineLevel="0" collapsed="false">
      <c r="A147" s="2" t="s">
        <v>247</v>
      </c>
      <c r="B147" s="12" t="n">
        <f aca="false">VLOOKUP(D147,Assumptions!$A$9:$B$19,2,FALSE())+VLOOKUP(E147,Assumptions!$A$22:$B$26,2,FALSE())</f>
        <v>-49</v>
      </c>
      <c r="C147" s="2" t="s">
        <v>240</v>
      </c>
      <c r="D147" s="3" t="s">
        <v>23</v>
      </c>
      <c r="E147" s="3" t="s">
        <v>28</v>
      </c>
    </row>
    <row r="148" customFormat="false" ht="15" hidden="false" customHeight="false" outlineLevel="0" collapsed="false">
      <c r="A148" s="2" t="s">
        <v>248</v>
      </c>
      <c r="B148" s="12" t="n">
        <f aca="false">VLOOKUP(D148,Assumptions!$A$9:$B$19,2,FALSE())+VLOOKUP(E148,Assumptions!$A$22:$B$26,2,FALSE())</f>
        <v>-23</v>
      </c>
      <c r="C148" s="2" t="s">
        <v>240</v>
      </c>
      <c r="D148" s="3" t="s">
        <v>14</v>
      </c>
      <c r="E148" s="3" t="s">
        <v>27</v>
      </c>
    </row>
    <row r="149" customFormat="false" ht="15" hidden="false" customHeight="false" outlineLevel="0" collapsed="false">
      <c r="A149" s="2" t="s">
        <v>249</v>
      </c>
      <c r="B149" s="12" t="n">
        <f aca="false">VLOOKUP(D149,Assumptions!$A$9:$B$19,2,FALSE())+VLOOKUP(E149,Assumptions!$A$22:$B$26,2,FALSE())</f>
        <v>-26</v>
      </c>
      <c r="C149" s="2" t="s">
        <v>240</v>
      </c>
      <c r="D149" s="3" t="s">
        <v>15</v>
      </c>
      <c r="E149" s="3" t="s">
        <v>27</v>
      </c>
    </row>
    <row r="150" customFormat="false" ht="15" hidden="false" customHeight="false" outlineLevel="0" collapsed="false">
      <c r="A150" s="2" t="s">
        <v>250</v>
      </c>
      <c r="B150" s="12" t="n">
        <f aca="false">VLOOKUP(D150,Assumptions!$A$9:$B$19,2,FALSE())+VLOOKUP(E150,Assumptions!$A$22:$B$26,2,FALSE())</f>
        <v>-29</v>
      </c>
      <c r="C150" s="2" t="s">
        <v>240</v>
      </c>
      <c r="D150" s="3" t="s">
        <v>17</v>
      </c>
      <c r="E150" s="3" t="s">
        <v>26</v>
      </c>
    </row>
    <row r="151" customFormat="false" ht="15" hidden="false" customHeight="false" outlineLevel="0" collapsed="false">
      <c r="A151" s="2" t="s">
        <v>251</v>
      </c>
      <c r="B151" s="12" t="n">
        <f aca="false">VLOOKUP(D151,Assumptions!$A$9:$B$19,2,FALSE())+VLOOKUP(E151,Assumptions!$A$22:$B$26,2,FALSE())</f>
        <v>-34</v>
      </c>
      <c r="C151" s="2" t="s">
        <v>240</v>
      </c>
      <c r="D151" s="3" t="s">
        <v>19</v>
      </c>
      <c r="E151" s="3" t="s">
        <v>27</v>
      </c>
    </row>
    <row r="152" customFormat="false" ht="15" hidden="false" customHeight="false" outlineLevel="0" collapsed="false">
      <c r="A152" s="2" t="s">
        <v>252</v>
      </c>
      <c r="B152" s="12" t="n">
        <f aca="false">VLOOKUP(D152,Assumptions!$A$9:$B$19,2,FALSE())+VLOOKUP(E152,Assumptions!$A$22:$B$26,2,FALSE())</f>
        <v>-26</v>
      </c>
      <c r="C152" s="2" t="s">
        <v>240</v>
      </c>
      <c r="D152" s="3" t="s">
        <v>16</v>
      </c>
      <c r="E152" s="3" t="s">
        <v>26</v>
      </c>
    </row>
    <row r="153" customFormat="false" ht="15" hidden="false" customHeight="false" outlineLevel="0" collapsed="false">
      <c r="A153" s="2" t="s">
        <v>253</v>
      </c>
      <c r="B153" s="12" t="n">
        <f aca="false">VLOOKUP(D153,Assumptions!$A$9:$B$19,2,FALSE())+VLOOKUP(E153,Assumptions!$A$22:$B$26,2,FALSE())</f>
        <v>-39</v>
      </c>
      <c r="C153" s="2" t="s">
        <v>240</v>
      </c>
      <c r="D153" s="3" t="s">
        <v>21</v>
      </c>
      <c r="E153" s="3" t="s">
        <v>27</v>
      </c>
    </row>
    <row r="154" customFormat="false" ht="15" hidden="false" customHeight="false" outlineLevel="0" collapsed="false">
      <c r="A154" s="2" t="s">
        <v>254</v>
      </c>
      <c r="B154" s="12" t="n">
        <f aca="false">VLOOKUP(D154,Assumptions!$A$9:$B$19,2,FALSE())+VLOOKUP(E154,Assumptions!$A$22:$B$26,2,FALSE())</f>
        <v>-44</v>
      </c>
      <c r="C154" s="2" t="s">
        <v>240</v>
      </c>
      <c r="D154" s="3" t="s">
        <v>22</v>
      </c>
      <c r="E154" s="3" t="s">
        <v>28</v>
      </c>
    </row>
    <row r="155" customFormat="false" ht="15" hidden="false" customHeight="false" outlineLevel="0" collapsed="false">
      <c r="A155" s="2" t="s">
        <v>255</v>
      </c>
      <c r="B155" s="12" t="n">
        <f aca="false">VLOOKUP(D155,Assumptions!$A$9:$B$19,2,FALSE())+VLOOKUP(E155,Assumptions!$A$22:$B$26,2,FALSE())</f>
        <v>-44</v>
      </c>
      <c r="C155" s="2" t="s">
        <v>240</v>
      </c>
      <c r="D155" s="3" t="s">
        <v>23</v>
      </c>
      <c r="E155" s="3" t="s">
        <v>27</v>
      </c>
    </row>
    <row r="156" customFormat="false" ht="15" hidden="false" customHeight="false" outlineLevel="0" collapsed="false">
      <c r="A156" s="2" t="s">
        <v>256</v>
      </c>
      <c r="B156" s="12" t="n">
        <f aca="false">VLOOKUP(D156,Assumptions!$A$9:$B$19,2,FALSE())+VLOOKUP(E156,Assumptions!$A$22:$B$26,2,FALSE())</f>
        <v>-30</v>
      </c>
      <c r="C156" s="2" t="s">
        <v>240</v>
      </c>
      <c r="D156" s="3" t="s">
        <v>16</v>
      </c>
      <c r="E156" s="3" t="s">
        <v>27</v>
      </c>
    </row>
    <row r="157" customFormat="false" ht="15" hidden="false" customHeight="false" outlineLevel="0" collapsed="false">
      <c r="A157" s="2" t="s">
        <v>257</v>
      </c>
      <c r="B157" s="12" t="n">
        <f aca="false">VLOOKUP(D157,Assumptions!$A$9:$B$19,2,FALSE())+VLOOKUP(E157,Assumptions!$A$22:$B$26,2,FALSE())</f>
        <v>-39</v>
      </c>
      <c r="C157" s="2" t="s">
        <v>240</v>
      </c>
      <c r="D157" s="3" t="s">
        <v>18</v>
      </c>
      <c r="E157" s="3" t="s">
        <v>28</v>
      </c>
    </row>
    <row r="158" customFormat="false" ht="15" hidden="false" customHeight="false" outlineLevel="0" collapsed="false">
      <c r="A158" s="2" t="s">
        <v>258</v>
      </c>
      <c r="B158" s="12" t="n">
        <f aca="false">VLOOKUP(D158,Assumptions!$A$9:$B$19,2,FALSE())+VLOOKUP(E158,Assumptions!$A$22:$B$26,2,FALSE())</f>
        <v>-39</v>
      </c>
      <c r="C158" s="2" t="s">
        <v>240</v>
      </c>
      <c r="D158" s="3" t="s">
        <v>19</v>
      </c>
      <c r="E158" s="3" t="s">
        <v>28</v>
      </c>
    </row>
    <row r="159" customFormat="false" ht="15" hidden="false" customHeight="false" outlineLevel="0" collapsed="false">
      <c r="A159" s="2" t="s">
        <v>259</v>
      </c>
      <c r="B159" s="12" t="n">
        <f aca="false">VLOOKUP(D159,Assumptions!$A$9:$B$19,2,FALSE())+VLOOKUP(E159,Assumptions!$A$22:$B$26,2,FALSE())</f>
        <v>-33</v>
      </c>
      <c r="C159" s="2" t="s">
        <v>240</v>
      </c>
      <c r="D159" s="3" t="s">
        <v>17</v>
      </c>
      <c r="E159" s="3" t="s">
        <v>27</v>
      </c>
    </row>
    <row r="160" customFormat="false" ht="15" hidden="false" customHeight="false" outlineLevel="0" collapsed="false">
      <c r="A160" s="2" t="s">
        <v>260</v>
      </c>
      <c r="B160" s="12" t="n">
        <f aca="false">VLOOKUP(D160,Assumptions!$A$9:$B$19,2,FALSE())+VLOOKUP(E160,Assumptions!$A$22:$B$26,2,FALSE())</f>
        <v>-19</v>
      </c>
      <c r="C160" s="2" t="s">
        <v>240</v>
      </c>
      <c r="D160" s="3" t="s">
        <v>14</v>
      </c>
      <c r="E160" s="3" t="s">
        <v>26</v>
      </c>
    </row>
    <row r="161" customFormat="false" ht="15" hidden="false" customHeight="false" outlineLevel="0" collapsed="false">
      <c r="A161" s="2" t="s">
        <v>261</v>
      </c>
      <c r="B161" s="12" t="n">
        <f aca="false">VLOOKUP(D161,Assumptions!$A$9:$B$19,2,FALSE())+VLOOKUP(E161,Assumptions!$A$22:$B$26,2,FALSE())</f>
        <v>-26</v>
      </c>
      <c r="C161" s="2" t="s">
        <v>240</v>
      </c>
      <c r="D161" s="3" t="s">
        <v>15</v>
      </c>
      <c r="E161" s="3" t="s">
        <v>27</v>
      </c>
    </row>
    <row r="162" customFormat="false" ht="15" hidden="false" customHeight="false" outlineLevel="0" collapsed="false">
      <c r="A162" s="2" t="s">
        <v>262</v>
      </c>
      <c r="B162" s="12" t="n">
        <f aca="false">VLOOKUP(D162,Assumptions!$A$9:$B$19,2,FALSE())+VLOOKUP(E162,Assumptions!$A$22:$B$26,2,FALSE())</f>
        <v>-37</v>
      </c>
      <c r="C162" s="2" t="s">
        <v>240</v>
      </c>
      <c r="D162" s="3" t="s">
        <v>20</v>
      </c>
      <c r="E162" s="3" t="s">
        <v>27</v>
      </c>
    </row>
    <row r="163" customFormat="false" ht="15" hidden="false" customHeight="false" outlineLevel="0" collapsed="false">
      <c r="A163" s="2" t="s">
        <v>263</v>
      </c>
      <c r="B163" s="12" t="n">
        <f aca="false">VLOOKUP(D163,Assumptions!$A$9:$B$19,2,FALSE())+VLOOKUP(E163,Assumptions!$A$22:$B$26,2,FALSE())</f>
        <v>-44</v>
      </c>
      <c r="C163" s="2" t="s">
        <v>240</v>
      </c>
      <c r="D163" s="3" t="s">
        <v>21</v>
      </c>
      <c r="E163" s="3" t="s">
        <v>28</v>
      </c>
    </row>
    <row r="164" customFormat="false" ht="15" hidden="false" customHeight="false" outlineLevel="0" collapsed="false">
      <c r="A164" s="2" t="s">
        <v>264</v>
      </c>
      <c r="B164" s="12" t="n">
        <f aca="false">VLOOKUP(D164,Assumptions!$A$9:$B$19,2,FALSE())+VLOOKUP(E164,Assumptions!$A$22:$B$26,2,FALSE())</f>
        <v>-26</v>
      </c>
      <c r="C164" s="2" t="s">
        <v>240</v>
      </c>
      <c r="D164" s="3" t="s">
        <v>16</v>
      </c>
      <c r="E164" s="3" t="s">
        <v>26</v>
      </c>
    </row>
    <row r="165" customFormat="false" ht="15" hidden="false" customHeight="false" outlineLevel="0" collapsed="false">
      <c r="A165" s="2" t="s">
        <v>265</v>
      </c>
      <c r="B165" s="12" t="n">
        <f aca="false">VLOOKUP(D165,Assumptions!$A$9:$B$19,2,FALSE())+VLOOKUP(E165,Assumptions!$A$22:$B$26,2,FALSE())</f>
        <v>-34</v>
      </c>
      <c r="C165" s="2" t="s">
        <v>240</v>
      </c>
      <c r="D165" s="3" t="s">
        <v>19</v>
      </c>
      <c r="E165" s="3" t="s">
        <v>27</v>
      </c>
    </row>
    <row r="166" customFormat="false" ht="15" hidden="false" customHeight="false" outlineLevel="0" collapsed="false">
      <c r="A166" s="2" t="s">
        <v>266</v>
      </c>
      <c r="B166" s="12" t="n">
        <f aca="false">VLOOKUP(D166,Assumptions!$A$9:$B$19,2,FALSE())+VLOOKUP(E166,Assumptions!$A$22:$B$26,2,FALSE())</f>
        <v>-37</v>
      </c>
      <c r="C166" s="2" t="s">
        <v>240</v>
      </c>
      <c r="D166" s="3" t="s">
        <v>20</v>
      </c>
      <c r="E166" s="3" t="s">
        <v>27</v>
      </c>
    </row>
    <row r="167" customFormat="false" ht="15" hidden="false" customHeight="false" outlineLevel="0" collapsed="false">
      <c r="A167" s="2" t="s">
        <v>267</v>
      </c>
      <c r="B167" s="12" t="n">
        <f aca="false">VLOOKUP(D167,Assumptions!$A$9:$B$19,2,FALSE())+VLOOKUP(E167,Assumptions!$A$22:$B$26,2,FALSE())</f>
        <v>-34</v>
      </c>
      <c r="C167" s="2" t="s">
        <v>240</v>
      </c>
      <c r="D167" s="3" t="s">
        <v>18</v>
      </c>
      <c r="E167" s="3" t="s">
        <v>27</v>
      </c>
    </row>
    <row r="168" customFormat="false" ht="15" hidden="false" customHeight="false" outlineLevel="0" collapsed="false">
      <c r="A168" s="2" t="s">
        <v>268</v>
      </c>
      <c r="B168" s="12" t="n">
        <f aca="false">VLOOKUP(D168,Assumptions!$A$9:$B$19,2,FALSE())+VLOOKUP(E168,Assumptions!$A$22:$B$26,2,FALSE())</f>
        <v>-26</v>
      </c>
      <c r="C168" s="2" t="s">
        <v>240</v>
      </c>
      <c r="D168" s="3" t="s">
        <v>15</v>
      </c>
      <c r="E168" s="3" t="s">
        <v>27</v>
      </c>
    </row>
    <row r="169" customFormat="false" ht="15" hidden="false" customHeight="false" outlineLevel="0" collapsed="false">
      <c r="A169" s="2" t="s">
        <v>269</v>
      </c>
      <c r="B169" s="12" t="n">
        <f aca="false">VLOOKUP(D169,Assumptions!$A$9:$B$19,2,FALSE())+VLOOKUP(E169,Assumptions!$A$22:$B$26,2,FALSE())</f>
        <v>-39</v>
      </c>
      <c r="C169" s="2" t="s">
        <v>240</v>
      </c>
      <c r="D169" s="3" t="s">
        <v>21</v>
      </c>
      <c r="E169" s="3" t="s">
        <v>27</v>
      </c>
    </row>
    <row r="170" customFormat="false" ht="15" hidden="false" customHeight="false" outlineLevel="0" collapsed="false">
      <c r="A170" s="2" t="s">
        <v>270</v>
      </c>
      <c r="B170" s="12" t="n">
        <f aca="false">VLOOKUP(D170,Assumptions!$A$9:$B$19,2,FALSE())+VLOOKUP(E170,Assumptions!$A$22:$B$26,2,FALSE())</f>
        <v>-39</v>
      </c>
      <c r="C170" s="2" t="s">
        <v>240</v>
      </c>
      <c r="D170" s="3" t="s">
        <v>22</v>
      </c>
      <c r="E170" s="3" t="s">
        <v>27</v>
      </c>
    </row>
    <row r="171" customFormat="false" ht="15" hidden="false" customHeight="false" outlineLevel="0" collapsed="false">
      <c r="A171" s="2" t="s">
        <v>271</v>
      </c>
      <c r="B171" s="12" t="n">
        <f aca="false">VLOOKUP(D171,Assumptions!$A$9:$B$19,2,FALSE())+VLOOKUP(E171,Assumptions!$A$22:$B$26,2,FALSE())</f>
        <v>-15</v>
      </c>
      <c r="C171" s="2" t="s">
        <v>240</v>
      </c>
      <c r="D171" s="3" t="s">
        <v>14</v>
      </c>
      <c r="E171" s="3" t="s">
        <v>25</v>
      </c>
    </row>
    <row r="172" customFormat="false" ht="15" hidden="false" customHeight="false" outlineLevel="0" collapsed="false">
      <c r="A172" s="2" t="s">
        <v>272</v>
      </c>
      <c r="B172" s="12" t="n">
        <f aca="false">VLOOKUP(D172,Assumptions!$A$9:$B$19,2,FALSE())+VLOOKUP(E172,Assumptions!$A$22:$B$26,2,FALSE())</f>
        <v>-23</v>
      </c>
      <c r="C172" s="2" t="s">
        <v>240</v>
      </c>
      <c r="D172" s="3" t="s">
        <v>14</v>
      </c>
      <c r="E172" s="3" t="s">
        <v>27</v>
      </c>
    </row>
    <row r="173" customFormat="false" ht="15" hidden="false" customHeight="false" outlineLevel="0" collapsed="false">
      <c r="A173" s="2" t="s">
        <v>273</v>
      </c>
      <c r="B173" s="12" t="n">
        <f aca="false">VLOOKUP(D173,Assumptions!$A$9:$B$19,2,FALSE())+VLOOKUP(E173,Assumptions!$A$22:$B$26,2,FALSE())</f>
        <v>-11</v>
      </c>
      <c r="C173" s="2" t="s">
        <v>240</v>
      </c>
      <c r="D173" s="3" t="s">
        <v>13</v>
      </c>
      <c r="E173" s="3" t="s">
        <v>25</v>
      </c>
    </row>
    <row r="174" customFormat="false" ht="15" hidden="false" customHeight="false" outlineLevel="0" collapsed="false">
      <c r="A174" s="2" t="s">
        <v>274</v>
      </c>
      <c r="B174" s="12" t="n">
        <f aca="false">VLOOKUP(D174,Assumptions!$A$9:$B$19,2,FALSE())+VLOOKUP(E174,Assumptions!$A$22:$B$26,2,FALSE())</f>
        <v>-19</v>
      </c>
      <c r="C174" s="2" t="s">
        <v>240</v>
      </c>
      <c r="D174" s="3" t="s">
        <v>13</v>
      </c>
      <c r="E174" s="3" t="s">
        <v>27</v>
      </c>
    </row>
    <row r="175" customFormat="false" ht="15" hidden="false" customHeight="false" outlineLevel="0" collapsed="false">
      <c r="A175" s="2" t="s">
        <v>275</v>
      </c>
      <c r="B175" s="12" t="n">
        <f aca="false">VLOOKUP(D175,Assumptions!$A$9:$B$19,2,FALSE())+VLOOKUP(E175,Assumptions!$A$22:$B$26,2,FALSE())</f>
        <v>-49</v>
      </c>
      <c r="C175" s="2" t="s">
        <v>240</v>
      </c>
      <c r="D175" s="3" t="s">
        <v>23</v>
      </c>
      <c r="E175" s="3" t="s">
        <v>28</v>
      </c>
    </row>
    <row r="176" customFormat="false" ht="15" hidden="false" customHeight="false" outlineLevel="0" collapsed="false">
      <c r="A176" s="2" t="s">
        <v>276</v>
      </c>
      <c r="B176" s="12" t="n">
        <f aca="false">VLOOKUP(D176,Assumptions!$A$9:$B$19,2,FALSE())+VLOOKUP(E176,Assumptions!$A$22:$B$26,2,FALSE())</f>
        <v>-39</v>
      </c>
      <c r="C176" s="2" t="s">
        <v>240</v>
      </c>
      <c r="D176" s="3" t="s">
        <v>21</v>
      </c>
      <c r="E176" s="3" t="s">
        <v>27</v>
      </c>
    </row>
    <row r="177" customFormat="false" ht="15" hidden="false" customHeight="false" outlineLevel="0" collapsed="false">
      <c r="A177" s="2" t="s">
        <v>277</v>
      </c>
      <c r="B177" s="12" t="n">
        <f aca="false">VLOOKUP(D177,Assumptions!$A$9:$B$19,2,FALSE())+VLOOKUP(E177,Assumptions!$A$22:$B$26,2,FALSE())</f>
        <v>-39</v>
      </c>
      <c r="C177" s="2" t="s">
        <v>240</v>
      </c>
      <c r="D177" s="3" t="s">
        <v>18</v>
      </c>
      <c r="E177" s="3" t="s">
        <v>28</v>
      </c>
    </row>
    <row r="178" customFormat="false" ht="15" hidden="false" customHeight="false" outlineLevel="0" collapsed="false">
      <c r="A178" s="2" t="s">
        <v>278</v>
      </c>
      <c r="B178" s="12" t="n">
        <f aca="false">VLOOKUP(D178,Assumptions!$A$9:$B$19,2,FALSE())+VLOOKUP(E178,Assumptions!$A$22:$B$26,2,FALSE())</f>
        <v>-39</v>
      </c>
      <c r="C178" s="2" t="s">
        <v>240</v>
      </c>
      <c r="D178" s="3" t="s">
        <v>19</v>
      </c>
      <c r="E178" s="3" t="s">
        <v>28</v>
      </c>
    </row>
    <row r="179" customFormat="false" ht="15" hidden="false" customHeight="false" outlineLevel="0" collapsed="false">
      <c r="A179" s="2" t="s">
        <v>279</v>
      </c>
      <c r="B179" s="12" t="n">
        <f aca="false">VLOOKUP(D179,Assumptions!$A$9:$B$19,2,FALSE())+VLOOKUP(E179,Assumptions!$A$22:$B$26,2,FALSE())</f>
        <v>-42</v>
      </c>
      <c r="C179" s="2" t="s">
        <v>240</v>
      </c>
      <c r="D179" s="3" t="s">
        <v>20</v>
      </c>
      <c r="E179" s="3" t="s">
        <v>28</v>
      </c>
    </row>
    <row r="180" customFormat="false" ht="15" hidden="false" customHeight="false" outlineLevel="0" collapsed="false">
      <c r="A180" s="2" t="s">
        <v>280</v>
      </c>
      <c r="B180" s="12" t="n">
        <f aca="false">VLOOKUP(D180,Assumptions!$A$9:$B$19,2,FALSE())+VLOOKUP(E180,Assumptions!$A$22:$B$26,2,FALSE())</f>
        <v>-26</v>
      </c>
      <c r="C180" s="2" t="s">
        <v>240</v>
      </c>
      <c r="D180" s="3" t="s">
        <v>15</v>
      </c>
      <c r="E180" s="3" t="s">
        <v>27</v>
      </c>
    </row>
    <row r="181" customFormat="false" ht="15" hidden="false" customHeight="false" outlineLevel="0" collapsed="false">
      <c r="A181" s="2" t="s">
        <v>281</v>
      </c>
      <c r="B181" s="12" t="n">
        <f aca="false">VLOOKUP(D181,Assumptions!$A$9:$B$19,2,FALSE())+VLOOKUP(E181,Assumptions!$A$22:$B$26,2,FALSE())</f>
        <v>-34</v>
      </c>
      <c r="C181" s="2" t="s">
        <v>240</v>
      </c>
      <c r="D181" s="3" t="s">
        <v>18</v>
      </c>
      <c r="E181" s="3" t="s">
        <v>27</v>
      </c>
    </row>
    <row r="182" customFormat="false" ht="15" hidden="false" customHeight="false" outlineLevel="0" collapsed="false">
      <c r="A182" s="2" t="s">
        <v>282</v>
      </c>
      <c r="B182" s="12" t="n">
        <f aca="false">VLOOKUP(D182,Assumptions!$A$9:$B$19,2,FALSE())+VLOOKUP(E182,Assumptions!$A$22:$B$26,2,FALSE())</f>
        <v>-26</v>
      </c>
      <c r="C182" s="2" t="s">
        <v>240</v>
      </c>
      <c r="D182" s="3" t="s">
        <v>16</v>
      </c>
      <c r="E182" s="3" t="s">
        <v>26</v>
      </c>
    </row>
    <row r="183" customFormat="false" ht="15" hidden="false" customHeight="false" outlineLevel="0" collapsed="false">
      <c r="A183" s="2" t="s">
        <v>283</v>
      </c>
      <c r="B183" s="12" t="n">
        <f aca="false">VLOOKUP(D183,Assumptions!$A$9:$B$19,2,FALSE())+VLOOKUP(E183,Assumptions!$A$22:$B$26,2,FALSE())</f>
        <v>-56</v>
      </c>
      <c r="C183" s="2" t="s">
        <v>240</v>
      </c>
      <c r="D183" s="3" t="s">
        <v>23</v>
      </c>
      <c r="E183" s="3" t="s">
        <v>29</v>
      </c>
    </row>
    <row r="184" customFormat="false" ht="15" hidden="false" customHeight="false" outlineLevel="0" collapsed="false">
      <c r="A184" s="2" t="s">
        <v>284</v>
      </c>
      <c r="B184" s="12" t="n">
        <f aca="false">VLOOKUP(D184,Assumptions!$A$9:$B$19,2,FALSE())+VLOOKUP(E184,Assumptions!$A$22:$B$26,2,FALSE())</f>
        <v>-44</v>
      </c>
      <c r="C184" s="2" t="s">
        <v>240</v>
      </c>
      <c r="D184" s="3" t="s">
        <v>23</v>
      </c>
      <c r="E184" s="3" t="s">
        <v>27</v>
      </c>
    </row>
    <row r="185" customFormat="false" ht="15" hidden="false" customHeight="false" outlineLevel="0" collapsed="false">
      <c r="A185" s="2" t="s">
        <v>285</v>
      </c>
      <c r="B185" s="12" t="n">
        <f aca="false">VLOOKUP(D185,Assumptions!$A$9:$B$19,2,FALSE())+VLOOKUP(E185,Assumptions!$A$22:$B$26,2,FALSE())</f>
        <v>-22</v>
      </c>
      <c r="C185" s="2" t="s">
        <v>240</v>
      </c>
      <c r="D185" s="3" t="s">
        <v>15</v>
      </c>
      <c r="E185" s="3" t="s">
        <v>26</v>
      </c>
    </row>
    <row r="186" customFormat="false" ht="15" hidden="false" customHeight="false" outlineLevel="0" collapsed="false">
      <c r="A186" s="2" t="s">
        <v>286</v>
      </c>
      <c r="B186" s="12" t="n">
        <f aca="false">VLOOKUP(D186,Assumptions!$A$9:$B$19,2,FALSE())+VLOOKUP(E186,Assumptions!$A$22:$B$26,2,FALSE())</f>
        <v>-15</v>
      </c>
      <c r="C186" s="2" t="s">
        <v>240</v>
      </c>
      <c r="D186" s="3" t="s">
        <v>14</v>
      </c>
      <c r="E186" s="3" t="s">
        <v>25</v>
      </c>
    </row>
    <row r="187" customFormat="false" ht="15" hidden="false" customHeight="false" outlineLevel="0" collapsed="false">
      <c r="A187" s="2" t="s">
        <v>287</v>
      </c>
      <c r="B187" s="12" t="n">
        <f aca="false">VLOOKUP(D187,Assumptions!$A$9:$B$19,2,FALSE())+VLOOKUP(E187,Assumptions!$A$22:$B$26,2,FALSE())</f>
        <v>-15</v>
      </c>
      <c r="C187" s="2" t="s">
        <v>240</v>
      </c>
      <c r="D187" s="3" t="s">
        <v>14</v>
      </c>
      <c r="E187" s="3" t="s">
        <v>25</v>
      </c>
    </row>
    <row r="188" customFormat="false" ht="15" hidden="false" customHeight="false" outlineLevel="0" collapsed="false">
      <c r="A188" s="2" t="s">
        <v>288</v>
      </c>
      <c r="B188" s="12" t="n">
        <f aca="false">VLOOKUP(D188,Assumptions!$A$9:$B$19,2,FALSE())+VLOOKUP(E188,Assumptions!$A$22:$B$26,2,FALSE())</f>
        <v>-44</v>
      </c>
      <c r="C188" s="2" t="s">
        <v>240</v>
      </c>
      <c r="D188" s="3" t="s">
        <v>22</v>
      </c>
      <c r="E188" s="3" t="s">
        <v>28</v>
      </c>
    </row>
    <row r="189" customFormat="false" ht="15" hidden="false" customHeight="false" outlineLevel="0" collapsed="false">
      <c r="A189" s="2" t="s">
        <v>289</v>
      </c>
      <c r="B189" s="12" t="n">
        <f aca="false">VLOOKUP(D189,Assumptions!$A$9:$B$19,2,FALSE())+VLOOKUP(E189,Assumptions!$A$22:$B$26,2,FALSE())</f>
        <v>-19</v>
      </c>
      <c r="C189" s="2" t="s">
        <v>240</v>
      </c>
      <c r="D189" s="3" t="s">
        <v>13</v>
      </c>
      <c r="E189" s="3" t="s">
        <v>27</v>
      </c>
    </row>
    <row r="190" customFormat="false" ht="15" hidden="false" customHeight="false" outlineLevel="0" collapsed="false">
      <c r="A190" s="2" t="s">
        <v>290</v>
      </c>
      <c r="B190" s="12" t="n">
        <f aca="false">VLOOKUP(D190,Assumptions!$A$9:$B$19,2,FALSE())+VLOOKUP(E190,Assumptions!$A$22:$B$26,2,FALSE())</f>
        <v>-39</v>
      </c>
      <c r="C190" s="2" t="s">
        <v>240</v>
      </c>
      <c r="D190" s="3" t="s">
        <v>22</v>
      </c>
      <c r="E190" s="3" t="s">
        <v>27</v>
      </c>
    </row>
    <row r="191" customFormat="false" ht="15" hidden="false" customHeight="false" outlineLevel="0" collapsed="false">
      <c r="A191" s="2" t="s">
        <v>291</v>
      </c>
      <c r="B191" s="12" t="n">
        <f aca="false">VLOOKUP(D191,Assumptions!$A$9:$B$19,2,FALSE())+VLOOKUP(E191,Assumptions!$A$22:$B$26,2,FALSE())</f>
        <v>-26</v>
      </c>
      <c r="C191" s="2" t="s">
        <v>240</v>
      </c>
      <c r="D191" s="3" t="s">
        <v>15</v>
      </c>
      <c r="E191" s="3" t="s">
        <v>27</v>
      </c>
    </row>
    <row r="192" customFormat="false" ht="15" hidden="false" customHeight="false" outlineLevel="0" collapsed="false">
      <c r="A192" s="2" t="s">
        <v>292</v>
      </c>
      <c r="B192" s="12" t="n">
        <f aca="false">VLOOKUP(D192,Assumptions!$A$9:$B$19,2,FALSE())+VLOOKUP(E192,Assumptions!$A$22:$B$26,2,FALSE())</f>
        <v>-30</v>
      </c>
      <c r="C192" s="2" t="s">
        <v>240</v>
      </c>
      <c r="D192" s="3" t="s">
        <v>18</v>
      </c>
      <c r="E192" s="3" t="s">
        <v>26</v>
      </c>
    </row>
    <row r="193" customFormat="false" ht="15" hidden="false" customHeight="false" outlineLevel="0" collapsed="false">
      <c r="A193" s="2" t="s">
        <v>293</v>
      </c>
      <c r="B193" s="12" t="n">
        <f aca="false">VLOOKUP(D193,Assumptions!$A$9:$B$19,2,FALSE())+VLOOKUP(E193,Assumptions!$A$22:$B$26,2,FALSE())</f>
        <v>-39</v>
      </c>
      <c r="C193" s="2" t="s">
        <v>240</v>
      </c>
      <c r="D193" s="3" t="s">
        <v>22</v>
      </c>
      <c r="E193" s="3" t="s">
        <v>27</v>
      </c>
    </row>
    <row r="194" customFormat="false" ht="15" hidden="false" customHeight="false" outlineLevel="0" collapsed="false">
      <c r="A194" s="2" t="s">
        <v>294</v>
      </c>
      <c r="B194" s="12" t="n">
        <f aca="false">VLOOKUP(D194,Assumptions!$A$9:$B$19,2,FALSE())+VLOOKUP(E194,Assumptions!$A$22:$B$26,2,FALSE())</f>
        <v>-33</v>
      </c>
      <c r="C194" s="2" t="s">
        <v>240</v>
      </c>
      <c r="D194" s="3" t="s">
        <v>17</v>
      </c>
      <c r="E194" s="3" t="s">
        <v>27</v>
      </c>
    </row>
    <row r="195" customFormat="false" ht="15" hidden="false" customHeight="false" outlineLevel="0" collapsed="false">
      <c r="A195" s="2" t="s">
        <v>295</v>
      </c>
      <c r="B195" s="12" t="n">
        <f aca="false">VLOOKUP(D195,Assumptions!$A$9:$B$19,2,FALSE())+VLOOKUP(E195,Assumptions!$A$22:$B$26,2,FALSE())</f>
        <v>-26</v>
      </c>
      <c r="C195" s="2" t="s">
        <v>240</v>
      </c>
      <c r="D195" s="3" t="s">
        <v>15</v>
      </c>
      <c r="E195" s="3" t="s">
        <v>27</v>
      </c>
    </row>
    <row r="196" customFormat="false" ht="15" hidden="false" customHeight="false" outlineLevel="0" collapsed="false">
      <c r="A196" s="2" t="s">
        <v>296</v>
      </c>
      <c r="B196" s="12" t="n">
        <f aca="false">VLOOKUP(D196,Assumptions!$A$9:$B$19,2,FALSE())+VLOOKUP(E196,Assumptions!$A$22:$B$26,2,FALSE())</f>
        <v>-11</v>
      </c>
      <c r="C196" s="2" t="s">
        <v>240</v>
      </c>
      <c r="D196" s="3" t="s">
        <v>13</v>
      </c>
      <c r="E196" s="3" t="s">
        <v>25</v>
      </c>
    </row>
    <row r="197" customFormat="false" ht="15" hidden="false" customHeight="false" outlineLevel="0" collapsed="false">
      <c r="A197" s="2" t="s">
        <v>297</v>
      </c>
      <c r="B197" s="12" t="n">
        <f aca="false">VLOOKUP(D197,Assumptions!$A$9:$B$19,2,FALSE())+VLOOKUP(E197,Assumptions!$A$22:$B$26,2,FALSE())</f>
        <v>-23</v>
      </c>
      <c r="C197" s="2" t="s">
        <v>240</v>
      </c>
      <c r="D197" s="3" t="s">
        <v>14</v>
      </c>
      <c r="E197" s="3" t="s">
        <v>27</v>
      </c>
    </row>
    <row r="198" customFormat="false" ht="15" hidden="false" customHeight="false" outlineLevel="0" collapsed="false">
      <c r="A198" s="2" t="s">
        <v>298</v>
      </c>
      <c r="B198" s="12" t="n">
        <f aca="false">VLOOKUP(D198,Assumptions!$A$9:$B$19,2,FALSE())+VLOOKUP(E198,Assumptions!$A$22:$B$26,2,FALSE())</f>
        <v>-23</v>
      </c>
      <c r="C198" s="2" t="s">
        <v>240</v>
      </c>
      <c r="D198" s="3" t="s">
        <v>14</v>
      </c>
      <c r="E198" s="3" t="s">
        <v>27</v>
      </c>
    </row>
    <row r="199" customFormat="false" ht="15" hidden="false" customHeight="false" outlineLevel="0" collapsed="false">
      <c r="A199" s="2" t="s">
        <v>299</v>
      </c>
      <c r="B199" s="12" t="n">
        <f aca="false">VLOOKUP(D199,Assumptions!$A$9:$B$19,2,FALSE())+VLOOKUP(E199,Assumptions!$A$22:$B$26,2,FALSE())</f>
        <v>-15</v>
      </c>
      <c r="C199" s="2" t="s">
        <v>240</v>
      </c>
      <c r="D199" s="3" t="s">
        <v>13</v>
      </c>
      <c r="E199" s="3" t="s">
        <v>26</v>
      </c>
    </row>
    <row r="200" customFormat="false" ht="15" hidden="false" customHeight="false" outlineLevel="0" collapsed="false">
      <c r="A200" s="2" t="s">
        <v>300</v>
      </c>
      <c r="B200" s="12" t="n">
        <f aca="false">VLOOKUP(D200,Assumptions!$A$9:$B$19,2,FALSE())+VLOOKUP(E200,Assumptions!$A$22:$B$26,2,FALSE())</f>
        <v>-39</v>
      </c>
      <c r="C200" s="2" t="s">
        <v>240</v>
      </c>
      <c r="D200" s="3" t="s">
        <v>18</v>
      </c>
      <c r="E200" s="3" t="s">
        <v>28</v>
      </c>
    </row>
    <row r="201" customFormat="false" ht="15" hidden="false" customHeight="false" outlineLevel="0" collapsed="false">
      <c r="A201" s="2" t="s">
        <v>301</v>
      </c>
      <c r="B201" s="12" t="n">
        <f aca="false">VLOOKUP(D201,Assumptions!$A$9:$B$19,2,FALSE())+VLOOKUP(E201,Assumptions!$A$22:$B$26,2,FALSE())</f>
        <v>-23</v>
      </c>
      <c r="C201" s="2" t="s">
        <v>240</v>
      </c>
      <c r="D201" s="3" t="s">
        <v>14</v>
      </c>
      <c r="E201" s="3" t="s">
        <v>27</v>
      </c>
    </row>
    <row r="202" customFormat="false" ht="15" hidden="false" customHeight="false" outlineLevel="0" collapsed="false">
      <c r="A202" s="2" t="s">
        <v>302</v>
      </c>
      <c r="B202" s="12" t="n">
        <f aca="false">VLOOKUP(D202,Assumptions!$A$9:$B$19,2,FALSE())+VLOOKUP(E202,Assumptions!$A$22:$B$26,2,FALSE())</f>
        <v>-42</v>
      </c>
      <c r="C202" s="2" t="s">
        <v>240</v>
      </c>
      <c r="D202" s="3" t="s">
        <v>20</v>
      </c>
      <c r="E202" s="3" t="s">
        <v>28</v>
      </c>
    </row>
    <row r="203" customFormat="false" ht="15" hidden="false" customHeight="false" outlineLevel="0" collapsed="false">
      <c r="A203" s="2" t="s">
        <v>303</v>
      </c>
      <c r="B203" s="12" t="n">
        <f aca="false">VLOOKUP(D203,Assumptions!$A$9:$B$19,2,FALSE())+VLOOKUP(E203,Assumptions!$A$22:$B$26,2,FALSE())</f>
        <v>-22</v>
      </c>
      <c r="C203" s="2" t="s">
        <v>240</v>
      </c>
      <c r="D203" s="3" t="s">
        <v>15</v>
      </c>
      <c r="E203" s="3" t="s">
        <v>26</v>
      </c>
    </row>
    <row r="204" customFormat="false" ht="15" hidden="false" customHeight="false" outlineLevel="0" collapsed="false">
      <c r="A204" s="2" t="s">
        <v>304</v>
      </c>
      <c r="B204" s="12" t="n">
        <f aca="false">VLOOKUP(D204,Assumptions!$A$9:$B$19,2,FALSE())+VLOOKUP(E204,Assumptions!$A$22:$B$26,2,FALSE())</f>
        <v>-22</v>
      </c>
      <c r="C204" s="2" t="s">
        <v>240</v>
      </c>
      <c r="D204" s="3" t="s">
        <v>15</v>
      </c>
      <c r="E204" s="3" t="s">
        <v>26</v>
      </c>
    </row>
    <row r="205" customFormat="false" ht="15" hidden="false" customHeight="false" outlineLevel="0" collapsed="false">
      <c r="A205" s="2" t="s">
        <v>305</v>
      </c>
      <c r="B205" s="12" t="n">
        <f aca="false">VLOOKUP(D205,Assumptions!$A$9:$B$19,2,FALSE())+VLOOKUP(E205,Assumptions!$A$22:$B$26,2,FALSE())</f>
        <v>-34</v>
      </c>
      <c r="C205" s="2" t="s">
        <v>240</v>
      </c>
      <c r="D205" s="3" t="s">
        <v>19</v>
      </c>
      <c r="E205" s="3" t="s">
        <v>27</v>
      </c>
    </row>
    <row r="206" customFormat="false" ht="15" hidden="false" customHeight="false" outlineLevel="0" collapsed="false">
      <c r="A206" s="2" t="s">
        <v>306</v>
      </c>
      <c r="B206" s="12" t="n">
        <f aca="false">VLOOKUP(D206,Assumptions!$A$9:$B$19,2,FALSE())+VLOOKUP(E206,Assumptions!$A$22:$B$26,2,FALSE())</f>
        <v>-49</v>
      </c>
      <c r="C206" s="2" t="s">
        <v>240</v>
      </c>
      <c r="D206" s="3" t="s">
        <v>23</v>
      </c>
      <c r="E206" s="3" t="s">
        <v>28</v>
      </c>
    </row>
    <row r="207" customFormat="false" ht="15" hidden="false" customHeight="false" outlineLevel="0" collapsed="false">
      <c r="A207" s="2" t="s">
        <v>307</v>
      </c>
      <c r="B207" s="12" t="n">
        <f aca="false">VLOOKUP(D207,Assumptions!$A$9:$B$19,2,FALSE())+VLOOKUP(E207,Assumptions!$A$22:$B$26,2,FALSE())</f>
        <v>-30</v>
      </c>
      <c r="C207" s="2" t="s">
        <v>240</v>
      </c>
      <c r="D207" s="3" t="s">
        <v>16</v>
      </c>
      <c r="E207" s="3" t="s">
        <v>27</v>
      </c>
    </row>
    <row r="208" customFormat="false" ht="15" hidden="false" customHeight="false" outlineLevel="0" collapsed="false">
      <c r="A208" s="2" t="s">
        <v>308</v>
      </c>
      <c r="B208" s="12" t="n">
        <f aca="false">VLOOKUP(D208,Assumptions!$A$9:$B$19,2,FALSE())+VLOOKUP(E208,Assumptions!$A$22:$B$26,2,FALSE())</f>
        <v>-15</v>
      </c>
      <c r="C208" s="2" t="s">
        <v>240</v>
      </c>
      <c r="D208" s="3" t="s">
        <v>13</v>
      </c>
      <c r="E208" s="3" t="s">
        <v>26</v>
      </c>
    </row>
    <row r="209" customFormat="false" ht="15" hidden="false" customHeight="false" outlineLevel="0" collapsed="false">
      <c r="A209" s="2" t="s">
        <v>309</v>
      </c>
      <c r="B209" s="12" t="n">
        <f aca="false">VLOOKUP(D209,Assumptions!$A$9:$B$19,2,FALSE())+VLOOKUP(E209,Assumptions!$A$22:$B$26,2,FALSE())</f>
        <v>-11</v>
      </c>
      <c r="C209" s="2" t="s">
        <v>240</v>
      </c>
      <c r="D209" s="3" t="s">
        <v>13</v>
      </c>
      <c r="E209" s="3" t="s">
        <v>25</v>
      </c>
    </row>
    <row r="210" customFormat="false" ht="15" hidden="false" customHeight="false" outlineLevel="0" collapsed="false">
      <c r="A210" s="2" t="s">
        <v>310</v>
      </c>
      <c r="B210" s="12" t="n">
        <f aca="false">VLOOKUP(D210,Assumptions!$A$9:$B$19,2,FALSE())+VLOOKUP(E210,Assumptions!$A$22:$B$26,2,FALSE())</f>
        <v>-39</v>
      </c>
      <c r="C210" s="2" t="s">
        <v>240</v>
      </c>
      <c r="D210" s="3" t="s">
        <v>19</v>
      </c>
      <c r="E210" s="3" t="s">
        <v>28</v>
      </c>
    </row>
    <row r="211" customFormat="false" ht="15" hidden="false" customHeight="false" outlineLevel="0" collapsed="false">
      <c r="A211" s="2" t="s">
        <v>311</v>
      </c>
      <c r="B211" s="12" t="n">
        <f aca="false">VLOOKUP(D211,Assumptions!$A$9:$B$19,2,FALSE())+VLOOKUP(E211,Assumptions!$A$22:$B$26,2,FALSE())</f>
        <v>-34</v>
      </c>
      <c r="C211" s="2" t="s">
        <v>240</v>
      </c>
      <c r="D211" s="3" t="s">
        <v>18</v>
      </c>
      <c r="E211" s="3" t="s">
        <v>27</v>
      </c>
    </row>
    <row r="212" customFormat="false" ht="15" hidden="false" customHeight="false" outlineLevel="0" collapsed="false">
      <c r="A212" s="2" t="s">
        <v>312</v>
      </c>
      <c r="B212" s="12" t="n">
        <f aca="false">VLOOKUP(D212,Assumptions!$A$9:$B$19,2,FALSE())+VLOOKUP(E212,Assumptions!$A$22:$B$26,2,FALSE())</f>
        <v>-37</v>
      </c>
      <c r="C212" s="2" t="s">
        <v>240</v>
      </c>
      <c r="D212" s="3" t="s">
        <v>20</v>
      </c>
      <c r="E212" s="3" t="s">
        <v>27</v>
      </c>
    </row>
    <row r="213" customFormat="false" ht="15" hidden="false" customHeight="false" outlineLevel="0" collapsed="false">
      <c r="A213" s="2" t="s">
        <v>313</v>
      </c>
      <c r="B213" s="12" t="n">
        <f aca="false">VLOOKUP(D213,Assumptions!$A$9:$B$19,2,FALSE())+VLOOKUP(E213,Assumptions!$A$22:$B$26,2,FALSE())</f>
        <v>-15</v>
      </c>
      <c r="C213" s="2" t="s">
        <v>240</v>
      </c>
      <c r="D213" s="3" t="s">
        <v>13</v>
      </c>
      <c r="E213" s="3" t="s">
        <v>26</v>
      </c>
    </row>
    <row r="214" customFormat="false" ht="15" hidden="false" customHeight="false" outlineLevel="0" collapsed="false">
      <c r="A214" s="2" t="s">
        <v>314</v>
      </c>
      <c r="B214" s="12" t="n">
        <f aca="false">VLOOKUP(D214,Assumptions!$A$9:$B$19,2,FALSE())+VLOOKUP(E214,Assumptions!$A$22:$B$26,2,FALSE())</f>
        <v>-33</v>
      </c>
      <c r="C214" s="2" t="s">
        <v>240</v>
      </c>
      <c r="D214" s="3" t="s">
        <v>17</v>
      </c>
      <c r="E214" s="3" t="s">
        <v>27</v>
      </c>
    </row>
    <row r="215" customFormat="false" ht="15" hidden="false" customHeight="false" outlineLevel="0" collapsed="false">
      <c r="A215" s="2" t="s">
        <v>315</v>
      </c>
      <c r="B215" s="12" t="n">
        <f aca="false">VLOOKUP(D215,Assumptions!$A$9:$B$19,2,FALSE())+VLOOKUP(E215,Assumptions!$A$22:$B$26,2,FALSE())</f>
        <v>-56</v>
      </c>
      <c r="C215" s="2" t="s">
        <v>240</v>
      </c>
      <c r="D215" s="3" t="s">
        <v>23</v>
      </c>
      <c r="E215" s="3" t="s">
        <v>29</v>
      </c>
    </row>
    <row r="216" customFormat="false" ht="15" hidden="false" customHeight="false" outlineLevel="0" collapsed="false">
      <c r="A216" s="2" t="s">
        <v>316</v>
      </c>
      <c r="B216" s="12" t="n">
        <f aca="false">VLOOKUP(D216,Assumptions!$A$9:$B$19,2,FALSE())+VLOOKUP(E216,Assumptions!$A$22:$B$26,2,FALSE())</f>
        <v>-26</v>
      </c>
      <c r="C216" s="2" t="s">
        <v>240</v>
      </c>
      <c r="D216" s="3" t="s">
        <v>15</v>
      </c>
      <c r="E216" s="3" t="s">
        <v>27</v>
      </c>
    </row>
    <row r="217" customFormat="false" ht="15" hidden="false" customHeight="false" outlineLevel="0" collapsed="false">
      <c r="A217" s="2" t="s">
        <v>317</v>
      </c>
      <c r="B217" s="12" t="n">
        <f aca="false">VLOOKUP(D217,Assumptions!$A$9:$B$19,2,FALSE())+VLOOKUP(E217,Assumptions!$A$22:$B$26,2,FALSE())</f>
        <v>-25</v>
      </c>
      <c r="C217" s="2" t="s">
        <v>240</v>
      </c>
      <c r="D217" s="3" t="s">
        <v>17</v>
      </c>
      <c r="E217" s="3" t="s">
        <v>25</v>
      </c>
    </row>
    <row r="218" customFormat="false" ht="15" hidden="false" customHeight="false" outlineLevel="0" collapsed="false">
      <c r="A218" s="2" t="s">
        <v>318</v>
      </c>
      <c r="B218" s="12" t="n">
        <f aca="false">VLOOKUP(D218,Assumptions!$A$9:$B$19,2,FALSE())+VLOOKUP(E218,Assumptions!$A$22:$B$26,2,FALSE())</f>
        <v>-34</v>
      </c>
      <c r="C218" s="2" t="s">
        <v>240</v>
      </c>
      <c r="D218" s="3" t="s">
        <v>19</v>
      </c>
      <c r="E218" s="3" t="s">
        <v>27</v>
      </c>
    </row>
    <row r="219" customFormat="false" ht="15" hidden="false" customHeight="false" outlineLevel="0" collapsed="false">
      <c r="A219" s="2" t="s">
        <v>319</v>
      </c>
      <c r="B219" s="12" t="n">
        <f aca="false">VLOOKUP(D219,Assumptions!$A$9:$B$19,2,FALSE())+VLOOKUP(E219,Assumptions!$A$22:$B$26,2,FALSE())</f>
        <v>-34</v>
      </c>
      <c r="C219" s="2" t="s">
        <v>240</v>
      </c>
      <c r="D219" s="3" t="s">
        <v>19</v>
      </c>
      <c r="E219" s="3" t="s">
        <v>27</v>
      </c>
    </row>
    <row r="220" customFormat="false" ht="15" hidden="false" customHeight="false" outlineLevel="0" collapsed="false">
      <c r="A220" s="2" t="s">
        <v>320</v>
      </c>
      <c r="B220" s="12" t="n">
        <f aca="false">VLOOKUP(D220,Assumptions!$A$9:$B$19,2,FALSE())+VLOOKUP(E220,Assumptions!$A$22:$B$26,2,FALSE())</f>
        <v>-42</v>
      </c>
      <c r="C220" s="2" t="s">
        <v>240</v>
      </c>
      <c r="D220" s="3" t="s">
        <v>20</v>
      </c>
      <c r="E220" s="3" t="s">
        <v>28</v>
      </c>
    </row>
    <row r="221" customFormat="false" ht="15" hidden="false" customHeight="false" outlineLevel="0" collapsed="false">
      <c r="A221" s="2" t="s">
        <v>321</v>
      </c>
      <c r="B221" s="12" t="n">
        <f aca="false">VLOOKUP(D221,Assumptions!$A$9:$B$19,2,FALSE())+VLOOKUP(E221,Assumptions!$A$22:$B$26,2,FALSE())</f>
        <v>-30</v>
      </c>
      <c r="C221" s="2" t="s">
        <v>240</v>
      </c>
      <c r="D221" s="3" t="s">
        <v>16</v>
      </c>
      <c r="E221" s="3" t="s">
        <v>27</v>
      </c>
    </row>
    <row r="222" customFormat="false" ht="15" hidden="false" customHeight="false" outlineLevel="0" collapsed="false">
      <c r="A222" s="2" t="s">
        <v>322</v>
      </c>
      <c r="B222" s="12" t="n">
        <f aca="false">VLOOKUP(D222,Assumptions!$A$9:$B$19,2,FALSE())+VLOOKUP(E222,Assumptions!$A$22:$B$26,2,FALSE())</f>
        <v>-26</v>
      </c>
      <c r="C222" s="2" t="s">
        <v>240</v>
      </c>
      <c r="D222" s="3" t="s">
        <v>15</v>
      </c>
      <c r="E222" s="3" t="s">
        <v>27</v>
      </c>
    </row>
    <row r="223" customFormat="false" ht="15" hidden="false" customHeight="false" outlineLevel="0" collapsed="false">
      <c r="A223" s="2" t="s">
        <v>323</v>
      </c>
      <c r="B223" s="12" t="n">
        <f aca="false">VLOOKUP(D223,Assumptions!$A$9:$B$19,2,FALSE())+VLOOKUP(E223,Assumptions!$A$22:$B$26,2,FALSE())</f>
        <v>-42</v>
      </c>
      <c r="C223" s="2" t="s">
        <v>240</v>
      </c>
      <c r="D223" s="3" t="s">
        <v>20</v>
      </c>
      <c r="E223" s="3" t="s">
        <v>28</v>
      </c>
    </row>
    <row r="224" customFormat="false" ht="15" hidden="false" customHeight="false" outlineLevel="0" collapsed="false">
      <c r="A224" s="2" t="s">
        <v>324</v>
      </c>
      <c r="B224" s="12" t="n">
        <f aca="false">VLOOKUP(D224,Assumptions!$A$9:$B$19,2,FALSE())+VLOOKUP(E224,Assumptions!$A$22:$B$26,2,FALSE())</f>
        <v>-26</v>
      </c>
      <c r="C224" s="2" t="s">
        <v>240</v>
      </c>
      <c r="D224" s="3" t="s">
        <v>15</v>
      </c>
      <c r="E224" s="3" t="s">
        <v>27</v>
      </c>
    </row>
    <row r="225" customFormat="false" ht="15" hidden="false" customHeight="false" outlineLevel="0" collapsed="false">
      <c r="A225" s="2" t="s">
        <v>325</v>
      </c>
      <c r="B225" s="12" t="n">
        <f aca="false">VLOOKUP(D225,Assumptions!$A$9:$B$19,2,FALSE())+VLOOKUP(E225,Assumptions!$A$22:$B$26,2,FALSE())</f>
        <v>-15</v>
      </c>
      <c r="C225" s="2" t="s">
        <v>240</v>
      </c>
      <c r="D225" s="3" t="s">
        <v>14</v>
      </c>
      <c r="E225" s="3" t="s">
        <v>25</v>
      </c>
    </row>
    <row r="226" customFormat="false" ht="15" hidden="false" customHeight="false" outlineLevel="0" collapsed="false">
      <c r="A226" s="2" t="s">
        <v>326</v>
      </c>
      <c r="B226" s="12" t="n">
        <f aca="false">VLOOKUP(D226,Assumptions!$A$9:$B$19,2,FALSE())+VLOOKUP(E226,Assumptions!$A$22:$B$26,2,FALSE())</f>
        <v>-30</v>
      </c>
      <c r="C226" s="2" t="s">
        <v>240</v>
      </c>
      <c r="D226" s="3" t="s">
        <v>18</v>
      </c>
      <c r="E226" s="3" t="s">
        <v>26</v>
      </c>
    </row>
    <row r="227" customFormat="false" ht="15" hidden="false" customHeight="false" outlineLevel="0" collapsed="false">
      <c r="A227" s="2" t="s">
        <v>327</v>
      </c>
      <c r="B227" s="12" t="n">
        <f aca="false">VLOOKUP(D227,Assumptions!$A$9:$B$19,2,FALSE())+VLOOKUP(E227,Assumptions!$A$22:$B$26,2,FALSE())</f>
        <v>-34</v>
      </c>
      <c r="C227" s="2" t="s">
        <v>240</v>
      </c>
      <c r="D227" s="3" t="s">
        <v>19</v>
      </c>
      <c r="E227" s="3" t="s">
        <v>27</v>
      </c>
    </row>
    <row r="228" customFormat="false" ht="15" hidden="false" customHeight="false" outlineLevel="0" collapsed="false">
      <c r="A228" s="2" t="s">
        <v>328</v>
      </c>
      <c r="B228" s="12" t="n">
        <f aca="false">VLOOKUP(D228,Assumptions!$A$9:$B$19,2,FALSE())+VLOOKUP(E228,Assumptions!$A$22:$B$26,2,FALSE())</f>
        <v>-39</v>
      </c>
      <c r="C228" s="2" t="s">
        <v>240</v>
      </c>
      <c r="D228" s="3" t="s">
        <v>18</v>
      </c>
      <c r="E228" s="3" t="s">
        <v>28</v>
      </c>
    </row>
    <row r="229" customFormat="false" ht="15" hidden="false" customHeight="false" outlineLevel="0" collapsed="false">
      <c r="A229" s="2" t="s">
        <v>329</v>
      </c>
      <c r="B229" s="12" t="n">
        <f aca="false">VLOOKUP(D229,Assumptions!$A$9:$B$19,2,FALSE())+VLOOKUP(E229,Assumptions!$A$22:$B$26,2,FALSE())</f>
        <v>-33</v>
      </c>
      <c r="C229" s="2" t="s">
        <v>240</v>
      </c>
      <c r="D229" s="3" t="s">
        <v>17</v>
      </c>
      <c r="E229" s="3" t="s">
        <v>27</v>
      </c>
    </row>
    <row r="230" customFormat="false" ht="15" hidden="false" customHeight="false" outlineLevel="0" collapsed="false">
      <c r="A230" s="2" t="s">
        <v>330</v>
      </c>
      <c r="B230" s="12" t="n">
        <f aca="false">VLOOKUP(D230,Assumptions!$A$9:$B$19,2,FALSE())+VLOOKUP(E230,Assumptions!$A$22:$B$26,2,FALSE())</f>
        <v>-35</v>
      </c>
      <c r="C230" s="2" t="s">
        <v>240</v>
      </c>
      <c r="D230" s="3" t="s">
        <v>16</v>
      </c>
      <c r="E230" s="3" t="s">
        <v>28</v>
      </c>
    </row>
    <row r="231" customFormat="false" ht="15" hidden="false" customHeight="false" outlineLevel="0" collapsed="false">
      <c r="A231" s="2" t="s">
        <v>331</v>
      </c>
      <c r="B231" s="12" t="n">
        <f aca="false">VLOOKUP(D231,Assumptions!$A$9:$B$19,2,FALSE())+VLOOKUP(E231,Assumptions!$A$22:$B$26,2,FALSE())</f>
        <v>-18</v>
      </c>
      <c r="C231" s="2" t="s">
        <v>240</v>
      </c>
      <c r="D231" s="3" t="s">
        <v>15</v>
      </c>
      <c r="E231" s="3" t="s">
        <v>25</v>
      </c>
    </row>
    <row r="232" customFormat="false" ht="15" hidden="false" customHeight="false" outlineLevel="0" collapsed="false">
      <c r="A232" s="2" t="s">
        <v>332</v>
      </c>
      <c r="B232" s="12" t="n">
        <f aca="false">VLOOKUP(D232,Assumptions!$A$9:$B$19,2,FALSE())+VLOOKUP(E232,Assumptions!$A$22:$B$26,2,FALSE())</f>
        <v>-49</v>
      </c>
      <c r="C232" s="2" t="s">
        <v>240</v>
      </c>
      <c r="D232" s="3" t="s">
        <v>23</v>
      </c>
      <c r="E232" s="3" t="s">
        <v>28</v>
      </c>
    </row>
    <row r="233" customFormat="false" ht="15" hidden="false" customHeight="false" outlineLevel="0" collapsed="false">
      <c r="A233" s="2" t="s">
        <v>333</v>
      </c>
      <c r="B233" s="12" t="n">
        <f aca="false">VLOOKUP(D233,Assumptions!$A$9:$B$19,2,FALSE())+VLOOKUP(E233,Assumptions!$A$22:$B$26,2,FALSE())</f>
        <v>-19</v>
      </c>
      <c r="C233" s="2" t="s">
        <v>240</v>
      </c>
      <c r="D233" s="3" t="s">
        <v>14</v>
      </c>
      <c r="E233" s="3" t="s">
        <v>26</v>
      </c>
    </row>
    <row r="234" customFormat="false" ht="15" hidden="false" customHeight="false" outlineLevel="0" collapsed="false">
      <c r="A234" s="2" t="s">
        <v>334</v>
      </c>
      <c r="B234" s="12" t="n">
        <f aca="false">VLOOKUP(D234,Assumptions!$A$9:$B$19,2,FALSE())+VLOOKUP(E234,Assumptions!$A$22:$B$26,2,FALSE())</f>
        <v>-45</v>
      </c>
      <c r="C234" s="2" t="s">
        <v>240</v>
      </c>
      <c r="D234" s="3" t="s">
        <v>17</v>
      </c>
      <c r="E234" s="3" t="s">
        <v>29</v>
      </c>
    </row>
    <row r="235" customFormat="false" ht="15" hidden="false" customHeight="false" outlineLevel="0" collapsed="false">
      <c r="A235" s="2" t="s">
        <v>335</v>
      </c>
      <c r="B235" s="12" t="n">
        <f aca="false">VLOOKUP(D235,Assumptions!$A$9:$B$19,2,FALSE())+VLOOKUP(E235,Assumptions!$A$22:$B$26,2,FALSE())</f>
        <v>-35</v>
      </c>
      <c r="C235" s="2" t="s">
        <v>240</v>
      </c>
      <c r="D235" s="3" t="s">
        <v>16</v>
      </c>
      <c r="E235" s="3" t="s">
        <v>28</v>
      </c>
    </row>
    <row r="236" customFormat="false" ht="15" hidden="false" customHeight="false" outlineLevel="0" collapsed="false">
      <c r="A236" s="2" t="s">
        <v>336</v>
      </c>
      <c r="B236" s="12" t="n">
        <f aca="false">VLOOKUP(D236,Assumptions!$A$9:$B$19,2,FALSE())+VLOOKUP(E236,Assumptions!$A$22:$B$26,2,FALSE())</f>
        <v>-19</v>
      </c>
      <c r="C236" s="2" t="s">
        <v>240</v>
      </c>
      <c r="D236" s="3" t="s">
        <v>13</v>
      </c>
      <c r="E236" s="3" t="s">
        <v>27</v>
      </c>
    </row>
    <row r="237" customFormat="false" ht="15" hidden="false" customHeight="false" outlineLevel="0" collapsed="false">
      <c r="A237" s="2" t="s">
        <v>337</v>
      </c>
      <c r="B237" s="12" t="n">
        <f aca="false">VLOOKUP(D237,Assumptions!$A$9:$B$19,2,FALSE())+VLOOKUP(E237,Assumptions!$A$22:$B$26,2,FALSE())</f>
        <v>-22</v>
      </c>
      <c r="C237" s="2" t="s">
        <v>240</v>
      </c>
      <c r="D237" s="3" t="s">
        <v>15</v>
      </c>
      <c r="E237" s="3" t="s">
        <v>26</v>
      </c>
    </row>
    <row r="238" customFormat="false" ht="15" hidden="false" customHeight="false" outlineLevel="0" collapsed="false">
      <c r="A238" s="2" t="s">
        <v>338</v>
      </c>
      <c r="B238" s="12" t="n">
        <f aca="false">VLOOKUP(D238,Assumptions!$A$9:$B$19,2,FALSE())+VLOOKUP(E238,Assumptions!$A$22:$B$26,2,FALSE())</f>
        <v>-30</v>
      </c>
      <c r="C238" s="2" t="s">
        <v>240</v>
      </c>
      <c r="D238" s="3" t="s">
        <v>16</v>
      </c>
      <c r="E238" s="3" t="s">
        <v>27</v>
      </c>
    </row>
    <row r="239" customFormat="false" ht="15" hidden="false" customHeight="false" outlineLevel="0" collapsed="false">
      <c r="A239" s="2" t="s">
        <v>339</v>
      </c>
      <c r="B239" s="12" t="n">
        <f aca="false">VLOOKUP(D239,Assumptions!$A$9:$B$19,2,FALSE())+VLOOKUP(E239,Assumptions!$A$22:$B$26,2,FALSE())</f>
        <v>-15</v>
      </c>
      <c r="C239" s="2" t="s">
        <v>240</v>
      </c>
      <c r="D239" s="3" t="s">
        <v>13</v>
      </c>
      <c r="E239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23.85" hidden="false" customHeight="false" outlineLevel="0" collapsed="false">
      <c r="A1" s="4" t="s">
        <v>36</v>
      </c>
      <c r="B1" s="4" t="s">
        <v>37</v>
      </c>
      <c r="C1" s="4" t="s">
        <v>340</v>
      </c>
      <c r="D1" s="4" t="s">
        <v>341</v>
      </c>
      <c r="E1" s="4" t="s">
        <v>342</v>
      </c>
      <c r="F1" s="4" t="s">
        <v>343</v>
      </c>
      <c r="G1" s="4" t="s">
        <v>344</v>
      </c>
      <c r="H1" s="4" t="s">
        <v>345</v>
      </c>
      <c r="I1" s="4" t="s">
        <v>346</v>
      </c>
      <c r="J1" s="4" t="s">
        <v>347</v>
      </c>
      <c r="K1" s="4" t="s">
        <v>348</v>
      </c>
      <c r="L1" s="4" t="s">
        <v>349</v>
      </c>
      <c r="M1" s="4" t="s">
        <v>350</v>
      </c>
      <c r="N1" s="4" t="s">
        <v>351</v>
      </c>
      <c r="O1" s="4" t="s">
        <v>352</v>
      </c>
      <c r="P1" s="4" t="s">
        <v>353</v>
      </c>
      <c r="Q1" s="4" t="s">
        <v>354</v>
      </c>
      <c r="R1" s="4" t="s">
        <v>355</v>
      </c>
      <c r="S1" s="4" t="s">
        <v>356</v>
      </c>
      <c r="T1" s="4" t="s">
        <v>357</v>
      </c>
      <c r="U1" s="4" t="s">
        <v>358</v>
      </c>
      <c r="V1" s="4" t="s">
        <v>359</v>
      </c>
      <c r="W1" s="4" t="s">
        <v>360</v>
      </c>
      <c r="X1" s="4" t="s">
        <v>361</v>
      </c>
      <c r="Y1" s="4" t="s">
        <v>362</v>
      </c>
      <c r="Z1" s="4" t="s">
        <v>363</v>
      </c>
      <c r="AA1" s="4" t="s">
        <v>364</v>
      </c>
      <c r="AB1" s="4" t="s">
        <v>365</v>
      </c>
      <c r="AC1" s="4" t="s">
        <v>366</v>
      </c>
      <c r="AD1" s="4" t="s">
        <v>367</v>
      </c>
      <c r="AE1" s="4" t="s">
        <v>368</v>
      </c>
      <c r="AF1" s="4" t="s">
        <v>369</v>
      </c>
      <c r="AG1" s="4" t="s">
        <v>370</v>
      </c>
      <c r="AH1" s="4" t="s">
        <v>371</v>
      </c>
      <c r="AI1" s="4" t="s">
        <v>372</v>
      </c>
      <c r="AJ1" s="4" t="s">
        <v>373</v>
      </c>
      <c r="AK1" s="4" t="s">
        <v>374</v>
      </c>
      <c r="AL1" s="4" t="s">
        <v>375</v>
      </c>
      <c r="AM1" s="4" t="s">
        <v>376</v>
      </c>
      <c r="AN1" s="4" t="s">
        <v>377</v>
      </c>
      <c r="AO1" s="4" t="s">
        <v>378</v>
      </c>
      <c r="AP1" s="4" t="s">
        <v>379</v>
      </c>
      <c r="AQ1" s="4" t="s">
        <v>380</v>
      </c>
      <c r="AR1" s="4" t="s">
        <v>381</v>
      </c>
      <c r="AS1" s="4" t="s">
        <v>382</v>
      </c>
      <c r="AT1" s="4" t="s">
        <v>383</v>
      </c>
      <c r="AU1" s="4" t="s">
        <v>384</v>
      </c>
      <c r="AV1" s="4" t="s">
        <v>385</v>
      </c>
      <c r="AW1" s="4" t="s">
        <v>386</v>
      </c>
      <c r="AX1" s="4" t="s">
        <v>387</v>
      </c>
      <c r="AY1" s="4" t="s">
        <v>388</v>
      </c>
      <c r="AZ1" s="4" t="s">
        <v>389</v>
      </c>
      <c r="BA1" s="4" t="s">
        <v>390</v>
      </c>
      <c r="BB1" s="4" t="s">
        <v>391</v>
      </c>
      <c r="BC1" s="4" t="s">
        <v>392</v>
      </c>
      <c r="BD1" s="4" t="s">
        <v>393</v>
      </c>
      <c r="BE1" s="4" t="s">
        <v>394</v>
      </c>
      <c r="BF1" s="4" t="s">
        <v>395</v>
      </c>
      <c r="BG1" s="4" t="s">
        <v>396</v>
      </c>
      <c r="BH1" s="4" t="s">
        <v>397</v>
      </c>
      <c r="BI1" s="4" t="s">
        <v>398</v>
      </c>
      <c r="BJ1" s="4" t="s">
        <v>399</v>
      </c>
      <c r="BK1" s="4" t="s">
        <v>400</v>
      </c>
      <c r="BL1" s="4" t="s">
        <v>401</v>
      </c>
      <c r="BM1" s="4" t="s">
        <v>402</v>
      </c>
      <c r="BN1" s="4" t="s">
        <v>403</v>
      </c>
      <c r="BO1" s="4" t="s">
        <v>404</v>
      </c>
      <c r="BP1" s="4" t="s">
        <v>405</v>
      </c>
      <c r="BQ1" s="4" t="s">
        <v>39</v>
      </c>
    </row>
    <row r="2" customFormat="false" ht="15" hidden="false" customHeight="false" outlineLevel="0" collapsed="false">
      <c r="A2" s="2" t="s">
        <v>58</v>
      </c>
      <c r="B2" s="2" t="n">
        <f aca="false">INDEX(Ratings!$B$2:$B$239,MATCH($A2,Ratings!$A$2:$A$239,0))</f>
        <v>32.7</v>
      </c>
      <c r="C2" s="2" t="s">
        <v>190</v>
      </c>
      <c r="D2" s="2" t="s">
        <v>406</v>
      </c>
      <c r="E2" s="2" t="n">
        <f aca="false">INDEX(Ratings!$B$2:$B$239,MATCH(C2,Ratings!$A$2:$A$239,0))</f>
        <v>-25.1</v>
      </c>
      <c r="F2" s="2" t="n">
        <f aca="false">IF(D2="Home",Assumptions!$B$2,IF(D2="Away",-Assumptions!$B$2,0))</f>
        <v>2.5</v>
      </c>
      <c r="G2" s="2" t="n">
        <f aca="false">NORMDIST($B2-E2+F2,0,Assumptions!$B$3,TRUE())</f>
        <v>0.999917966445453</v>
      </c>
      <c r="H2" s="2" t="s">
        <v>63</v>
      </c>
      <c r="I2" s="2" t="s">
        <v>407</v>
      </c>
      <c r="J2" s="2" t="n">
        <f aca="false">INDEX(Ratings!$B$2:$B$239,MATCH(H2,Ratings!$A$2:$A$239,0))</f>
        <v>22.8</v>
      </c>
      <c r="K2" s="2" t="n">
        <f aca="false">IF(I2="Home",Assumptions!$B$2,IF(I2="Away",-Assumptions!$B$2,0))</f>
        <v>-2.5</v>
      </c>
      <c r="L2" s="2" t="n">
        <f aca="false">NORMDIST($B2-J2+K2,0,Assumptions!$B$3,TRUE())</f>
        <v>0.678138598836346</v>
      </c>
      <c r="M2" s="2" t="s">
        <v>186</v>
      </c>
      <c r="N2" s="2" t="s">
        <v>406</v>
      </c>
      <c r="O2" s="2" t="n">
        <f aca="false">INDEX(Ratings!$B$2:$B$239,MATCH(M2,Ratings!$A$2:$A$239,0))</f>
        <v>-22.4</v>
      </c>
      <c r="P2" s="2" t="n">
        <f aca="false">IF(N2="Home",Assumptions!$B$2,IF(N2="Away",-Assumptions!$B$2,0))</f>
        <v>2.5</v>
      </c>
      <c r="Q2" s="2" t="n">
        <f aca="false">NORMDIST($B2-O2+P2,0,Assumptions!$B$3,TRUE())</f>
        <v>0.999840891409842</v>
      </c>
      <c r="R2" s="2" t="s">
        <v>85</v>
      </c>
      <c r="S2" s="2" t="s">
        <v>406</v>
      </c>
      <c r="T2" s="2" t="n">
        <f aca="false">INDEX(Ratings!$B$2:$B$239,MATCH(R2,Ratings!$A$2:$A$239,0))</f>
        <v>10.4</v>
      </c>
      <c r="U2" s="2" t="n">
        <f aca="false">IF(S2="Home",Assumptions!$B$2,IF(S2="Away",-Assumptions!$B$2,0))</f>
        <v>2.5</v>
      </c>
      <c r="V2" s="2" t="n">
        <f aca="false">NORMDIST($B2-T2+U2,0,Assumptions!$B$3,TRUE())</f>
        <v>0.939429241997941</v>
      </c>
      <c r="W2" s="2" t="s">
        <v>79</v>
      </c>
      <c r="X2" s="2" t="s">
        <v>407</v>
      </c>
      <c r="Y2" s="2" t="n">
        <f aca="false">INDEX(Ratings!$B$2:$B$239,MATCH(W2,Ratings!$A$2:$A$239,0))</f>
        <v>14.6</v>
      </c>
      <c r="Z2" s="2" t="n">
        <f aca="false">IF(X2="Home",Assumptions!$B$2,IF(X2="Away",-Assumptions!$B$2,0))</f>
        <v>-2.5</v>
      </c>
      <c r="AA2" s="2" t="n">
        <f aca="false">NORMDIST($B2-Y2+Z2,0,Assumptions!$B$3,TRUE())</f>
        <v>0.83521987001969</v>
      </c>
      <c r="AB2" s="2" t="s">
        <v>105</v>
      </c>
      <c r="AC2" s="2" t="s">
        <v>406</v>
      </c>
      <c r="AD2" s="2" t="n">
        <f aca="false">INDEX(Ratings!$B$2:$B$239,MATCH(AB2,Ratings!$A$2:$A$239,0))</f>
        <v>5.2</v>
      </c>
      <c r="AE2" s="2" t="n">
        <f aca="false">IF(AC2="Home",Assumptions!$B$2,IF(AC2="Away",-Assumptions!$B$2,0))</f>
        <v>2.5</v>
      </c>
      <c r="AF2" s="2" t="n">
        <f aca="false">NORMDIST($B2-AD2+AE2,0,Assumptions!$B$3,TRUE())</f>
        <v>0.969603638234739</v>
      </c>
      <c r="AG2" s="2" t="s">
        <v>62</v>
      </c>
      <c r="AH2" s="2" t="s">
        <v>407</v>
      </c>
      <c r="AI2" s="2" t="n">
        <f aca="false">INDEX(Ratings!$B$2:$B$239,MATCH(AG2,Ratings!$A$2:$A$239,0))</f>
        <v>25.8</v>
      </c>
      <c r="AJ2" s="2" t="n">
        <f aca="false">IF(AH2="Home",Assumptions!$B$2,IF(AH2="Away",-Assumptions!$B$2,0))</f>
        <v>-2.5</v>
      </c>
      <c r="AK2" s="2" t="n">
        <f aca="false">NORMDIST($B2-AI2+AJ2,0,Assumptions!$B$3,TRUE())</f>
        <v>0.608341880846395</v>
      </c>
      <c r="AL2" s="2" t="s">
        <v>69</v>
      </c>
      <c r="AM2" s="2" t="s">
        <v>407</v>
      </c>
      <c r="AN2" s="2" t="n">
        <f aca="false">INDEX(Ratings!$B$2:$B$239,MATCH(AL2,Ratings!$A$2:$A$239,0))</f>
        <v>17.7</v>
      </c>
      <c r="AO2" s="2" t="n">
        <f aca="false">IF(AM2="Home",Assumptions!$B$2,IF(AM2="Away",-Assumptions!$B$2,0))</f>
        <v>-2.5</v>
      </c>
      <c r="AP2" s="2" t="n">
        <f aca="false">NORMDIST($B2-AN2+AO2,0,Assumptions!$B$3,TRUE())</f>
        <v>0.782672264321914</v>
      </c>
      <c r="AQ2" s="2" t="s">
        <v>59</v>
      </c>
      <c r="AR2" s="2" t="s">
        <v>406</v>
      </c>
      <c r="AS2" s="2" t="n">
        <f aca="false">INDEX(Ratings!$B$2:$B$239,MATCH(AQ2,Ratings!$A$2:$A$239,0))</f>
        <v>29.2</v>
      </c>
      <c r="AT2" s="2" t="n">
        <f aca="false">IF(AR2="Home",Assumptions!$B$2,IF(AR2="Away",-Assumptions!$B$2,0))</f>
        <v>2.5</v>
      </c>
      <c r="AU2" s="2" t="n">
        <f aca="false">NORMDIST($B2-AS2+AT2,0,Assumptions!$B$3,TRUE())</f>
        <v>0.646169766672724</v>
      </c>
      <c r="AV2" s="2" t="s">
        <v>107</v>
      </c>
      <c r="AW2" s="2" t="s">
        <v>406</v>
      </c>
      <c r="AX2" s="2" t="n">
        <f aca="false">INDEX(Ratings!$B$2:$B$239,MATCH(AV2,Ratings!$A$2:$A$239,0))</f>
        <v>5.1</v>
      </c>
      <c r="AY2" s="2" t="n">
        <f aca="false">IF(AW2="Home",Assumptions!$B$2,IF(AW2="Away",-Assumptions!$B$2,0))</f>
        <v>2.5</v>
      </c>
      <c r="AZ2" s="2" t="n">
        <f aca="false">NORMDIST($B2-AX2+AY2,0,Assumptions!$B$3,TRUE())</f>
        <v>0.970031040466775</v>
      </c>
      <c r="BA2" s="2" t="s">
        <v>90</v>
      </c>
      <c r="BB2" s="2" t="s">
        <v>407</v>
      </c>
      <c r="BC2" s="2" t="n">
        <f aca="false">INDEX(Ratings!$B$2:$B$239,MATCH(BA2,Ratings!$A$2:$A$239,0))</f>
        <v>9.3</v>
      </c>
      <c r="BD2" s="2" t="n">
        <f aca="false">IF(BB2="Home",Assumptions!$B$2,IF(BB2="Away",-Assumptions!$B$2,0))</f>
        <v>-2.5</v>
      </c>
      <c r="BE2" s="2" t="n">
        <f aca="false">NORMDIST($B2-BC2+BD2,0,Assumptions!$B$3,TRUE())</f>
        <v>0.904266222788902</v>
      </c>
      <c r="BF2" s="2" t="s">
        <v>72</v>
      </c>
      <c r="BG2" s="2" t="s">
        <v>406</v>
      </c>
      <c r="BH2" s="2" t="n">
        <f aca="false">INDEX(Ratings!$B$2:$B$239,MATCH(BF2,Ratings!$A$2:$A$239,0))</f>
        <v>17</v>
      </c>
      <c r="BI2" s="2" t="n">
        <f aca="false">IF(BG2="Home",Assumptions!$B$2,IF(BG2="Away",-Assumptions!$B$2,0))</f>
        <v>2.5</v>
      </c>
      <c r="BJ2" s="2" t="n">
        <f aca="false">NORMDIST($B2-BH2+BI2,0,Assumptions!$B$3,TRUE())</f>
        <v>0.872335337703716</v>
      </c>
      <c r="BP2" s="2" t="n">
        <v>12</v>
      </c>
      <c r="BQ2" s="2" t="n">
        <f aca="false">G2+L2+Q2+V2+AA2+AF2+AK2+AP2+AU2+AZ2+BE2+BJ2</f>
        <v>10.2059667197444</v>
      </c>
    </row>
    <row r="3" customFormat="false" ht="15" hidden="false" customHeight="false" outlineLevel="0" collapsed="false">
      <c r="A3" s="2" t="s">
        <v>59</v>
      </c>
      <c r="B3" s="2" t="n">
        <f aca="false">INDEX(Ratings!$B$2:$B$239,MATCH($A3,Ratings!$A$2:$A$239,0))</f>
        <v>29.2</v>
      </c>
      <c r="C3" s="2" t="s">
        <v>106</v>
      </c>
      <c r="D3" s="2" t="s">
        <v>406</v>
      </c>
      <c r="E3" s="2" t="n">
        <f aca="false">INDEX(Ratings!$B$2:$B$239,MATCH(C3,Ratings!$A$2:$A$239,0))</f>
        <v>5.1</v>
      </c>
      <c r="F3" s="2" t="n">
        <f aca="false">IF(D3="Home",Assumptions!$B$2,IF(D3="Away",-Assumptions!$B$2,0))</f>
        <v>2.5</v>
      </c>
      <c r="G3" s="2" t="n">
        <f aca="false">NORMDIST($B3-E3+F3,0,Assumptions!$B$3,TRUE())</f>
        <v>0.951793718322495</v>
      </c>
      <c r="H3" s="2" t="s">
        <v>96</v>
      </c>
      <c r="I3" s="2" t="s">
        <v>407</v>
      </c>
      <c r="J3" s="2" t="n">
        <f aca="false">INDEX(Ratings!$B$2:$B$239,MATCH(H3,Ratings!$A$2:$A$239,0))</f>
        <v>6.9</v>
      </c>
      <c r="K3" s="2" t="n">
        <f aca="false">IF(I3="Home",Assumptions!$B$2,IF(I3="Away",-Assumptions!$B$2,0))</f>
        <v>-2.5</v>
      </c>
      <c r="L3" s="2" t="n">
        <f aca="false">NORMDIST($B3-J3+K3,0,Assumptions!$B$3,TRUE())</f>
        <v>0.892049242832675</v>
      </c>
      <c r="M3" s="2" t="s">
        <v>301</v>
      </c>
      <c r="N3" s="2" t="s">
        <v>406</v>
      </c>
      <c r="O3" s="2" t="n">
        <f aca="false">INDEX(Ratings!$B$2:$B$239,MATCH(M3,Ratings!$A$2:$A$239,0))</f>
        <v>-23</v>
      </c>
      <c r="P3" s="2" t="n">
        <f aca="false">IF(N3="Home",Assumptions!$B$2,IF(N3="Away",-Assumptions!$B$2,0))</f>
        <v>2.5</v>
      </c>
      <c r="Q3" s="2" t="n">
        <f aca="false">NORMDIST($B3-O3+P3,0,Assumptions!$B$3,TRUE())</f>
        <v>0.999685452512819</v>
      </c>
      <c r="R3" s="2" t="s">
        <v>69</v>
      </c>
      <c r="S3" s="2" t="s">
        <v>407</v>
      </c>
      <c r="T3" s="2" t="n">
        <f aca="false">INDEX(Ratings!$B$2:$B$239,MATCH(R3,Ratings!$A$2:$A$239,0))</f>
        <v>17.7</v>
      </c>
      <c r="U3" s="2" t="n">
        <f aca="false">IF(S3="Home",Assumptions!$B$2,IF(S3="Away",-Assumptions!$B$2,0))</f>
        <v>-2.5</v>
      </c>
      <c r="V3" s="2" t="n">
        <f aca="false">NORMDIST($B3-T3+U3,0,Assumptions!$B$3,TRUE())</f>
        <v>0.713112298183635</v>
      </c>
      <c r="W3" s="2" t="s">
        <v>103</v>
      </c>
      <c r="X3" s="2" t="s">
        <v>406</v>
      </c>
      <c r="Y3" s="2" t="n">
        <f aca="false">INDEX(Ratings!$B$2:$B$239,MATCH(W3,Ratings!$A$2:$A$239,0))</f>
        <v>5.4</v>
      </c>
      <c r="Z3" s="2" t="n">
        <f aca="false">IF(X3="Home",Assumptions!$B$2,IF(X3="Away",-Assumptions!$B$2,0))</f>
        <v>2.5</v>
      </c>
      <c r="AA3" s="2" t="n">
        <f aca="false">NORMDIST($B3-Y3+Z3,0,Assumptions!$B$3,TRUE())</f>
        <v>0.949886073376253</v>
      </c>
      <c r="AB3" s="2" t="s">
        <v>90</v>
      </c>
      <c r="AC3" s="2" t="s">
        <v>406</v>
      </c>
      <c r="AD3" s="2" t="n">
        <f aca="false">INDEX(Ratings!$B$2:$B$239,MATCH(AB3,Ratings!$A$2:$A$239,0))</f>
        <v>9.3</v>
      </c>
      <c r="AE3" s="2" t="n">
        <f aca="false">IF(AC3="Home",Assumptions!$B$2,IF(AC3="Away",-Assumptions!$B$2,0))</f>
        <v>2.5</v>
      </c>
      <c r="AF3" s="2" t="n">
        <f aca="false">NORMDIST($B3-AD3+AE3,0,Assumptions!$B$3,TRUE())</f>
        <v>0.919243340766229</v>
      </c>
      <c r="AG3" s="2" t="s">
        <v>85</v>
      </c>
      <c r="AH3" s="2" t="s">
        <v>407</v>
      </c>
      <c r="AI3" s="2" t="n">
        <f aca="false">INDEX(Ratings!$B$2:$B$239,MATCH(AG3,Ratings!$A$2:$A$239,0))</f>
        <v>10.4</v>
      </c>
      <c r="AJ3" s="2" t="n">
        <f aca="false">IF(AH3="Home",Assumptions!$B$2,IF(AH3="Away",-Assumptions!$B$2,0))</f>
        <v>-2.5</v>
      </c>
      <c r="AK3" s="2" t="n">
        <f aca="false">NORMDIST($B3-AI3+AJ3,0,Assumptions!$B$3,TRUE())</f>
        <v>0.845839165719646</v>
      </c>
      <c r="AL3" s="2" t="s">
        <v>107</v>
      </c>
      <c r="AM3" s="2" t="s">
        <v>406</v>
      </c>
      <c r="AN3" s="2" t="n">
        <f aca="false">INDEX(Ratings!$B$2:$B$239,MATCH(AL3,Ratings!$A$2:$A$239,0))</f>
        <v>5.1</v>
      </c>
      <c r="AO3" s="2" t="n">
        <f aca="false">IF(AM3="Home",Assumptions!$B$2,IF(AM3="Away",-Assumptions!$B$2,0))</f>
        <v>2.5</v>
      </c>
      <c r="AP3" s="2" t="n">
        <f aca="false">NORMDIST($B3-AN3+AO3,0,Assumptions!$B$3,TRUE())</f>
        <v>0.951793718322495</v>
      </c>
      <c r="AQ3" s="2" t="s">
        <v>58</v>
      </c>
      <c r="AR3" s="2" t="s">
        <v>407</v>
      </c>
      <c r="AS3" s="2" t="n">
        <f aca="false">INDEX(Ratings!$B$2:$B$239,MATCH(AQ3,Ratings!$A$2:$A$239,0))</f>
        <v>32.7</v>
      </c>
      <c r="AT3" s="2" t="n">
        <f aca="false">IF(AR3="Home",Assumptions!$B$2,IF(AR3="Away",-Assumptions!$B$2,0))</f>
        <v>-2.5</v>
      </c>
      <c r="AU3" s="2" t="n">
        <f aca="false">NORMDIST($B3-AS3+AT3,0,Assumptions!$B$3,TRUE())</f>
        <v>0.353830233327276</v>
      </c>
      <c r="AV3" s="2" t="s">
        <v>72</v>
      </c>
      <c r="AW3" s="2" t="s">
        <v>406</v>
      </c>
      <c r="AX3" s="2" t="n">
        <f aca="false">INDEX(Ratings!$B$2:$B$239,MATCH(AV3,Ratings!$A$2:$A$239,0))</f>
        <v>17</v>
      </c>
      <c r="AY3" s="2" t="n">
        <f aca="false">IF(AW3="Home",Assumptions!$B$2,IF(AW3="Away",-Assumptions!$B$2,0))</f>
        <v>2.5</v>
      </c>
      <c r="AZ3" s="2" t="n">
        <f aca="false">NORMDIST($B3-AX3+AY3,0,Assumptions!$B$3,TRUE())</f>
        <v>0.820886824722654</v>
      </c>
      <c r="BA3" s="2" t="s">
        <v>119</v>
      </c>
      <c r="BB3" s="2" t="s">
        <v>407</v>
      </c>
      <c r="BC3" s="2" t="n">
        <f aca="false">INDEX(Ratings!$B$2:$B$239,MATCH(BA3,Ratings!$A$2:$A$239,0))</f>
        <v>2.2</v>
      </c>
      <c r="BD3" s="2" t="n">
        <f aca="false">IF(BB3="Home",Assumptions!$B$2,IF(BB3="Away",-Assumptions!$B$2,0))</f>
        <v>-2.5</v>
      </c>
      <c r="BE3" s="2" t="n">
        <f aca="false">NORMDIST($B3-BC3+BD3,0,Assumptions!$B$3,TRUE())</f>
        <v>0.937146191141748</v>
      </c>
      <c r="BF3" s="2" t="s">
        <v>75</v>
      </c>
      <c r="BG3" s="2" t="s">
        <v>406</v>
      </c>
      <c r="BH3" s="2" t="n">
        <f aca="false">INDEX(Ratings!$B$2:$B$239,MATCH(BF3,Ratings!$A$2:$A$239,0))</f>
        <v>15.8</v>
      </c>
      <c r="BI3" s="2" t="n">
        <f aca="false">IF(BG3="Home",Assumptions!$B$2,IF(BG3="Away",-Assumptions!$B$2,0))</f>
        <v>2.5</v>
      </c>
      <c r="BJ3" s="2" t="n">
        <f aca="false">NORMDIST($B3-BH3+BI3,0,Assumptions!$B$3,TRUE())</f>
        <v>0.839827703080392</v>
      </c>
      <c r="BP3" s="2" t="n">
        <v>12</v>
      </c>
      <c r="BQ3" s="2" t="n">
        <f aca="false">G3+L3+Q3+V3+AA3+AF3+AK3+AP3+AU3+AZ3+BE3+BJ3</f>
        <v>10.1750939623083</v>
      </c>
    </row>
    <row r="4" customFormat="false" ht="15" hidden="false" customHeight="false" outlineLevel="0" collapsed="false">
      <c r="A4" s="2" t="s">
        <v>60</v>
      </c>
      <c r="B4" s="2" t="n">
        <f aca="false">INDEX(Ratings!$B$2:$B$239,MATCH($A4,Ratings!$A$2:$A$239,0))</f>
        <v>26.5</v>
      </c>
      <c r="C4" s="2" t="s">
        <v>110</v>
      </c>
      <c r="D4" s="2" t="s">
        <v>408</v>
      </c>
      <c r="E4" s="2" t="n">
        <f aca="false">INDEX(Ratings!$B$2:$B$239,MATCH(C4,Ratings!$A$2:$A$239,0))</f>
        <v>3.8</v>
      </c>
      <c r="F4" s="2" t="n">
        <f aca="false">IF(D4="Home",Assumptions!$B$2,IF(D4="Away",-Assumptions!$B$2,0))</f>
        <v>0</v>
      </c>
      <c r="G4" s="2" t="n">
        <f aca="false">NORMDIST($B4-E4+F4,0,Assumptions!$B$3,TRUE())</f>
        <v>0.92201404277756</v>
      </c>
      <c r="H4" s="2" t="s">
        <v>177</v>
      </c>
      <c r="I4" s="2" t="s">
        <v>406</v>
      </c>
      <c r="J4" s="2" t="n">
        <f aca="false">INDEX(Ratings!$B$2:$B$239,MATCH(H4,Ratings!$A$2:$A$239,0))</f>
        <v>-15.3</v>
      </c>
      <c r="K4" s="2" t="n">
        <f aca="false">IF(I4="Home",Assumptions!$B$2,IF(I4="Away",-Assumptions!$B$2,0))</f>
        <v>2.5</v>
      </c>
      <c r="L4" s="2" t="n">
        <f aca="false">NORMDIST($B4-J4+K4,0,Assumptions!$B$3,TRUE())</f>
        <v>0.997186410225543</v>
      </c>
      <c r="M4" s="2" t="s">
        <v>119</v>
      </c>
      <c r="N4" s="2" t="s">
        <v>406</v>
      </c>
      <c r="O4" s="2" t="n">
        <f aca="false">INDEX(Ratings!$B$2:$B$239,MATCH(M4,Ratings!$A$2:$A$239,0))</f>
        <v>2.2</v>
      </c>
      <c r="P4" s="2" t="n">
        <f aca="false">IF(N4="Home",Assumptions!$B$2,IF(N4="Away",-Assumptions!$B$2,0))</f>
        <v>2.5</v>
      </c>
      <c r="Q4" s="2" t="n">
        <f aca="false">NORMDIST($B4-O4+P4,0,Assumptions!$B$3,TRUE())</f>
        <v>0.953032884169254</v>
      </c>
      <c r="R4" s="2" t="s">
        <v>135</v>
      </c>
      <c r="S4" s="2" t="s">
        <v>407</v>
      </c>
      <c r="T4" s="2" t="n">
        <f aca="false">INDEX(Ratings!$B$2:$B$239,MATCH(R4,Ratings!$A$2:$A$239,0))</f>
        <v>-2.2</v>
      </c>
      <c r="U4" s="2" t="n">
        <f aca="false">IF(S4="Home",Assumptions!$B$2,IF(S4="Away",-Assumptions!$B$2,0))</f>
        <v>-2.5</v>
      </c>
      <c r="V4" s="2" t="n">
        <f aca="false">NORMDIST($B4-T4+U4,0,Assumptions!$B$3,TRUE())</f>
        <v>0.949236980529619</v>
      </c>
      <c r="W4" s="2" t="s">
        <v>113</v>
      </c>
      <c r="X4" s="2" t="s">
        <v>407</v>
      </c>
      <c r="Y4" s="2" t="n">
        <f aca="false">INDEX(Ratings!$B$2:$B$239,MATCH(W4,Ratings!$A$2:$A$239,0))</f>
        <v>3.5</v>
      </c>
      <c r="Z4" s="2" t="n">
        <f aca="false">IF(X4="Home",Assumptions!$B$2,IF(X4="Away",-Assumptions!$B$2,0))</f>
        <v>-2.5</v>
      </c>
      <c r="AA4" s="2" t="n">
        <f aca="false">NORMDIST($B4-Y4+Z4,0,Assumptions!$B$3,TRUE())</f>
        <v>0.899947065522574</v>
      </c>
      <c r="AB4" s="2" t="s">
        <v>136</v>
      </c>
      <c r="AC4" s="2" t="s">
        <v>406</v>
      </c>
      <c r="AD4" s="2" t="n">
        <f aca="false">INDEX(Ratings!$B$2:$B$239,MATCH(AB4,Ratings!$A$2:$A$239,0))</f>
        <v>-2.3</v>
      </c>
      <c r="AE4" s="2" t="n">
        <f aca="false">IF(AC4="Home",Assumptions!$B$2,IF(AC4="Away",-Assumptions!$B$2,0))</f>
        <v>2.5</v>
      </c>
      <c r="AF4" s="2" t="n">
        <f aca="false">NORMDIST($B4-AD4+AE4,0,Assumptions!$B$3,TRUE())</f>
        <v>0.97478214446091</v>
      </c>
      <c r="AG4" s="2" t="s">
        <v>78</v>
      </c>
      <c r="AH4" s="2" t="s">
        <v>407</v>
      </c>
      <c r="AI4" s="2" t="n">
        <f aca="false">INDEX(Ratings!$B$2:$B$239,MATCH(AG4,Ratings!$A$2:$A$239,0))</f>
        <v>14.9</v>
      </c>
      <c r="AJ4" s="2" t="n">
        <f aca="false">IF(AH4="Home",Assumptions!$B$2,IF(AH4="Away",-Assumptions!$B$2,0))</f>
        <v>-2.5</v>
      </c>
      <c r="AK4" s="2" t="n">
        <f aca="false">NORMDIST($B4-AI4+AJ4,0,Assumptions!$B$3,TRUE())</f>
        <v>0.715237094620453</v>
      </c>
      <c r="AL4" s="2" t="s">
        <v>121</v>
      </c>
      <c r="AM4" s="2" t="s">
        <v>408</v>
      </c>
      <c r="AN4" s="2" t="n">
        <f aca="false">INDEX(Ratings!$B$2:$B$239,MATCH(AL4,Ratings!$A$2:$A$239,0))</f>
        <v>1.2</v>
      </c>
      <c r="AO4" s="2" t="n">
        <f aca="false">IF(AM4="Home",Assumptions!$B$2,IF(AM4="Away",-Assumptions!$B$2,0))</f>
        <v>0</v>
      </c>
      <c r="AP4" s="2" t="n">
        <f aca="false">NORMDIST($B4-AN4+AO4,0,Assumptions!$B$3,TRUE())</f>
        <v>0.943089556476493</v>
      </c>
      <c r="AQ4" s="2" t="s">
        <v>64</v>
      </c>
      <c r="AR4" s="2" t="s">
        <v>406</v>
      </c>
      <c r="AS4" s="2" t="n">
        <f aca="false">INDEX(Ratings!$B$2:$B$239,MATCH(AQ4,Ratings!$A$2:$A$239,0))</f>
        <v>22</v>
      </c>
      <c r="AT4" s="2" t="n">
        <f aca="false">IF(AR4="Home",Assumptions!$B$2,IF(AR4="Away",-Assumptions!$B$2,0))</f>
        <v>2.5</v>
      </c>
      <c r="AU4" s="2" t="n">
        <f aca="false">NORMDIST($B4-AS4+AT4,0,Assumptions!$B$3,TRUE())</f>
        <v>0.669125611959121</v>
      </c>
      <c r="AV4" s="2" t="s">
        <v>139</v>
      </c>
      <c r="AW4" s="2" t="s">
        <v>406</v>
      </c>
      <c r="AX4" s="2" t="n">
        <f aca="false">INDEX(Ratings!$B$2:$B$239,MATCH(AV4,Ratings!$A$2:$A$239,0))</f>
        <v>-2.5</v>
      </c>
      <c r="AY4" s="2" t="n">
        <f aca="false">IF(AW4="Home",Assumptions!$B$2,IF(AW4="Away",-Assumptions!$B$2,0))</f>
        <v>2.5</v>
      </c>
      <c r="AZ4" s="2" t="n">
        <f aca="false">NORMDIST($B4-AX4+AY4,0,Assumptions!$B$3,TRUE())</f>
        <v>0.975509096735767</v>
      </c>
      <c r="BA4" s="2" t="s">
        <v>82</v>
      </c>
      <c r="BB4" s="2" t="s">
        <v>406</v>
      </c>
      <c r="BC4" s="2" t="n">
        <f aca="false">INDEX(Ratings!$B$2:$B$239,MATCH(BA4,Ratings!$A$2:$A$239,0))</f>
        <v>12.1</v>
      </c>
      <c r="BD4" s="2" t="n">
        <f aca="false">IF(BB4="Home",Assumptions!$B$2,IF(BB4="Away",-Assumptions!$B$2,0))</f>
        <v>2.5</v>
      </c>
      <c r="BE4" s="2" t="n">
        <f aca="false">NORMDIST($B4-BC4+BD4,0,Assumptions!$B$3,TRUE())</f>
        <v>0.854572993611396</v>
      </c>
      <c r="BF4" s="2" t="s">
        <v>133</v>
      </c>
      <c r="BG4" s="2" t="s">
        <v>407</v>
      </c>
      <c r="BH4" s="2" t="n">
        <f aca="false">INDEX(Ratings!$B$2:$B$239,MATCH(BF4,Ratings!$A$2:$A$239,0))</f>
        <v>-1.9</v>
      </c>
      <c r="BI4" s="2" t="n">
        <f aca="false">IF(BG4="Home",Assumptions!$B$2,IF(BG4="Away",-Assumptions!$B$2,0))</f>
        <v>-2.5</v>
      </c>
      <c r="BJ4" s="2" t="n">
        <f aca="false">NORMDIST($B4-BH4+BI4,0,Assumptions!$B$3,TRUE())</f>
        <v>0.947249467959255</v>
      </c>
      <c r="BP4" s="2" t="n">
        <v>12</v>
      </c>
      <c r="BQ4" s="2" t="n">
        <f aca="false">G4+L4+Q4+V4+AA4+AF4+AK4+AP4+AU4+AZ4+BE4+BJ4</f>
        <v>10.8009833490479</v>
      </c>
    </row>
    <row r="5" customFormat="false" ht="15" hidden="false" customHeight="false" outlineLevel="0" collapsed="false">
      <c r="A5" s="2" t="s">
        <v>61</v>
      </c>
      <c r="B5" s="2" t="n">
        <f aca="false">INDEX(Ratings!$B$2:$B$239,MATCH($A5,Ratings!$A$2:$A$239,0))</f>
        <v>26.4</v>
      </c>
      <c r="C5" s="2" t="s">
        <v>318</v>
      </c>
      <c r="D5" s="2" t="s">
        <v>406</v>
      </c>
      <c r="E5" s="2" t="n">
        <f aca="false">INDEX(Ratings!$B$2:$B$239,MATCH(C5,Ratings!$A$2:$A$239,0))</f>
        <v>-34</v>
      </c>
      <c r="F5" s="2" t="n">
        <f aca="false">IF(D5="Home",Assumptions!$B$2,IF(D5="Away",-Assumptions!$B$2,0))</f>
        <v>2.5</v>
      </c>
      <c r="G5" s="2" t="n">
        <f aca="false">NORMDIST($B5-E5+F5,0,Assumptions!$B$3,TRUE())</f>
        <v>0.999957747329521</v>
      </c>
      <c r="H5" s="2" t="s">
        <v>151</v>
      </c>
      <c r="I5" s="2" t="s">
        <v>406</v>
      </c>
      <c r="J5" s="2" t="n">
        <f aca="false">INDEX(Ratings!$B$2:$B$239,MATCH(H5,Ratings!$A$2:$A$239,0))</f>
        <v>-7.3</v>
      </c>
      <c r="K5" s="2" t="n">
        <f aca="false">IF(I5="Home",Assumptions!$B$2,IF(I5="Away",-Assumptions!$B$2,0))</f>
        <v>2.5</v>
      </c>
      <c r="L5" s="2" t="n">
        <f aca="false">NORMDIST($B5-J5+K5,0,Assumptions!$B$3,TRUE())</f>
        <v>0.988166735580673</v>
      </c>
      <c r="M5" s="2" t="s">
        <v>101</v>
      </c>
      <c r="N5" s="2" t="s">
        <v>407</v>
      </c>
      <c r="O5" s="2" t="n">
        <f aca="false">INDEX(Ratings!$B$2:$B$239,MATCH(M5,Ratings!$A$2:$A$239,0))</f>
        <v>5.6</v>
      </c>
      <c r="P5" s="2" t="n">
        <f aca="false">IF(N5="Home",Assumptions!$B$2,IF(N5="Away",-Assumptions!$B$2,0))</f>
        <v>-2.5</v>
      </c>
      <c r="Q5" s="2" t="n">
        <f aca="false">NORMDIST($B5-O5+P5,0,Assumptions!$B$3,TRUE())</f>
        <v>0.873636334484589</v>
      </c>
      <c r="R5" s="2" t="s">
        <v>68</v>
      </c>
      <c r="S5" s="2" t="s">
        <v>406</v>
      </c>
      <c r="T5" s="2" t="n">
        <f aca="false">INDEX(Ratings!$B$2:$B$239,MATCH(R5,Ratings!$A$2:$A$239,0))</f>
        <v>18.8</v>
      </c>
      <c r="U5" s="2" t="n">
        <f aca="false">IF(S5="Home",Assumptions!$B$2,IF(S5="Away",-Assumptions!$B$2,0))</f>
        <v>2.5</v>
      </c>
      <c r="V5" s="2" t="n">
        <f aca="false">NORMDIST($B5-T5+U5,0,Assumptions!$B$3,TRUE())</f>
        <v>0.736061463030662</v>
      </c>
      <c r="W5" s="2" t="s">
        <v>86</v>
      </c>
      <c r="X5" s="2" t="s">
        <v>406</v>
      </c>
      <c r="Y5" s="2" t="n">
        <f aca="false">INDEX(Ratings!$B$2:$B$239,MATCH(W5,Ratings!$A$2:$A$239,0))</f>
        <v>9.8</v>
      </c>
      <c r="Z5" s="2" t="n">
        <f aca="false">IF(X5="Home",Assumptions!$B$2,IF(X5="Away",-Assumptions!$B$2,0))</f>
        <v>2.5</v>
      </c>
      <c r="AA5" s="2" t="n">
        <f aca="false">NORMDIST($B5-Y5+Z5,0,Assumptions!$B$3,TRUE())</f>
        <v>0.883712112245511</v>
      </c>
      <c r="AB5" s="2" t="s">
        <v>70</v>
      </c>
      <c r="AC5" s="2" t="s">
        <v>407</v>
      </c>
      <c r="AD5" s="2" t="n">
        <f aca="false">INDEX(Ratings!$B$2:$B$239,MATCH(AB5,Ratings!$A$2:$A$239,0))</f>
        <v>17.6</v>
      </c>
      <c r="AE5" s="2" t="n">
        <f aca="false">IF(AC5="Home",Assumptions!$B$2,IF(AC5="Away",-Assumptions!$B$2,0))</f>
        <v>-2.5</v>
      </c>
      <c r="AF5" s="2" t="n">
        <f aca="false">NORMDIST($B5-AD5+AE5,0,Assumptions!$B$3,TRUE())</f>
        <v>0.653117188736853</v>
      </c>
      <c r="AG5" s="2" t="s">
        <v>83</v>
      </c>
      <c r="AH5" s="2" t="s">
        <v>406</v>
      </c>
      <c r="AI5" s="2" t="n">
        <f aca="false">INDEX(Ratings!$B$2:$B$239,MATCH(AG5,Ratings!$A$2:$A$239,0))</f>
        <v>11.5</v>
      </c>
      <c r="AJ5" s="2" t="n">
        <f aca="false">IF(AH5="Home",Assumptions!$B$2,IF(AH5="Away",-Assumptions!$B$2,0))</f>
        <v>2.5</v>
      </c>
      <c r="AK5" s="2" t="n">
        <f aca="false">NORMDIST($B5-AI5+AJ5,0,Assumptions!$B$3,TRUE())</f>
        <v>0.861592050714903</v>
      </c>
      <c r="AL5" s="2" t="s">
        <v>77</v>
      </c>
      <c r="AM5" s="2" t="s">
        <v>408</v>
      </c>
      <c r="AN5" s="2" t="n">
        <f aca="false">INDEX(Ratings!$B$2:$B$239,MATCH(AL5,Ratings!$A$2:$A$239,0))</f>
        <v>15.2</v>
      </c>
      <c r="AO5" s="2" t="n">
        <f aca="false">IF(AM5="Home",Assumptions!$B$2,IF(AM5="Away",-Assumptions!$B$2,0))</f>
        <v>0</v>
      </c>
      <c r="AP5" s="2" t="n">
        <f aca="false">NORMDIST($B5-AN5+AO5,0,Assumptions!$B$3,TRUE())</f>
        <v>0.758036347776927</v>
      </c>
      <c r="AQ5" s="2" t="s">
        <v>73</v>
      </c>
      <c r="AR5" s="2" t="s">
        <v>407</v>
      </c>
      <c r="AS5" s="2" t="n">
        <f aca="false">INDEX(Ratings!$B$2:$B$239,MATCH(AQ5,Ratings!$A$2:$A$239,0))</f>
        <v>16.5</v>
      </c>
      <c r="AT5" s="2" t="n">
        <f aca="false">IF(AR5="Home",Assumptions!$B$2,IF(AR5="Away",-Assumptions!$B$2,0))</f>
        <v>-2.5</v>
      </c>
      <c r="AU5" s="2" t="n">
        <f aca="false">NORMDIST($B5-AS5+AT5,0,Assumptions!$B$3,TRUE())</f>
        <v>0.678138598836346</v>
      </c>
      <c r="AV5" s="2" t="s">
        <v>76</v>
      </c>
      <c r="AW5" s="2" t="s">
        <v>406</v>
      </c>
      <c r="AX5" s="2" t="n">
        <f aca="false">INDEX(Ratings!$B$2:$B$239,MATCH(AV5,Ratings!$A$2:$A$239,0))</f>
        <v>15.4</v>
      </c>
      <c r="AY5" s="2" t="n">
        <f aca="false">IF(AW5="Home",Assumptions!$B$2,IF(AW5="Away",-Assumptions!$B$2,0))</f>
        <v>2.5</v>
      </c>
      <c r="AZ5" s="2" t="n">
        <f aca="false">NORMDIST($B5-AX5+AY5,0,Assumptions!$B$3,TRUE())</f>
        <v>0.800595439528627</v>
      </c>
      <c r="BA5" s="2" t="s">
        <v>81</v>
      </c>
      <c r="BB5" s="2" t="s">
        <v>407</v>
      </c>
      <c r="BC5" s="2" t="n">
        <f aca="false">INDEX(Ratings!$B$2:$B$239,MATCH(BA5,Ratings!$A$2:$A$239,0))</f>
        <v>12.6</v>
      </c>
      <c r="BD5" s="2" t="n">
        <f aca="false">IF(BB5="Home",Assumptions!$B$2,IF(BB5="Away",-Assumptions!$B$2,0))</f>
        <v>-2.5</v>
      </c>
      <c r="BE5" s="2" t="n">
        <f aca="false">NORMDIST($B5-BC5+BD5,0,Assumptions!$B$3,TRUE())</f>
        <v>0.759983659318733</v>
      </c>
      <c r="BF5" s="2" t="s">
        <v>99</v>
      </c>
      <c r="BG5" s="2" t="s">
        <v>406</v>
      </c>
      <c r="BH5" s="2" t="n">
        <f aca="false">INDEX(Ratings!$B$2:$B$239,MATCH(BF5,Ratings!$A$2:$A$239,0))</f>
        <v>5.9</v>
      </c>
      <c r="BI5" s="2" t="n">
        <f aca="false">IF(BG5="Home",Assumptions!$B$2,IF(BG5="Away",-Assumptions!$B$2,0))</f>
        <v>2.5</v>
      </c>
      <c r="BJ5" s="2" t="n">
        <f aca="false">NORMDIST($B5-BH5+BI5,0,Assumptions!$B$3,TRUE())</f>
        <v>0.924712013587577</v>
      </c>
      <c r="BP5" s="2" t="n">
        <v>12</v>
      </c>
      <c r="BQ5" s="2" t="n">
        <f aca="false">G5+L5+Q5+V5+AA5+AF5+AK5+AP5+AU5+AZ5+BE5+BJ5</f>
        <v>9.91770969117092</v>
      </c>
    </row>
    <row r="6" customFormat="false" ht="15" hidden="false" customHeight="false" outlineLevel="0" collapsed="false">
      <c r="A6" s="2" t="s">
        <v>62</v>
      </c>
      <c r="B6" s="2" t="n">
        <f aca="false">INDEX(Ratings!$B$2:$B$239,MATCH($A6,Ratings!$A$2:$A$239,0))</f>
        <v>25.8</v>
      </c>
      <c r="C6" s="2" t="s">
        <v>162</v>
      </c>
      <c r="D6" s="2" t="s">
        <v>406</v>
      </c>
      <c r="E6" s="2" t="n">
        <f aca="false">INDEX(Ratings!$B$2:$B$239,MATCH(C6,Ratings!$A$2:$A$239,0))</f>
        <v>-11.6</v>
      </c>
      <c r="F6" s="2" t="n">
        <f aca="false">IF(D6="Home",Assumptions!$B$2,IF(D6="Away",-Assumptions!$B$2,0))</f>
        <v>2.5</v>
      </c>
      <c r="G6" s="2" t="n">
        <f aca="false">NORMDIST($B6-E6+F6,0,Assumptions!$B$3,TRUE())</f>
        <v>0.993679923168582</v>
      </c>
      <c r="H6" s="2" t="s">
        <v>270</v>
      </c>
      <c r="I6" s="2" t="s">
        <v>406</v>
      </c>
      <c r="J6" s="2" t="n">
        <f aca="false">INDEX(Ratings!$B$2:$B$239,MATCH(H6,Ratings!$A$2:$A$239,0))</f>
        <v>-39</v>
      </c>
      <c r="K6" s="2" t="n">
        <f aca="false">IF(I6="Home",Assumptions!$B$2,IF(I6="Away",-Assumptions!$B$2,0))</f>
        <v>2.5</v>
      </c>
      <c r="L6" s="2" t="n">
        <f aca="false">NORMDIST($B6-J6+K6,0,Assumptions!$B$3,TRUE())</f>
        <v>0.999987017849664</v>
      </c>
      <c r="M6" s="2" t="s">
        <v>151</v>
      </c>
      <c r="N6" s="2" t="s">
        <v>406</v>
      </c>
      <c r="O6" s="2" t="n">
        <f aca="false">INDEX(Ratings!$B$2:$B$239,MATCH(M6,Ratings!$A$2:$A$239,0))</f>
        <v>-7.3</v>
      </c>
      <c r="P6" s="2" t="n">
        <f aca="false">IF(N6="Home",Assumptions!$B$2,IF(N6="Away",-Assumptions!$B$2,0))</f>
        <v>2.5</v>
      </c>
      <c r="Q6" s="2" t="n">
        <f aca="false">NORMDIST($B6-O6+P6,0,Assumptions!$B$3,TRUE())</f>
        <v>0.98695938092646</v>
      </c>
      <c r="R6" s="2" t="s">
        <v>107</v>
      </c>
      <c r="S6" s="2" t="s">
        <v>406</v>
      </c>
      <c r="T6" s="2" t="n">
        <f aca="false">INDEX(Ratings!$B$2:$B$239,MATCH(R6,Ratings!$A$2:$A$239,0))</f>
        <v>5.1</v>
      </c>
      <c r="U6" s="2" t="n">
        <f aca="false">IF(S6="Home",Assumptions!$B$2,IF(S6="Away",-Assumptions!$B$2,0))</f>
        <v>2.5</v>
      </c>
      <c r="V6" s="2" t="n">
        <f aca="false">NORMDIST($B6-T6+U6,0,Assumptions!$B$3,TRUE())</f>
        <v>0.926470740390352</v>
      </c>
      <c r="W6" s="2" t="s">
        <v>118</v>
      </c>
      <c r="X6" s="2" t="s">
        <v>407</v>
      </c>
      <c r="Y6" s="2" t="n">
        <f aca="false">INDEX(Ratings!$B$2:$B$239,MATCH(W6,Ratings!$A$2:$A$239,0))</f>
        <v>2.7</v>
      </c>
      <c r="Z6" s="2" t="n">
        <f aca="false">IF(X6="Home",Assumptions!$B$2,IF(X6="Away",-Assumptions!$B$2,0))</f>
        <v>-2.5</v>
      </c>
      <c r="AA6" s="2" t="n">
        <f aca="false">NORMDIST($B6-Y6+Z6,0,Assumptions!$B$3,TRUE())</f>
        <v>0.901039965198911</v>
      </c>
      <c r="AB6" s="2" t="s">
        <v>90</v>
      </c>
      <c r="AC6" s="2" t="s">
        <v>407</v>
      </c>
      <c r="AD6" s="2" t="n">
        <f aca="false">INDEX(Ratings!$B$2:$B$239,MATCH(AB6,Ratings!$A$2:$A$239,0))</f>
        <v>9.3</v>
      </c>
      <c r="AE6" s="2" t="n">
        <f aca="false">IF(AC6="Home",Assumptions!$B$2,IF(AC6="Away",-Assumptions!$B$2,0))</f>
        <v>-2.5</v>
      </c>
      <c r="AF6" s="2" t="n">
        <f aca="false">NORMDIST($B6-AD6+AE6,0,Assumptions!$B$3,TRUE())</f>
        <v>0.809213047147489</v>
      </c>
      <c r="AG6" s="2" t="s">
        <v>58</v>
      </c>
      <c r="AH6" s="2" t="s">
        <v>406</v>
      </c>
      <c r="AI6" s="2" t="n">
        <f aca="false">INDEX(Ratings!$B$2:$B$239,MATCH(AG6,Ratings!$A$2:$A$239,0))</f>
        <v>32.7</v>
      </c>
      <c r="AJ6" s="2" t="n">
        <f aca="false">IF(AH6="Home",Assumptions!$B$2,IF(AH6="Away",-Assumptions!$B$2,0))</f>
        <v>2.5</v>
      </c>
      <c r="AK6" s="2" t="n">
        <f aca="false">NORMDIST($B6-AI6+AJ6,0,Assumptions!$B$3,TRUE())</f>
        <v>0.391658119153605</v>
      </c>
      <c r="AL6" s="2" t="s">
        <v>72</v>
      </c>
      <c r="AM6" s="2" t="s">
        <v>407</v>
      </c>
      <c r="AN6" s="2" t="n">
        <f aca="false">INDEX(Ratings!$B$2:$B$239,MATCH(AL6,Ratings!$A$2:$A$239,0))</f>
        <v>17</v>
      </c>
      <c r="AO6" s="2" t="n">
        <f aca="false">IF(AM6="Home",Assumptions!$B$2,IF(AM6="Away",-Assumptions!$B$2,0))</f>
        <v>-2.5</v>
      </c>
      <c r="AP6" s="2" t="n">
        <f aca="false">NORMDIST($B6-AN6+AO6,0,Assumptions!$B$3,TRUE())</f>
        <v>0.653117188736853</v>
      </c>
      <c r="AQ6" s="2" t="s">
        <v>97</v>
      </c>
      <c r="AR6" s="2" t="s">
        <v>406</v>
      </c>
      <c r="AS6" s="2" t="n">
        <f aca="false">INDEX(Ratings!$B$2:$B$239,MATCH(AQ6,Ratings!$A$2:$A$239,0))</f>
        <v>6.2</v>
      </c>
      <c r="AT6" s="2" t="n">
        <f aca="false">IF(AR6="Home",Assumptions!$B$2,IF(AR6="Away",-Assumptions!$B$2,0))</f>
        <v>2.5</v>
      </c>
      <c r="AU6" s="2" t="n">
        <f aca="false">NORMDIST($B6-AS6+AT6,0,Assumptions!$B$3,TRUE())</f>
        <v>0.916398947013289</v>
      </c>
      <c r="AV6" s="2" t="s">
        <v>69</v>
      </c>
      <c r="AW6" s="2" t="s">
        <v>406</v>
      </c>
      <c r="AX6" s="2" t="n">
        <f aca="false">INDEX(Ratings!$B$2:$B$239,MATCH(AV6,Ratings!$A$2:$A$239,0))</f>
        <v>17.7</v>
      </c>
      <c r="AY6" s="2" t="n">
        <f aca="false">IF(AW6="Home",Assumptions!$B$2,IF(AW6="Away",-Assumptions!$B$2,0))</f>
        <v>2.5</v>
      </c>
      <c r="AZ6" s="2" t="n">
        <f aca="false">NORMDIST($B6-AX6+AY6,0,Assumptions!$B$3,TRUE())</f>
        <v>0.746174582585778</v>
      </c>
      <c r="BA6" s="2" t="s">
        <v>75</v>
      </c>
      <c r="BB6" s="2" t="s">
        <v>407</v>
      </c>
      <c r="BC6" s="2" t="n">
        <f aca="false">INDEX(Ratings!$B$2:$B$239,MATCH(BA6,Ratings!$A$2:$A$239,0))</f>
        <v>15.8</v>
      </c>
      <c r="BD6" s="2" t="n">
        <f aca="false">IF(BB6="Home",Assumptions!$B$2,IF(BB6="Away",-Assumptions!$B$2,0))</f>
        <v>-2.5</v>
      </c>
      <c r="BE6" s="2" t="n">
        <f aca="false">NORMDIST($B6-BC6+BD6,0,Assumptions!$B$3,TRUE())</f>
        <v>0.680375828482882</v>
      </c>
      <c r="BF6" s="2" t="s">
        <v>135</v>
      </c>
      <c r="BG6" s="2" t="s">
        <v>406</v>
      </c>
      <c r="BH6" s="2" t="n">
        <f aca="false">INDEX(Ratings!$B$2:$B$239,MATCH(BF6,Ratings!$A$2:$A$239,0))</f>
        <v>-2.2</v>
      </c>
      <c r="BI6" s="2" t="n">
        <f aca="false">IF(BG6="Home",Assumptions!$B$2,IF(BG6="Away",-Assumptions!$B$2,0))</f>
        <v>2.5</v>
      </c>
      <c r="BJ6" s="2" t="n">
        <f aca="false">NORMDIST($B6-BH6+BI6,0,Assumptions!$B$3,TRUE())</f>
        <v>0.971691111028076</v>
      </c>
      <c r="BP6" s="2" t="n">
        <v>12</v>
      </c>
      <c r="BQ6" s="2" t="n">
        <f aca="false">G6+L6+Q6+V6+AA6+AF6+AK6+AP6+AU6+AZ6+BE6+BJ6</f>
        <v>9.97676585168194</v>
      </c>
    </row>
    <row r="7" customFormat="false" ht="15" hidden="false" customHeight="false" outlineLevel="0" collapsed="false">
      <c r="A7" s="2" t="s">
        <v>63</v>
      </c>
      <c r="B7" s="2" t="n">
        <f aca="false">INDEX(Ratings!$B$2:$B$239,MATCH($A7,Ratings!$A$2:$A$239,0))</f>
        <v>22.8</v>
      </c>
      <c r="C7" s="2" t="s">
        <v>134</v>
      </c>
      <c r="D7" s="2" t="s">
        <v>406</v>
      </c>
      <c r="E7" s="2" t="n">
        <f aca="false">INDEX(Ratings!$B$2:$B$239,MATCH(C7,Ratings!$A$2:$A$239,0))</f>
        <v>-2.1</v>
      </c>
      <c r="F7" s="2" t="n">
        <f aca="false">IF(D7="Home",Assumptions!$B$2,IF(D7="Away",-Assumptions!$B$2,0))</f>
        <v>2.5</v>
      </c>
      <c r="G7" s="2" t="n">
        <f aca="false">NORMDIST($B7-E7+F7,0,Assumptions!$B$3,TRUE())</f>
        <v>0.956597717694268</v>
      </c>
      <c r="H7" s="2" t="s">
        <v>58</v>
      </c>
      <c r="I7" s="2" t="s">
        <v>406</v>
      </c>
      <c r="J7" s="2" t="n">
        <f aca="false">INDEX(Ratings!$B$2:$B$239,MATCH(H7,Ratings!$A$2:$A$239,0))</f>
        <v>32.7</v>
      </c>
      <c r="K7" s="2" t="n">
        <f aca="false">IF(I7="Home",Assumptions!$B$2,IF(I7="Away",-Assumptions!$B$2,0))</f>
        <v>2.5</v>
      </c>
      <c r="L7" s="2" t="n">
        <f aca="false">NORMDIST($B7-J7+K7,0,Assumptions!$B$3,TRUE())</f>
        <v>0.321861401163654</v>
      </c>
      <c r="M7" s="2" t="s">
        <v>128</v>
      </c>
      <c r="N7" s="2" t="s">
        <v>406</v>
      </c>
      <c r="O7" s="2" t="n">
        <f aca="false">INDEX(Ratings!$B$2:$B$239,MATCH(M7,Ratings!$A$2:$A$239,0))</f>
        <v>-1.1</v>
      </c>
      <c r="P7" s="2" t="n">
        <f aca="false">IF(N7="Home",Assumptions!$B$2,IF(N7="Away",-Assumptions!$B$2,0))</f>
        <v>2.5</v>
      </c>
      <c r="Q7" s="2" t="n">
        <f aca="false">NORMDIST($B7-O7+P7,0,Assumptions!$B$3,TRUE())</f>
        <v>0.950528531966352</v>
      </c>
      <c r="R7" s="2" t="s">
        <v>71</v>
      </c>
      <c r="S7" s="2" t="s">
        <v>407</v>
      </c>
      <c r="T7" s="2" t="n">
        <f aca="false">INDEX(Ratings!$B$2:$B$239,MATCH(R7,Ratings!$A$2:$A$239,0))</f>
        <v>17.3</v>
      </c>
      <c r="U7" s="2" t="n">
        <f aca="false">IF(S7="Home",Assumptions!$B$2,IF(S7="Away",-Assumptions!$B$2,0))</f>
        <v>-2.5</v>
      </c>
      <c r="V7" s="2" t="n">
        <f aca="false">NORMDIST($B7-T7+U7,0,Assumptions!$B$3,TRUE())</f>
        <v>0.574365688155897</v>
      </c>
      <c r="W7" s="2" t="s">
        <v>68</v>
      </c>
      <c r="X7" s="2" t="s">
        <v>408</v>
      </c>
      <c r="Y7" s="2" t="n">
        <f aca="false">INDEX(Ratings!$B$2:$B$239,MATCH(W7,Ratings!$A$2:$A$239,0))</f>
        <v>18.8</v>
      </c>
      <c r="Z7" s="2" t="n">
        <f aca="false">IF(X7="Home",Assumptions!$B$2,IF(X7="Away",-Assumptions!$B$2,0))</f>
        <v>0</v>
      </c>
      <c r="AA7" s="2" t="n">
        <f aca="false">NORMDIST($B7-Y7+Z7,0,Assumptions!$B$3,TRUE())</f>
        <v>0.598706325682924</v>
      </c>
      <c r="AB7" s="2" t="s">
        <v>77</v>
      </c>
      <c r="AC7" s="2" t="s">
        <v>406</v>
      </c>
      <c r="AD7" s="2" t="n">
        <f aca="false">INDEX(Ratings!$B$2:$B$239,MATCH(AB7,Ratings!$A$2:$A$239,0))</f>
        <v>15.2</v>
      </c>
      <c r="AE7" s="2" t="n">
        <f aca="false">IF(AC7="Home",Assumptions!$B$2,IF(AC7="Away",-Assumptions!$B$2,0))</f>
        <v>2.5</v>
      </c>
      <c r="AF7" s="2" t="n">
        <f aca="false">NORMDIST($B7-AD7+AE7,0,Assumptions!$B$3,TRUE())</f>
        <v>0.736061463030662</v>
      </c>
      <c r="AG7" s="2" t="s">
        <v>73</v>
      </c>
      <c r="AH7" s="2" t="s">
        <v>406</v>
      </c>
      <c r="AI7" s="2" t="n">
        <f aca="false">INDEX(Ratings!$B$2:$B$239,MATCH(AG7,Ratings!$A$2:$A$239,0))</f>
        <v>16.5</v>
      </c>
      <c r="AJ7" s="2" t="n">
        <f aca="false">IF(AH7="Home",Assumptions!$B$2,IF(AH7="Away",-Assumptions!$B$2,0))</f>
        <v>2.5</v>
      </c>
      <c r="AK7" s="2" t="n">
        <f aca="false">NORMDIST($B7-AI7+AJ7,0,Assumptions!$B$3,TRUE())</f>
        <v>0.708840313211654</v>
      </c>
      <c r="AL7" s="2" t="s">
        <v>109</v>
      </c>
      <c r="AM7" s="2" t="s">
        <v>406</v>
      </c>
      <c r="AN7" s="2" t="n">
        <f aca="false">INDEX(Ratings!$B$2:$B$239,MATCH(AL7,Ratings!$A$2:$A$239,0))</f>
        <v>4.8</v>
      </c>
      <c r="AO7" s="2" t="n">
        <f aca="false">IF(AM7="Home",Assumptions!$B$2,IF(AM7="Away",-Assumptions!$B$2,0))</f>
        <v>2.5</v>
      </c>
      <c r="AP7" s="2" t="n">
        <f aca="false">NORMDIST($B7-AN7+AO7,0,Assumptions!$B$3,TRUE())</f>
        <v>0.899947065522574</v>
      </c>
      <c r="AQ7" s="2" t="s">
        <v>76</v>
      </c>
      <c r="AR7" s="2" t="s">
        <v>407</v>
      </c>
      <c r="AS7" s="2" t="n">
        <f aca="false">INDEX(Ratings!$B$2:$B$239,MATCH(AQ7,Ratings!$A$2:$A$239,0))</f>
        <v>15.4</v>
      </c>
      <c r="AT7" s="2" t="n">
        <f aca="false">IF(AR7="Home",Assumptions!$B$2,IF(AR7="Away",-Assumptions!$B$2,0))</f>
        <v>-2.5</v>
      </c>
      <c r="AU7" s="2" t="n">
        <f aca="false">NORMDIST($B7-AS7+AT7,0,Assumptions!$B$3,TRUE())</f>
        <v>0.620292847240567</v>
      </c>
      <c r="AV7" s="2" t="s">
        <v>67</v>
      </c>
      <c r="AW7" s="2" t="s">
        <v>407</v>
      </c>
      <c r="AX7" s="2" t="n">
        <f aca="false">INDEX(Ratings!$B$2:$B$239,MATCH(AV7,Ratings!$A$2:$A$239,0))</f>
        <v>20.4</v>
      </c>
      <c r="AY7" s="2" t="n">
        <f aca="false">IF(AW7="Home",Assumptions!$B$2,IF(AW7="Away",-Assumptions!$B$2,0))</f>
        <v>-2.5</v>
      </c>
      <c r="AZ7" s="2" t="n">
        <f aca="false">NORMDIST($B7-AX7+AY7,0,Assumptions!$B$3,TRUE())</f>
        <v>0.497506626980399</v>
      </c>
      <c r="BA7" s="2" t="s">
        <v>101</v>
      </c>
      <c r="BB7" s="2" t="s">
        <v>406</v>
      </c>
      <c r="BC7" s="2" t="n">
        <f aca="false">INDEX(Ratings!$B$2:$B$239,MATCH(BA7,Ratings!$A$2:$A$239,0))</f>
        <v>5.6</v>
      </c>
      <c r="BD7" s="2" t="n">
        <f aca="false">IF(BB7="Home",Assumptions!$B$2,IF(BB7="Away",-Assumptions!$B$2,0))</f>
        <v>2.5</v>
      </c>
      <c r="BE7" s="2" t="n">
        <f aca="false">NORMDIST($B7-BC7+BD7,0,Assumptions!$B$3,TRUE())</f>
        <v>0.890885311956782</v>
      </c>
      <c r="BF7" s="2" t="s">
        <v>66</v>
      </c>
      <c r="BG7" s="2" t="s">
        <v>407</v>
      </c>
      <c r="BH7" s="2" t="n">
        <f aca="false">INDEX(Ratings!$B$2:$B$239,MATCH(BF7,Ratings!$A$2:$A$239,0))</f>
        <v>20.9</v>
      </c>
      <c r="BI7" s="2" t="n">
        <f aca="false">IF(BG7="Home",Assumptions!$B$2,IF(BG7="Away",-Assumptions!$B$2,0))</f>
        <v>-2.5</v>
      </c>
      <c r="BJ7" s="2" t="n">
        <f aca="false">NORMDIST($B7-BH7+BI7,0,Assumptions!$B$3,TRUE())</f>
        <v>0.48504317007409</v>
      </c>
      <c r="BP7" s="2" t="n">
        <v>12</v>
      </c>
      <c r="BQ7" s="2" t="n">
        <f aca="false">G7+L7+Q7+V7+AA7+AF7+AK7+AP7+AU7+AZ7+BE7+BJ7</f>
        <v>8.24063646267982</v>
      </c>
    </row>
    <row r="8" customFormat="false" ht="15" hidden="false" customHeight="false" outlineLevel="0" collapsed="false">
      <c r="A8" s="2" t="s">
        <v>64</v>
      </c>
      <c r="B8" s="2" t="n">
        <f aca="false">INDEX(Ratings!$B$2:$B$239,MATCH($A8,Ratings!$A$2:$A$239,0))</f>
        <v>22</v>
      </c>
      <c r="C8" s="2" t="s">
        <v>136</v>
      </c>
      <c r="D8" s="2" t="s">
        <v>407</v>
      </c>
      <c r="E8" s="2" t="n">
        <f aca="false">INDEX(Ratings!$B$2:$B$239,MATCH(C8,Ratings!$A$2:$A$239,0))</f>
        <v>-2.3</v>
      </c>
      <c r="F8" s="2" t="n">
        <f aca="false">IF(D8="Home",Assumptions!$B$2,IF(D8="Away",-Assumptions!$B$2,0))</f>
        <v>-2.5</v>
      </c>
      <c r="G8" s="2" t="n">
        <f aca="false">NORMDIST($B8-E8+F8,0,Assumptions!$B$3,TRUE())</f>
        <v>0.913479927923957</v>
      </c>
      <c r="H8" s="2" t="s">
        <v>262</v>
      </c>
      <c r="I8" s="2" t="s">
        <v>406</v>
      </c>
      <c r="J8" s="2" t="n">
        <f aca="false">INDEX(Ratings!$B$2:$B$239,MATCH(H8,Ratings!$A$2:$A$239,0))</f>
        <v>-37</v>
      </c>
      <c r="K8" s="2" t="n">
        <f aca="false">IF(I8="Home",Assumptions!$B$2,IF(I8="Away",-Assumptions!$B$2,0))</f>
        <v>2.5</v>
      </c>
      <c r="L8" s="2" t="n">
        <f aca="false">NORMDIST($B8-J8+K8,0,Assumptions!$B$3,TRUE())</f>
        <v>0.999939415778547</v>
      </c>
      <c r="M8" s="2" t="s">
        <v>114</v>
      </c>
      <c r="N8" s="2" t="s">
        <v>407</v>
      </c>
      <c r="O8" s="2" t="n">
        <f aca="false">INDEX(Ratings!$B$2:$B$239,MATCH(M8,Ratings!$A$2:$A$239,0))</f>
        <v>3.4</v>
      </c>
      <c r="P8" s="2" t="n">
        <f aca="false">IF(N8="Home",Assumptions!$B$2,IF(N8="Away",-Assumptions!$B$2,0))</f>
        <v>-2.5</v>
      </c>
      <c r="Q8" s="2" t="n">
        <f aca="false">NORMDIST($B8-O8+P8,0,Assumptions!$B$3,TRUE())</f>
        <v>0.842852337136804</v>
      </c>
      <c r="R8" s="2" t="s">
        <v>176</v>
      </c>
      <c r="S8" s="2" t="s">
        <v>406</v>
      </c>
      <c r="T8" s="2" t="n">
        <f aca="false">INDEX(Ratings!$B$2:$B$239,MATCH(R8,Ratings!$A$2:$A$239,0))</f>
        <v>-15.1</v>
      </c>
      <c r="U8" s="2" t="n">
        <f aca="false">IF(S8="Home",Assumptions!$B$2,IF(S8="Away",-Assumptions!$B$2,0))</f>
        <v>2.5</v>
      </c>
      <c r="V8" s="2" t="n">
        <f aca="false">NORMDIST($B8-T8+U8,0,Assumptions!$B$3,TRUE())</f>
        <v>0.993338191208017</v>
      </c>
      <c r="W8" s="2" t="s">
        <v>80</v>
      </c>
      <c r="X8" s="2" t="s">
        <v>407</v>
      </c>
      <c r="Y8" s="2" t="n">
        <f aca="false">INDEX(Ratings!$B$2:$B$239,MATCH(W8,Ratings!$A$2:$A$239,0))</f>
        <v>13.1</v>
      </c>
      <c r="Z8" s="2" t="n">
        <f aca="false">IF(X8="Home",Assumptions!$B$2,IF(X8="Away",-Assumptions!$B$2,0))</f>
        <v>-2.5</v>
      </c>
      <c r="AA8" s="2" t="n">
        <f aca="false">NORMDIST($B8-Y8+Z8,0,Assumptions!$B$3,TRUE())</f>
        <v>0.655421741610324</v>
      </c>
      <c r="AB8" s="2" t="s">
        <v>92</v>
      </c>
      <c r="AC8" s="2" t="s">
        <v>406</v>
      </c>
      <c r="AD8" s="2" t="n">
        <f aca="false">INDEX(Ratings!$B$2:$B$239,MATCH(AB8,Ratings!$A$2:$A$239,0))</f>
        <v>9.1</v>
      </c>
      <c r="AE8" s="2" t="n">
        <f aca="false">IF(AC8="Home",Assumptions!$B$2,IF(AC8="Away",-Assumptions!$B$2,0))</f>
        <v>2.5</v>
      </c>
      <c r="AF8" s="2" t="n">
        <f aca="false">NORMDIST($B8-AD8+AE8,0,Assumptions!$B$3,TRUE())</f>
        <v>0.832100748402324</v>
      </c>
      <c r="AG8" s="2" t="s">
        <v>98</v>
      </c>
      <c r="AH8" s="2" t="s">
        <v>406</v>
      </c>
      <c r="AI8" s="2" t="n">
        <f aca="false">INDEX(Ratings!$B$2:$B$239,MATCH(AG8,Ratings!$A$2:$A$239,0))</f>
        <v>6.2</v>
      </c>
      <c r="AJ8" s="2" t="n">
        <f aca="false">IF(AH8="Home",Assumptions!$B$2,IF(AH8="Away",-Assumptions!$B$2,0))</f>
        <v>2.5</v>
      </c>
      <c r="AK8" s="2" t="n">
        <f aca="false">NORMDIST($B8-AI8+AJ8,0,Assumptions!$B$3,TRUE())</f>
        <v>0.873636334484589</v>
      </c>
      <c r="AL8" s="2" t="s">
        <v>113</v>
      </c>
      <c r="AM8" s="2" t="s">
        <v>407</v>
      </c>
      <c r="AN8" s="2" t="n">
        <f aca="false">INDEX(Ratings!$B$2:$B$239,MATCH(AL8,Ratings!$A$2:$A$239,0))</f>
        <v>3.5</v>
      </c>
      <c r="AO8" s="2" t="n">
        <f aca="false">IF(AM8="Home",Assumptions!$B$2,IF(AM8="Away",-Assumptions!$B$2,0))</f>
        <v>-2.5</v>
      </c>
      <c r="AP8" s="2" t="n">
        <f aca="false">NORMDIST($B8-AN8+AO8,0,Assumptions!$B$3,TRUE())</f>
        <v>0.841344746068543</v>
      </c>
      <c r="AQ8" s="2" t="s">
        <v>60</v>
      </c>
      <c r="AR8" s="2" t="s">
        <v>407</v>
      </c>
      <c r="AS8" s="2" t="n">
        <f aca="false">INDEX(Ratings!$B$2:$B$239,MATCH(AQ8,Ratings!$A$2:$A$239,0))</f>
        <v>26.5</v>
      </c>
      <c r="AT8" s="2" t="n">
        <f aca="false">IF(AR8="Home",Assumptions!$B$2,IF(AR8="Away",-Assumptions!$B$2,0))</f>
        <v>-2.5</v>
      </c>
      <c r="AU8" s="2" t="n">
        <f aca="false">NORMDIST($B8-AS8+AT8,0,Assumptions!$B$3,TRUE())</f>
        <v>0.330874388040879</v>
      </c>
      <c r="AV8" s="2" t="s">
        <v>102</v>
      </c>
      <c r="AW8" s="2" t="s">
        <v>406</v>
      </c>
      <c r="AX8" s="2" t="n">
        <f aca="false">INDEX(Ratings!$B$2:$B$239,MATCH(AV8,Ratings!$A$2:$A$239,0))</f>
        <v>5.6</v>
      </c>
      <c r="AY8" s="2" t="n">
        <f aca="false">IF(AW8="Home",Assumptions!$B$2,IF(AW8="Away",-Assumptions!$B$2,0))</f>
        <v>2.5</v>
      </c>
      <c r="AZ8" s="2" t="n">
        <f aca="false">NORMDIST($B8-AX8+AY8,0,Assumptions!$B$3,TRUE())</f>
        <v>0.881248288142535</v>
      </c>
      <c r="BA8" s="2" t="s">
        <v>93</v>
      </c>
      <c r="BB8" s="2" t="s">
        <v>406</v>
      </c>
      <c r="BC8" s="2" t="n">
        <f aca="false">INDEX(Ratings!$B$2:$B$239,MATCH(BA8,Ratings!$A$2:$A$239,0))</f>
        <v>8.6</v>
      </c>
      <c r="BD8" s="2" t="n">
        <f aca="false">IF(BB8="Home",Assumptions!$B$2,IF(BB8="Away",-Assumptions!$B$2,0))</f>
        <v>2.5</v>
      </c>
      <c r="BE8" s="2" t="n">
        <f aca="false">NORMDIST($B8-BC8+BD8,0,Assumptions!$B$3,TRUE())</f>
        <v>0.839827703080392</v>
      </c>
      <c r="BF8" s="2" t="s">
        <v>139</v>
      </c>
      <c r="BG8" s="2" t="s">
        <v>406</v>
      </c>
      <c r="BH8" s="2" t="n">
        <f aca="false">INDEX(Ratings!$B$2:$B$239,MATCH(BF8,Ratings!$A$2:$A$239,0))</f>
        <v>-2.5</v>
      </c>
      <c r="BI8" s="2" t="n">
        <f aca="false">IF(BG8="Home",Assumptions!$B$2,IF(BG8="Away",-Assumptions!$B$2,0))</f>
        <v>2.5</v>
      </c>
      <c r="BJ8" s="2" t="n">
        <f aca="false">NORMDIST($B8-BH8+BI8,0,Assumptions!$B$3,TRUE())</f>
        <v>0.954246375038259</v>
      </c>
      <c r="BP8" s="2" t="n">
        <v>12</v>
      </c>
      <c r="BQ8" s="2" t="n">
        <f aca="false">G8+L8+Q8+V8+AA8+AF8+AK8+AP8+AU8+AZ8+BE8+BJ8</f>
        <v>9.95831019691517</v>
      </c>
    </row>
    <row r="9" customFormat="false" ht="15" hidden="false" customHeight="false" outlineLevel="0" collapsed="false">
      <c r="A9" s="2" t="s">
        <v>65</v>
      </c>
      <c r="B9" s="2" t="n">
        <f aca="false">INDEX(Ratings!$B$2:$B$239,MATCH($A9,Ratings!$A$2:$A$239,0))</f>
        <v>21.8</v>
      </c>
      <c r="C9" s="2" t="s">
        <v>239</v>
      </c>
      <c r="D9" s="2" t="s">
        <v>406</v>
      </c>
      <c r="E9" s="2" t="n">
        <f aca="false">INDEX(Ratings!$B$2:$B$239,MATCH(C9,Ratings!$A$2:$A$239,0))</f>
        <v>-29</v>
      </c>
      <c r="F9" s="2" t="n">
        <f aca="false">IF(D9="Home",Assumptions!$B$2,IF(D9="Away",-Assumptions!$B$2,0))</f>
        <v>2.5</v>
      </c>
      <c r="G9" s="2" t="n">
        <f aca="false">NORMDIST($B9-E9+F9,0,Assumptions!$B$3,TRUE())</f>
        <v>0.999567715405495</v>
      </c>
      <c r="H9" s="2" t="s">
        <v>146</v>
      </c>
      <c r="I9" s="2" t="s">
        <v>407</v>
      </c>
      <c r="J9" s="2" t="n">
        <f aca="false">INDEX(Ratings!$B$2:$B$239,MATCH(H9,Ratings!$A$2:$A$239,0))</f>
        <v>-5.6</v>
      </c>
      <c r="K9" s="2" t="n">
        <f aca="false">IF(I9="Home",Assumptions!$B$2,IF(I9="Away",-Assumptions!$B$2,0))</f>
        <v>-2.5</v>
      </c>
      <c r="L9" s="2" t="n">
        <f aca="false">NORMDIST($B9-J9+K9,0,Assumptions!$B$3,TRUE())</f>
        <v>0.940175672022986</v>
      </c>
      <c r="M9" s="2" t="s">
        <v>95</v>
      </c>
      <c r="N9" s="2" t="s">
        <v>406</v>
      </c>
      <c r="O9" s="2" t="n">
        <f aca="false">INDEX(Ratings!$B$2:$B$239,MATCH(M9,Ratings!$A$2:$A$239,0))</f>
        <v>7.4</v>
      </c>
      <c r="P9" s="2" t="n">
        <f aca="false">IF(N9="Home",Assumptions!$B$2,IF(N9="Away",-Assumptions!$B$2,0))</f>
        <v>2.5</v>
      </c>
      <c r="Q9" s="2" t="n">
        <f aca="false">NORMDIST($B9-O9+P9,0,Assumptions!$B$3,TRUE())</f>
        <v>0.854572993611396</v>
      </c>
      <c r="R9" s="2" t="s">
        <v>191</v>
      </c>
      <c r="S9" s="2" t="s">
        <v>406</v>
      </c>
      <c r="T9" s="2" t="n">
        <f aca="false">INDEX(Ratings!$B$2:$B$239,MATCH(R9,Ratings!$A$2:$A$239,0))</f>
        <v>-26</v>
      </c>
      <c r="U9" s="2" t="n">
        <f aca="false">IF(S9="Home",Assumptions!$B$2,IF(S9="Away",-Assumptions!$B$2,0))</f>
        <v>2.5</v>
      </c>
      <c r="V9" s="2" t="n">
        <f aca="false">NORMDIST($B9-T9+U9,0,Assumptions!$B$3,TRUE())</f>
        <v>0.999166010641336</v>
      </c>
      <c r="W9" s="2" t="s">
        <v>123</v>
      </c>
      <c r="X9" s="2" t="s">
        <v>407</v>
      </c>
      <c r="Y9" s="2" t="n">
        <f aca="false">INDEX(Ratings!$B$2:$B$239,MATCH(W9,Ratings!$A$2:$A$239,0))</f>
        <v>0.7</v>
      </c>
      <c r="Z9" s="2" t="n">
        <f aca="false">IF(X9="Home",Assumptions!$B$2,IF(X9="Away",-Assumptions!$B$2,0))</f>
        <v>-2.5</v>
      </c>
      <c r="AA9" s="2" t="n">
        <f aca="false">NORMDIST($B9-Y9+Z9,0,Assumptions!$B$3,TRUE())</f>
        <v>0.877483787656951</v>
      </c>
      <c r="AB9" s="2" t="s">
        <v>108</v>
      </c>
      <c r="AC9" s="2" t="s">
        <v>406</v>
      </c>
      <c r="AD9" s="2" t="n">
        <f aca="false">INDEX(Ratings!$B$2:$B$239,MATCH(AB9,Ratings!$A$2:$A$239,0))</f>
        <v>4.9</v>
      </c>
      <c r="AE9" s="2" t="n">
        <f aca="false">IF(AC9="Home",Assumptions!$B$2,IF(AC9="Away",-Assumptions!$B$2,0))</f>
        <v>2.5</v>
      </c>
      <c r="AF9" s="2" t="n">
        <f aca="false">NORMDIST($B9-AD9+AE9,0,Assumptions!$B$3,TRUE())</f>
        <v>0.887339478704057</v>
      </c>
      <c r="AG9" s="2" t="s">
        <v>116</v>
      </c>
      <c r="AH9" s="2" t="s">
        <v>407</v>
      </c>
      <c r="AI9" s="2" t="n">
        <f aca="false">INDEX(Ratings!$B$2:$B$239,MATCH(AG9,Ratings!$A$2:$A$239,0))</f>
        <v>3</v>
      </c>
      <c r="AJ9" s="2" t="n">
        <f aca="false">IF(AH9="Home",Assumptions!$B$2,IF(AH9="Away",-Assumptions!$B$2,0))</f>
        <v>-2.5</v>
      </c>
      <c r="AK9" s="2" t="n">
        <f aca="false">NORMDIST($B9-AI9+AJ9,0,Assumptions!$B$3,TRUE())</f>
        <v>0.845839165719647</v>
      </c>
      <c r="AL9" s="2" t="s">
        <v>88</v>
      </c>
      <c r="AM9" s="2" t="s">
        <v>406</v>
      </c>
      <c r="AN9" s="2" t="n">
        <f aca="false">INDEX(Ratings!$B$2:$B$239,MATCH(AL9,Ratings!$A$2:$A$239,0))</f>
        <v>9.5</v>
      </c>
      <c r="AO9" s="2" t="n">
        <f aca="false">IF(AM9="Home",Assumptions!$B$2,IF(AM9="Away",-Assumptions!$B$2,0))</f>
        <v>2.5</v>
      </c>
      <c r="AP9" s="2" t="n">
        <f aca="false">NORMDIST($B9-AN9+AO9,0,Assumptions!$B$3,TRUE())</f>
        <v>0.822517046276768</v>
      </c>
      <c r="AQ9" s="2" t="s">
        <v>129</v>
      </c>
      <c r="AR9" s="2" t="s">
        <v>406</v>
      </c>
      <c r="AS9" s="2" t="n">
        <f aca="false">INDEX(Ratings!$B$2:$B$239,MATCH(AQ9,Ratings!$A$2:$A$239,0))</f>
        <v>-1.3</v>
      </c>
      <c r="AT9" s="2" t="n">
        <f aca="false">IF(AR9="Home",Assumptions!$B$2,IF(AR9="Away",-Assumptions!$B$2,0))</f>
        <v>2.5</v>
      </c>
      <c r="AU9" s="2" t="n">
        <f aca="false">NORMDIST($B9-AS9+AT9,0,Assumptions!$B$3,TRUE())</f>
        <v>0.945200708300442</v>
      </c>
      <c r="AV9" s="2" t="s">
        <v>96</v>
      </c>
      <c r="AW9" s="2" t="s">
        <v>407</v>
      </c>
      <c r="AX9" s="2" t="n">
        <f aca="false">INDEX(Ratings!$B$2:$B$239,MATCH(AV9,Ratings!$A$2:$A$239,0))</f>
        <v>6.9</v>
      </c>
      <c r="AY9" s="2" t="n">
        <f aca="false">IF(AW9="Home",Assumptions!$B$2,IF(AW9="Away",-Assumptions!$B$2,0))</f>
        <v>-2.5</v>
      </c>
      <c r="AZ9" s="2" t="n">
        <f aca="false">NORMDIST($B9-AX9+AY9,0,Assumptions!$B$3,TRUE())</f>
        <v>0.780830170206623</v>
      </c>
      <c r="BA9" s="2" t="s">
        <v>111</v>
      </c>
      <c r="BB9" s="2" t="s">
        <v>407</v>
      </c>
      <c r="BC9" s="2" t="n">
        <f aca="false">INDEX(Ratings!$B$2:$B$239,MATCH(BA9,Ratings!$A$2:$A$239,0))</f>
        <v>3.8</v>
      </c>
      <c r="BD9" s="2" t="n">
        <f aca="false">IF(BB9="Home",Assumptions!$B$2,IF(BB9="Away",-Assumptions!$B$2,0))</f>
        <v>-2.5</v>
      </c>
      <c r="BE9" s="2" t="n">
        <f aca="false">NORMDIST($B9-BC9+BD9,0,Assumptions!$B$3,TRUE())</f>
        <v>0.833665030507882</v>
      </c>
      <c r="BF9" s="2" t="s">
        <v>89</v>
      </c>
      <c r="BG9" s="2" t="s">
        <v>406</v>
      </c>
      <c r="BH9" s="2" t="n">
        <f aca="false">INDEX(Ratings!$B$2:$B$239,MATCH(BF9,Ratings!$A$2:$A$239,0))</f>
        <v>9.4</v>
      </c>
      <c r="BI9" s="2" t="n">
        <f aca="false">IF(BG9="Home",Assumptions!$B$2,IF(BG9="Away",-Assumptions!$B$2,0))</f>
        <v>2.5</v>
      </c>
      <c r="BJ9" s="2" t="n">
        <f aca="false">NORMDIST($B9-BH9+BI9,0,Assumptions!$B$3,TRUE())</f>
        <v>0.824137870333926</v>
      </c>
      <c r="BP9" s="2" t="n">
        <v>12</v>
      </c>
      <c r="BQ9" s="2" t="n">
        <f aca="false">G9+L9+Q9+V9+AA9+AF9+AK9+AP9+AU9+AZ9+BE9+BJ9</f>
        <v>10.6104956493875</v>
      </c>
    </row>
    <row r="10" customFormat="false" ht="15" hidden="false" customHeight="false" outlineLevel="0" collapsed="false">
      <c r="A10" s="2" t="s">
        <v>66</v>
      </c>
      <c r="B10" s="2" t="n">
        <f aca="false">INDEX(Ratings!$B$2:$B$239,MATCH($A10,Ratings!$A$2:$A$239,0))</f>
        <v>20.9</v>
      </c>
      <c r="C10" s="2" t="s">
        <v>183</v>
      </c>
      <c r="D10" s="2" t="s">
        <v>406</v>
      </c>
      <c r="E10" s="2" t="n">
        <f aca="false">INDEX(Ratings!$B$2:$B$239,MATCH(C10,Ratings!$A$2:$A$239,0))</f>
        <v>-19.1</v>
      </c>
      <c r="F10" s="2" t="n">
        <f aca="false">IF(D10="Home",Assumptions!$B$2,IF(D10="Away",-Assumptions!$B$2,0))</f>
        <v>2.5</v>
      </c>
      <c r="G10" s="2" t="n">
        <f aca="false">NORMDIST($B10-E10+F10,0,Assumptions!$B$3,TRUE())</f>
        <v>0.996049249339223</v>
      </c>
      <c r="H10" s="2" t="s">
        <v>108</v>
      </c>
      <c r="I10" s="2" t="s">
        <v>406</v>
      </c>
      <c r="J10" s="2" t="n">
        <f aca="false">INDEX(Ratings!$B$2:$B$239,MATCH(H10,Ratings!$A$2:$A$239,0))</f>
        <v>4.9</v>
      </c>
      <c r="K10" s="2" t="n">
        <f aca="false">IF(I10="Home",Assumptions!$B$2,IF(I10="Away",-Assumptions!$B$2,0))</f>
        <v>2.5</v>
      </c>
      <c r="L10" s="2" t="n">
        <f aca="false">NORMDIST($B10-J10+K10,0,Assumptions!$B$3,TRUE())</f>
        <v>0.876210543248306</v>
      </c>
      <c r="M10" s="2" t="s">
        <v>104</v>
      </c>
      <c r="N10" s="2" t="s">
        <v>406</v>
      </c>
      <c r="O10" s="2" t="n">
        <f aca="false">INDEX(Ratings!$B$2:$B$239,MATCH(M10,Ratings!$A$2:$A$239,0))</f>
        <v>5.2</v>
      </c>
      <c r="P10" s="2" t="n">
        <f aca="false">IF(N10="Home",Assumptions!$B$2,IF(N10="Away",-Assumptions!$B$2,0))</f>
        <v>2.5</v>
      </c>
      <c r="Q10" s="2" t="n">
        <f aca="false">NORMDIST($B10-O10+P10,0,Assumptions!$B$3,TRUE())</f>
        <v>0.872335337703716</v>
      </c>
      <c r="R10" s="2" t="s">
        <v>67</v>
      </c>
      <c r="S10" s="2" t="s">
        <v>407</v>
      </c>
      <c r="T10" s="2" t="n">
        <f aca="false">INDEX(Ratings!$B$2:$B$239,MATCH(R10,Ratings!$A$2:$A$239,0))</f>
        <v>20.4</v>
      </c>
      <c r="U10" s="2" t="n">
        <f aca="false">IF(S10="Home",Assumptions!$B$2,IF(S10="Away",-Assumptions!$B$2,0))</f>
        <v>-2.5</v>
      </c>
      <c r="V10" s="2" t="n">
        <f aca="false">NORMDIST($B10-T10+U10,0,Assumptions!$B$3,TRUE())</f>
        <v>0.450261775169887</v>
      </c>
      <c r="W10" s="2" t="s">
        <v>101</v>
      </c>
      <c r="X10" s="2" t="s">
        <v>406</v>
      </c>
      <c r="Y10" s="2" t="n">
        <f aca="false">INDEX(Ratings!$B$2:$B$239,MATCH(W10,Ratings!$A$2:$A$239,0))</f>
        <v>5.6</v>
      </c>
      <c r="Z10" s="2" t="n">
        <f aca="false">IF(X10="Home",Assumptions!$B$2,IF(X10="Away",-Assumptions!$B$2,0))</f>
        <v>2.5</v>
      </c>
      <c r="AA10" s="2" t="n">
        <f aca="false">NORMDIST($B10-Y10+Z10,0,Assumptions!$B$3,TRUE())</f>
        <v>0.867038384922096</v>
      </c>
      <c r="AB10" s="2" t="s">
        <v>76</v>
      </c>
      <c r="AC10" s="2" t="s">
        <v>407</v>
      </c>
      <c r="AD10" s="2" t="n">
        <f aca="false">INDEX(Ratings!$B$2:$B$239,MATCH(AB10,Ratings!$A$2:$A$239,0))</f>
        <v>15.4</v>
      </c>
      <c r="AE10" s="2" t="n">
        <f aca="false">IF(AC10="Home",Assumptions!$B$2,IF(AC10="Away",-Assumptions!$B$2,0))</f>
        <v>-2.5</v>
      </c>
      <c r="AF10" s="2" t="n">
        <f aca="false">NORMDIST($B10-AD10+AE10,0,Assumptions!$B$3,TRUE())</f>
        <v>0.574365688155897</v>
      </c>
      <c r="AG10" s="2" t="s">
        <v>321</v>
      </c>
      <c r="AH10" s="2" t="s">
        <v>406</v>
      </c>
      <c r="AI10" s="2" t="n">
        <f aca="false">INDEX(Ratings!$B$2:$B$239,MATCH(AG10,Ratings!$A$2:$A$239,0))</f>
        <v>-30</v>
      </c>
      <c r="AJ10" s="2" t="n">
        <f aca="false">IF(AH10="Home",Assumptions!$B$2,IF(AH10="Away",-Assumptions!$B$2,0))</f>
        <v>2.5</v>
      </c>
      <c r="AK10" s="2" t="n">
        <f aca="false">NORMDIST($B10-AI10+AJ10,0,Assumptions!$B$3,TRUE())</f>
        <v>0.999577321390645</v>
      </c>
      <c r="AL10" s="2" t="s">
        <v>70</v>
      </c>
      <c r="AM10" s="2" t="s">
        <v>407</v>
      </c>
      <c r="AN10" s="2" t="n">
        <f aca="false">INDEX(Ratings!$B$2:$B$239,MATCH(AL10,Ratings!$A$2:$A$239,0))</f>
        <v>17.6</v>
      </c>
      <c r="AO10" s="2" t="n">
        <f aca="false">IF(AM10="Home",Assumptions!$B$2,IF(AM10="Away",-Assumptions!$B$2,0))</f>
        <v>-2.5</v>
      </c>
      <c r="AP10" s="2" t="n">
        <f aca="false">NORMDIST($B10-AN10+AO10,0,Assumptions!$B$3,TRUE())</f>
        <v>0.519938805838372</v>
      </c>
      <c r="AQ10" s="2" t="s">
        <v>81</v>
      </c>
      <c r="AR10" s="2" t="s">
        <v>407</v>
      </c>
      <c r="AS10" s="2" t="n">
        <f aca="false">INDEX(Ratings!$B$2:$B$239,MATCH(AQ10,Ratings!$A$2:$A$239,0))</f>
        <v>12.6</v>
      </c>
      <c r="AT10" s="2" t="n">
        <f aca="false">IF(AR10="Home",Assumptions!$B$2,IF(AR10="Away",-Assumptions!$B$2,0))</f>
        <v>-2.5</v>
      </c>
      <c r="AU10" s="2" t="n">
        <f aca="false">NORMDIST($B10-AS10+AT10,0,Assumptions!$B$3,TRUE())</f>
        <v>0.641510788235092</v>
      </c>
      <c r="AV10" s="2" t="s">
        <v>71</v>
      </c>
      <c r="AW10" s="2" t="s">
        <v>406</v>
      </c>
      <c r="AX10" s="2" t="n">
        <f aca="false">INDEX(Ratings!$B$2:$B$239,MATCH(AV10,Ratings!$A$2:$A$239,0))</f>
        <v>17.3</v>
      </c>
      <c r="AY10" s="2" t="n">
        <f aca="false">IF(AW10="Home",Assumptions!$B$2,IF(AW10="Away",-Assumptions!$B$2,0))</f>
        <v>2.5</v>
      </c>
      <c r="AZ10" s="2" t="n">
        <f aca="false">NORMDIST($B10-AX10+AY10,0,Assumptions!$B$3,TRUE())</f>
        <v>0.648491124483723</v>
      </c>
      <c r="BA10" s="2" t="s">
        <v>68</v>
      </c>
      <c r="BB10" s="2" t="s">
        <v>407</v>
      </c>
      <c r="BC10" s="2" t="n">
        <f aca="false">INDEX(Ratings!$B$2:$B$239,MATCH(BA10,Ratings!$A$2:$A$239,0))</f>
        <v>18.8</v>
      </c>
      <c r="BD10" s="2" t="n">
        <f aca="false">IF(BB10="Home",Assumptions!$B$2,IF(BB10="Away",-Assumptions!$B$2,0))</f>
        <v>-2.5</v>
      </c>
      <c r="BE10" s="2" t="n">
        <f aca="false">NORMDIST($B10-BC10+BD10,0,Assumptions!$B$3,TRUE())</f>
        <v>0.490027481804762</v>
      </c>
      <c r="BF10" s="2" t="s">
        <v>63</v>
      </c>
      <c r="BG10" s="2" t="s">
        <v>406</v>
      </c>
      <c r="BH10" s="2" t="n">
        <f aca="false">INDEX(Ratings!$B$2:$B$239,MATCH(BF10,Ratings!$A$2:$A$239,0))</f>
        <v>22.8</v>
      </c>
      <c r="BI10" s="2" t="n">
        <f aca="false">IF(BG10="Home",Assumptions!$B$2,IF(BG10="Away",-Assumptions!$B$2,0))</f>
        <v>2.5</v>
      </c>
      <c r="BJ10" s="2" t="n">
        <f aca="false">NORMDIST($B10-BH10+BI10,0,Assumptions!$B$3,TRUE())</f>
        <v>0.51495682992591</v>
      </c>
      <c r="BP10" s="2" t="n">
        <v>12</v>
      </c>
      <c r="BQ10" s="2" t="n">
        <f aca="false">G10+L10+Q10+V10+AA10+AF10+AK10+AP10+AU10+AZ10+BE10+BJ10</f>
        <v>8.45076333021763</v>
      </c>
    </row>
    <row r="11" customFormat="false" ht="15" hidden="false" customHeight="false" outlineLevel="0" collapsed="false">
      <c r="A11" s="2" t="s">
        <v>67</v>
      </c>
      <c r="B11" s="2" t="n">
        <f aca="false">INDEX(Ratings!$B$2:$B$239,MATCH($A11,Ratings!$A$2:$A$239,0))</f>
        <v>20.4</v>
      </c>
      <c r="C11" s="2" t="s">
        <v>80</v>
      </c>
      <c r="D11" s="2" t="s">
        <v>406</v>
      </c>
      <c r="E11" s="2" t="n">
        <f aca="false">INDEX(Ratings!$B$2:$B$239,MATCH(C11,Ratings!$A$2:$A$239,0))</f>
        <v>13.1</v>
      </c>
      <c r="F11" s="2" t="n">
        <f aca="false">IF(D11="Home",Assumptions!$B$2,IF(D11="Away",-Assumptions!$B$2,0))</f>
        <v>2.5</v>
      </c>
      <c r="G11" s="2" t="n">
        <f aca="false">NORMDIST($B11-E11+F11,0,Assumptions!$B$3,TRUE())</f>
        <v>0.729896500998765</v>
      </c>
      <c r="H11" s="2" t="s">
        <v>156</v>
      </c>
      <c r="I11" s="2" t="s">
        <v>406</v>
      </c>
      <c r="J11" s="2" t="n">
        <f aca="false">INDEX(Ratings!$B$2:$B$239,MATCH(H11,Ratings!$A$2:$A$239,0))</f>
        <v>-9.1</v>
      </c>
      <c r="K11" s="2" t="n">
        <f aca="false">IF(I11="Home",Assumptions!$B$2,IF(I11="Away",-Assumptions!$B$2,0))</f>
        <v>2.5</v>
      </c>
      <c r="L11" s="2" t="n">
        <f aca="false">NORMDIST($B11-J11+K11,0,Assumptions!$B$3,TRUE())</f>
        <v>0.977249868051821</v>
      </c>
      <c r="M11" s="2" t="s">
        <v>73</v>
      </c>
      <c r="N11" s="2" t="s">
        <v>407</v>
      </c>
      <c r="O11" s="2" t="n">
        <f aca="false">INDEX(Ratings!$B$2:$B$239,MATCH(M11,Ratings!$A$2:$A$239,0))</f>
        <v>16.5</v>
      </c>
      <c r="P11" s="2" t="n">
        <f aca="false">IF(N11="Home",Assumptions!$B$2,IF(N11="Away",-Assumptions!$B$2,0))</f>
        <v>-2.5</v>
      </c>
      <c r="Q11" s="2" t="n">
        <f aca="false">NORMDIST($B11-O11+P11,0,Assumptions!$B$3,TRUE())</f>
        <v>0.534862957283715</v>
      </c>
      <c r="R11" s="2" t="s">
        <v>66</v>
      </c>
      <c r="S11" s="2" t="s">
        <v>406</v>
      </c>
      <c r="T11" s="2" t="n">
        <f aca="false">INDEX(Ratings!$B$2:$B$239,MATCH(R11,Ratings!$A$2:$A$239,0))</f>
        <v>20.9</v>
      </c>
      <c r="U11" s="2" t="n">
        <f aca="false">IF(S11="Home",Assumptions!$B$2,IF(S11="Away",-Assumptions!$B$2,0))</f>
        <v>2.5</v>
      </c>
      <c r="V11" s="2" t="n">
        <f aca="false">NORMDIST($B11-T11+U11,0,Assumptions!$B$3,TRUE())</f>
        <v>0.549738224830113</v>
      </c>
      <c r="W11" s="2" t="s">
        <v>281</v>
      </c>
      <c r="X11" s="2" t="s">
        <v>406</v>
      </c>
      <c r="Y11" s="2" t="n">
        <f aca="false">INDEX(Ratings!$B$2:$B$239,MATCH(W11,Ratings!$A$2:$A$239,0))</f>
        <v>-34</v>
      </c>
      <c r="Z11" s="2" t="n">
        <f aca="false">IF(X11="Home",Assumptions!$B$2,IF(X11="Away",-Assumptions!$B$2,0))</f>
        <v>2.5</v>
      </c>
      <c r="AA11" s="2" t="n">
        <f aca="false">NORMDIST($B11-Y11+Z11,0,Assumptions!$B$3,TRUE())</f>
        <v>0.999811906940459</v>
      </c>
      <c r="AB11" s="2" t="s">
        <v>104</v>
      </c>
      <c r="AC11" s="2" t="s">
        <v>407</v>
      </c>
      <c r="AD11" s="2" t="n">
        <f aca="false">INDEX(Ratings!$B$2:$B$239,MATCH(AB11,Ratings!$A$2:$A$239,0))</f>
        <v>5.2</v>
      </c>
      <c r="AE11" s="2" t="n">
        <f aca="false">IF(AC11="Home",Assumptions!$B$2,IF(AC11="Away",-Assumptions!$B$2,0))</f>
        <v>-2.5</v>
      </c>
      <c r="AF11" s="2" t="n">
        <f aca="false">NORMDIST($B11-AD11+AE11,0,Assumptions!$B$3,TRUE())</f>
        <v>0.786329507059644</v>
      </c>
      <c r="AG11" s="2" t="s">
        <v>109</v>
      </c>
      <c r="AH11" s="2" t="s">
        <v>406</v>
      </c>
      <c r="AI11" s="2" t="n">
        <f aca="false">INDEX(Ratings!$B$2:$B$239,MATCH(AG11,Ratings!$A$2:$A$239,0))</f>
        <v>4.8</v>
      </c>
      <c r="AJ11" s="2" t="n">
        <f aca="false">IF(AH11="Home",Assumptions!$B$2,IF(AH11="Away",-Assumptions!$B$2,0))</f>
        <v>2.5</v>
      </c>
      <c r="AK11" s="2" t="n">
        <f aca="false">NORMDIST($B11-AI11+AJ11,0,Assumptions!$B$3,TRUE())</f>
        <v>0.871025058722846</v>
      </c>
      <c r="AL11" s="2" t="s">
        <v>83</v>
      </c>
      <c r="AM11" s="2" t="s">
        <v>407</v>
      </c>
      <c r="AN11" s="2" t="n">
        <f aca="false">INDEX(Ratings!$B$2:$B$239,MATCH(AL11,Ratings!$A$2:$A$239,0))</f>
        <v>11.5</v>
      </c>
      <c r="AO11" s="2" t="n">
        <f aca="false">IF(AM11="Home",Assumptions!$B$2,IF(AM11="Away",-Assumptions!$B$2,0))</f>
        <v>-2.5</v>
      </c>
      <c r="AP11" s="2" t="n">
        <f aca="false">NORMDIST($B11-AN11+AO11,0,Assumptions!$B$3,TRUE())</f>
        <v>0.655421741610324</v>
      </c>
      <c r="AQ11" s="2" t="s">
        <v>70</v>
      </c>
      <c r="AR11" s="2" t="s">
        <v>406</v>
      </c>
      <c r="AS11" s="2" t="n">
        <f aca="false">INDEX(Ratings!$B$2:$B$239,MATCH(AQ11,Ratings!$A$2:$A$239,0))</f>
        <v>17.6</v>
      </c>
      <c r="AT11" s="2" t="n">
        <f aca="false">IF(AR11="Home",Assumptions!$B$2,IF(AR11="Away",-Assumptions!$B$2,0))</f>
        <v>2.5</v>
      </c>
      <c r="AU11" s="2" t="n">
        <f aca="false">NORMDIST($B11-AS11+AT11,0,Assumptions!$B$3,TRUE())</f>
        <v>0.629772172275028</v>
      </c>
      <c r="AV11" s="2" t="s">
        <v>63</v>
      </c>
      <c r="AW11" s="2" t="s">
        <v>406</v>
      </c>
      <c r="AX11" s="2" t="n">
        <f aca="false">INDEX(Ratings!$B$2:$B$239,MATCH(AV11,Ratings!$A$2:$A$239,0))</f>
        <v>22.8</v>
      </c>
      <c r="AY11" s="2" t="n">
        <f aca="false">IF(AW11="Home",Assumptions!$B$2,IF(AW11="Away",-Assumptions!$B$2,0))</f>
        <v>2.5</v>
      </c>
      <c r="AZ11" s="2" t="n">
        <f aca="false">NORMDIST($B11-AX11+AY11,0,Assumptions!$B$3,TRUE())</f>
        <v>0.502493373019601</v>
      </c>
      <c r="BA11" s="2" t="s">
        <v>71</v>
      </c>
      <c r="BB11" s="2" t="s">
        <v>407</v>
      </c>
      <c r="BC11" s="2" t="n">
        <f aca="false">INDEX(Ratings!$B$2:$B$239,MATCH(BA11,Ratings!$A$2:$A$239,0))</f>
        <v>17.3</v>
      </c>
      <c r="BD11" s="2" t="n">
        <f aca="false">IF(BB11="Home",Assumptions!$B$2,IF(BB11="Away",-Assumptions!$B$2,0))</f>
        <v>-2.5</v>
      </c>
      <c r="BE11" s="2" t="n">
        <f aca="false">NORMDIST($B11-BC11+BD11,0,Assumptions!$B$3,TRUE())</f>
        <v>0.51495682992591</v>
      </c>
      <c r="BF11" s="2" t="s">
        <v>101</v>
      </c>
      <c r="BG11" s="2" t="s">
        <v>407</v>
      </c>
      <c r="BH11" s="2" t="n">
        <f aca="false">INDEX(Ratings!$B$2:$B$239,MATCH(BF11,Ratings!$A$2:$A$239,0))</f>
        <v>5.6</v>
      </c>
      <c r="BI11" s="2" t="n">
        <f aca="false">IF(BG11="Home",Assumptions!$B$2,IF(BG11="Away",-Assumptions!$B$2,0))</f>
        <v>-2.5</v>
      </c>
      <c r="BJ11" s="2" t="n">
        <f aca="false">NORMDIST($B11-BH11+BI11,0,Assumptions!$B$3,TRUE())</f>
        <v>0.778979131832686</v>
      </c>
      <c r="BP11" s="2" t="n">
        <v>12</v>
      </c>
      <c r="BQ11" s="2" t="n">
        <f aca="false">G11+L11+Q11+V11+AA11+AF11+AK11+AP11+AU11+AZ11+BE11+BJ11</f>
        <v>8.53053727255091</v>
      </c>
    </row>
    <row r="12" customFormat="false" ht="15" hidden="false" customHeight="false" outlineLevel="0" collapsed="false">
      <c r="A12" s="2" t="s">
        <v>68</v>
      </c>
      <c r="B12" s="2" t="n">
        <f aca="false">INDEX(Ratings!$B$2:$B$239,MATCH($A12,Ratings!$A$2:$A$239,0))</f>
        <v>18.8</v>
      </c>
      <c r="C12" s="2" t="s">
        <v>184</v>
      </c>
      <c r="D12" s="2" t="s">
        <v>406</v>
      </c>
      <c r="E12" s="2" t="n">
        <f aca="false">INDEX(Ratings!$B$2:$B$239,MATCH(C12,Ratings!$A$2:$A$239,0))</f>
        <v>-19.3</v>
      </c>
      <c r="F12" s="2" t="n">
        <f aca="false">IF(D12="Home",Assumptions!$B$2,IF(D12="Away",-Assumptions!$B$2,0))</f>
        <v>2.5</v>
      </c>
      <c r="G12" s="2" t="n">
        <f aca="false">NORMDIST($B12-E12+F12,0,Assumptions!$B$3,TRUE())</f>
        <v>0.994417631593983</v>
      </c>
      <c r="H12" s="2" t="s">
        <v>72</v>
      </c>
      <c r="I12" s="2" t="s">
        <v>407</v>
      </c>
      <c r="J12" s="2" t="n">
        <f aca="false">INDEX(Ratings!$B$2:$B$239,MATCH(H12,Ratings!$A$2:$A$239,0))</f>
        <v>17</v>
      </c>
      <c r="K12" s="2" t="n">
        <f aca="false">IF(I12="Home",Assumptions!$B$2,IF(I12="Away",-Assumptions!$B$2,0))</f>
        <v>-2.5</v>
      </c>
      <c r="L12" s="2" t="n">
        <f aca="false">NORMDIST($B12-J12+K12,0,Assumptions!$B$3,TRUE())</f>
        <v>0.48255184155421</v>
      </c>
      <c r="M12" s="2" t="s">
        <v>125</v>
      </c>
      <c r="N12" s="2" t="s">
        <v>406</v>
      </c>
      <c r="O12" s="2" t="n">
        <f aca="false">INDEX(Ratings!$B$2:$B$239,MATCH(M12,Ratings!$A$2:$A$239,0))</f>
        <v>0</v>
      </c>
      <c r="P12" s="2" t="n">
        <f aca="false">IF(N12="Home",Assumptions!$B$2,IF(N12="Away",-Assumptions!$B$2,0))</f>
        <v>2.5</v>
      </c>
      <c r="Q12" s="2" t="n">
        <f aca="false">NORMDIST($B12-O12+P12,0,Assumptions!$B$3,TRUE())</f>
        <v>0.908446617860336</v>
      </c>
      <c r="R12" s="2" t="s">
        <v>61</v>
      </c>
      <c r="S12" s="2" t="s">
        <v>407</v>
      </c>
      <c r="T12" s="2" t="n">
        <f aca="false">INDEX(Ratings!$B$2:$B$239,MATCH(R12,Ratings!$A$2:$A$239,0))</f>
        <v>26.4</v>
      </c>
      <c r="U12" s="2" t="n">
        <f aca="false">IF(S12="Home",Assumptions!$B$2,IF(S12="Away",-Assumptions!$B$2,0))</f>
        <v>-2.5</v>
      </c>
      <c r="V12" s="2" t="n">
        <f aca="false">NORMDIST($B12-T12+U12,0,Assumptions!$B$3,TRUE())</f>
        <v>0.263938536969338</v>
      </c>
      <c r="W12" s="2" t="s">
        <v>63</v>
      </c>
      <c r="X12" s="2" t="s">
        <v>408</v>
      </c>
      <c r="Y12" s="2" t="n">
        <f aca="false">INDEX(Ratings!$B$2:$B$239,MATCH(W12,Ratings!$A$2:$A$239,0))</f>
        <v>22.8</v>
      </c>
      <c r="Z12" s="2" t="n">
        <f aca="false">IF(X12="Home",Assumptions!$B$2,IF(X12="Away",-Assumptions!$B$2,0))</f>
        <v>0</v>
      </c>
      <c r="AA12" s="2" t="n">
        <f aca="false">NORMDIST($B12-Y12+Z12,0,Assumptions!$B$3,TRUE())</f>
        <v>0.401293674317076</v>
      </c>
      <c r="AB12" s="2" t="s">
        <v>104</v>
      </c>
      <c r="AC12" s="2" t="s">
        <v>406</v>
      </c>
      <c r="AD12" s="2" t="n">
        <f aca="false">INDEX(Ratings!$B$2:$B$239,MATCH(AB12,Ratings!$A$2:$A$239,0))</f>
        <v>5.2</v>
      </c>
      <c r="AE12" s="2" t="n">
        <f aca="false">IF(AC12="Home",Assumptions!$B$2,IF(AC12="Away",-Assumptions!$B$2,0))</f>
        <v>2.5</v>
      </c>
      <c r="AF12" s="2" t="n">
        <f aca="false">NORMDIST($B12-AD12+AE12,0,Assumptions!$B$3,TRUE())</f>
        <v>0.842852337136804</v>
      </c>
      <c r="AG12" s="2" t="s">
        <v>109</v>
      </c>
      <c r="AH12" s="2" t="s">
        <v>407</v>
      </c>
      <c r="AI12" s="2" t="n">
        <f aca="false">INDEX(Ratings!$B$2:$B$239,MATCH(AG12,Ratings!$A$2:$A$239,0))</f>
        <v>4.8</v>
      </c>
      <c r="AJ12" s="2" t="n">
        <f aca="false">IF(AH12="Home",Assumptions!$B$2,IF(AH12="Away",-Assumptions!$B$2,0))</f>
        <v>-2.5</v>
      </c>
      <c r="AK12" s="2" t="n">
        <f aca="false">NORMDIST($B12-AI12+AJ12,0,Assumptions!$B$3,TRUE())</f>
        <v>0.763852515027146</v>
      </c>
      <c r="AL12" s="2" t="s">
        <v>81</v>
      </c>
      <c r="AM12" s="2" t="s">
        <v>406</v>
      </c>
      <c r="AN12" s="2" t="n">
        <f aca="false">INDEX(Ratings!$B$2:$B$239,MATCH(AL12,Ratings!$A$2:$A$239,0))</f>
        <v>12.6</v>
      </c>
      <c r="AO12" s="2" t="n">
        <f aca="false">IF(AM12="Home",Assumptions!$B$2,IF(AM12="Away",-Assumptions!$B$2,0))</f>
        <v>2.5</v>
      </c>
      <c r="AP12" s="2" t="n">
        <f aca="false">NORMDIST($B12-AN12+AO12,0,Assumptions!$B$3,TRUE())</f>
        <v>0.706693239916112</v>
      </c>
      <c r="AQ12" s="2" t="s">
        <v>77</v>
      </c>
      <c r="AR12" s="2" t="s">
        <v>407</v>
      </c>
      <c r="AS12" s="2" t="n">
        <f aca="false">INDEX(Ratings!$B$2:$B$239,MATCH(AQ12,Ratings!$A$2:$A$239,0))</f>
        <v>15.2</v>
      </c>
      <c r="AT12" s="2" t="n">
        <f aca="false">IF(AR12="Home",Assumptions!$B$2,IF(AR12="Away",-Assumptions!$B$2,0))</f>
        <v>-2.5</v>
      </c>
      <c r="AU12" s="2" t="n">
        <f aca="false">NORMDIST($B12-AS12+AT12,0,Assumptions!$B$3,TRUE())</f>
        <v>0.527405690960468</v>
      </c>
      <c r="AV12" s="2" t="s">
        <v>73</v>
      </c>
      <c r="AW12" s="2" t="s">
        <v>406</v>
      </c>
      <c r="AX12" s="2" t="n">
        <f aca="false">INDEX(Ratings!$B$2:$B$239,MATCH(AV12,Ratings!$A$2:$A$239,0))</f>
        <v>16.5</v>
      </c>
      <c r="AY12" s="2" t="n">
        <f aca="false">IF(AW12="Home",Assumptions!$B$2,IF(AW12="Away",-Assumptions!$B$2,0))</f>
        <v>2.5</v>
      </c>
      <c r="AZ12" s="2" t="n">
        <f aca="false">NORMDIST($B12-AX12+AY12,0,Assumptions!$B$3,TRUE())</f>
        <v>0.617911422188953</v>
      </c>
      <c r="BA12" s="2" t="s">
        <v>66</v>
      </c>
      <c r="BB12" s="2" t="s">
        <v>406</v>
      </c>
      <c r="BC12" s="2" t="n">
        <f aca="false">INDEX(Ratings!$B$2:$B$239,MATCH(BA12,Ratings!$A$2:$A$239,0))</f>
        <v>20.9</v>
      </c>
      <c r="BD12" s="2" t="n">
        <f aca="false">IF(BB12="Home",Assumptions!$B$2,IF(BB12="Away",-Assumptions!$B$2,0))</f>
        <v>2.5</v>
      </c>
      <c r="BE12" s="2" t="n">
        <f aca="false">NORMDIST($B12-BC12+BD12,0,Assumptions!$B$3,TRUE())</f>
        <v>0.509972518195238</v>
      </c>
      <c r="BF12" s="2" t="s">
        <v>76</v>
      </c>
      <c r="BG12" s="2" t="s">
        <v>407</v>
      </c>
      <c r="BH12" s="2" t="n">
        <f aca="false">INDEX(Ratings!$B$2:$B$239,MATCH(BF12,Ratings!$A$2:$A$239,0))</f>
        <v>15.4</v>
      </c>
      <c r="BI12" s="2" t="n">
        <f aca="false">IF(BG12="Home",Assumptions!$B$2,IF(BG12="Away",-Assumptions!$B$2,0))</f>
        <v>-2.5</v>
      </c>
      <c r="BJ12" s="2" t="n">
        <f aca="false">NORMDIST($B12-BH12+BI12,0,Assumptions!$B$3,TRUE())</f>
        <v>0.522428675027779</v>
      </c>
      <c r="BP12" s="2" t="n">
        <v>12</v>
      </c>
      <c r="BQ12" s="2" t="n">
        <f aca="false">G12+L12+Q12+V12+AA12+AF12+AK12+AP12+AU12+AZ12+BE12+BJ12</f>
        <v>7.54176470074744</v>
      </c>
    </row>
    <row r="13" customFormat="false" ht="15" hidden="false" customHeight="false" outlineLevel="0" collapsed="false">
      <c r="A13" s="2" t="s">
        <v>69</v>
      </c>
      <c r="B13" s="2" t="n">
        <f aca="false">INDEX(Ratings!$B$2:$B$239,MATCH($A13,Ratings!$A$2:$A$239,0))</f>
        <v>17.7</v>
      </c>
      <c r="C13" s="2" t="s">
        <v>178</v>
      </c>
      <c r="D13" s="2" t="s">
        <v>406</v>
      </c>
      <c r="E13" s="2" t="n">
        <f aca="false">INDEX(Ratings!$B$2:$B$239,MATCH(C13,Ratings!$A$2:$A$239,0))</f>
        <v>-15.7</v>
      </c>
      <c r="F13" s="2" t="n">
        <f aca="false">IF(D13="Home",Assumptions!$B$2,IF(D13="Away",-Assumptions!$B$2,0))</f>
        <v>2.5</v>
      </c>
      <c r="G13" s="2" t="n">
        <f aca="false">NORMDIST($B13-E13+F13,0,Assumptions!$B$3,TRUE())</f>
        <v>0.987575754456027</v>
      </c>
      <c r="H13" s="2" t="s">
        <v>130</v>
      </c>
      <c r="I13" s="2" t="s">
        <v>406</v>
      </c>
      <c r="J13" s="2" t="n">
        <f aca="false">INDEX(Ratings!$B$2:$B$239,MATCH(H13,Ratings!$A$2:$A$239,0))</f>
        <v>-1.4</v>
      </c>
      <c r="K13" s="2" t="n">
        <f aca="false">IF(I13="Home",Assumptions!$B$2,IF(I13="Away",-Assumptions!$B$2,0))</f>
        <v>2.5</v>
      </c>
      <c r="L13" s="2" t="n">
        <f aca="false">NORMDIST($B13-J13+K13,0,Assumptions!$B$3,TRUE())</f>
        <v>0.911492008562598</v>
      </c>
      <c r="M13" s="2" t="s">
        <v>159</v>
      </c>
      <c r="N13" s="2" t="s">
        <v>406</v>
      </c>
      <c r="O13" s="2" t="n">
        <f aca="false">INDEX(Ratings!$B$2:$B$239,MATCH(M13,Ratings!$A$2:$A$239,0))</f>
        <v>-10.6</v>
      </c>
      <c r="P13" s="2" t="n">
        <f aca="false">IF(N13="Home",Assumptions!$B$2,IF(N13="Away",-Assumptions!$B$2,0))</f>
        <v>2.5</v>
      </c>
      <c r="Q13" s="2" t="n">
        <f aca="false">NORMDIST($B13-O13+P13,0,Assumptions!$B$3,TRUE())</f>
        <v>0.97288532087835</v>
      </c>
      <c r="R13" s="2" t="s">
        <v>118</v>
      </c>
      <c r="S13" s="2" t="s">
        <v>407</v>
      </c>
      <c r="T13" s="2" t="n">
        <f aca="false">INDEX(Ratings!$B$2:$B$239,MATCH(R13,Ratings!$A$2:$A$239,0))</f>
        <v>2.7</v>
      </c>
      <c r="U13" s="2" t="n">
        <f aca="false">IF(S13="Home",Assumptions!$B$2,IF(S13="Away",-Assumptions!$B$2,0))</f>
        <v>-2.5</v>
      </c>
      <c r="V13" s="2" t="n">
        <f aca="false">NORMDIST($B13-T13+U13,0,Assumptions!$B$3,TRUE())</f>
        <v>0.782672264321914</v>
      </c>
      <c r="W13" s="2" t="s">
        <v>59</v>
      </c>
      <c r="X13" s="2" t="s">
        <v>406</v>
      </c>
      <c r="Y13" s="2" t="n">
        <f aca="false">INDEX(Ratings!$B$2:$B$239,MATCH(W13,Ratings!$A$2:$A$239,0))</f>
        <v>29.2</v>
      </c>
      <c r="Z13" s="2" t="n">
        <f aca="false">IF(X13="Home",Assumptions!$B$2,IF(X13="Away",-Assumptions!$B$2,0))</f>
        <v>2.5</v>
      </c>
      <c r="AA13" s="2" t="n">
        <f aca="false">NORMDIST($B13-Y13+Z13,0,Assumptions!$B$3,TRUE())</f>
        <v>0.286887701816365</v>
      </c>
      <c r="AB13" s="2" t="s">
        <v>75</v>
      </c>
      <c r="AC13" s="2" t="s">
        <v>406</v>
      </c>
      <c r="AD13" s="2" t="n">
        <f aca="false">INDEX(Ratings!$B$2:$B$239,MATCH(AB13,Ratings!$A$2:$A$239,0))</f>
        <v>15.8</v>
      </c>
      <c r="AE13" s="2" t="n">
        <f aca="false">IF(AC13="Home",Assumptions!$B$2,IF(AC13="Away",-Assumptions!$B$2,0))</f>
        <v>2.5</v>
      </c>
      <c r="AF13" s="2" t="n">
        <f aca="false">NORMDIST($B13-AD13+AE13,0,Assumptions!$B$3,TRUE())</f>
        <v>0.608341880846395</v>
      </c>
      <c r="AG13" s="2" t="s">
        <v>74</v>
      </c>
      <c r="AH13" s="2" t="s">
        <v>407</v>
      </c>
      <c r="AI13" s="2" t="n">
        <f aca="false">INDEX(Ratings!$B$2:$B$239,MATCH(AG13,Ratings!$A$2:$A$239,0))</f>
        <v>16.2</v>
      </c>
      <c r="AJ13" s="2" t="n">
        <f aca="false">IF(AH13="Home",Assumptions!$B$2,IF(AH13="Away",-Assumptions!$B$2,0))</f>
        <v>-2.5</v>
      </c>
      <c r="AK13" s="2" t="n">
        <f aca="false">NORMDIST($B13-AI13+AJ13,0,Assumptions!$B$3,TRUE())</f>
        <v>0.475082330970753</v>
      </c>
      <c r="AL13" s="2" t="s">
        <v>110</v>
      </c>
      <c r="AM13" s="2" t="s">
        <v>407</v>
      </c>
      <c r="AN13" s="2" t="n">
        <f aca="false">INDEX(Ratings!$B$2:$B$239,MATCH(AL13,Ratings!$A$2:$A$239,0))</f>
        <v>3.8</v>
      </c>
      <c r="AO13" s="2" t="n">
        <f aca="false">IF(AM13="Home",Assumptions!$B$2,IF(AM13="Away",-Assumptions!$B$2,0))</f>
        <v>-2.5</v>
      </c>
      <c r="AP13" s="2" t="n">
        <f aca="false">NORMDIST($B13-AN13+AO13,0,Assumptions!$B$3,TRUE())</f>
        <v>0.761922394276321</v>
      </c>
      <c r="AQ13" s="2" t="s">
        <v>58</v>
      </c>
      <c r="AR13" s="2" t="s">
        <v>406</v>
      </c>
      <c r="AS13" s="2" t="n">
        <f aca="false">INDEX(Ratings!$B$2:$B$239,MATCH(AQ13,Ratings!$A$2:$A$239,0))</f>
        <v>32.7</v>
      </c>
      <c r="AT13" s="2" t="n">
        <f aca="false">IF(AR13="Home",Assumptions!$B$2,IF(AR13="Away",-Assumptions!$B$2,0))</f>
        <v>2.5</v>
      </c>
      <c r="AU13" s="2" t="n">
        <f aca="false">NORMDIST($B13-AS13+AT13,0,Assumptions!$B$3,TRUE())</f>
        <v>0.217327735678086</v>
      </c>
      <c r="AV13" s="2" t="s">
        <v>62</v>
      </c>
      <c r="AW13" s="2" t="s">
        <v>407</v>
      </c>
      <c r="AX13" s="2" t="n">
        <f aca="false">INDEX(Ratings!$B$2:$B$239,MATCH(AV13,Ratings!$A$2:$A$239,0))</f>
        <v>25.8</v>
      </c>
      <c r="AY13" s="2" t="n">
        <f aca="false">IF(AW13="Home",Assumptions!$B$2,IF(AW13="Away",-Assumptions!$B$2,0))</f>
        <v>-2.5</v>
      </c>
      <c r="AZ13" s="2" t="n">
        <f aca="false">NORMDIST($B13-AX13+AY13,0,Assumptions!$B$3,TRUE())</f>
        <v>0.253825417414222</v>
      </c>
      <c r="BA13" s="2" t="s">
        <v>105</v>
      </c>
      <c r="BB13" s="2" t="s">
        <v>406</v>
      </c>
      <c r="BC13" s="2" t="n">
        <f aca="false">INDEX(Ratings!$B$2:$B$239,MATCH(BA13,Ratings!$A$2:$A$239,0))</f>
        <v>5.2</v>
      </c>
      <c r="BD13" s="2" t="n">
        <f aca="false">IF(BB13="Home",Assumptions!$B$2,IF(BB13="Away",-Assumptions!$B$2,0))</f>
        <v>2.5</v>
      </c>
      <c r="BE13" s="2" t="n">
        <f aca="false">NORMDIST($B13-BC13+BD13,0,Assumptions!$B$3,TRUE())</f>
        <v>0.825749288119458</v>
      </c>
      <c r="BF13" s="2" t="s">
        <v>103</v>
      </c>
      <c r="BG13" s="2" t="s">
        <v>407</v>
      </c>
      <c r="BH13" s="2" t="n">
        <f aca="false">INDEX(Ratings!$B$2:$B$239,MATCH(BF13,Ratings!$A$2:$A$239,0))</f>
        <v>5.4</v>
      </c>
      <c r="BI13" s="2" t="n">
        <f aca="false">IF(BG13="Home",Assumptions!$B$2,IF(BG13="Away",-Assumptions!$B$2,0))</f>
        <v>-2.5</v>
      </c>
      <c r="BJ13" s="2" t="n">
        <f aca="false">NORMDIST($B13-BH13+BI13,0,Assumptions!$B$3,TRUE())</f>
        <v>0.729896500998765</v>
      </c>
      <c r="BP13" s="2" t="n">
        <v>12</v>
      </c>
      <c r="BQ13" s="2" t="n">
        <f aca="false">G13+L13+Q13+V13+AA13+AF13+AK13+AP13+AU13+AZ13+BE13+BJ13</f>
        <v>7.81365859833925</v>
      </c>
    </row>
    <row r="14" customFormat="false" ht="15" hidden="false" customHeight="false" outlineLevel="0" collapsed="false">
      <c r="A14" s="2" t="s">
        <v>70</v>
      </c>
      <c r="B14" s="2" t="n">
        <f aca="false">INDEX(Ratings!$B$2:$B$239,MATCH($A14,Ratings!$A$2:$A$239,0))</f>
        <v>17.6</v>
      </c>
      <c r="C14" s="2" t="s">
        <v>137</v>
      </c>
      <c r="D14" s="2" t="s">
        <v>406</v>
      </c>
      <c r="E14" s="2" t="n">
        <f aca="false">INDEX(Ratings!$B$2:$B$239,MATCH(C14,Ratings!$A$2:$A$239,0))</f>
        <v>-2.3</v>
      </c>
      <c r="F14" s="2" t="n">
        <f aca="false">IF(D14="Home",Assumptions!$B$2,IF(D14="Away",-Assumptions!$B$2,0))</f>
        <v>2.5</v>
      </c>
      <c r="G14" s="2" t="n">
        <f aca="false">NORMDIST($B14-E14+F14,0,Assumptions!$B$3,TRUE())</f>
        <v>0.919243340766229</v>
      </c>
      <c r="H14" s="2" t="s">
        <v>104</v>
      </c>
      <c r="I14" s="2" t="s">
        <v>407</v>
      </c>
      <c r="J14" s="2" t="n">
        <f aca="false">INDEX(Ratings!$B$2:$B$239,MATCH(H14,Ratings!$A$2:$A$239,0))</f>
        <v>5.2</v>
      </c>
      <c r="K14" s="2" t="n">
        <f aca="false">IF(I14="Home",Assumptions!$B$2,IF(I14="Away",-Assumptions!$B$2,0))</f>
        <v>-2.5</v>
      </c>
      <c r="L14" s="2" t="n">
        <f aca="false">NORMDIST($B14-J14+K14,0,Assumptions!$B$3,TRUE())</f>
        <v>0.731959467197592</v>
      </c>
      <c r="M14" s="2" t="s">
        <v>92</v>
      </c>
      <c r="N14" s="2" t="s">
        <v>406</v>
      </c>
      <c r="O14" s="2" t="n">
        <f aca="false">INDEX(Ratings!$B$2:$B$239,MATCH(M14,Ratings!$A$2:$A$239,0))</f>
        <v>9.1</v>
      </c>
      <c r="P14" s="2" t="n">
        <f aca="false">IF(N14="Home",Assumptions!$B$2,IF(N14="Away",-Assumptions!$B$2,0))</f>
        <v>2.5</v>
      </c>
      <c r="Q14" s="2" t="n">
        <f aca="false">NORMDIST($B14-O14+P14,0,Assumptions!$B$3,TRUE())</f>
        <v>0.754116149619739</v>
      </c>
      <c r="R14" s="2" t="s">
        <v>81</v>
      </c>
      <c r="S14" s="2" t="s">
        <v>406</v>
      </c>
      <c r="T14" s="2" t="n">
        <f aca="false">INDEX(Ratings!$B$2:$B$239,MATCH(R14,Ratings!$A$2:$A$239,0))</f>
        <v>12.6</v>
      </c>
      <c r="U14" s="2" t="n">
        <f aca="false">IF(S14="Home",Assumptions!$B$2,IF(S14="Away",-Assumptions!$B$2,0))</f>
        <v>2.5</v>
      </c>
      <c r="V14" s="2" t="n">
        <f aca="false">NORMDIST($B14-T14+U14,0,Assumptions!$B$3,TRUE())</f>
        <v>0.680375828482883</v>
      </c>
      <c r="W14" s="2" t="s">
        <v>109</v>
      </c>
      <c r="X14" s="2" t="s">
        <v>407</v>
      </c>
      <c r="Y14" s="2" t="n">
        <f aca="false">INDEX(Ratings!$B$2:$B$239,MATCH(W14,Ratings!$A$2:$A$239,0))</f>
        <v>4.8</v>
      </c>
      <c r="Z14" s="2" t="n">
        <f aca="false">IF(X14="Home",Assumptions!$B$2,IF(X14="Away",-Assumptions!$B$2,0))</f>
        <v>-2.5</v>
      </c>
      <c r="AA14" s="2" t="n">
        <f aca="false">NORMDIST($B14-Y14+Z14,0,Assumptions!$B$3,TRUE())</f>
        <v>0.740131219334939</v>
      </c>
      <c r="AB14" s="2" t="s">
        <v>61</v>
      </c>
      <c r="AC14" s="2" t="s">
        <v>406</v>
      </c>
      <c r="AD14" s="2" t="n">
        <f aca="false">INDEX(Ratings!$B$2:$B$239,MATCH(AB14,Ratings!$A$2:$A$239,0))</f>
        <v>26.4</v>
      </c>
      <c r="AE14" s="2" t="n">
        <f aca="false">IF(AC14="Home",Assumptions!$B$2,IF(AC14="Away",-Assumptions!$B$2,0))</f>
        <v>2.5</v>
      </c>
      <c r="AF14" s="2" t="n">
        <f aca="false">NORMDIST($B14-AD14+AE14,0,Assumptions!$B$3,TRUE())</f>
        <v>0.346882811263147</v>
      </c>
      <c r="AG14" s="2" t="s">
        <v>71</v>
      </c>
      <c r="AH14" s="2" t="s">
        <v>407</v>
      </c>
      <c r="AI14" s="2" t="n">
        <f aca="false">INDEX(Ratings!$B$2:$B$239,MATCH(AG14,Ratings!$A$2:$A$239,0))</f>
        <v>17.3</v>
      </c>
      <c r="AJ14" s="2" t="n">
        <f aca="false">IF(AH14="Home",Assumptions!$B$2,IF(AH14="Away",-Assumptions!$B$2,0))</f>
        <v>-2.5</v>
      </c>
      <c r="AK14" s="2" t="n">
        <f aca="false">NORMDIST($B14-AI14+AJ14,0,Assumptions!$B$3,TRUE())</f>
        <v>0.445317796372433</v>
      </c>
      <c r="AL14" s="2" t="s">
        <v>66</v>
      </c>
      <c r="AM14" s="2" t="s">
        <v>406</v>
      </c>
      <c r="AN14" s="2" t="n">
        <f aca="false">INDEX(Ratings!$B$2:$B$239,MATCH(AL14,Ratings!$A$2:$A$239,0))</f>
        <v>20.9</v>
      </c>
      <c r="AO14" s="2" t="n">
        <f aca="false">IF(AM14="Home",Assumptions!$B$2,IF(AM14="Away",-Assumptions!$B$2,0))</f>
        <v>2.5</v>
      </c>
      <c r="AP14" s="2" t="n">
        <f aca="false">NORMDIST($B14-AN14+AO14,0,Assumptions!$B$3,TRUE())</f>
        <v>0.480061194161628</v>
      </c>
      <c r="AQ14" s="2" t="s">
        <v>67</v>
      </c>
      <c r="AR14" s="2" t="s">
        <v>407</v>
      </c>
      <c r="AS14" s="2" t="n">
        <f aca="false">INDEX(Ratings!$B$2:$B$239,MATCH(AQ14,Ratings!$A$2:$A$239,0))</f>
        <v>20.4</v>
      </c>
      <c r="AT14" s="2" t="n">
        <f aca="false">IF(AR14="Home",Assumptions!$B$2,IF(AR14="Away",-Assumptions!$B$2,0))</f>
        <v>-2.5</v>
      </c>
      <c r="AU14" s="2" t="n">
        <f aca="false">NORMDIST($B14-AS14+AT14,0,Assumptions!$B$3,TRUE())</f>
        <v>0.370227827724972</v>
      </c>
      <c r="AV14" s="2" t="s">
        <v>86</v>
      </c>
      <c r="AW14" s="2" t="s">
        <v>407</v>
      </c>
      <c r="AX14" s="2" t="n">
        <f aca="false">INDEX(Ratings!$B$2:$B$239,MATCH(AV14,Ratings!$A$2:$A$239,0))</f>
        <v>9.8</v>
      </c>
      <c r="AY14" s="2" t="n">
        <f aca="false">IF(AW14="Home",Assumptions!$B$2,IF(AW14="Away",-Assumptions!$B$2,0))</f>
        <v>-2.5</v>
      </c>
      <c r="AZ14" s="2" t="n">
        <f aca="false">NORMDIST($B14-AX14+AY14,0,Assumptions!$B$3,TRUE())</f>
        <v>0.629772172275028</v>
      </c>
      <c r="BA14" s="2" t="s">
        <v>252</v>
      </c>
      <c r="BB14" s="2" t="s">
        <v>406</v>
      </c>
      <c r="BC14" s="2" t="n">
        <f aca="false">INDEX(Ratings!$B$2:$B$239,MATCH(BA14,Ratings!$A$2:$A$239,0))</f>
        <v>-26</v>
      </c>
      <c r="BD14" s="2" t="n">
        <f aca="false">IF(BB14="Home",Assumptions!$B$2,IF(BB14="Away",-Assumptions!$B$2,0))</f>
        <v>2.5</v>
      </c>
      <c r="BE14" s="2" t="n">
        <f aca="false">NORMDIST($B14-BC14+BD14,0,Assumptions!$B$3,TRUE())</f>
        <v>0.998019493377932</v>
      </c>
      <c r="BF14" s="2" t="s">
        <v>83</v>
      </c>
      <c r="BG14" s="2" t="s">
        <v>406</v>
      </c>
      <c r="BH14" s="2" t="n">
        <f aca="false">INDEX(Ratings!$B$2:$B$239,MATCH(BF14,Ratings!$A$2:$A$239,0))</f>
        <v>11.5</v>
      </c>
      <c r="BI14" s="2" t="n">
        <f aca="false">IF(BG14="Home",Assumptions!$B$2,IF(BG14="Away",-Assumptions!$B$2,0))</f>
        <v>2.5</v>
      </c>
      <c r="BJ14" s="2" t="n">
        <f aca="false">NORMDIST($B14-BH14+BI14,0,Assumptions!$B$3,TRUE())</f>
        <v>0.704538857537264</v>
      </c>
      <c r="BP14" s="2" t="n">
        <v>12</v>
      </c>
      <c r="BQ14" s="2" t="n">
        <f aca="false">G14+L14+Q14+V14+AA14+AF14+AK14+AP14+AU14+AZ14+BE14+BJ14</f>
        <v>7.80064615811378</v>
      </c>
    </row>
    <row r="15" customFormat="false" ht="15" hidden="false" customHeight="false" outlineLevel="0" collapsed="false">
      <c r="A15" s="2" t="s">
        <v>71</v>
      </c>
      <c r="B15" s="2" t="n">
        <f aca="false">INDEX(Ratings!$B$2:$B$239,MATCH($A15,Ratings!$A$2:$A$239,0))</f>
        <v>17.3</v>
      </c>
      <c r="C15" s="2" t="s">
        <v>264</v>
      </c>
      <c r="D15" s="2" t="s">
        <v>406</v>
      </c>
      <c r="E15" s="2" t="n">
        <f aca="false">INDEX(Ratings!$B$2:$B$239,MATCH(C15,Ratings!$A$2:$A$239,0))</f>
        <v>-26</v>
      </c>
      <c r="F15" s="2" t="n">
        <f aca="false">IF(D15="Home",Assumptions!$B$2,IF(D15="Away",-Assumptions!$B$2,0))</f>
        <v>2.5</v>
      </c>
      <c r="G15" s="2" t="n">
        <f aca="false">NORMDIST($B15-E15+F15,0,Assumptions!$B$3,TRUE())</f>
        <v>0.997898433697209</v>
      </c>
      <c r="H15" s="2" t="s">
        <v>99</v>
      </c>
      <c r="I15" s="2" t="s">
        <v>407</v>
      </c>
      <c r="J15" s="2" t="n">
        <f aca="false">INDEX(Ratings!$B$2:$B$239,MATCH(H15,Ratings!$A$2:$A$239,0))</f>
        <v>5.9</v>
      </c>
      <c r="K15" s="2" t="n">
        <f aca="false">IF(I15="Home",Assumptions!$B$2,IF(I15="Away",-Assumptions!$B$2,0))</f>
        <v>-2.5</v>
      </c>
      <c r="L15" s="2" t="n">
        <f aca="false">NORMDIST($B15-J15+K15,0,Assumptions!$B$3,TRUE())</f>
        <v>0.710980018637507</v>
      </c>
      <c r="M15" s="2" t="s">
        <v>171</v>
      </c>
      <c r="N15" s="2" t="s">
        <v>406</v>
      </c>
      <c r="O15" s="2" t="n">
        <f aca="false">INDEX(Ratings!$B$2:$B$239,MATCH(M15,Ratings!$A$2:$A$239,0))</f>
        <v>-12.9</v>
      </c>
      <c r="P15" s="2" t="n">
        <f aca="false">IF(N15="Home",Assumptions!$B$2,IF(N15="Away",-Assumptions!$B$2,0))</f>
        <v>2.5</v>
      </c>
      <c r="Q15" s="2" t="n">
        <f aca="false">NORMDIST($B15-O15+P15,0,Assumptions!$B$3,TRUE())</f>
        <v>0.979510874525774</v>
      </c>
      <c r="R15" s="2" t="s">
        <v>63</v>
      </c>
      <c r="S15" s="2" t="s">
        <v>406</v>
      </c>
      <c r="T15" s="2" t="n">
        <f aca="false">INDEX(Ratings!$B$2:$B$239,MATCH(R15,Ratings!$A$2:$A$239,0))</f>
        <v>22.8</v>
      </c>
      <c r="U15" s="2" t="n">
        <f aca="false">IF(S15="Home",Assumptions!$B$2,IF(S15="Away",-Assumptions!$B$2,0))</f>
        <v>2.5</v>
      </c>
      <c r="V15" s="2" t="n">
        <f aca="false">NORMDIST($B15-T15+U15,0,Assumptions!$B$3,TRUE())</f>
        <v>0.425634311844103</v>
      </c>
      <c r="W15" s="2" t="s">
        <v>83</v>
      </c>
      <c r="X15" s="2" t="s">
        <v>406</v>
      </c>
      <c r="Y15" s="2" t="n">
        <f aca="false">INDEX(Ratings!$B$2:$B$239,MATCH(W15,Ratings!$A$2:$A$239,0))</f>
        <v>11.5</v>
      </c>
      <c r="Z15" s="2" t="n">
        <f aca="false">IF(X15="Home",Assumptions!$B$2,IF(X15="Away",-Assumptions!$B$2,0))</f>
        <v>2.5</v>
      </c>
      <c r="AA15" s="2" t="n">
        <f aca="false">NORMDIST($B15-Y15+Z15,0,Assumptions!$B$3,TRUE())</f>
        <v>0.698032455319819</v>
      </c>
      <c r="AB15" s="2" t="s">
        <v>101</v>
      </c>
      <c r="AC15" s="2" t="s">
        <v>407</v>
      </c>
      <c r="AD15" s="2" t="n">
        <f aca="false">INDEX(Ratings!$B$2:$B$239,MATCH(AB15,Ratings!$A$2:$A$239,0))</f>
        <v>5.6</v>
      </c>
      <c r="AE15" s="2" t="n">
        <f aca="false">IF(AC15="Home",Assumptions!$B$2,IF(AC15="Away",-Assumptions!$B$2,0))</f>
        <v>-2.5</v>
      </c>
      <c r="AF15" s="2" t="n">
        <f aca="false">NORMDIST($B15-AD15+AE15,0,Assumptions!$B$3,TRUE())</f>
        <v>0.717354351502799</v>
      </c>
      <c r="AG15" s="2" t="s">
        <v>70</v>
      </c>
      <c r="AH15" s="2" t="s">
        <v>406</v>
      </c>
      <c r="AI15" s="2" t="n">
        <f aca="false">INDEX(Ratings!$B$2:$B$239,MATCH(AG15,Ratings!$A$2:$A$239,0))</f>
        <v>17.6</v>
      </c>
      <c r="AJ15" s="2" t="n">
        <f aca="false">IF(AH15="Home",Assumptions!$B$2,IF(AH15="Away",-Assumptions!$B$2,0))</f>
        <v>2.5</v>
      </c>
      <c r="AK15" s="2" t="n">
        <f aca="false">NORMDIST($B15-AI15+AJ15,0,Assumptions!$B$3,TRUE())</f>
        <v>0.554682203627567</v>
      </c>
      <c r="AL15" s="2" t="s">
        <v>81</v>
      </c>
      <c r="AM15" s="2" t="s">
        <v>407</v>
      </c>
      <c r="AN15" s="2" t="n">
        <f aca="false">INDEX(Ratings!$B$2:$B$239,MATCH(AL15,Ratings!$A$2:$A$239,0))</f>
        <v>12.6</v>
      </c>
      <c r="AO15" s="2" t="n">
        <f aca="false">IF(AM15="Home",Assumptions!$B$2,IF(AM15="Away",-Assumptions!$B$2,0))</f>
        <v>-2.5</v>
      </c>
      <c r="AP15" s="2" t="n">
        <f aca="false">NORMDIST($B15-AN15+AO15,0,Assumptions!$B$3,TRUE())</f>
        <v>0.554682203627567</v>
      </c>
      <c r="AQ15" s="2" t="s">
        <v>104</v>
      </c>
      <c r="AR15" s="2" t="s">
        <v>406</v>
      </c>
      <c r="AS15" s="2" t="n">
        <f aca="false">INDEX(Ratings!$B$2:$B$239,MATCH(AQ15,Ratings!$A$2:$A$239,0))</f>
        <v>5.2</v>
      </c>
      <c r="AT15" s="2" t="n">
        <f aca="false">IF(AR15="Home",Assumptions!$B$2,IF(AR15="Away",-Assumptions!$B$2,0))</f>
        <v>2.5</v>
      </c>
      <c r="AU15" s="2" t="n">
        <f aca="false">NORMDIST($B15-AS15+AT15,0,Assumptions!$B$3,TRUE())</f>
        <v>0.819247215233424</v>
      </c>
      <c r="AV15" s="2" t="s">
        <v>66</v>
      </c>
      <c r="AW15" s="2" t="s">
        <v>407</v>
      </c>
      <c r="AX15" s="2" t="n">
        <f aca="false">INDEX(Ratings!$B$2:$B$239,MATCH(AV15,Ratings!$A$2:$A$239,0))</f>
        <v>20.9</v>
      </c>
      <c r="AY15" s="2" t="n">
        <f aca="false">IF(AW15="Home",Assumptions!$B$2,IF(AW15="Away",-Assumptions!$B$2,0))</f>
        <v>-2.5</v>
      </c>
      <c r="AZ15" s="2" t="n">
        <f aca="false">NORMDIST($B15-AX15+AY15,0,Assumptions!$B$3,TRUE())</f>
        <v>0.351508875516277</v>
      </c>
      <c r="BA15" s="2" t="s">
        <v>67</v>
      </c>
      <c r="BB15" s="2" t="s">
        <v>406</v>
      </c>
      <c r="BC15" s="2" t="n">
        <f aca="false">INDEX(Ratings!$B$2:$B$239,MATCH(BA15,Ratings!$A$2:$A$239,0))</f>
        <v>20.4</v>
      </c>
      <c r="BD15" s="2" t="n">
        <f aca="false">IF(BB15="Home",Assumptions!$B$2,IF(BB15="Away",-Assumptions!$B$2,0))</f>
        <v>2.5</v>
      </c>
      <c r="BE15" s="2" t="n">
        <f aca="false">NORMDIST($B15-BC15+BD15,0,Assumptions!$B$3,TRUE())</f>
        <v>0.48504317007409</v>
      </c>
      <c r="BF15" s="2" t="s">
        <v>86</v>
      </c>
      <c r="BG15" s="2" t="s">
        <v>407</v>
      </c>
      <c r="BH15" s="2" t="n">
        <f aca="false">INDEX(Ratings!$B$2:$B$239,MATCH(BF15,Ratings!$A$2:$A$239,0))</f>
        <v>9.8</v>
      </c>
      <c r="BI15" s="2" t="n">
        <f aca="false">IF(BG15="Home",Assumptions!$B$2,IF(BG15="Away",-Assumptions!$B$2,0))</f>
        <v>-2.5</v>
      </c>
      <c r="BJ15" s="2" t="n">
        <f aca="false">NORMDIST($B15-BH15+BI15,0,Assumptions!$B$3,TRUE())</f>
        <v>0.622669718470157</v>
      </c>
      <c r="BP15" s="2" t="n">
        <v>12</v>
      </c>
      <c r="BQ15" s="2" t="n">
        <f aca="false">G15+L15+Q15+V15+AA15+AF15+AK15+AP15+AU15+AZ15+BE15+BJ15</f>
        <v>7.91724383207629</v>
      </c>
    </row>
    <row r="16" customFormat="false" ht="15" hidden="false" customHeight="false" outlineLevel="0" collapsed="false">
      <c r="A16" s="2" t="s">
        <v>72</v>
      </c>
      <c r="B16" s="2" t="n">
        <f aca="false">INDEX(Ratings!$B$2:$B$239,MATCH($A16,Ratings!$A$2:$A$239,0))</f>
        <v>17</v>
      </c>
      <c r="C16" s="2" t="s">
        <v>147</v>
      </c>
      <c r="D16" s="2" t="s">
        <v>406</v>
      </c>
      <c r="E16" s="2" t="n">
        <f aca="false">INDEX(Ratings!$B$2:$B$239,MATCH(C16,Ratings!$A$2:$A$239,0))</f>
        <v>-6</v>
      </c>
      <c r="F16" s="2" t="n">
        <f aca="false">IF(D16="Home",Assumptions!$B$2,IF(D16="Away",-Assumptions!$B$2,0))</f>
        <v>2.5</v>
      </c>
      <c r="G16" s="2" t="n">
        <f aca="false">NORMDIST($B16-E16+F16,0,Assumptions!$B$3,TRUE())</f>
        <v>0.944503979771754</v>
      </c>
      <c r="H16" s="2" t="s">
        <v>68</v>
      </c>
      <c r="I16" s="2" t="s">
        <v>406</v>
      </c>
      <c r="J16" s="2" t="n">
        <f aca="false">INDEX(Ratings!$B$2:$B$239,MATCH(H16,Ratings!$A$2:$A$239,0))</f>
        <v>18.8</v>
      </c>
      <c r="K16" s="2" t="n">
        <f aca="false">IF(I16="Home",Assumptions!$B$2,IF(I16="Away",-Assumptions!$B$2,0))</f>
        <v>2.5</v>
      </c>
      <c r="L16" s="2" t="n">
        <f aca="false">NORMDIST($B16-J16+K16,0,Assumptions!$B$3,TRUE())</f>
        <v>0.51744815844579</v>
      </c>
      <c r="M16" s="2" t="s">
        <v>184</v>
      </c>
      <c r="N16" s="2" t="s">
        <v>406</v>
      </c>
      <c r="O16" s="2" t="n">
        <f aca="false">INDEX(Ratings!$B$2:$B$239,MATCH(M16,Ratings!$A$2:$A$239,0))</f>
        <v>-19.3</v>
      </c>
      <c r="P16" s="2" t="n">
        <f aca="false">IF(N16="Home",Assumptions!$B$2,IF(N16="Away",-Assumptions!$B$2,0))</f>
        <v>2.5</v>
      </c>
      <c r="Q16" s="2" t="n">
        <f aca="false">NORMDIST($B16-O16+P16,0,Assumptions!$B$3,TRUE())</f>
        <v>0.992345806622627</v>
      </c>
      <c r="R16" s="2" t="s">
        <v>79</v>
      </c>
      <c r="S16" s="2" t="s">
        <v>406</v>
      </c>
      <c r="T16" s="2" t="n">
        <f aca="false">INDEX(Ratings!$B$2:$B$239,MATCH(R16,Ratings!$A$2:$A$239,0))</f>
        <v>14.6</v>
      </c>
      <c r="U16" s="2" t="n">
        <f aca="false">IF(S16="Home",Assumptions!$B$2,IF(S16="Away",-Assumptions!$B$2,0))</f>
        <v>2.5</v>
      </c>
      <c r="V16" s="2" t="n">
        <f aca="false">NORMDIST($B16-T16+U16,0,Assumptions!$B$3,TRUE())</f>
        <v>0.620292847240567</v>
      </c>
      <c r="W16" s="2" t="s">
        <v>97</v>
      </c>
      <c r="X16" s="2" t="s">
        <v>407</v>
      </c>
      <c r="Y16" s="2" t="n">
        <f aca="false">INDEX(Ratings!$B$2:$B$239,MATCH(W16,Ratings!$A$2:$A$239,0))</f>
        <v>6.2</v>
      </c>
      <c r="Z16" s="2" t="n">
        <f aca="false">IF(X16="Home",Assumptions!$B$2,IF(X16="Away",-Assumptions!$B$2,0))</f>
        <v>-2.5</v>
      </c>
      <c r="AA16" s="2" t="n">
        <f aca="false">NORMDIST($B16-Y16+Z16,0,Assumptions!$B$3,TRUE())</f>
        <v>0.698032455319819</v>
      </c>
      <c r="AB16" s="2" t="s">
        <v>74</v>
      </c>
      <c r="AC16" s="2" t="s">
        <v>406</v>
      </c>
      <c r="AD16" s="2" t="n">
        <f aca="false">INDEX(Ratings!$B$2:$B$239,MATCH(AB16,Ratings!$A$2:$A$239,0))</f>
        <v>16.2</v>
      </c>
      <c r="AE16" s="2" t="n">
        <f aca="false">IF(AC16="Home",Assumptions!$B$2,IF(AC16="Away",-Assumptions!$B$2,0))</f>
        <v>2.5</v>
      </c>
      <c r="AF16" s="2" t="n">
        <f aca="false">NORMDIST($B16-AD16+AE16,0,Assumptions!$B$3,TRUE())</f>
        <v>0.581702183505625</v>
      </c>
      <c r="AG16" s="2" t="s">
        <v>62</v>
      </c>
      <c r="AH16" s="2" t="s">
        <v>406</v>
      </c>
      <c r="AI16" s="2" t="n">
        <f aca="false">INDEX(Ratings!$B$2:$B$239,MATCH(AG16,Ratings!$A$2:$A$239,0))</f>
        <v>25.8</v>
      </c>
      <c r="AJ16" s="2" t="n">
        <f aca="false">IF(AH16="Home",Assumptions!$B$2,IF(AH16="Away",-Assumptions!$B$2,0))</f>
        <v>2.5</v>
      </c>
      <c r="AK16" s="2" t="n">
        <f aca="false">NORMDIST($B16-AI16+AJ16,0,Assumptions!$B$3,TRUE())</f>
        <v>0.346882811263147</v>
      </c>
      <c r="AL16" s="2" t="s">
        <v>118</v>
      </c>
      <c r="AM16" s="2" t="s">
        <v>407</v>
      </c>
      <c r="AN16" s="2" t="n">
        <f aca="false">INDEX(Ratings!$B$2:$B$239,MATCH(AL16,Ratings!$A$2:$A$239,0))</f>
        <v>2.7</v>
      </c>
      <c r="AO16" s="2" t="n">
        <f aca="false">IF(AM16="Home",Assumptions!$B$2,IF(AM16="Away",-Assumptions!$B$2,0))</f>
        <v>-2.5</v>
      </c>
      <c r="AP16" s="2" t="n">
        <f aca="false">NORMDIST($B16-AN16+AO16,0,Assumptions!$B$3,TRUE())</f>
        <v>0.769590828396427</v>
      </c>
      <c r="AQ16" s="2" t="s">
        <v>119</v>
      </c>
      <c r="AR16" s="2" t="s">
        <v>406</v>
      </c>
      <c r="AS16" s="2" t="n">
        <f aca="false">INDEX(Ratings!$B$2:$B$239,MATCH(AQ16,Ratings!$A$2:$A$239,0))</f>
        <v>2.2</v>
      </c>
      <c r="AT16" s="2" t="n">
        <f aca="false">IF(AR16="Home",Assumptions!$B$2,IF(AR16="Away",-Assumptions!$B$2,0))</f>
        <v>2.5</v>
      </c>
      <c r="AU16" s="2" t="n">
        <f aca="false">NORMDIST($B16-AS16+AT16,0,Assumptions!$B$3,TRUE())</f>
        <v>0.860207038932886</v>
      </c>
      <c r="AV16" s="2" t="s">
        <v>59</v>
      </c>
      <c r="AW16" s="2" t="s">
        <v>407</v>
      </c>
      <c r="AX16" s="2" t="n">
        <f aca="false">INDEX(Ratings!$B$2:$B$239,MATCH(AV16,Ratings!$A$2:$A$239,0))</f>
        <v>29.2</v>
      </c>
      <c r="AY16" s="2" t="n">
        <f aca="false">IF(AW16="Home",Assumptions!$B$2,IF(AW16="Away",-Assumptions!$B$2,0))</f>
        <v>-2.5</v>
      </c>
      <c r="AZ16" s="2" t="n">
        <f aca="false">NORMDIST($B16-AX16+AY16,0,Assumptions!$B$3,TRUE())</f>
        <v>0.179113175277346</v>
      </c>
      <c r="BA16" s="2" t="s">
        <v>103</v>
      </c>
      <c r="BB16" s="2" t="s">
        <v>406</v>
      </c>
      <c r="BC16" s="2" t="n">
        <f aca="false">INDEX(Ratings!$B$2:$B$239,MATCH(BA16,Ratings!$A$2:$A$239,0))</f>
        <v>5.4</v>
      </c>
      <c r="BD16" s="2" t="n">
        <f aca="false">IF(BB16="Home",Assumptions!$B$2,IF(BB16="Away",-Assumptions!$B$2,0))</f>
        <v>2.5</v>
      </c>
      <c r="BE16" s="2" t="n">
        <f aca="false">NORMDIST($B16-BC16+BD16,0,Assumptions!$B$3,TRUE())</f>
        <v>0.810908738949218</v>
      </c>
      <c r="BF16" s="2" t="s">
        <v>58</v>
      </c>
      <c r="BG16" s="2" t="s">
        <v>407</v>
      </c>
      <c r="BH16" s="2" t="n">
        <f aca="false">INDEX(Ratings!$B$2:$B$239,MATCH(BF16,Ratings!$A$2:$A$239,0))</f>
        <v>32.7</v>
      </c>
      <c r="BI16" s="2" t="n">
        <f aca="false">IF(BG16="Home",Assumptions!$B$2,IF(BG16="Away",-Assumptions!$B$2,0))</f>
        <v>-2.5</v>
      </c>
      <c r="BJ16" s="2" t="n">
        <f aca="false">NORMDIST($B16-BH16+BI16,0,Assumptions!$B$3,TRUE())</f>
        <v>0.127664662296284</v>
      </c>
      <c r="BP16" s="2" t="n">
        <v>12</v>
      </c>
      <c r="BQ16" s="2" t="n">
        <f aca="false">G16+L16+Q16+V16+AA16+AF16+AK16+AP16+AU16+AZ16+BE16+BJ16</f>
        <v>7.44869268602149</v>
      </c>
    </row>
    <row r="17" customFormat="false" ht="15" hidden="false" customHeight="false" outlineLevel="0" collapsed="false">
      <c r="A17" s="2" t="s">
        <v>73</v>
      </c>
      <c r="B17" s="2" t="n">
        <f aca="false">INDEX(Ratings!$B$2:$B$239,MATCH($A17,Ratings!$A$2:$A$239,0))</f>
        <v>16.5</v>
      </c>
      <c r="C17" s="2" t="s">
        <v>84</v>
      </c>
      <c r="D17" s="2" t="s">
        <v>408</v>
      </c>
      <c r="E17" s="2" t="n">
        <f aca="false">INDEX(Ratings!$B$2:$B$239,MATCH(C17,Ratings!$A$2:$A$239,0))</f>
        <v>11.1</v>
      </c>
      <c r="F17" s="2" t="n">
        <f aca="false">IF(D17="Home",Assumptions!$B$2,IF(D17="Away",-Assumptions!$B$2,0))</f>
        <v>0</v>
      </c>
      <c r="G17" s="2" t="n">
        <f aca="false">NORMDIST($B17-E17+F17,0,Assumptions!$B$3,TRUE())</f>
        <v>0.632129993928523</v>
      </c>
      <c r="H17" s="2" t="s">
        <v>189</v>
      </c>
      <c r="I17" s="2" t="s">
        <v>406</v>
      </c>
      <c r="J17" s="2" t="n">
        <f aca="false">INDEX(Ratings!$B$2:$B$239,MATCH(H17,Ratings!$A$2:$A$239,0))</f>
        <v>-24.1</v>
      </c>
      <c r="K17" s="2" t="n">
        <f aca="false">IF(I17="Home",Assumptions!$B$2,IF(I17="Away",-Assumptions!$B$2,0))</f>
        <v>2.5</v>
      </c>
      <c r="L17" s="2" t="n">
        <f aca="false">NORMDIST($B17-J17+K17,0,Assumptions!$B$3,TRUE())</f>
        <v>0.996467343138058</v>
      </c>
      <c r="M17" s="2" t="s">
        <v>67</v>
      </c>
      <c r="N17" s="2" t="s">
        <v>406</v>
      </c>
      <c r="O17" s="2" t="n">
        <f aca="false">INDEX(Ratings!$B$2:$B$239,MATCH(M17,Ratings!$A$2:$A$239,0))</f>
        <v>20.4</v>
      </c>
      <c r="P17" s="2" t="n">
        <f aca="false">IF(N17="Home",Assumptions!$B$2,IF(N17="Away",-Assumptions!$B$2,0))</f>
        <v>2.5</v>
      </c>
      <c r="Q17" s="2" t="n">
        <f aca="false">NORMDIST($B17-O17+P17,0,Assumptions!$B$3,TRUE())</f>
        <v>0.465137042716285</v>
      </c>
      <c r="R17" s="2" t="s">
        <v>77</v>
      </c>
      <c r="S17" s="2" t="s">
        <v>407</v>
      </c>
      <c r="T17" s="2" t="n">
        <f aca="false">INDEX(Ratings!$B$2:$B$239,MATCH(R17,Ratings!$A$2:$A$239,0))</f>
        <v>15.2</v>
      </c>
      <c r="U17" s="2" t="n">
        <f aca="false">IF(S17="Home",Assumptions!$B$2,IF(S17="Away",-Assumptions!$B$2,0))</f>
        <v>-2.5</v>
      </c>
      <c r="V17" s="2" t="n">
        <f aca="false">NORMDIST($B17-T17+U17,0,Assumptions!$B$3,TRUE())</f>
        <v>0.470107355947105</v>
      </c>
      <c r="W17" s="2" t="s">
        <v>86</v>
      </c>
      <c r="X17" s="2" t="s">
        <v>407</v>
      </c>
      <c r="Y17" s="2" t="n">
        <f aca="false">INDEX(Ratings!$B$2:$B$239,MATCH(W17,Ratings!$A$2:$A$239,0))</f>
        <v>9.8</v>
      </c>
      <c r="Z17" s="2" t="n">
        <f aca="false">IF(X17="Home",Assumptions!$B$2,IF(X17="Away",-Assumptions!$B$2,0))</f>
        <v>-2.5</v>
      </c>
      <c r="AA17" s="2" t="n">
        <f aca="false">NORMDIST($B17-Y17+Z17,0,Assumptions!$B$3,TRUE())</f>
        <v>0.603532007320995</v>
      </c>
      <c r="AB17" s="2" t="s">
        <v>76</v>
      </c>
      <c r="AC17" s="2" t="s">
        <v>406</v>
      </c>
      <c r="AD17" s="2" t="n">
        <f aca="false">INDEX(Ratings!$B$2:$B$239,MATCH(AB17,Ratings!$A$2:$A$239,0))</f>
        <v>15.4</v>
      </c>
      <c r="AE17" s="2" t="n">
        <f aca="false">IF(AC17="Home",Assumptions!$B$2,IF(AC17="Away",-Assumptions!$B$2,0))</f>
        <v>2.5</v>
      </c>
      <c r="AF17" s="2" t="n">
        <f aca="false">NORMDIST($B17-AD17+AE17,0,Assumptions!$B$3,TRUE())</f>
        <v>0.58901036286873</v>
      </c>
      <c r="AG17" s="2" t="s">
        <v>63</v>
      </c>
      <c r="AH17" s="2" t="s">
        <v>407</v>
      </c>
      <c r="AI17" s="2" t="n">
        <f aca="false">INDEX(Ratings!$B$2:$B$239,MATCH(AG17,Ratings!$A$2:$A$239,0))</f>
        <v>22.8</v>
      </c>
      <c r="AJ17" s="2" t="n">
        <f aca="false">IF(AH17="Home",Assumptions!$B$2,IF(AH17="Away",-Assumptions!$B$2,0))</f>
        <v>-2.5</v>
      </c>
      <c r="AK17" s="2" t="n">
        <f aca="false">NORMDIST($B17-AI17+AJ17,0,Assumptions!$B$3,TRUE())</f>
        <v>0.291159686788346</v>
      </c>
      <c r="AL17" s="2" t="s">
        <v>83</v>
      </c>
      <c r="AM17" s="2" t="s">
        <v>406</v>
      </c>
      <c r="AN17" s="2" t="n">
        <f aca="false">INDEX(Ratings!$B$2:$B$239,MATCH(AL17,Ratings!$A$2:$A$239,0))</f>
        <v>11.5</v>
      </c>
      <c r="AO17" s="2" t="n">
        <f aca="false">IF(AM17="Home",Assumptions!$B$2,IF(AM17="Away",-Assumptions!$B$2,0))</f>
        <v>2.5</v>
      </c>
      <c r="AP17" s="2" t="n">
        <f aca="false">NORMDIST($B17-AN17+AO17,0,Assumptions!$B$3,TRUE())</f>
        <v>0.680375828482882</v>
      </c>
      <c r="AQ17" s="2" t="s">
        <v>61</v>
      </c>
      <c r="AR17" s="2" t="s">
        <v>406</v>
      </c>
      <c r="AS17" s="2" t="n">
        <f aca="false">INDEX(Ratings!$B$2:$B$239,MATCH(AQ17,Ratings!$A$2:$A$239,0))</f>
        <v>26.4</v>
      </c>
      <c r="AT17" s="2" t="n">
        <f aca="false">IF(AR17="Home",Assumptions!$B$2,IF(AR17="Away",-Assumptions!$B$2,0))</f>
        <v>2.5</v>
      </c>
      <c r="AU17" s="2" t="n">
        <f aca="false">NORMDIST($B17-AS17+AT17,0,Assumptions!$B$3,TRUE())</f>
        <v>0.321861401163654</v>
      </c>
      <c r="AV17" s="2" t="s">
        <v>68</v>
      </c>
      <c r="AW17" s="2" t="s">
        <v>407</v>
      </c>
      <c r="AX17" s="2" t="n">
        <f aca="false">INDEX(Ratings!$B$2:$B$239,MATCH(AV17,Ratings!$A$2:$A$239,0))</f>
        <v>18.8</v>
      </c>
      <c r="AY17" s="2" t="n">
        <f aca="false">IF(AW17="Home",Assumptions!$B$2,IF(AW17="Away",-Assumptions!$B$2,0))</f>
        <v>-2.5</v>
      </c>
      <c r="AZ17" s="2" t="n">
        <f aca="false">NORMDIST($B17-AX17+AY17,0,Assumptions!$B$3,TRUE())</f>
        <v>0.382088577811047</v>
      </c>
      <c r="BA17" s="2" t="s">
        <v>338</v>
      </c>
      <c r="BB17" s="2" t="s">
        <v>406</v>
      </c>
      <c r="BC17" s="2" t="n">
        <f aca="false">INDEX(Ratings!$B$2:$B$239,MATCH(BA17,Ratings!$A$2:$A$239,0))</f>
        <v>-30</v>
      </c>
      <c r="BD17" s="2" t="n">
        <f aca="false">IF(BB17="Home",Assumptions!$B$2,IF(BB17="Away",-Assumptions!$B$2,0))</f>
        <v>2.5</v>
      </c>
      <c r="BE17" s="2" t="n">
        <f aca="false">NORMDIST($B17-BC17+BD17,0,Assumptions!$B$3,TRUE())</f>
        <v>0.998902517622562</v>
      </c>
      <c r="BF17" s="2" t="s">
        <v>109</v>
      </c>
      <c r="BG17" s="2" t="s">
        <v>406</v>
      </c>
      <c r="BH17" s="2" t="n">
        <f aca="false">INDEX(Ratings!$B$2:$B$239,MATCH(BF17,Ratings!$A$2:$A$239,0))</f>
        <v>4.8</v>
      </c>
      <c r="BI17" s="2" t="n">
        <f aca="false">IF(BG17="Home",Assumptions!$B$2,IF(BG17="Away",-Assumptions!$B$2,0))</f>
        <v>2.5</v>
      </c>
      <c r="BJ17" s="2" t="n">
        <f aca="false">NORMDIST($B17-BH17+BI17,0,Assumptions!$B$3,TRUE())</f>
        <v>0.812595116901775</v>
      </c>
      <c r="BP17" s="2" t="n">
        <v>12</v>
      </c>
      <c r="BQ17" s="2" t="n">
        <f aca="false">G17+L17+Q17+V17+AA17+AF17+AK17+AP17+AU17+AZ17+BE17+BJ17</f>
        <v>7.24336723468996</v>
      </c>
    </row>
    <row r="18" customFormat="false" ht="15" hidden="false" customHeight="false" outlineLevel="0" collapsed="false">
      <c r="A18" s="2" t="s">
        <v>74</v>
      </c>
      <c r="B18" s="2" t="n">
        <f aca="false">INDEX(Ratings!$B$2:$B$239,MATCH($A18,Ratings!$A$2:$A$239,0))</f>
        <v>16.2</v>
      </c>
      <c r="C18" s="2" t="s">
        <v>155</v>
      </c>
      <c r="D18" s="2" t="s">
        <v>406</v>
      </c>
      <c r="E18" s="2" t="n">
        <f aca="false">INDEX(Ratings!$B$2:$B$239,MATCH(C18,Ratings!$A$2:$A$239,0))</f>
        <v>-8.2</v>
      </c>
      <c r="F18" s="2" t="n">
        <f aca="false">IF(D18="Home",Assumptions!$B$2,IF(D18="Away",-Assumptions!$B$2,0))</f>
        <v>2.5</v>
      </c>
      <c r="G18" s="2" t="n">
        <f aca="false">NORMDIST($B18-E18+F18,0,Assumptions!$B$3,TRUE())</f>
        <v>0.953642817347679</v>
      </c>
      <c r="H18" s="2" t="s">
        <v>157</v>
      </c>
      <c r="I18" s="2" t="s">
        <v>407</v>
      </c>
      <c r="J18" s="2" t="n">
        <f aca="false">INDEX(Ratings!$B$2:$B$239,MATCH(H18,Ratings!$A$2:$A$239,0))</f>
        <v>-9.1</v>
      </c>
      <c r="K18" s="2" t="n">
        <f aca="false">IF(I18="Home",Assumptions!$B$2,IF(I18="Away",-Assumptions!$B$2,0))</f>
        <v>-2.5</v>
      </c>
      <c r="L18" s="2" t="n">
        <f aca="false">NORMDIST($B18-J18+K18,0,Assumptions!$B$3,TRUE())</f>
        <v>0.922921399447928</v>
      </c>
      <c r="M18" s="2" t="s">
        <v>168</v>
      </c>
      <c r="N18" s="2" t="s">
        <v>406</v>
      </c>
      <c r="O18" s="2" t="n">
        <f aca="false">INDEX(Ratings!$B$2:$B$239,MATCH(M18,Ratings!$A$2:$A$239,0))</f>
        <v>-12.7</v>
      </c>
      <c r="P18" s="2" t="n">
        <f aca="false">IF(N18="Home",Assumptions!$B$2,IF(N18="Away",-Assumptions!$B$2,0))</f>
        <v>2.5</v>
      </c>
      <c r="Q18" s="2" t="n">
        <f aca="false">NORMDIST($B18-O18+P18,0,Assumptions!$B$3,TRUE())</f>
        <v>0.975147849694135</v>
      </c>
      <c r="R18" s="2" t="s">
        <v>110</v>
      </c>
      <c r="S18" s="2" t="s">
        <v>406</v>
      </c>
      <c r="T18" s="2" t="n">
        <f aca="false">INDEX(Ratings!$B$2:$B$239,MATCH(R18,Ratings!$A$2:$A$239,0))</f>
        <v>3.8</v>
      </c>
      <c r="U18" s="2" t="n">
        <f aca="false">IF(S18="Home",Assumptions!$B$2,IF(S18="Away",-Assumptions!$B$2,0))</f>
        <v>2.5</v>
      </c>
      <c r="V18" s="2" t="n">
        <f aca="false">NORMDIST($B18-T18+U18,0,Assumptions!$B$3,TRUE())</f>
        <v>0.824137870333926</v>
      </c>
      <c r="W18" s="2" t="s">
        <v>107</v>
      </c>
      <c r="X18" s="2" t="s">
        <v>407</v>
      </c>
      <c r="Y18" s="2" t="n">
        <f aca="false">INDEX(Ratings!$B$2:$B$239,MATCH(W18,Ratings!$A$2:$A$239,0))</f>
        <v>5.1</v>
      </c>
      <c r="Z18" s="2" t="n">
        <f aca="false">IF(X18="Home",Assumptions!$B$2,IF(X18="Away",-Assumptions!$B$2,0))</f>
        <v>-2.5</v>
      </c>
      <c r="AA18" s="2" t="n">
        <f aca="false">NORMDIST($B18-Y18+Z18,0,Assumptions!$B$3,TRUE())</f>
        <v>0.704538857537264</v>
      </c>
      <c r="AB18" s="2" t="s">
        <v>69</v>
      </c>
      <c r="AC18" s="2" t="s">
        <v>406</v>
      </c>
      <c r="AD18" s="2" t="n">
        <f aca="false">INDEX(Ratings!$B$2:$B$239,MATCH(AB18,Ratings!$A$2:$A$239,0))</f>
        <v>17.7</v>
      </c>
      <c r="AE18" s="2" t="n">
        <f aca="false">IF(AC18="Home",Assumptions!$B$2,IF(AC18="Away",-Assumptions!$B$2,0))</f>
        <v>2.5</v>
      </c>
      <c r="AF18" s="2" t="n">
        <f aca="false">NORMDIST($B18-AD18+AE18,0,Assumptions!$B$3,TRUE())</f>
        <v>0.524917669029247</v>
      </c>
      <c r="AG18" s="2" t="s">
        <v>72</v>
      </c>
      <c r="AH18" s="2" t="s">
        <v>407</v>
      </c>
      <c r="AI18" s="2" t="n">
        <f aca="false">INDEX(Ratings!$B$2:$B$239,MATCH(AG18,Ratings!$A$2:$A$239,0))</f>
        <v>17</v>
      </c>
      <c r="AJ18" s="2" t="n">
        <f aca="false">IF(AH18="Home",Assumptions!$B$2,IF(AH18="Away",-Assumptions!$B$2,0))</f>
        <v>-2.5</v>
      </c>
      <c r="AK18" s="2" t="n">
        <f aca="false">NORMDIST($B18-AI18+AJ18,0,Assumptions!$B$3,TRUE())</f>
        <v>0.418297816494375</v>
      </c>
      <c r="AL18" s="2" t="s">
        <v>135</v>
      </c>
      <c r="AM18" s="2" t="s">
        <v>406</v>
      </c>
      <c r="AN18" s="2" t="n">
        <f aca="false">INDEX(Ratings!$B$2:$B$239,MATCH(AL18,Ratings!$A$2:$A$239,0))</f>
        <v>-2.2</v>
      </c>
      <c r="AO18" s="2" t="n">
        <f aca="false">IF(AM18="Home",Assumptions!$B$2,IF(AM18="Away",-Assumptions!$B$2,0))</f>
        <v>2.5</v>
      </c>
      <c r="AP18" s="2" t="n">
        <f aca="false">NORMDIST($B18-AN18+AO18,0,Assumptions!$B$3,TRUE())</f>
        <v>0.904266222788901</v>
      </c>
      <c r="AQ18" s="2" t="s">
        <v>75</v>
      </c>
      <c r="AR18" s="2" t="s">
        <v>407</v>
      </c>
      <c r="AS18" s="2" t="n">
        <f aca="false">INDEX(Ratings!$B$2:$B$239,MATCH(AQ18,Ratings!$A$2:$A$239,0))</f>
        <v>15.8</v>
      </c>
      <c r="AT18" s="2" t="n">
        <f aca="false">IF(AR18="Home",Assumptions!$B$2,IF(AR18="Away",-Assumptions!$B$2,0))</f>
        <v>-2.5</v>
      </c>
      <c r="AU18" s="2" t="n">
        <f aca="false">NORMDIST($B18-AS18+AT18,0,Assumptions!$B$3,TRUE())</f>
        <v>0.447788771872615</v>
      </c>
      <c r="AV18" s="2" t="s">
        <v>97</v>
      </c>
      <c r="AW18" s="2" t="s">
        <v>406</v>
      </c>
      <c r="AX18" s="2" t="n">
        <f aca="false">INDEX(Ratings!$B$2:$B$239,MATCH(AV18,Ratings!$A$2:$A$239,0))</f>
        <v>6.2</v>
      </c>
      <c r="AY18" s="2" t="n">
        <f aca="false">IF(AW18="Home",Assumptions!$B$2,IF(AW18="Away",-Assumptions!$B$2,0))</f>
        <v>2.5</v>
      </c>
      <c r="AZ18" s="2" t="n">
        <f aca="false">NORMDIST($B18-AX18+AY18,0,Assumptions!$B$3,TRUE())</f>
        <v>0.782672264321914</v>
      </c>
      <c r="BA18" s="2" t="s">
        <v>118</v>
      </c>
      <c r="BB18" s="2" t="s">
        <v>406</v>
      </c>
      <c r="BC18" s="2" t="n">
        <f aca="false">INDEX(Ratings!$B$2:$B$239,MATCH(BA18,Ratings!$A$2:$A$239,0))</f>
        <v>2.7</v>
      </c>
      <c r="BD18" s="2" t="n">
        <f aca="false">IF(BB18="Home",Assumptions!$B$2,IF(BB18="Away",-Assumptions!$B$2,0))</f>
        <v>2.5</v>
      </c>
      <c r="BE18" s="2" t="n">
        <f aca="false">NORMDIST($B18-BC18+BD18,0,Assumptions!$B$3,TRUE())</f>
        <v>0.841344746068543</v>
      </c>
      <c r="BF18" s="2" t="s">
        <v>105</v>
      </c>
      <c r="BG18" s="2" t="s">
        <v>407</v>
      </c>
      <c r="BH18" s="2" t="n">
        <f aca="false">INDEX(Ratings!$B$2:$B$239,MATCH(BF18,Ratings!$A$2:$A$239,0))</f>
        <v>5.2</v>
      </c>
      <c r="BI18" s="2" t="n">
        <f aca="false">IF(BG18="Home",Assumptions!$B$2,IF(BG18="Away",-Assumptions!$B$2,0))</f>
        <v>-2.5</v>
      </c>
      <c r="BJ18" s="2" t="n">
        <f aca="false">NORMDIST($B18-BH18+BI18,0,Assumptions!$B$3,TRUE())</f>
        <v>0.702377225633592</v>
      </c>
      <c r="BP18" s="2" t="n">
        <v>12</v>
      </c>
      <c r="BQ18" s="2" t="n">
        <f aca="false">G18+L18+Q18+V18+AA18+AF18+AK18+AP18+AU18+AZ18+BE18+BJ18</f>
        <v>9.00205351057012</v>
      </c>
    </row>
    <row r="19" customFormat="false" ht="15" hidden="false" customHeight="false" outlineLevel="0" collapsed="false">
      <c r="A19" s="2" t="s">
        <v>75</v>
      </c>
      <c r="B19" s="2" t="n">
        <f aca="false">INDEX(Ratings!$B$2:$B$239,MATCH($A19,Ratings!$A$2:$A$239,0))</f>
        <v>15.8</v>
      </c>
      <c r="C19" s="2" t="s">
        <v>143</v>
      </c>
      <c r="D19" s="2" t="s">
        <v>406</v>
      </c>
      <c r="E19" s="2" t="n">
        <f aca="false">INDEX(Ratings!$B$2:$B$239,MATCH(C19,Ratings!$A$2:$A$239,0))</f>
        <v>-4.3</v>
      </c>
      <c r="F19" s="2" t="n">
        <f aca="false">IF(D19="Home",Assumptions!$B$2,IF(D19="Away",-Assumptions!$B$2,0))</f>
        <v>2.5</v>
      </c>
      <c r="G19" s="2" t="n">
        <f aca="false">NORMDIST($B19-E19+F19,0,Assumptions!$B$3,TRUE())</f>
        <v>0.921098604654847</v>
      </c>
      <c r="H19" s="2" t="s">
        <v>153</v>
      </c>
      <c r="I19" s="2" t="s">
        <v>406</v>
      </c>
      <c r="J19" s="2" t="n">
        <f aca="false">INDEX(Ratings!$B$2:$B$239,MATCH(H19,Ratings!$A$2:$A$239,0))</f>
        <v>-7.9</v>
      </c>
      <c r="K19" s="2" t="n">
        <f aca="false">IF(I19="Home",Assumptions!$B$2,IF(I19="Away",-Assumptions!$B$2,0))</f>
        <v>2.5</v>
      </c>
      <c r="L19" s="2" t="n">
        <f aca="false">NORMDIST($B19-J19+K19,0,Assumptions!$B$3,TRUE())</f>
        <v>0.949236980529619</v>
      </c>
      <c r="M19" s="2" t="s">
        <v>260</v>
      </c>
      <c r="N19" s="2" t="s">
        <v>406</v>
      </c>
      <c r="O19" s="2" t="n">
        <f aca="false">INDEX(Ratings!$B$2:$B$239,MATCH(M19,Ratings!$A$2:$A$239,0))</f>
        <v>-19</v>
      </c>
      <c r="P19" s="2" t="n">
        <f aca="false">IF(N19="Home",Assumptions!$B$2,IF(N19="Away",-Assumptions!$B$2,0))</f>
        <v>2.5</v>
      </c>
      <c r="Q19" s="2" t="n">
        <f aca="false">NORMDIST($B19-O19+P19,0,Assumptions!$B$3,TRUE())</f>
        <v>0.990129909481329</v>
      </c>
      <c r="R19" s="2" t="s">
        <v>97</v>
      </c>
      <c r="S19" s="2" t="s">
        <v>406</v>
      </c>
      <c r="T19" s="2" t="n">
        <f aca="false">INDEX(Ratings!$B$2:$B$239,MATCH(R19,Ratings!$A$2:$A$239,0))</f>
        <v>6.2</v>
      </c>
      <c r="U19" s="2" t="n">
        <f aca="false">IF(S19="Home",Assumptions!$B$2,IF(S19="Away",-Assumptions!$B$2,0))</f>
        <v>2.5</v>
      </c>
      <c r="V19" s="2" t="n">
        <f aca="false">NORMDIST($B19-T19+U19,0,Assumptions!$B$3,TRUE())</f>
        <v>0.77525034005542</v>
      </c>
      <c r="W19" s="2" t="s">
        <v>69</v>
      </c>
      <c r="X19" s="2" t="s">
        <v>407</v>
      </c>
      <c r="Y19" s="2" t="n">
        <f aca="false">INDEX(Ratings!$B$2:$B$239,MATCH(W19,Ratings!$A$2:$A$239,0))</f>
        <v>17.7</v>
      </c>
      <c r="Z19" s="2" t="n">
        <f aca="false">IF(X19="Home",Assumptions!$B$2,IF(X19="Away",-Assumptions!$B$2,0))</f>
        <v>-2.5</v>
      </c>
      <c r="AA19" s="2" t="n">
        <f aca="false">NORMDIST($B19-Y19+Z19,0,Assumptions!$B$3,TRUE())</f>
        <v>0.391658119153605</v>
      </c>
      <c r="AB19" s="2" t="s">
        <v>79</v>
      </c>
      <c r="AC19" s="2" t="s">
        <v>406</v>
      </c>
      <c r="AD19" s="2" t="n">
        <f aca="false">INDEX(Ratings!$B$2:$B$239,MATCH(AB19,Ratings!$A$2:$A$239,0))</f>
        <v>14.6</v>
      </c>
      <c r="AE19" s="2" t="n">
        <f aca="false">IF(AC19="Home",Assumptions!$B$2,IF(AC19="Away",-Assumptions!$B$2,0))</f>
        <v>2.5</v>
      </c>
      <c r="AF19" s="2" t="n">
        <f aca="false">NORMDIST($B19-AD19+AE19,0,Assumptions!$B$3,TRUE())</f>
        <v>0.591439705940164</v>
      </c>
      <c r="AG19" s="2" t="s">
        <v>135</v>
      </c>
      <c r="AH19" s="2" t="s">
        <v>407</v>
      </c>
      <c r="AI19" s="2" t="n">
        <f aca="false">INDEX(Ratings!$B$2:$B$239,MATCH(AG19,Ratings!$A$2:$A$239,0))</f>
        <v>-2.2</v>
      </c>
      <c r="AJ19" s="2" t="n">
        <f aca="false">IF(AH19="Home",Assumptions!$B$2,IF(AH19="Away",-Assumptions!$B$2,0))</f>
        <v>-2.5</v>
      </c>
      <c r="AK19" s="2" t="n">
        <f aca="false">NORMDIST($B19-AI19+AJ19,0,Assumptions!$B$3,TRUE())</f>
        <v>0.833665030507882</v>
      </c>
      <c r="AL19" s="2" t="s">
        <v>90</v>
      </c>
      <c r="AM19" s="2" t="s">
        <v>407</v>
      </c>
      <c r="AN19" s="2" t="n">
        <f aca="false">INDEX(Ratings!$B$2:$B$239,MATCH(AL19,Ratings!$A$2:$A$239,0))</f>
        <v>9.3</v>
      </c>
      <c r="AO19" s="2" t="n">
        <f aca="false">IF(AM19="Home",Assumptions!$B$2,IF(AM19="Away",-Assumptions!$B$2,0))</f>
        <v>-2.5</v>
      </c>
      <c r="AP19" s="2" t="n">
        <f aca="false">NORMDIST($B19-AN19+AO19,0,Assumptions!$B$3,TRUE())</f>
        <v>0.598706325682924</v>
      </c>
      <c r="AQ19" s="2" t="s">
        <v>74</v>
      </c>
      <c r="AR19" s="2" t="s">
        <v>406</v>
      </c>
      <c r="AS19" s="2" t="n">
        <f aca="false">INDEX(Ratings!$B$2:$B$239,MATCH(AQ19,Ratings!$A$2:$A$239,0))</f>
        <v>16.2</v>
      </c>
      <c r="AT19" s="2" t="n">
        <f aca="false">IF(AR19="Home",Assumptions!$B$2,IF(AR19="Away",-Assumptions!$B$2,0))</f>
        <v>2.5</v>
      </c>
      <c r="AU19" s="2" t="n">
        <f aca="false">NORMDIST($B19-AS19+AT19,0,Assumptions!$B$3,TRUE())</f>
        <v>0.552211228127385</v>
      </c>
      <c r="AV19" s="2" t="s">
        <v>119</v>
      </c>
      <c r="AW19" s="2" t="s">
        <v>407</v>
      </c>
      <c r="AX19" s="2" t="n">
        <f aca="false">INDEX(Ratings!$B$2:$B$239,MATCH(AV19,Ratings!$A$2:$A$239,0))</f>
        <v>2.2</v>
      </c>
      <c r="AY19" s="2" t="n">
        <f aca="false">IF(AW19="Home",Assumptions!$B$2,IF(AW19="Away",-Assumptions!$B$2,0))</f>
        <v>-2.5</v>
      </c>
      <c r="AZ19" s="2" t="n">
        <f aca="false">NORMDIST($B19-AX19+AY19,0,Assumptions!$B$3,TRUE())</f>
        <v>0.756080498111392</v>
      </c>
      <c r="BA19" s="2" t="s">
        <v>62</v>
      </c>
      <c r="BB19" s="2" t="s">
        <v>406</v>
      </c>
      <c r="BC19" s="2" t="n">
        <f aca="false">INDEX(Ratings!$B$2:$B$239,MATCH(BA19,Ratings!$A$2:$A$239,0))</f>
        <v>25.8</v>
      </c>
      <c r="BD19" s="2" t="n">
        <f aca="false">IF(BB19="Home",Assumptions!$B$2,IF(BB19="Away",-Assumptions!$B$2,0))</f>
        <v>2.5</v>
      </c>
      <c r="BE19" s="2" t="n">
        <f aca="false">NORMDIST($B19-BC19+BD19,0,Assumptions!$B$3,TRUE())</f>
        <v>0.319624171517118</v>
      </c>
      <c r="BF19" s="2" t="s">
        <v>59</v>
      </c>
      <c r="BG19" s="2" t="s">
        <v>407</v>
      </c>
      <c r="BH19" s="2" t="n">
        <f aca="false">INDEX(Ratings!$B$2:$B$239,MATCH(BF19,Ratings!$A$2:$A$239,0))</f>
        <v>29.2</v>
      </c>
      <c r="BI19" s="2" t="n">
        <f aca="false">IF(BG19="Home",Assumptions!$B$2,IF(BG19="Away",-Assumptions!$B$2,0))</f>
        <v>-2.5</v>
      </c>
      <c r="BJ19" s="2" t="n">
        <f aca="false">NORMDIST($B19-BH19+BI19,0,Assumptions!$B$3,TRUE())</f>
        <v>0.160172296919609</v>
      </c>
      <c r="BP19" s="2" t="n">
        <v>12</v>
      </c>
      <c r="BQ19" s="2" t="n">
        <f aca="false">G19+L19+Q19+V19+AA19+AF19+AK19+AP19+AU19+AZ19+BE19+BJ19</f>
        <v>7.83927321068129</v>
      </c>
    </row>
    <row r="20" customFormat="false" ht="15" hidden="false" customHeight="false" outlineLevel="0" collapsed="false">
      <c r="A20" s="2" t="s">
        <v>76</v>
      </c>
      <c r="B20" s="2" t="n">
        <f aca="false">INDEX(Ratings!$B$2:$B$239,MATCH($A20,Ratings!$A$2:$A$239,0))</f>
        <v>15.4</v>
      </c>
      <c r="C20" s="2" t="s">
        <v>323</v>
      </c>
      <c r="D20" s="2" t="s">
        <v>406</v>
      </c>
      <c r="E20" s="2" t="n">
        <f aca="false">INDEX(Ratings!$B$2:$B$239,MATCH(C20,Ratings!$A$2:$A$239,0))</f>
        <v>-42</v>
      </c>
      <c r="F20" s="2" t="n">
        <f aca="false">IF(D20="Home",Assumptions!$B$2,IF(D20="Away",-Assumptions!$B$2,0))</f>
        <v>2.5</v>
      </c>
      <c r="G20" s="2" t="n">
        <f aca="false">NORMDIST($B20-E20+F20,0,Assumptions!$B$3,TRUE())</f>
        <v>0.999909352978562</v>
      </c>
      <c r="H20" s="2" t="s">
        <v>115</v>
      </c>
      <c r="I20" s="2" t="s">
        <v>407</v>
      </c>
      <c r="J20" s="2" t="n">
        <f aca="false">INDEX(Ratings!$B$2:$B$239,MATCH(H20,Ratings!$A$2:$A$239,0))</f>
        <v>3.3</v>
      </c>
      <c r="K20" s="2" t="n">
        <f aca="false">IF(I20="Home",Assumptions!$B$2,IF(I20="Away",-Assumptions!$B$2,0))</f>
        <v>-2.5</v>
      </c>
      <c r="L20" s="2" t="n">
        <f aca="false">NORMDIST($B20-J20+K20,0,Assumptions!$B$3,TRUE())</f>
        <v>0.725746882249927</v>
      </c>
      <c r="M20" s="2" t="s">
        <v>154</v>
      </c>
      <c r="N20" s="2" t="s">
        <v>406</v>
      </c>
      <c r="O20" s="2" t="n">
        <f aca="false">INDEX(Ratings!$B$2:$B$239,MATCH(M20,Ratings!$A$2:$A$239,0))</f>
        <v>-8</v>
      </c>
      <c r="P20" s="2" t="n">
        <f aca="false">IF(N20="Home",Assumptions!$B$2,IF(N20="Away",-Assumptions!$B$2,0))</f>
        <v>2.5</v>
      </c>
      <c r="Q20" s="2" t="n">
        <f aca="false">NORMDIST($B20-O20+P20,0,Assumptions!$B$3,TRUE())</f>
        <v>0.947249467959255</v>
      </c>
      <c r="R20" s="2" t="s">
        <v>109</v>
      </c>
      <c r="S20" s="2" t="s">
        <v>407</v>
      </c>
      <c r="T20" s="2" t="n">
        <f aca="false">INDEX(Ratings!$B$2:$B$239,MATCH(R20,Ratings!$A$2:$A$239,0))</f>
        <v>4.8</v>
      </c>
      <c r="U20" s="2" t="n">
        <f aca="false">IF(S20="Home",Assumptions!$B$2,IF(S20="Away",-Assumptions!$B$2,0))</f>
        <v>-2.5</v>
      </c>
      <c r="V20" s="2" t="n">
        <f aca="false">NORMDIST($B20-T20+U20,0,Assumptions!$B$3,TRUE())</f>
        <v>0.693659420714973</v>
      </c>
      <c r="W20" s="2" t="s">
        <v>77</v>
      </c>
      <c r="X20" s="2" t="s">
        <v>406</v>
      </c>
      <c r="Y20" s="2" t="n">
        <f aca="false">INDEX(Ratings!$B$2:$B$239,MATCH(W20,Ratings!$A$2:$A$239,0))</f>
        <v>15.2</v>
      </c>
      <c r="Z20" s="2" t="n">
        <f aca="false">IF(X20="Home",Assumptions!$B$2,IF(X20="Away",-Assumptions!$B$2,0))</f>
        <v>2.5</v>
      </c>
      <c r="AA20" s="2" t="n">
        <f aca="false">NORMDIST($B20-Y20+Z20,0,Assumptions!$B$3,TRUE())</f>
        <v>0.567003355806672</v>
      </c>
      <c r="AB20" s="2" t="s">
        <v>66</v>
      </c>
      <c r="AC20" s="2" t="s">
        <v>406</v>
      </c>
      <c r="AD20" s="2" t="n">
        <f aca="false">INDEX(Ratings!$B$2:$B$239,MATCH(AB20,Ratings!$A$2:$A$239,0))</f>
        <v>20.9</v>
      </c>
      <c r="AE20" s="2" t="n">
        <f aca="false">IF(AC20="Home",Assumptions!$B$2,IF(AC20="Away",-Assumptions!$B$2,0))</f>
        <v>2.5</v>
      </c>
      <c r="AF20" s="2" t="n">
        <f aca="false">NORMDIST($B20-AD20+AE20,0,Assumptions!$B$3,TRUE())</f>
        <v>0.425634311844103</v>
      </c>
      <c r="AG20" s="2" t="s">
        <v>73</v>
      </c>
      <c r="AH20" s="2" t="s">
        <v>407</v>
      </c>
      <c r="AI20" s="2" t="n">
        <f aca="false">INDEX(Ratings!$B$2:$B$239,MATCH(AG20,Ratings!$A$2:$A$239,0))</f>
        <v>16.5</v>
      </c>
      <c r="AJ20" s="2" t="n">
        <f aca="false">IF(AH20="Home",Assumptions!$B$2,IF(AH20="Away",-Assumptions!$B$2,0))</f>
        <v>-2.5</v>
      </c>
      <c r="AK20" s="2" t="n">
        <f aca="false">NORMDIST($B20-AI20+AJ20,0,Assumptions!$B$3,TRUE())</f>
        <v>0.41098963713127</v>
      </c>
      <c r="AL20" s="2" t="s">
        <v>101</v>
      </c>
      <c r="AM20" s="2" t="s">
        <v>407</v>
      </c>
      <c r="AN20" s="2" t="n">
        <f aca="false">INDEX(Ratings!$B$2:$B$239,MATCH(AL20,Ratings!$A$2:$A$239,0))</f>
        <v>5.6</v>
      </c>
      <c r="AO20" s="2" t="n">
        <f aca="false">IF(AM20="Home",Assumptions!$B$2,IF(AM20="Away",-Assumptions!$B$2,0))</f>
        <v>-2.5</v>
      </c>
      <c r="AP20" s="2" t="n">
        <f aca="false">NORMDIST($B20-AN20+AO20,0,Assumptions!$B$3,TRUE())</f>
        <v>0.675894892863138</v>
      </c>
      <c r="AQ20" s="2" t="s">
        <v>63</v>
      </c>
      <c r="AR20" s="2" t="s">
        <v>406</v>
      </c>
      <c r="AS20" s="2" t="n">
        <f aca="false">INDEX(Ratings!$B$2:$B$239,MATCH(AQ20,Ratings!$A$2:$A$239,0))</f>
        <v>22.8</v>
      </c>
      <c r="AT20" s="2" t="n">
        <f aca="false">IF(AR20="Home",Assumptions!$B$2,IF(AR20="Away",-Assumptions!$B$2,0))</f>
        <v>2.5</v>
      </c>
      <c r="AU20" s="2" t="n">
        <f aca="false">NORMDIST($B20-AS20+AT20,0,Assumptions!$B$3,TRUE())</f>
        <v>0.379707152759433</v>
      </c>
      <c r="AV20" s="2" t="s">
        <v>61</v>
      </c>
      <c r="AW20" s="2" t="s">
        <v>407</v>
      </c>
      <c r="AX20" s="2" t="n">
        <f aca="false">INDEX(Ratings!$B$2:$B$239,MATCH(AV20,Ratings!$A$2:$A$239,0))</f>
        <v>26.4</v>
      </c>
      <c r="AY20" s="2" t="n">
        <f aca="false">IF(AW20="Home",Assumptions!$B$2,IF(AW20="Away",-Assumptions!$B$2,0))</f>
        <v>-2.5</v>
      </c>
      <c r="AZ20" s="2" t="n">
        <f aca="false">NORMDIST($B20-AX20+AY20,0,Assumptions!$B$3,TRUE())</f>
        <v>0.199404560471373</v>
      </c>
      <c r="BA20" s="2" t="s">
        <v>104</v>
      </c>
      <c r="BB20" s="2" t="s">
        <v>406</v>
      </c>
      <c r="BC20" s="2" t="n">
        <f aca="false">INDEX(Ratings!$B$2:$B$239,MATCH(BA20,Ratings!$A$2:$A$239,0))</f>
        <v>5.2</v>
      </c>
      <c r="BD20" s="2" t="n">
        <f aca="false">IF(BB20="Home",Assumptions!$B$2,IF(BB20="Away",-Assumptions!$B$2,0))</f>
        <v>2.5</v>
      </c>
      <c r="BE20" s="2" t="n">
        <f aca="false">NORMDIST($B20-BC20+BD20,0,Assumptions!$B$3,TRUE())</f>
        <v>0.786329507059644</v>
      </c>
      <c r="BF20" s="2" t="s">
        <v>68</v>
      </c>
      <c r="BG20" s="2" t="s">
        <v>406</v>
      </c>
      <c r="BH20" s="2" t="n">
        <f aca="false">INDEX(Ratings!$B$2:$B$239,MATCH(BF20,Ratings!$A$2:$A$239,0))</f>
        <v>18.8</v>
      </c>
      <c r="BI20" s="2" t="n">
        <f aca="false">IF(BG20="Home",Assumptions!$B$2,IF(BG20="Away",-Assumptions!$B$2,0))</f>
        <v>2.5</v>
      </c>
      <c r="BJ20" s="2" t="n">
        <f aca="false">NORMDIST($B20-BH20+BI20,0,Assumptions!$B$3,TRUE())</f>
        <v>0.477571324972222</v>
      </c>
      <c r="BP20" s="2" t="n">
        <v>12</v>
      </c>
      <c r="BQ20" s="2" t="n">
        <f aca="false">G20+L20+Q20+V20+AA20+AF20+AK20+AP20+AU20+AZ20+BE20+BJ20</f>
        <v>7.28909986681057</v>
      </c>
    </row>
    <row r="21" customFormat="false" ht="15" hidden="false" customHeight="false" outlineLevel="0" collapsed="false">
      <c r="A21" s="2" t="s">
        <v>77</v>
      </c>
      <c r="B21" s="2" t="n">
        <f aca="false">INDEX(Ratings!$B$2:$B$239,MATCH($A21,Ratings!$A$2:$A$239,0))</f>
        <v>15.2</v>
      </c>
      <c r="C21" s="2" t="s">
        <v>148</v>
      </c>
      <c r="D21" s="2" t="s">
        <v>406</v>
      </c>
      <c r="E21" s="2" t="n">
        <f aca="false">INDEX(Ratings!$B$2:$B$239,MATCH(C21,Ratings!$A$2:$A$239,0))</f>
        <v>-6.1</v>
      </c>
      <c r="F21" s="2" t="n">
        <f aca="false">IF(D21="Home",Assumptions!$B$2,IF(D21="Away",-Assumptions!$B$2,0))</f>
        <v>2.5</v>
      </c>
      <c r="G21" s="2" t="n">
        <f aca="false">NORMDIST($B21-E21+F21,0,Assumptions!$B$3,TRUE())</f>
        <v>0.931558598391246</v>
      </c>
      <c r="H21" s="2" t="s">
        <v>249</v>
      </c>
      <c r="I21" s="2" t="s">
        <v>406</v>
      </c>
      <c r="J21" s="2" t="n">
        <f aca="false">INDEX(Ratings!$B$2:$B$239,MATCH(H21,Ratings!$A$2:$A$239,0))</f>
        <v>-26</v>
      </c>
      <c r="K21" s="2" t="n">
        <f aca="false">IF(I21="Home",Assumptions!$B$2,IF(I21="Away",-Assumptions!$B$2,0))</f>
        <v>2.5</v>
      </c>
      <c r="L21" s="2" t="n">
        <f aca="false">NORMDIST($B21-J21+K21,0,Assumptions!$B$3,TRUE())</f>
        <v>0.996845270501399</v>
      </c>
      <c r="M21" s="2" t="s">
        <v>83</v>
      </c>
      <c r="N21" s="2" t="s">
        <v>407</v>
      </c>
      <c r="O21" s="2" t="n">
        <f aca="false">INDEX(Ratings!$B$2:$B$239,MATCH(M21,Ratings!$A$2:$A$239,0))</f>
        <v>11.5</v>
      </c>
      <c r="P21" s="2" t="n">
        <f aca="false">IF(N21="Home",Assumptions!$B$2,IF(N21="Away",-Assumptions!$B$2,0))</f>
        <v>-2.5</v>
      </c>
      <c r="Q21" s="2" t="n">
        <f aca="false">NORMDIST($B21-O21+P21,0,Assumptions!$B$3,TRUE())</f>
        <v>0.529892644052895</v>
      </c>
      <c r="R21" s="2" t="s">
        <v>73</v>
      </c>
      <c r="S21" s="2" t="s">
        <v>406</v>
      </c>
      <c r="T21" s="2" t="n">
        <f aca="false">INDEX(Ratings!$B$2:$B$239,MATCH(R21,Ratings!$A$2:$A$239,0))</f>
        <v>16.5</v>
      </c>
      <c r="U21" s="2" t="n">
        <f aca="false">IF(S21="Home",Assumptions!$B$2,IF(S21="Away",-Assumptions!$B$2,0))</f>
        <v>2.5</v>
      </c>
      <c r="V21" s="2" t="n">
        <f aca="false">NORMDIST($B21-T21+U21,0,Assumptions!$B$3,TRUE())</f>
        <v>0.529892644052895</v>
      </c>
      <c r="W21" s="2" t="s">
        <v>76</v>
      </c>
      <c r="X21" s="2" t="s">
        <v>407</v>
      </c>
      <c r="Y21" s="2" t="n">
        <f aca="false">INDEX(Ratings!$B$2:$B$239,MATCH(W21,Ratings!$A$2:$A$239,0))</f>
        <v>15.4</v>
      </c>
      <c r="Z21" s="2" t="n">
        <f aca="false">IF(X21="Home",Assumptions!$B$2,IF(X21="Away",-Assumptions!$B$2,0))</f>
        <v>-2.5</v>
      </c>
      <c r="AA21" s="2" t="n">
        <f aca="false">NORMDIST($B21-Y21+Z21,0,Assumptions!$B$3,TRUE())</f>
        <v>0.432996644193328</v>
      </c>
      <c r="AB21" s="2" t="s">
        <v>81</v>
      </c>
      <c r="AC21" s="2" t="s">
        <v>406</v>
      </c>
      <c r="AD21" s="2" t="n">
        <f aca="false">INDEX(Ratings!$B$2:$B$239,MATCH(AB21,Ratings!$A$2:$A$239,0))</f>
        <v>12.6</v>
      </c>
      <c r="AE21" s="2" t="n">
        <f aca="false">IF(AC21="Home",Assumptions!$B$2,IF(AC21="Away",-Assumptions!$B$2,0))</f>
        <v>2.5</v>
      </c>
      <c r="AF21" s="2" t="n">
        <f aca="false">NORMDIST($B21-AD21+AE21,0,Assumptions!$B$3,TRUE())</f>
        <v>0.625041951918781</v>
      </c>
      <c r="AG21" s="2" t="s">
        <v>63</v>
      </c>
      <c r="AH21" s="2" t="s">
        <v>407</v>
      </c>
      <c r="AI21" s="2" t="n">
        <f aca="false">INDEX(Ratings!$B$2:$B$239,MATCH(AG21,Ratings!$A$2:$A$239,0))</f>
        <v>22.8</v>
      </c>
      <c r="AJ21" s="2" t="n">
        <f aca="false">IF(AH21="Home",Assumptions!$B$2,IF(AH21="Away",-Assumptions!$B$2,0))</f>
        <v>-2.5</v>
      </c>
      <c r="AK21" s="2" t="n">
        <f aca="false">NORMDIST($B21-AI21+AJ21,0,Assumptions!$B$3,TRUE())</f>
        <v>0.263938536969338</v>
      </c>
      <c r="AL21" s="2" t="s">
        <v>61</v>
      </c>
      <c r="AM21" s="2" t="s">
        <v>408</v>
      </c>
      <c r="AN21" s="2" t="n">
        <f aca="false">INDEX(Ratings!$B$2:$B$239,MATCH(AL21,Ratings!$A$2:$A$239,0))</f>
        <v>26.4</v>
      </c>
      <c r="AO21" s="2" t="n">
        <f aca="false">IF(AM21="Home",Assumptions!$B$2,IF(AM21="Away",-Assumptions!$B$2,0))</f>
        <v>0</v>
      </c>
      <c r="AP21" s="2" t="n">
        <f aca="false">NORMDIST($B21-AN21+AO21,0,Assumptions!$B$3,TRUE())</f>
        <v>0.241963652223073</v>
      </c>
      <c r="AQ21" s="2" t="s">
        <v>68</v>
      </c>
      <c r="AR21" s="2" t="s">
        <v>406</v>
      </c>
      <c r="AS21" s="2" t="n">
        <f aca="false">INDEX(Ratings!$B$2:$B$239,MATCH(AQ21,Ratings!$A$2:$A$239,0))</f>
        <v>18.8</v>
      </c>
      <c r="AT21" s="2" t="n">
        <f aca="false">IF(AR21="Home",Assumptions!$B$2,IF(AR21="Away",-Assumptions!$B$2,0))</f>
        <v>2.5</v>
      </c>
      <c r="AU21" s="2" t="n">
        <f aca="false">NORMDIST($B21-AS21+AT21,0,Assumptions!$B$3,TRUE())</f>
        <v>0.472594309039532</v>
      </c>
      <c r="AV21" s="2" t="s">
        <v>104</v>
      </c>
      <c r="AW21" s="2" t="s">
        <v>407</v>
      </c>
      <c r="AX21" s="2" t="n">
        <f aca="false">INDEX(Ratings!$B$2:$B$239,MATCH(AV21,Ratings!$A$2:$A$239,0))</f>
        <v>5.2</v>
      </c>
      <c r="AY21" s="2" t="n">
        <f aca="false">IF(AW21="Home",Assumptions!$B$2,IF(AW21="Away",-Assumptions!$B$2,0))</f>
        <v>-2.5</v>
      </c>
      <c r="AZ21" s="2" t="n">
        <f aca="false">NORMDIST($B21-AX21+AY21,0,Assumptions!$B$3,TRUE())</f>
        <v>0.680375828482882</v>
      </c>
      <c r="BA21" s="2" t="s">
        <v>86</v>
      </c>
      <c r="BB21" s="2" t="s">
        <v>406</v>
      </c>
      <c r="BC21" s="2" t="n">
        <f aca="false">INDEX(Ratings!$B$2:$B$239,MATCH(BA21,Ratings!$A$2:$A$239,0))</f>
        <v>9.8</v>
      </c>
      <c r="BD21" s="2" t="n">
        <f aca="false">IF(BB21="Home",Assumptions!$B$2,IF(BB21="Away",-Assumptions!$B$2,0))</f>
        <v>2.5</v>
      </c>
      <c r="BE21" s="2" t="n">
        <f aca="false">NORMDIST($B21-BC21+BD21,0,Assumptions!$B$3,TRUE())</f>
        <v>0.689258625618694</v>
      </c>
      <c r="BF21" s="2" t="s">
        <v>92</v>
      </c>
      <c r="BG21" s="2" t="s">
        <v>407</v>
      </c>
      <c r="BH21" s="2" t="n">
        <f aca="false">INDEX(Ratings!$B$2:$B$239,MATCH(BF21,Ratings!$A$2:$A$239,0))</f>
        <v>9.1</v>
      </c>
      <c r="BI21" s="2" t="n">
        <f aca="false">IF(BG21="Home",Assumptions!$B$2,IF(BG21="Away",-Assumptions!$B$2,0))</f>
        <v>-2.5</v>
      </c>
      <c r="BJ21" s="2" t="n">
        <f aca="false">NORMDIST($B21-BH21+BI21,0,Assumptions!$B$3,TRUE())</f>
        <v>0.58901036286873</v>
      </c>
      <c r="BP21" s="2" t="n">
        <v>12</v>
      </c>
      <c r="BQ21" s="2" t="n">
        <f aca="false">G21+L21+Q21+V21+AA21+AF21+AK21+AP21+AU21+AZ21+BE21+BJ21</f>
        <v>6.98336906831279</v>
      </c>
    </row>
    <row r="22" customFormat="false" ht="15" hidden="false" customHeight="false" outlineLevel="0" collapsed="false">
      <c r="A22" s="2" t="s">
        <v>78</v>
      </c>
      <c r="B22" s="2" t="n">
        <f aca="false">INDEX(Ratings!$B$2:$B$239,MATCH($A22,Ratings!$A$2:$A$239,0))</f>
        <v>14.9</v>
      </c>
      <c r="C22" s="2" t="s">
        <v>329</v>
      </c>
      <c r="D22" s="2" t="s">
        <v>406</v>
      </c>
      <c r="E22" s="2" t="n">
        <f aca="false">INDEX(Ratings!$B$2:$B$239,MATCH(C22,Ratings!$A$2:$A$239,0))</f>
        <v>-33</v>
      </c>
      <c r="F22" s="2" t="n">
        <f aca="false">IF(D22="Home",Assumptions!$B$2,IF(D22="Away",-Assumptions!$B$2,0))</f>
        <v>2.5</v>
      </c>
      <c r="G22" s="2" t="n">
        <f aca="false">NORMDIST($B22-E22+F22,0,Assumptions!$B$3,TRUE())</f>
        <v>0.999183647687171</v>
      </c>
      <c r="H22" s="2" t="s">
        <v>88</v>
      </c>
      <c r="I22" s="2" t="s">
        <v>406</v>
      </c>
      <c r="J22" s="2" t="n">
        <f aca="false">INDEX(Ratings!$B$2:$B$239,MATCH(H22,Ratings!$A$2:$A$239,0))</f>
        <v>9.5</v>
      </c>
      <c r="K22" s="2" t="n">
        <f aca="false">IF(I22="Home",Assumptions!$B$2,IF(I22="Away",-Assumptions!$B$2,0))</f>
        <v>2.5</v>
      </c>
      <c r="L22" s="2" t="n">
        <f aca="false">NORMDIST($B22-J22+K22,0,Assumptions!$B$3,TRUE())</f>
        <v>0.689258625618694</v>
      </c>
      <c r="M22" s="2" t="s">
        <v>164</v>
      </c>
      <c r="N22" s="2" t="s">
        <v>407</v>
      </c>
      <c r="O22" s="2" t="n">
        <f aca="false">INDEX(Ratings!$B$2:$B$239,MATCH(M22,Ratings!$A$2:$A$239,0))</f>
        <v>-11.6</v>
      </c>
      <c r="P22" s="2" t="n">
        <f aca="false">IF(N22="Home",Assumptions!$B$2,IF(N22="Away",-Assumptions!$B$2,0))</f>
        <v>-2.5</v>
      </c>
      <c r="Q22" s="2" t="n">
        <f aca="false">NORMDIST($B22-O22+P22,0,Assumptions!$B$3,TRUE())</f>
        <v>0.933192798731142</v>
      </c>
      <c r="R22" s="2" t="s">
        <v>89</v>
      </c>
      <c r="S22" s="2" t="s">
        <v>407</v>
      </c>
      <c r="T22" s="2" t="n">
        <f aca="false">INDEX(Ratings!$B$2:$B$239,MATCH(R22,Ratings!$A$2:$A$239,0))</f>
        <v>9.4</v>
      </c>
      <c r="U22" s="2" t="n">
        <f aca="false">IF(S22="Home",Assumptions!$B$2,IF(S22="Away",-Assumptions!$B$2,0))</f>
        <v>-2.5</v>
      </c>
      <c r="V22" s="2" t="n">
        <f aca="false">NORMDIST($B22-T22+U22,0,Assumptions!$B$3,TRUE())</f>
        <v>0.574365688155897</v>
      </c>
      <c r="W22" s="2" t="s">
        <v>126</v>
      </c>
      <c r="X22" s="2" t="s">
        <v>406</v>
      </c>
      <c r="Y22" s="2" t="n">
        <f aca="false">INDEX(Ratings!$B$2:$B$239,MATCH(W22,Ratings!$A$2:$A$239,0))</f>
        <v>-0.4</v>
      </c>
      <c r="Z22" s="2" t="n">
        <f aca="false">IF(X22="Home",Assumptions!$B$2,IF(X22="Away",-Assumptions!$B$2,0))</f>
        <v>2.5</v>
      </c>
      <c r="AA22" s="2" t="n">
        <f aca="false">NORMDIST($B22-Y22+Z22,0,Assumptions!$B$3,TRUE())</f>
        <v>0.867038384922096</v>
      </c>
      <c r="AB22" s="2" t="s">
        <v>60</v>
      </c>
      <c r="AC22" s="2" t="s">
        <v>406</v>
      </c>
      <c r="AD22" s="2" t="n">
        <f aca="false">INDEX(Ratings!$B$2:$B$239,MATCH(AB22,Ratings!$A$2:$A$239,0))</f>
        <v>26.5</v>
      </c>
      <c r="AE22" s="2" t="n">
        <f aca="false">IF(AC22="Home",Assumptions!$B$2,IF(AC22="Away",-Assumptions!$B$2,0))</f>
        <v>2.5</v>
      </c>
      <c r="AF22" s="2" t="n">
        <f aca="false">NORMDIST($B22-AD22+AE22,0,Assumptions!$B$3,TRUE())</f>
        <v>0.284762905379547</v>
      </c>
      <c r="AG22" s="2" t="s">
        <v>120</v>
      </c>
      <c r="AH22" s="2" t="s">
        <v>407</v>
      </c>
      <c r="AI22" s="2" t="n">
        <f aca="false">INDEX(Ratings!$B$2:$B$239,MATCH(AG22,Ratings!$A$2:$A$239,0))</f>
        <v>1.7</v>
      </c>
      <c r="AJ22" s="2" t="n">
        <f aca="false">IF(AH22="Home",Assumptions!$B$2,IF(AH22="Away",-Assumptions!$B$2,0))</f>
        <v>-2.5</v>
      </c>
      <c r="AK22" s="2" t="n">
        <f aca="false">NORMDIST($B22-AI22+AJ22,0,Assumptions!$B$3,TRUE())</f>
        <v>0.74817251669986</v>
      </c>
      <c r="AL22" s="2" t="s">
        <v>108</v>
      </c>
      <c r="AM22" s="2" t="s">
        <v>406</v>
      </c>
      <c r="AN22" s="2" t="n">
        <f aca="false">INDEX(Ratings!$B$2:$B$239,MATCH(AL22,Ratings!$A$2:$A$239,0))</f>
        <v>4.9</v>
      </c>
      <c r="AO22" s="2" t="n">
        <f aca="false">IF(AM22="Home",Assumptions!$B$2,IF(AM22="Away",-Assumptions!$B$2,0))</f>
        <v>2.5</v>
      </c>
      <c r="AP22" s="2" t="n">
        <f aca="false">NORMDIST($B22-AN22+AO22,0,Assumptions!$B$3,TRUE())</f>
        <v>0.782672264321914</v>
      </c>
      <c r="AQ22" s="2" t="s">
        <v>87</v>
      </c>
      <c r="AR22" s="2" t="s">
        <v>407</v>
      </c>
      <c r="AS22" s="2" t="n">
        <f aca="false">INDEX(Ratings!$B$2:$B$239,MATCH(AQ22,Ratings!$A$2:$A$239,0))</f>
        <v>9.8</v>
      </c>
      <c r="AT22" s="2" t="n">
        <f aca="false">IF(AR22="Home",Assumptions!$B$2,IF(AR22="Away",-Assumptions!$B$2,0))</f>
        <v>-2.5</v>
      </c>
      <c r="AU22" s="2" t="n">
        <f aca="false">NORMDIST($B22-AS22+AT22,0,Assumptions!$B$3,TRUE())</f>
        <v>0.564543935862038</v>
      </c>
      <c r="AV22" s="2" t="s">
        <v>111</v>
      </c>
      <c r="AW22" s="2" t="s">
        <v>406</v>
      </c>
      <c r="AX22" s="2" t="n">
        <f aca="false">INDEX(Ratings!$B$2:$B$239,MATCH(AV22,Ratings!$A$2:$A$239,0))</f>
        <v>3.8</v>
      </c>
      <c r="AY22" s="2" t="n">
        <f aca="false">IF(AW22="Home",Assumptions!$B$2,IF(AW22="Away",-Assumptions!$B$2,0))</f>
        <v>2.5</v>
      </c>
      <c r="AZ22" s="2" t="n">
        <f aca="false">NORMDIST($B22-AX22+AY22,0,Assumptions!$B$3,TRUE())</f>
        <v>0.802337456877308</v>
      </c>
      <c r="BA22" s="2" t="s">
        <v>115</v>
      </c>
      <c r="BB22" s="2" t="s">
        <v>407</v>
      </c>
      <c r="BC22" s="2" t="n">
        <f aca="false">INDEX(Ratings!$B$2:$B$239,MATCH(BA22,Ratings!$A$2:$A$239,0))</f>
        <v>3.3</v>
      </c>
      <c r="BD22" s="2" t="n">
        <f aca="false">IF(BB22="Home",Assumptions!$B$2,IF(BB22="Away",-Assumptions!$B$2,0))</f>
        <v>-2.5</v>
      </c>
      <c r="BE22" s="2" t="n">
        <f aca="false">NORMDIST($B22-BC22+BD22,0,Assumptions!$B$3,TRUE())</f>
        <v>0.715237094620453</v>
      </c>
      <c r="BF22" s="2" t="s">
        <v>116</v>
      </c>
      <c r="BG22" s="2" t="s">
        <v>406</v>
      </c>
      <c r="BH22" s="2" t="n">
        <f aca="false">INDEX(Ratings!$B$2:$B$239,MATCH(BF22,Ratings!$A$2:$A$239,0))</f>
        <v>3</v>
      </c>
      <c r="BI22" s="2" t="n">
        <f aca="false">IF(BG22="Home",Assumptions!$B$2,IF(BG22="Away",-Assumptions!$B$2,0))</f>
        <v>2.5</v>
      </c>
      <c r="BJ22" s="2" t="n">
        <f aca="false">NORMDIST($B22-BH22+BI22,0,Assumptions!$B$3,TRUE())</f>
        <v>0.815939874653241</v>
      </c>
      <c r="BP22" s="2" t="n">
        <v>12</v>
      </c>
      <c r="BQ22" s="2" t="n">
        <f aca="false">G22+L22+Q22+V22+AA22+AF22+AK22+AP22+AU22+AZ22+BE22+BJ22</f>
        <v>8.77670519352936</v>
      </c>
    </row>
    <row r="23" customFormat="false" ht="15" hidden="false" customHeight="false" outlineLevel="0" collapsed="false">
      <c r="A23" s="2" t="s">
        <v>79</v>
      </c>
      <c r="B23" s="2" t="n">
        <f aca="false">INDEX(Ratings!$B$2:$B$239,MATCH($A23,Ratings!$A$2:$A$239,0))</f>
        <v>14.6</v>
      </c>
      <c r="C23" s="2" t="s">
        <v>180</v>
      </c>
      <c r="D23" s="2" t="s">
        <v>406</v>
      </c>
      <c r="E23" s="2" t="n">
        <f aca="false">INDEX(Ratings!$B$2:$B$239,MATCH(C23,Ratings!$A$2:$A$239,0))</f>
        <v>-17.2</v>
      </c>
      <c r="F23" s="2" t="n">
        <f aca="false">IF(D23="Home",Assumptions!$B$2,IF(D23="Away",-Assumptions!$B$2,0))</f>
        <v>2.5</v>
      </c>
      <c r="G23" s="2" t="n">
        <f aca="false">NORMDIST($B23-E23+F23,0,Assumptions!$B$3,TRUE())</f>
        <v>0.983973538217781</v>
      </c>
      <c r="H23" s="2" t="s">
        <v>126</v>
      </c>
      <c r="I23" s="2" t="s">
        <v>406</v>
      </c>
      <c r="J23" s="2" t="n">
        <f aca="false">INDEX(Ratings!$B$2:$B$239,MATCH(H23,Ratings!$A$2:$A$239,0))</f>
        <v>-0.4</v>
      </c>
      <c r="K23" s="2" t="n">
        <f aca="false">IF(I23="Home",Assumptions!$B$2,IF(I23="Away",-Assumptions!$B$2,0))</f>
        <v>2.5</v>
      </c>
      <c r="L23" s="2" t="n">
        <f aca="false">NORMDIST($B23-J23+K23,0,Assumptions!$B$3,TRUE())</f>
        <v>0.862967680695088</v>
      </c>
      <c r="M23" s="2" t="s">
        <v>299</v>
      </c>
      <c r="N23" s="2" t="s">
        <v>406</v>
      </c>
      <c r="O23" s="2" t="n">
        <f aca="false">INDEX(Ratings!$B$2:$B$239,MATCH(M23,Ratings!$A$2:$A$239,0))</f>
        <v>-15</v>
      </c>
      <c r="P23" s="2" t="n">
        <f aca="false">IF(N23="Home",Assumptions!$B$2,IF(N23="Away",-Assumptions!$B$2,0))</f>
        <v>2.5</v>
      </c>
      <c r="Q23" s="2" t="n">
        <f aca="false">NORMDIST($B23-O23+P23,0,Assumptions!$B$3,TRUE())</f>
        <v>0.977585209154206</v>
      </c>
      <c r="R23" s="2" t="s">
        <v>72</v>
      </c>
      <c r="S23" s="2" t="s">
        <v>407</v>
      </c>
      <c r="T23" s="2" t="n">
        <f aca="false">INDEX(Ratings!$B$2:$B$239,MATCH(R23,Ratings!$A$2:$A$239,0))</f>
        <v>17</v>
      </c>
      <c r="U23" s="2" t="n">
        <f aca="false">IF(S23="Home",Assumptions!$B$2,IF(S23="Away",-Assumptions!$B$2,0))</f>
        <v>-2.5</v>
      </c>
      <c r="V23" s="2" t="n">
        <f aca="false">NORMDIST($B23-T23+U23,0,Assumptions!$B$3,TRUE())</f>
        <v>0.379707152759433</v>
      </c>
      <c r="W23" s="2" t="s">
        <v>58</v>
      </c>
      <c r="X23" s="2" t="s">
        <v>406</v>
      </c>
      <c r="Y23" s="2" t="n">
        <f aca="false">INDEX(Ratings!$B$2:$B$239,MATCH(W23,Ratings!$A$2:$A$239,0))</f>
        <v>32.7</v>
      </c>
      <c r="Z23" s="2" t="n">
        <f aca="false">IF(X23="Home",Assumptions!$B$2,IF(X23="Away",-Assumptions!$B$2,0))</f>
        <v>2.5</v>
      </c>
      <c r="AA23" s="2" t="n">
        <f aca="false">NORMDIST($B23-Y23+Z23,0,Assumptions!$B$3,TRUE())</f>
        <v>0.16478012998031</v>
      </c>
      <c r="AB23" s="2" t="s">
        <v>75</v>
      </c>
      <c r="AC23" s="2" t="s">
        <v>407</v>
      </c>
      <c r="AD23" s="2" t="n">
        <f aca="false">INDEX(Ratings!$B$2:$B$239,MATCH(AB23,Ratings!$A$2:$A$239,0))</f>
        <v>15.8</v>
      </c>
      <c r="AE23" s="2" t="n">
        <f aca="false">IF(AC23="Home",Assumptions!$B$2,IF(AC23="Away",-Assumptions!$B$2,0))</f>
        <v>-2.5</v>
      </c>
      <c r="AF23" s="2" t="n">
        <f aca="false">NORMDIST($B23-AD23+AE23,0,Assumptions!$B$3,TRUE())</f>
        <v>0.408560294059836</v>
      </c>
      <c r="AG23" s="2" t="s">
        <v>97</v>
      </c>
      <c r="AH23" s="2" t="s">
        <v>407</v>
      </c>
      <c r="AI23" s="2" t="n">
        <f aca="false">INDEX(Ratings!$B$2:$B$239,MATCH(AG23,Ratings!$A$2:$A$239,0))</f>
        <v>6.2</v>
      </c>
      <c r="AJ23" s="2" t="n">
        <f aca="false">IF(AH23="Home",Assumptions!$B$2,IF(AH23="Away",-Assumptions!$B$2,0))</f>
        <v>-2.5</v>
      </c>
      <c r="AK23" s="2" t="n">
        <f aca="false">NORMDIST($B23-AI23+AJ23,0,Assumptions!$B$3,TRUE())</f>
        <v>0.643842961816324</v>
      </c>
      <c r="AL23" s="2" t="s">
        <v>110</v>
      </c>
      <c r="AM23" s="2" t="s">
        <v>406</v>
      </c>
      <c r="AN23" s="2" t="n">
        <f aca="false">INDEX(Ratings!$B$2:$B$239,MATCH(AL23,Ratings!$A$2:$A$239,0))</f>
        <v>3.8</v>
      </c>
      <c r="AO23" s="2" t="n">
        <f aca="false">IF(AM23="Home",Assumptions!$B$2,IF(AM23="Away",-Assumptions!$B$2,0))</f>
        <v>2.5</v>
      </c>
      <c r="AP23" s="2" t="n">
        <f aca="false">NORMDIST($B23-AN23+AO23,0,Assumptions!$B$3,TRUE())</f>
        <v>0.797083792936223</v>
      </c>
      <c r="AQ23" s="2" t="s">
        <v>107</v>
      </c>
      <c r="AR23" s="2" t="s">
        <v>407</v>
      </c>
      <c r="AS23" s="2" t="n">
        <f aca="false">INDEX(Ratings!$B$2:$B$239,MATCH(AQ23,Ratings!$A$2:$A$239,0))</f>
        <v>5.1</v>
      </c>
      <c r="AT23" s="2" t="n">
        <f aca="false">IF(AR23="Home",Assumptions!$B$2,IF(AR23="Away",-Assumptions!$B$2,0))</f>
        <v>-2.5</v>
      </c>
      <c r="AU23" s="2" t="n">
        <f aca="false">NORMDIST($B23-AS23+AT23,0,Assumptions!$B$3,TRUE())</f>
        <v>0.669125611959121</v>
      </c>
      <c r="AV23" s="2" t="s">
        <v>135</v>
      </c>
      <c r="AW23" s="2" t="s">
        <v>406</v>
      </c>
      <c r="AX23" s="2" t="n">
        <f aca="false">INDEX(Ratings!$B$2:$B$239,MATCH(AV23,Ratings!$A$2:$A$239,0))</f>
        <v>-2.2</v>
      </c>
      <c r="AY23" s="2" t="n">
        <f aca="false">IF(AW23="Home",Assumptions!$B$2,IF(AW23="Away",-Assumptions!$B$2,0))</f>
        <v>2.5</v>
      </c>
      <c r="AZ23" s="2" t="n">
        <f aca="false">NORMDIST($B23-AX23+AY23,0,Assumptions!$B$3,TRUE())</f>
        <v>0.886139444885968</v>
      </c>
      <c r="BA23" s="2" t="s">
        <v>85</v>
      </c>
      <c r="BB23" s="2" t="s">
        <v>407</v>
      </c>
      <c r="BC23" s="2" t="n">
        <f aca="false">INDEX(Ratings!$B$2:$B$239,MATCH(BA23,Ratings!$A$2:$A$239,0))</f>
        <v>10.4</v>
      </c>
      <c r="BD23" s="2" t="n">
        <f aca="false">IF(BB23="Home",Assumptions!$B$2,IF(BB23="Away",-Assumptions!$B$2,0))</f>
        <v>-2.5</v>
      </c>
      <c r="BE23" s="2" t="n">
        <f aca="false">NORMDIST($B23-BC23+BD23,0,Assumptions!$B$3,TRUE())</f>
        <v>0.542307999417935</v>
      </c>
      <c r="BF23" s="2" t="s">
        <v>90</v>
      </c>
      <c r="BG23" s="2" t="s">
        <v>406</v>
      </c>
      <c r="BH23" s="2" t="n">
        <f aca="false">INDEX(Ratings!$B$2:$B$239,MATCH(BF23,Ratings!$A$2:$A$239,0))</f>
        <v>9.3</v>
      </c>
      <c r="BI23" s="2" t="n">
        <f aca="false">IF(BG23="Home",Assumptions!$B$2,IF(BG23="Away",-Assumptions!$B$2,0))</f>
        <v>2.5</v>
      </c>
      <c r="BJ23" s="2" t="n">
        <f aca="false">NORMDIST($B23-BH23+BI23,0,Assumptions!$B$3,TRUE())</f>
        <v>0.687047978582113</v>
      </c>
      <c r="BP23" s="2" t="n">
        <v>12</v>
      </c>
      <c r="BQ23" s="2" t="n">
        <f aca="false">G23+L23+Q23+V23+AA23+AF23+AK23+AP23+AU23+AZ23+BE23+BJ23</f>
        <v>8.00312179446434</v>
      </c>
    </row>
    <row r="24" customFormat="false" ht="15" hidden="false" customHeight="false" outlineLevel="0" collapsed="false">
      <c r="A24" s="2" t="s">
        <v>80</v>
      </c>
      <c r="B24" s="2" t="n">
        <f aca="false">INDEX(Ratings!$B$2:$B$239,MATCH($A24,Ratings!$A$2:$A$239,0))</f>
        <v>13.1</v>
      </c>
      <c r="C24" s="2" t="s">
        <v>67</v>
      </c>
      <c r="D24" s="2" t="s">
        <v>407</v>
      </c>
      <c r="E24" s="2" t="n">
        <f aca="false">INDEX(Ratings!$B$2:$B$239,MATCH(C24,Ratings!$A$2:$A$239,0))</f>
        <v>20.4</v>
      </c>
      <c r="F24" s="2" t="n">
        <f aca="false">IF(D24="Home",Assumptions!$B$2,IF(D24="Away",-Assumptions!$B$2,0))</f>
        <v>-2.5</v>
      </c>
      <c r="G24" s="2" t="n">
        <f aca="false">NORMDIST($B24-E24+F24,0,Assumptions!$B$3,TRUE())</f>
        <v>0.270103499001235</v>
      </c>
      <c r="H24" s="2" t="s">
        <v>160</v>
      </c>
      <c r="I24" s="2" t="s">
        <v>406</v>
      </c>
      <c r="J24" s="2" t="n">
        <f aca="false">INDEX(Ratings!$B$2:$B$239,MATCH(H24,Ratings!$A$2:$A$239,0))</f>
        <v>-10.8</v>
      </c>
      <c r="K24" s="2" t="n">
        <f aca="false">IF(I24="Home",Assumptions!$B$2,IF(I24="Away",-Assumptions!$B$2,0))</f>
        <v>2.5</v>
      </c>
      <c r="L24" s="2" t="n">
        <f aca="false">NORMDIST($B24-J24+K24,0,Assumptions!$B$3,TRUE())</f>
        <v>0.950528531966352</v>
      </c>
      <c r="M24" s="2" t="s">
        <v>113</v>
      </c>
      <c r="N24" s="2" t="s">
        <v>406</v>
      </c>
      <c r="O24" s="2" t="n">
        <f aca="false">INDEX(Ratings!$B$2:$B$239,MATCH(M24,Ratings!$A$2:$A$239,0))</f>
        <v>3.5</v>
      </c>
      <c r="P24" s="2" t="n">
        <f aca="false">IF(N24="Home",Assumptions!$B$2,IF(N24="Away",-Assumptions!$B$2,0))</f>
        <v>2.5</v>
      </c>
      <c r="Q24" s="2" t="n">
        <f aca="false">NORMDIST($B24-O24+P24,0,Assumptions!$B$3,TRUE())</f>
        <v>0.77525034005542</v>
      </c>
      <c r="R24" s="2" t="s">
        <v>117</v>
      </c>
      <c r="S24" s="2" t="s">
        <v>407</v>
      </c>
      <c r="T24" s="2" t="n">
        <f aca="false">INDEX(Ratings!$B$2:$B$239,MATCH(R24,Ratings!$A$2:$A$239,0))</f>
        <v>3</v>
      </c>
      <c r="U24" s="2" t="n">
        <f aca="false">IF(S24="Home",Assumptions!$B$2,IF(S24="Away",-Assumptions!$B$2,0))</f>
        <v>-2.5</v>
      </c>
      <c r="V24" s="2" t="n">
        <f aca="false">NORMDIST($B24-T24+U24,0,Assumptions!$B$3,TRUE())</f>
        <v>0.682606513358741</v>
      </c>
      <c r="W24" s="2" t="s">
        <v>64</v>
      </c>
      <c r="X24" s="2" t="s">
        <v>406</v>
      </c>
      <c r="Y24" s="2" t="n">
        <f aca="false">INDEX(Ratings!$B$2:$B$239,MATCH(W24,Ratings!$A$2:$A$239,0))</f>
        <v>22</v>
      </c>
      <c r="Z24" s="2" t="n">
        <f aca="false">IF(X24="Home",Assumptions!$B$2,IF(X24="Away",-Assumptions!$B$2,0))</f>
        <v>2.5</v>
      </c>
      <c r="AA24" s="2" t="n">
        <f aca="false">NORMDIST($B24-Y24+Z24,0,Assumptions!$B$3,TRUE())</f>
        <v>0.344578258389676</v>
      </c>
      <c r="AB24" s="2" t="s">
        <v>251</v>
      </c>
      <c r="AC24" s="2" t="s">
        <v>406</v>
      </c>
      <c r="AD24" s="2" t="n">
        <f aca="false">INDEX(Ratings!$B$2:$B$239,MATCH(AB24,Ratings!$A$2:$A$239,0))</f>
        <v>-34</v>
      </c>
      <c r="AE24" s="2" t="n">
        <f aca="false">IF(AC24="Home",Assumptions!$B$2,IF(AC24="Away",-Assumptions!$B$2,0))</f>
        <v>2.5</v>
      </c>
      <c r="AF24" s="2" t="n">
        <f aca="false">NORMDIST($B24-AD24+AE24,0,Assumptions!$B$3,TRUE())</f>
        <v>0.999032396786782</v>
      </c>
      <c r="AG24" s="2" t="s">
        <v>93</v>
      </c>
      <c r="AH24" s="2" t="s">
        <v>406</v>
      </c>
      <c r="AI24" s="2" t="n">
        <f aca="false">INDEX(Ratings!$B$2:$B$239,MATCH(AG24,Ratings!$A$2:$A$239,0))</f>
        <v>8.6</v>
      </c>
      <c r="AJ24" s="2" t="n">
        <f aca="false">IF(AH24="Home",Assumptions!$B$2,IF(AH24="Away",-Assumptions!$B$2,0))</f>
        <v>2.5</v>
      </c>
      <c r="AK24" s="2" t="n">
        <f aca="false">NORMDIST($B24-AI24+AJ24,0,Assumptions!$B$3,TRUE())</f>
        <v>0.669125611959121</v>
      </c>
      <c r="AL24" s="2" t="s">
        <v>92</v>
      </c>
      <c r="AM24" s="2" t="s">
        <v>407</v>
      </c>
      <c r="AN24" s="2" t="n">
        <f aca="false">INDEX(Ratings!$B$2:$B$239,MATCH(AL24,Ratings!$A$2:$A$239,0))</f>
        <v>9.1</v>
      </c>
      <c r="AO24" s="2" t="n">
        <f aca="false">IF(AM24="Home",Assumptions!$B$2,IF(AM24="Away",-Assumptions!$B$2,0))</f>
        <v>-2.5</v>
      </c>
      <c r="AP24" s="2" t="n">
        <f aca="false">NORMDIST($B24-AN24+AO24,0,Assumptions!$B$3,TRUE())</f>
        <v>0.537346124555327</v>
      </c>
      <c r="AQ24" s="2" t="s">
        <v>133</v>
      </c>
      <c r="AR24" s="2" t="s">
        <v>407</v>
      </c>
      <c r="AS24" s="2" t="n">
        <f aca="false">INDEX(Ratings!$B$2:$B$239,MATCH(AQ24,Ratings!$A$2:$A$239,0))</f>
        <v>-1.9</v>
      </c>
      <c r="AT24" s="2" t="n">
        <f aca="false">IF(AR24="Home",Assumptions!$B$2,IF(AR24="Away",-Assumptions!$B$2,0))</f>
        <v>-2.5</v>
      </c>
      <c r="AU24" s="2" t="n">
        <f aca="false">NORMDIST($B24-AS24+AT24,0,Assumptions!$B$3,TRUE())</f>
        <v>0.782672264321914</v>
      </c>
      <c r="AV24" s="2" t="s">
        <v>99</v>
      </c>
      <c r="AW24" s="2" t="s">
        <v>406</v>
      </c>
      <c r="AX24" s="2" t="n">
        <f aca="false">INDEX(Ratings!$B$2:$B$239,MATCH(AV24,Ratings!$A$2:$A$239,0))</f>
        <v>5.9</v>
      </c>
      <c r="AY24" s="2" t="n">
        <f aca="false">IF(AW24="Home",Assumptions!$B$2,IF(AW24="Away",-Assumptions!$B$2,0))</f>
        <v>2.5</v>
      </c>
      <c r="AZ24" s="2" t="n">
        <f aca="false">NORMDIST($B24-AX24+AY24,0,Assumptions!$B$3,TRUE())</f>
        <v>0.727825622398045</v>
      </c>
      <c r="BA24" s="2" t="s">
        <v>102</v>
      </c>
      <c r="BB24" s="2" t="s">
        <v>407</v>
      </c>
      <c r="BC24" s="2" t="n">
        <f aca="false">INDEX(Ratings!$B$2:$B$239,MATCH(BA24,Ratings!$A$2:$A$239,0))</f>
        <v>5.6</v>
      </c>
      <c r="BD24" s="2" t="n">
        <f aca="false">IF(BB24="Home",Assumptions!$B$2,IF(BB24="Away",-Assumptions!$B$2,0))</f>
        <v>-2.5</v>
      </c>
      <c r="BE24" s="2" t="n">
        <f aca="false">NORMDIST($B24-BC24+BD24,0,Assumptions!$B$3,TRUE())</f>
        <v>0.622669718470157</v>
      </c>
      <c r="BF24" s="2" t="s">
        <v>81</v>
      </c>
      <c r="BG24" s="2" t="s">
        <v>406</v>
      </c>
      <c r="BH24" s="2" t="n">
        <f aca="false">INDEX(Ratings!$B$2:$B$239,MATCH(BF24,Ratings!$A$2:$A$239,0))</f>
        <v>12.6</v>
      </c>
      <c r="BI24" s="2" t="n">
        <f aca="false">IF(BG24="Home",Assumptions!$B$2,IF(BG24="Away",-Assumptions!$B$2,0))</f>
        <v>2.5</v>
      </c>
      <c r="BJ24" s="2" t="n">
        <f aca="false">NORMDIST($B24-BH24+BI24,0,Assumptions!$B$3,TRUE())</f>
        <v>0.574365688155897</v>
      </c>
      <c r="BP24" s="2" t="n">
        <v>12</v>
      </c>
      <c r="BQ24" s="2" t="n">
        <f aca="false">G24+L24+Q24+V24+AA24+AF24+AK24+AP24+AU24+AZ24+BE24+BJ24</f>
        <v>7.93610456941867</v>
      </c>
    </row>
    <row r="25" customFormat="false" ht="15" hidden="false" customHeight="false" outlineLevel="0" collapsed="false">
      <c r="A25" s="2" t="s">
        <v>81</v>
      </c>
      <c r="B25" s="2" t="n">
        <f aca="false">INDEX(Ratings!$B$2:$B$239,MATCH($A25,Ratings!$A$2:$A$239,0))</f>
        <v>12.6</v>
      </c>
      <c r="C25" s="2" t="s">
        <v>186</v>
      </c>
      <c r="D25" s="2" t="s">
        <v>406</v>
      </c>
      <c r="E25" s="2" t="n">
        <f aca="false">INDEX(Ratings!$B$2:$B$239,MATCH(C25,Ratings!$A$2:$A$239,0))</f>
        <v>-22.4</v>
      </c>
      <c r="F25" s="2" t="n">
        <f aca="false">IF(D25="Home",Assumptions!$B$2,IF(D25="Away",-Assumptions!$B$2,0))</f>
        <v>2.5</v>
      </c>
      <c r="G25" s="2" t="n">
        <f aca="false">NORMDIST($B25-E25+F25,0,Assumptions!$B$3,TRUE())</f>
        <v>0.990454518463614</v>
      </c>
      <c r="H25" s="2" t="s">
        <v>322</v>
      </c>
      <c r="I25" s="2" t="s">
        <v>406</v>
      </c>
      <c r="J25" s="2" t="n">
        <f aca="false">INDEX(Ratings!$B$2:$B$239,MATCH(H25,Ratings!$A$2:$A$239,0))</f>
        <v>-26</v>
      </c>
      <c r="K25" s="2" t="n">
        <f aca="false">IF(I25="Home",Assumptions!$B$2,IF(I25="Away",-Assumptions!$B$2,0))</f>
        <v>2.5</v>
      </c>
      <c r="L25" s="2" t="n">
        <f aca="false">NORMDIST($B25-J25+K25,0,Assumptions!$B$3,TRUE())</f>
        <v>0.994896696941652</v>
      </c>
      <c r="M25" s="2" t="s">
        <v>109</v>
      </c>
      <c r="N25" s="2" t="s">
        <v>406</v>
      </c>
      <c r="O25" s="2" t="n">
        <f aca="false">INDEX(Ratings!$B$2:$B$239,MATCH(M25,Ratings!$A$2:$A$239,0))</f>
        <v>4.8</v>
      </c>
      <c r="P25" s="2" t="n">
        <f aca="false">IF(N25="Home",Assumptions!$B$2,IF(N25="Away",-Assumptions!$B$2,0))</f>
        <v>2.5</v>
      </c>
      <c r="Q25" s="2" t="n">
        <f aca="false">NORMDIST($B25-O25+P25,0,Assumptions!$B$3,TRUE())</f>
        <v>0.740131219334939</v>
      </c>
      <c r="R25" s="2" t="s">
        <v>70</v>
      </c>
      <c r="S25" s="2" t="s">
        <v>407</v>
      </c>
      <c r="T25" s="2" t="n">
        <f aca="false">INDEX(Ratings!$B$2:$B$239,MATCH(R25,Ratings!$A$2:$A$239,0))</f>
        <v>17.6</v>
      </c>
      <c r="U25" s="2" t="n">
        <f aca="false">IF(S25="Home",Assumptions!$B$2,IF(S25="Away",-Assumptions!$B$2,0))</f>
        <v>-2.5</v>
      </c>
      <c r="V25" s="2" t="n">
        <f aca="false">NORMDIST($B25-T25+U25,0,Assumptions!$B$3,TRUE())</f>
        <v>0.319624171517118</v>
      </c>
      <c r="W25" s="2" t="s">
        <v>104</v>
      </c>
      <c r="X25" s="2" t="s">
        <v>406</v>
      </c>
      <c r="Y25" s="2" t="n">
        <f aca="false">INDEX(Ratings!$B$2:$B$239,MATCH(W25,Ratings!$A$2:$A$239,0))</f>
        <v>5.2</v>
      </c>
      <c r="Z25" s="2" t="n">
        <f aca="false">IF(X25="Home",Assumptions!$B$2,IF(X25="Away",-Assumptions!$B$2,0))</f>
        <v>2.5</v>
      </c>
      <c r="AA25" s="2" t="n">
        <f aca="false">NORMDIST($B25-Y25+Z25,0,Assumptions!$B$3,TRUE())</f>
        <v>0.731959467197592</v>
      </c>
      <c r="AB25" s="2" t="s">
        <v>77</v>
      </c>
      <c r="AC25" s="2" t="s">
        <v>407</v>
      </c>
      <c r="AD25" s="2" t="n">
        <f aca="false">INDEX(Ratings!$B$2:$B$239,MATCH(AB25,Ratings!$A$2:$A$239,0))</f>
        <v>15.2</v>
      </c>
      <c r="AE25" s="2" t="n">
        <f aca="false">IF(AC25="Home",Assumptions!$B$2,IF(AC25="Away",-Assumptions!$B$2,0))</f>
        <v>-2.5</v>
      </c>
      <c r="AF25" s="2" t="n">
        <f aca="false">NORMDIST($B25-AD25+AE25,0,Assumptions!$B$3,TRUE())</f>
        <v>0.374958048081219</v>
      </c>
      <c r="AG25" s="2" t="s">
        <v>71</v>
      </c>
      <c r="AH25" s="2" t="s">
        <v>406</v>
      </c>
      <c r="AI25" s="2" t="n">
        <f aca="false">INDEX(Ratings!$B$2:$B$239,MATCH(AG25,Ratings!$A$2:$A$239,0))</f>
        <v>17.3</v>
      </c>
      <c r="AJ25" s="2" t="n">
        <f aca="false">IF(AH25="Home",Assumptions!$B$2,IF(AH25="Away",-Assumptions!$B$2,0))</f>
        <v>2.5</v>
      </c>
      <c r="AK25" s="2" t="n">
        <f aca="false">NORMDIST($B25-AI25+AJ25,0,Assumptions!$B$3,TRUE())</f>
        <v>0.445317796372433</v>
      </c>
      <c r="AL25" s="2" t="s">
        <v>68</v>
      </c>
      <c r="AM25" s="2" t="s">
        <v>407</v>
      </c>
      <c r="AN25" s="2" t="n">
        <f aca="false">INDEX(Ratings!$B$2:$B$239,MATCH(AL25,Ratings!$A$2:$A$239,0))</f>
        <v>18.8</v>
      </c>
      <c r="AO25" s="2" t="n">
        <f aca="false">IF(AM25="Home",Assumptions!$B$2,IF(AM25="Away",-Assumptions!$B$2,0))</f>
        <v>-2.5</v>
      </c>
      <c r="AP25" s="2" t="n">
        <f aca="false">NORMDIST($B25-AN25+AO25,0,Assumptions!$B$3,TRUE())</f>
        <v>0.293306760083888</v>
      </c>
      <c r="AQ25" s="2" t="s">
        <v>66</v>
      </c>
      <c r="AR25" s="2" t="s">
        <v>406</v>
      </c>
      <c r="AS25" s="2" t="n">
        <f aca="false">INDEX(Ratings!$B$2:$B$239,MATCH(AQ25,Ratings!$A$2:$A$239,0))</f>
        <v>20.9</v>
      </c>
      <c r="AT25" s="2" t="n">
        <f aca="false">IF(AR25="Home",Assumptions!$B$2,IF(AR25="Away",-Assumptions!$B$2,0))</f>
        <v>2.5</v>
      </c>
      <c r="AU25" s="2" t="n">
        <f aca="false">NORMDIST($B25-AS25+AT25,0,Assumptions!$B$3,TRUE())</f>
        <v>0.358489211764908</v>
      </c>
      <c r="AV25" s="2" t="s">
        <v>101</v>
      </c>
      <c r="AW25" s="2" t="s">
        <v>407</v>
      </c>
      <c r="AX25" s="2" t="n">
        <f aca="false">INDEX(Ratings!$B$2:$B$239,MATCH(AV25,Ratings!$A$2:$A$239,0))</f>
        <v>5.6</v>
      </c>
      <c r="AY25" s="2" t="n">
        <f aca="false">IF(AW25="Home",Assumptions!$B$2,IF(AW25="Away",-Assumptions!$B$2,0))</f>
        <v>-2.5</v>
      </c>
      <c r="AZ25" s="2" t="n">
        <f aca="false">NORMDIST($B25-AX25+AY25,0,Assumptions!$B$3,TRUE())</f>
        <v>0.610740671392063</v>
      </c>
      <c r="BA25" s="2" t="s">
        <v>61</v>
      </c>
      <c r="BB25" s="2" t="s">
        <v>406</v>
      </c>
      <c r="BC25" s="2" t="n">
        <f aca="false">INDEX(Ratings!$B$2:$B$239,MATCH(BA25,Ratings!$A$2:$A$239,0))</f>
        <v>26.4</v>
      </c>
      <c r="BD25" s="2" t="n">
        <f aca="false">IF(BB25="Home",Assumptions!$B$2,IF(BB25="Away",-Assumptions!$B$2,0))</f>
        <v>2.5</v>
      </c>
      <c r="BE25" s="2" t="n">
        <f aca="false">NORMDIST($B25-BC25+BD25,0,Assumptions!$B$3,TRUE())</f>
        <v>0.240016340681267</v>
      </c>
      <c r="BF25" s="2" t="s">
        <v>80</v>
      </c>
      <c r="BG25" s="2" t="s">
        <v>407</v>
      </c>
      <c r="BH25" s="2" t="n">
        <f aca="false">INDEX(Ratings!$B$2:$B$239,MATCH(BF25,Ratings!$A$2:$A$239,0))</f>
        <v>13.1</v>
      </c>
      <c r="BI25" s="2" t="n">
        <f aca="false">IF(BG25="Home",Assumptions!$B$2,IF(BG25="Away",-Assumptions!$B$2,0))</f>
        <v>-2.5</v>
      </c>
      <c r="BJ25" s="2" t="n">
        <f aca="false">NORMDIST($B25-BH25+BI25,0,Assumptions!$B$3,TRUE())</f>
        <v>0.425634311844103</v>
      </c>
      <c r="BP25" s="2" t="n">
        <v>12</v>
      </c>
      <c r="BQ25" s="2" t="n">
        <f aca="false">G25+L25+Q25+V25+AA25+AF25+AK25+AP25+AU25+AZ25+BE25+BJ25</f>
        <v>6.5255292136748</v>
      </c>
    </row>
    <row r="26" customFormat="false" ht="15" hidden="false" customHeight="false" outlineLevel="0" collapsed="false">
      <c r="A26" s="2" t="s">
        <v>82</v>
      </c>
      <c r="B26" s="2" t="n">
        <f aca="false">INDEX(Ratings!$B$2:$B$239,MATCH($A26,Ratings!$A$2:$A$239,0))</f>
        <v>12.1</v>
      </c>
      <c r="C26" s="2" t="s">
        <v>92</v>
      </c>
      <c r="D26" s="2" t="s">
        <v>407</v>
      </c>
      <c r="E26" s="2" t="n">
        <f aca="false">INDEX(Ratings!$B$2:$B$239,MATCH(C26,Ratings!$A$2:$A$239,0))</f>
        <v>9.1</v>
      </c>
      <c r="F26" s="2" t="n">
        <f aca="false">IF(D26="Home",Assumptions!$B$2,IF(D26="Away",-Assumptions!$B$2,0))</f>
        <v>-2.5</v>
      </c>
      <c r="G26" s="2" t="n">
        <f aca="false">NORMDIST($B26-E26+F26,0,Assumptions!$B$3,TRUE())</f>
        <v>0.512464917434377</v>
      </c>
      <c r="H26" s="2" t="s">
        <v>325</v>
      </c>
      <c r="I26" s="2" t="s">
        <v>406</v>
      </c>
      <c r="J26" s="2" t="n">
        <f aca="false">INDEX(Ratings!$B$2:$B$239,MATCH(H26,Ratings!$A$2:$A$239,0))</f>
        <v>-15</v>
      </c>
      <c r="K26" s="2" t="n">
        <f aca="false">IF(I26="Home",Assumptions!$B$2,IF(I26="Away",-Assumptions!$B$2,0))</f>
        <v>2.5</v>
      </c>
      <c r="L26" s="2" t="n">
        <f aca="false">NORMDIST($B26-J26+K26,0,Assumptions!$B$3,TRUE())</f>
        <v>0.967843225204386</v>
      </c>
      <c r="M26" s="2" t="s">
        <v>84</v>
      </c>
      <c r="N26" s="2" t="s">
        <v>407</v>
      </c>
      <c r="O26" s="2" t="n">
        <f aca="false">INDEX(Ratings!$B$2:$B$239,MATCH(M26,Ratings!$A$2:$A$239,0))</f>
        <v>11.1</v>
      </c>
      <c r="P26" s="2" t="n">
        <f aca="false">IF(N26="Home",Assumptions!$B$2,IF(N26="Away",-Assumptions!$B$2,0))</f>
        <v>-2.5</v>
      </c>
      <c r="Q26" s="2" t="n">
        <f aca="false">NORMDIST($B26-O26+P26,0,Assumptions!$B$3,TRUE())</f>
        <v>0.462653875444673</v>
      </c>
      <c r="R26" s="2" t="s">
        <v>183</v>
      </c>
      <c r="S26" s="2" t="s">
        <v>406</v>
      </c>
      <c r="T26" s="2" t="n">
        <f aca="false">INDEX(Ratings!$B$2:$B$239,MATCH(R26,Ratings!$A$2:$A$239,0))</f>
        <v>-19.1</v>
      </c>
      <c r="U26" s="2" t="n">
        <f aca="false">IF(S26="Home",Assumptions!$B$2,IF(S26="Away",-Assumptions!$B$2,0))</f>
        <v>2.5</v>
      </c>
      <c r="V26" s="2" t="n">
        <f aca="false">NORMDIST($B26-T26+U26,0,Assumptions!$B$3,TRUE())</f>
        <v>0.982408678991955</v>
      </c>
      <c r="W26" s="2" t="s">
        <v>139</v>
      </c>
      <c r="X26" s="2" t="s">
        <v>406</v>
      </c>
      <c r="Y26" s="2" t="n">
        <f aca="false">INDEX(Ratings!$B$2:$B$239,MATCH(W26,Ratings!$A$2:$A$239,0))</f>
        <v>-2.5</v>
      </c>
      <c r="Z26" s="2" t="n">
        <f aca="false">IF(X26="Home",Assumptions!$B$2,IF(X26="Away",-Assumptions!$B$2,0))</f>
        <v>2.5</v>
      </c>
      <c r="AA26" s="2" t="n">
        <f aca="false">NORMDIST($B26-Y26+Z26,0,Assumptions!$B$3,TRUE())</f>
        <v>0.857408832578344</v>
      </c>
      <c r="AB26" s="2" t="s">
        <v>94</v>
      </c>
      <c r="AC26" s="2" t="s">
        <v>406</v>
      </c>
      <c r="AD26" s="2" t="n">
        <f aca="false">INDEX(Ratings!$B$2:$B$239,MATCH(AB26,Ratings!$A$2:$A$239,0))</f>
        <v>8.1</v>
      </c>
      <c r="AE26" s="2" t="n">
        <f aca="false">IF(AC26="Home",Assumptions!$B$2,IF(AC26="Away",-Assumptions!$B$2,0))</f>
        <v>2.5</v>
      </c>
      <c r="AF26" s="2" t="n">
        <f aca="false">NORMDIST($B26-AD26+AE26,0,Assumptions!$B$3,TRUE())</f>
        <v>0.657720540316049</v>
      </c>
      <c r="AG26" s="2" t="s">
        <v>117</v>
      </c>
      <c r="AH26" s="2" t="s">
        <v>406</v>
      </c>
      <c r="AI26" s="2" t="n">
        <f aca="false">INDEX(Ratings!$B$2:$B$239,MATCH(AG26,Ratings!$A$2:$A$239,0))</f>
        <v>3</v>
      </c>
      <c r="AJ26" s="2" t="n">
        <f aca="false">IF(AH26="Home",Assumptions!$B$2,IF(AH26="Away",-Assumptions!$B$2,0))</f>
        <v>2.5</v>
      </c>
      <c r="AK26" s="2" t="n">
        <f aca="false">NORMDIST($B26-AI26+AJ26,0,Assumptions!$B$3,TRUE())</f>
        <v>0.765773984787305</v>
      </c>
      <c r="AL26" s="2" t="s">
        <v>133</v>
      </c>
      <c r="AM26" s="2" t="s">
        <v>407</v>
      </c>
      <c r="AN26" s="2" t="n">
        <f aca="false">INDEX(Ratings!$B$2:$B$239,MATCH(AL26,Ratings!$A$2:$A$239,0))</f>
        <v>-1.9</v>
      </c>
      <c r="AO26" s="2" t="n">
        <f aca="false">IF(AM26="Home",Assumptions!$B$2,IF(AM26="Away",-Assumptions!$B$2,0))</f>
        <v>-2.5</v>
      </c>
      <c r="AP26" s="2" t="n">
        <f aca="false">NORMDIST($B26-AN26+AO26,0,Assumptions!$B$3,TRUE())</f>
        <v>0.763852515027146</v>
      </c>
      <c r="AQ26" s="2" t="s">
        <v>93</v>
      </c>
      <c r="AR26" s="2" t="s">
        <v>406</v>
      </c>
      <c r="AS26" s="2" t="n">
        <f aca="false">INDEX(Ratings!$B$2:$B$239,MATCH(AQ26,Ratings!$A$2:$A$239,0))</f>
        <v>8.6</v>
      </c>
      <c r="AT26" s="2" t="n">
        <f aca="false">IF(AR26="Home",Assumptions!$B$2,IF(AR26="Away",-Assumptions!$B$2,0))</f>
        <v>2.5</v>
      </c>
      <c r="AU26" s="2" t="n">
        <f aca="false">NORMDIST($B26-AS26+AT26,0,Assumptions!$B$3,TRUE())</f>
        <v>0.646169766672724</v>
      </c>
      <c r="AV26" s="2" t="s">
        <v>114</v>
      </c>
      <c r="AW26" s="2" t="s">
        <v>406</v>
      </c>
      <c r="AX26" s="2" t="n">
        <f aca="false">INDEX(Ratings!$B$2:$B$239,MATCH(AV26,Ratings!$A$2:$A$239,0))</f>
        <v>3.4</v>
      </c>
      <c r="AY26" s="2" t="n">
        <f aca="false">IF(AW26="Home",Assumptions!$B$2,IF(AW26="Away",-Assumptions!$B$2,0))</f>
        <v>2.5</v>
      </c>
      <c r="AZ26" s="2" t="n">
        <f aca="false">NORMDIST($B26-AX26+AY26,0,Assumptions!$B$3,TRUE())</f>
        <v>0.758036347776927</v>
      </c>
      <c r="BA26" s="2" t="s">
        <v>60</v>
      </c>
      <c r="BB26" s="2" t="s">
        <v>407</v>
      </c>
      <c r="BC26" s="2" t="n">
        <f aca="false">INDEX(Ratings!$B$2:$B$239,MATCH(BA26,Ratings!$A$2:$A$239,0))</f>
        <v>26.5</v>
      </c>
      <c r="BD26" s="2" t="n">
        <f aca="false">IF(BB26="Home",Assumptions!$B$2,IF(BB26="Away",-Assumptions!$B$2,0))</f>
        <v>-2.5</v>
      </c>
      <c r="BE26" s="2" t="n">
        <f aca="false">NORMDIST($B26-BC26+BD26,0,Assumptions!$B$3,TRUE())</f>
        <v>0.145427006388604</v>
      </c>
      <c r="BF26" s="2" t="s">
        <v>136</v>
      </c>
      <c r="BG26" s="2" t="s">
        <v>407</v>
      </c>
      <c r="BH26" s="2" t="n">
        <f aca="false">INDEX(Ratings!$B$2:$B$239,MATCH(BF26,Ratings!$A$2:$A$239,0))</f>
        <v>-2.3</v>
      </c>
      <c r="BI26" s="2" t="n">
        <f aca="false">IF(BG26="Home",Assumptions!$B$2,IF(BG26="Away",-Assumptions!$B$2,0))</f>
        <v>-2.5</v>
      </c>
      <c r="BJ26" s="2" t="n">
        <f aca="false">NORMDIST($B26-BH26+BI26,0,Assumptions!$B$3,TRUE())</f>
        <v>0.771486132875137</v>
      </c>
      <c r="BP26" s="2" t="n">
        <v>12</v>
      </c>
      <c r="BQ26" s="2" t="n">
        <f aca="false">G26+L26+Q26+V26+AA26+AF26+AK26+AP26+AU26+AZ26+BE26+BJ26</f>
        <v>8.29124582349763</v>
      </c>
    </row>
    <row r="27" customFormat="false" ht="15" hidden="false" customHeight="false" outlineLevel="0" collapsed="false">
      <c r="A27" s="2" t="s">
        <v>83</v>
      </c>
      <c r="B27" s="2" t="n">
        <f aca="false">INDEX(Ratings!$B$2:$B$239,MATCH($A27,Ratings!$A$2:$A$239,0))</f>
        <v>11.5</v>
      </c>
      <c r="C27" s="2" t="s">
        <v>111</v>
      </c>
      <c r="D27" s="2" t="s">
        <v>408</v>
      </c>
      <c r="E27" s="2" t="n">
        <f aca="false">INDEX(Ratings!$B$2:$B$239,MATCH(C27,Ratings!$A$2:$A$239,0))</f>
        <v>3.8</v>
      </c>
      <c r="F27" s="2" t="n">
        <f aca="false">IF(D27="Home",Assumptions!$B$2,IF(D27="Away",-Assumptions!$B$2,0))</f>
        <v>0</v>
      </c>
      <c r="G27" s="2" t="n">
        <f aca="false">NORMDIST($B27-E27+F27,0,Assumptions!$B$3,TRUE())</f>
        <v>0.684830585730692</v>
      </c>
      <c r="H27" s="2" t="s">
        <v>185</v>
      </c>
      <c r="I27" s="2" t="s">
        <v>406</v>
      </c>
      <c r="J27" s="2" t="n">
        <f aca="false">INDEX(Ratings!$B$2:$B$239,MATCH(H27,Ratings!$A$2:$A$239,0))</f>
        <v>-20.7</v>
      </c>
      <c r="K27" s="2" t="n">
        <f aca="false">IF(I27="Home",Assumptions!$B$2,IF(I27="Away",-Assumptions!$B$2,0))</f>
        <v>2.5</v>
      </c>
      <c r="L27" s="2" t="n">
        <f aca="false">NORMDIST($B27-J27+K27,0,Assumptions!$B$3,TRUE())</f>
        <v>0.984949165441982</v>
      </c>
      <c r="M27" s="2" t="s">
        <v>77</v>
      </c>
      <c r="N27" s="2" t="s">
        <v>406</v>
      </c>
      <c r="O27" s="2" t="n">
        <f aca="false">INDEX(Ratings!$B$2:$B$239,MATCH(M27,Ratings!$A$2:$A$239,0))</f>
        <v>15.2</v>
      </c>
      <c r="P27" s="2" t="n">
        <f aca="false">IF(N27="Home",Assumptions!$B$2,IF(N27="Away",-Assumptions!$B$2,0))</f>
        <v>2.5</v>
      </c>
      <c r="Q27" s="2" t="n">
        <f aca="false">NORMDIST($B27-O27+P27,0,Assumptions!$B$3,TRUE())</f>
        <v>0.470107355947105</v>
      </c>
      <c r="R27" s="2" t="s">
        <v>86</v>
      </c>
      <c r="S27" s="2" t="s">
        <v>406</v>
      </c>
      <c r="T27" s="2" t="n">
        <f aca="false">INDEX(Ratings!$B$2:$B$239,MATCH(R27,Ratings!$A$2:$A$239,0))</f>
        <v>9.8</v>
      </c>
      <c r="U27" s="2" t="n">
        <f aca="false">IF(S27="Home",Assumptions!$B$2,IF(S27="Away",-Assumptions!$B$2,0))</f>
        <v>2.5</v>
      </c>
      <c r="V27" s="2" t="n">
        <f aca="false">NORMDIST($B27-T27+U27,0,Assumptions!$B$3,TRUE())</f>
        <v>0.603532007320995</v>
      </c>
      <c r="W27" s="2" t="s">
        <v>71</v>
      </c>
      <c r="X27" s="2" t="s">
        <v>407</v>
      </c>
      <c r="Y27" s="2" t="n">
        <f aca="false">INDEX(Ratings!$B$2:$B$239,MATCH(W27,Ratings!$A$2:$A$239,0))</f>
        <v>17.3</v>
      </c>
      <c r="Z27" s="2" t="n">
        <f aca="false">IF(X27="Home",Assumptions!$B$2,IF(X27="Away",-Assumptions!$B$2,0))</f>
        <v>-2.5</v>
      </c>
      <c r="AA27" s="2" t="n">
        <f aca="false">NORMDIST($B27-Y27+Z27,0,Assumptions!$B$3,TRUE())</f>
        <v>0.301967544680181</v>
      </c>
      <c r="AB27" s="2" t="s">
        <v>61</v>
      </c>
      <c r="AC27" s="2" t="s">
        <v>407</v>
      </c>
      <c r="AD27" s="2" t="n">
        <f aca="false">INDEX(Ratings!$B$2:$B$239,MATCH(AB27,Ratings!$A$2:$A$239,0))</f>
        <v>26.4</v>
      </c>
      <c r="AE27" s="2" t="n">
        <f aca="false">IF(AC27="Home",Assumptions!$B$2,IF(AC27="Away",-Assumptions!$B$2,0))</f>
        <v>-2.5</v>
      </c>
      <c r="AF27" s="2" t="n">
        <f aca="false">NORMDIST($B27-AD27+AE27,0,Assumptions!$B$3,TRUE())</f>
        <v>0.138407949285097</v>
      </c>
      <c r="AG27" s="2" t="s">
        <v>67</v>
      </c>
      <c r="AH27" s="2" t="s">
        <v>406</v>
      </c>
      <c r="AI27" s="2" t="n">
        <f aca="false">INDEX(Ratings!$B$2:$B$239,MATCH(AG27,Ratings!$A$2:$A$239,0))</f>
        <v>20.4</v>
      </c>
      <c r="AJ27" s="2" t="n">
        <f aca="false">IF(AH27="Home",Assumptions!$B$2,IF(AH27="Away",-Assumptions!$B$2,0))</f>
        <v>2.5</v>
      </c>
      <c r="AK27" s="2" t="n">
        <f aca="false">NORMDIST($B27-AI27+AJ27,0,Assumptions!$B$3,TRUE())</f>
        <v>0.344578258389676</v>
      </c>
      <c r="AL27" s="2" t="s">
        <v>73</v>
      </c>
      <c r="AM27" s="2" t="s">
        <v>407</v>
      </c>
      <c r="AN27" s="2" t="n">
        <f aca="false">INDEX(Ratings!$B$2:$B$239,MATCH(AL27,Ratings!$A$2:$A$239,0))</f>
        <v>16.5</v>
      </c>
      <c r="AO27" s="2" t="n">
        <f aca="false">IF(AM27="Home",Assumptions!$B$2,IF(AM27="Away",-Assumptions!$B$2,0))</f>
        <v>-2.5</v>
      </c>
      <c r="AP27" s="2" t="n">
        <f aca="false">NORMDIST($B27-AN27+AO27,0,Assumptions!$B$3,TRUE())</f>
        <v>0.319624171517118</v>
      </c>
      <c r="AQ27" s="2" t="s">
        <v>101</v>
      </c>
      <c r="AR27" s="2" t="s">
        <v>406</v>
      </c>
      <c r="AS27" s="2" t="n">
        <f aca="false">INDEX(Ratings!$B$2:$B$239,MATCH(AQ27,Ratings!$A$2:$A$239,0))</f>
        <v>5.6</v>
      </c>
      <c r="AT27" s="2" t="n">
        <f aca="false">IF(AR27="Home",Assumptions!$B$2,IF(AR27="Away",-Assumptions!$B$2,0))</f>
        <v>2.5</v>
      </c>
      <c r="AU27" s="2" t="n">
        <f aca="false">NORMDIST($B27-AS27+AT27,0,Assumptions!$B$3,TRUE())</f>
        <v>0.700208404531304</v>
      </c>
      <c r="AV27" s="2" t="s">
        <v>109</v>
      </c>
      <c r="AW27" s="2" t="s">
        <v>407</v>
      </c>
      <c r="AX27" s="2" t="n">
        <f aca="false">INDEX(Ratings!$B$2:$B$239,MATCH(AV27,Ratings!$A$2:$A$239,0))</f>
        <v>4.8</v>
      </c>
      <c r="AY27" s="2" t="n">
        <f aca="false">IF(AW27="Home",Assumptions!$B$2,IF(AW27="Away",-Assumptions!$B$2,0))</f>
        <v>-2.5</v>
      </c>
      <c r="AZ27" s="2" t="n">
        <f aca="false">NORMDIST($B27-AX27+AY27,0,Assumptions!$B$3,TRUE())</f>
        <v>0.603532007320995</v>
      </c>
      <c r="BA27" s="2" t="s">
        <v>307</v>
      </c>
      <c r="BB27" s="2" t="s">
        <v>406</v>
      </c>
      <c r="BC27" s="2" t="n">
        <f aca="false">INDEX(Ratings!$B$2:$B$239,MATCH(BA27,Ratings!$A$2:$A$239,0))</f>
        <v>-30</v>
      </c>
      <c r="BD27" s="2" t="n">
        <f aca="false">IF(BB27="Home",Assumptions!$B$2,IF(BB27="Away",-Assumptions!$B$2,0))</f>
        <v>2.5</v>
      </c>
      <c r="BE27" s="2" t="n">
        <f aca="false">NORMDIST($B27-BC27+BD27,0,Assumptions!$B$3,TRUE())</f>
        <v>0.997020236764945</v>
      </c>
      <c r="BF27" s="2" t="s">
        <v>70</v>
      </c>
      <c r="BG27" s="2" t="s">
        <v>407</v>
      </c>
      <c r="BH27" s="2" t="n">
        <f aca="false">INDEX(Ratings!$B$2:$B$239,MATCH(BF27,Ratings!$A$2:$A$239,0))</f>
        <v>17.6</v>
      </c>
      <c r="BI27" s="2" t="n">
        <f aca="false">IF(BG27="Home",Assumptions!$B$2,IF(BG27="Away",-Assumptions!$B$2,0))</f>
        <v>-2.5</v>
      </c>
      <c r="BJ27" s="2" t="n">
        <f aca="false">NORMDIST($B27-BH27+BI27,0,Assumptions!$B$3,TRUE())</f>
        <v>0.295461142462736</v>
      </c>
      <c r="BP27" s="2" t="n">
        <v>12</v>
      </c>
      <c r="BQ27" s="2" t="n">
        <f aca="false">G27+L27+Q27+V27+AA27+AF27+AK27+AP27+AU27+AZ27+BE27+BJ27</f>
        <v>6.44421882939283</v>
      </c>
    </row>
    <row r="28" customFormat="false" ht="15" hidden="false" customHeight="false" outlineLevel="0" collapsed="false">
      <c r="A28" s="2" t="s">
        <v>84</v>
      </c>
      <c r="B28" s="2" t="n">
        <f aca="false">INDEX(Ratings!$B$2:$B$239,MATCH($A28,Ratings!$A$2:$A$239,0))</f>
        <v>11.1</v>
      </c>
      <c r="C28" s="2" t="s">
        <v>73</v>
      </c>
      <c r="D28" s="2" t="s">
        <v>408</v>
      </c>
      <c r="E28" s="2" t="n">
        <f aca="false">INDEX(Ratings!$B$2:$B$239,MATCH(C28,Ratings!$A$2:$A$239,0))</f>
        <v>16.5</v>
      </c>
      <c r="F28" s="2" t="n">
        <f aca="false">IF(D28="Home",Assumptions!$B$2,IF(D28="Away",-Assumptions!$B$2,0))</f>
        <v>0</v>
      </c>
      <c r="G28" s="2" t="n">
        <f aca="false">NORMDIST($B28-E28+F28,0,Assumptions!$B$3,TRUE())</f>
        <v>0.367870006071477</v>
      </c>
      <c r="H28" s="2" t="s">
        <v>331</v>
      </c>
      <c r="I28" s="2" t="s">
        <v>406</v>
      </c>
      <c r="J28" s="2" t="n">
        <f aca="false">INDEX(Ratings!$B$2:$B$239,MATCH(H28,Ratings!$A$2:$A$239,0))</f>
        <v>-18</v>
      </c>
      <c r="K28" s="2" t="n">
        <f aca="false">IF(I28="Home",Assumptions!$B$2,IF(I28="Away",-Assumptions!$B$2,0))</f>
        <v>2.5</v>
      </c>
      <c r="L28" s="2" t="n">
        <f aca="false">NORMDIST($B28-J28+K28,0,Assumptions!$B$3,TRUE())</f>
        <v>0.975865925995275</v>
      </c>
      <c r="M28" s="2" t="s">
        <v>82</v>
      </c>
      <c r="N28" s="2" t="s">
        <v>406</v>
      </c>
      <c r="O28" s="2" t="n">
        <f aca="false">INDEX(Ratings!$B$2:$B$239,MATCH(M28,Ratings!$A$2:$A$239,0))</f>
        <v>12.1</v>
      </c>
      <c r="P28" s="2" t="n">
        <f aca="false">IF(N28="Home",Assumptions!$B$2,IF(N28="Away",-Assumptions!$B$2,0))</f>
        <v>2.5</v>
      </c>
      <c r="Q28" s="2" t="n">
        <f aca="false">NORMDIST($B28-O28+P28,0,Assumptions!$B$3,TRUE())</f>
        <v>0.537346124555327</v>
      </c>
      <c r="R28" s="2" t="s">
        <v>114</v>
      </c>
      <c r="S28" s="2" t="s">
        <v>406</v>
      </c>
      <c r="T28" s="2" t="n">
        <f aca="false">INDEX(Ratings!$B$2:$B$239,MATCH(R28,Ratings!$A$2:$A$239,0))</f>
        <v>3.4</v>
      </c>
      <c r="U28" s="2" t="n">
        <f aca="false">IF(S28="Home",Assumptions!$B$2,IF(S28="Away",-Assumptions!$B$2,0))</f>
        <v>2.5</v>
      </c>
      <c r="V28" s="2" t="n">
        <f aca="false">NORMDIST($B28-T28+U28,0,Assumptions!$B$3,TRUE())</f>
        <v>0.73810039502306</v>
      </c>
      <c r="W28" s="2" t="s">
        <v>100</v>
      </c>
      <c r="X28" s="2" t="s">
        <v>407</v>
      </c>
      <c r="Y28" s="2" t="n">
        <f aca="false">INDEX(Ratings!$B$2:$B$239,MATCH(W28,Ratings!$A$2:$A$239,0))</f>
        <v>5.7</v>
      </c>
      <c r="Z28" s="2" t="n">
        <f aca="false">IF(X28="Home",Assumptions!$B$2,IF(X28="Away",-Assumptions!$B$2,0))</f>
        <v>-2.5</v>
      </c>
      <c r="AA28" s="2" t="n">
        <f aca="false">NORMDIST($B28-Y28+Z28,0,Assumptions!$B$3,TRUE())</f>
        <v>0.571914324931446</v>
      </c>
      <c r="AB28" s="2" t="s">
        <v>92</v>
      </c>
      <c r="AC28" s="2" t="s">
        <v>406</v>
      </c>
      <c r="AD28" s="2" t="n">
        <f aca="false">INDEX(Ratings!$B$2:$B$239,MATCH(AB28,Ratings!$A$2:$A$239,0))</f>
        <v>9.1</v>
      </c>
      <c r="AE28" s="2" t="n">
        <f aca="false">IF(AC28="Home",Assumptions!$B$2,IF(AC28="Away",-Assumptions!$B$2,0))</f>
        <v>2.5</v>
      </c>
      <c r="AF28" s="2" t="n">
        <f aca="false">NORMDIST($B28-AD28+AE28,0,Assumptions!$B$3,TRUE())</f>
        <v>0.610740671392063</v>
      </c>
      <c r="AG28" s="2" t="s">
        <v>133</v>
      </c>
      <c r="AH28" s="2" t="s">
        <v>407</v>
      </c>
      <c r="AI28" s="2" t="n">
        <f aca="false">INDEX(Ratings!$B$2:$B$239,MATCH(AG28,Ratings!$A$2:$A$239,0))</f>
        <v>-1.9</v>
      </c>
      <c r="AJ28" s="2" t="n">
        <f aca="false">IF(AH28="Home",Assumptions!$B$2,IF(AH28="Away",-Assumptions!$B$2,0))</f>
        <v>-2.5</v>
      </c>
      <c r="AK28" s="2" t="n">
        <f aca="false">NORMDIST($B28-AI28+AJ28,0,Assumptions!$B$3,TRUE())</f>
        <v>0.744168358652066</v>
      </c>
      <c r="AL28" s="2" t="s">
        <v>136</v>
      </c>
      <c r="AM28" s="2" t="s">
        <v>406</v>
      </c>
      <c r="AN28" s="2" t="n">
        <f aca="false">INDEX(Ratings!$B$2:$B$239,MATCH(AL28,Ratings!$A$2:$A$239,0))</f>
        <v>-2.3</v>
      </c>
      <c r="AO28" s="2" t="n">
        <f aca="false">IF(AM28="Home",Assumptions!$B$2,IF(AM28="Away",-Assumptions!$B$2,0))</f>
        <v>2.5</v>
      </c>
      <c r="AP28" s="2" t="n">
        <f aca="false">NORMDIST($B28-AN28+AO28,0,Assumptions!$B$3,TRUE())</f>
        <v>0.839827703080392</v>
      </c>
      <c r="AQ28" s="2" t="s">
        <v>99</v>
      </c>
      <c r="AR28" s="2" t="s">
        <v>407</v>
      </c>
      <c r="AS28" s="2" t="n">
        <f aca="false">INDEX(Ratings!$B$2:$B$239,MATCH(AQ28,Ratings!$A$2:$A$239,0))</f>
        <v>5.9</v>
      </c>
      <c r="AT28" s="2" t="n">
        <f aca="false">IF(AR28="Home",Assumptions!$B$2,IF(AR28="Away",-Assumptions!$B$2,0))</f>
        <v>-2.5</v>
      </c>
      <c r="AU28" s="2" t="n">
        <f aca="false">NORMDIST($B28-AS28+AT28,0,Assumptions!$B$3,TRUE())</f>
        <v>0.567003355806672</v>
      </c>
      <c r="AV28" s="2" t="s">
        <v>113</v>
      </c>
      <c r="AW28" s="2" t="s">
        <v>407</v>
      </c>
      <c r="AX28" s="2" t="n">
        <f aca="false">INDEX(Ratings!$B$2:$B$239,MATCH(AV28,Ratings!$A$2:$A$239,0))</f>
        <v>3.5</v>
      </c>
      <c r="AY28" s="2" t="n">
        <f aca="false">IF(AW28="Home",Assumptions!$B$2,IF(AW28="Away",-Assumptions!$B$2,0))</f>
        <v>-2.5</v>
      </c>
      <c r="AZ28" s="2" t="n">
        <f aca="false">NORMDIST($B28-AX28+AY28,0,Assumptions!$B$3,TRUE())</f>
        <v>0.625041951918781</v>
      </c>
      <c r="BA28" s="2" t="s">
        <v>98</v>
      </c>
      <c r="BB28" s="2" t="s">
        <v>406</v>
      </c>
      <c r="BC28" s="2" t="n">
        <f aca="false">INDEX(Ratings!$B$2:$B$239,MATCH(BA28,Ratings!$A$2:$A$239,0))</f>
        <v>6.2</v>
      </c>
      <c r="BD28" s="2" t="n">
        <f aca="false">IF(BB28="Home",Assumptions!$B$2,IF(BB28="Away",-Assumptions!$B$2,0))</f>
        <v>2.5</v>
      </c>
      <c r="BE28" s="2" t="n">
        <f aca="false">NORMDIST($B28-BC28+BD28,0,Assumptions!$B$3,TRUE())</f>
        <v>0.678138598836346</v>
      </c>
      <c r="BF28" s="2" t="s">
        <v>104</v>
      </c>
      <c r="BG28" s="2" t="s">
        <v>407</v>
      </c>
      <c r="BH28" s="2" t="n">
        <f aca="false">INDEX(Ratings!$B$2:$B$239,MATCH(BF28,Ratings!$A$2:$A$239,0))</f>
        <v>5.2</v>
      </c>
      <c r="BI28" s="2" t="n">
        <f aca="false">IF(BG28="Home",Assumptions!$B$2,IF(BG28="Away",-Assumptions!$B$2,0))</f>
        <v>-2.5</v>
      </c>
      <c r="BJ28" s="2" t="n">
        <f aca="false">NORMDIST($B28-BH28+BI28,0,Assumptions!$B$3,TRUE())</f>
        <v>0.584141511109092</v>
      </c>
      <c r="BP28" s="2" t="n">
        <v>12</v>
      </c>
      <c r="BQ28" s="2" t="n">
        <f aca="false">G28+L28+Q28+V28+AA28+AF28+AK28+AP28+AU28+AZ28+BE28+BJ28</f>
        <v>7.840158927372</v>
      </c>
    </row>
    <row r="29" customFormat="false" ht="15" hidden="false" customHeight="false" outlineLevel="0" collapsed="false">
      <c r="A29" s="2" t="s">
        <v>85</v>
      </c>
      <c r="B29" s="2" t="n">
        <f aca="false">INDEX(Ratings!$B$2:$B$239,MATCH($A29,Ratings!$A$2:$A$239,0))</f>
        <v>10.4</v>
      </c>
      <c r="C29" s="2" t="s">
        <v>181</v>
      </c>
      <c r="D29" s="2" t="s">
        <v>406</v>
      </c>
      <c r="E29" s="2" t="n">
        <f aca="false">INDEX(Ratings!$B$2:$B$239,MATCH(C29,Ratings!$A$2:$A$239,0))</f>
        <v>-17.5</v>
      </c>
      <c r="F29" s="2" t="n">
        <f aca="false">IF(D29="Home",Assumptions!$B$2,IF(D29="Away",-Assumptions!$B$2,0))</f>
        <v>2.5</v>
      </c>
      <c r="G29" s="2" t="n">
        <f aca="false">NORMDIST($B29-E29+F29,0,Assumptions!$B$3,TRUE())</f>
        <v>0.971283440183998</v>
      </c>
      <c r="H29" s="2" t="s">
        <v>102</v>
      </c>
      <c r="I29" s="2" t="s">
        <v>406</v>
      </c>
      <c r="J29" s="2" t="n">
        <f aca="false">INDEX(Ratings!$B$2:$B$239,MATCH(H29,Ratings!$A$2:$A$239,0))</f>
        <v>5.6</v>
      </c>
      <c r="K29" s="2" t="n">
        <f aca="false">IF(I29="Home",Assumptions!$B$2,IF(I29="Away",-Assumptions!$B$2,0))</f>
        <v>2.5</v>
      </c>
      <c r="L29" s="2" t="n">
        <f aca="false">NORMDIST($B29-J29+K29,0,Assumptions!$B$3,TRUE())</f>
        <v>0.675894892863138</v>
      </c>
      <c r="M29" s="2" t="s">
        <v>313</v>
      </c>
      <c r="N29" s="2" t="s">
        <v>406</v>
      </c>
      <c r="O29" s="2" t="n">
        <f aca="false">INDEX(Ratings!$B$2:$B$239,MATCH(M29,Ratings!$A$2:$A$239,0))</f>
        <v>-15</v>
      </c>
      <c r="P29" s="2" t="n">
        <f aca="false">IF(N29="Home",Assumptions!$B$2,IF(N29="Away",-Assumptions!$B$2,0))</f>
        <v>2.5</v>
      </c>
      <c r="Q29" s="2" t="n">
        <f aca="false">NORMDIST($B29-O29+P29,0,Assumptions!$B$3,TRUE())</f>
        <v>0.959398653720482</v>
      </c>
      <c r="R29" s="2" t="s">
        <v>58</v>
      </c>
      <c r="S29" s="2" t="s">
        <v>407</v>
      </c>
      <c r="T29" s="2" t="n">
        <f aca="false">INDEX(Ratings!$B$2:$B$239,MATCH(R29,Ratings!$A$2:$A$239,0))</f>
        <v>32.7</v>
      </c>
      <c r="U29" s="2" t="n">
        <f aca="false">IF(S29="Home",Assumptions!$B$2,IF(S29="Away",-Assumptions!$B$2,0))</f>
        <v>-2.5</v>
      </c>
      <c r="V29" s="2" t="n">
        <f aca="false">NORMDIST($B29-T29+U29,0,Assumptions!$B$3,TRUE())</f>
        <v>0.060570758002059</v>
      </c>
      <c r="W29" s="2" t="s">
        <v>135</v>
      </c>
      <c r="X29" s="2" t="s">
        <v>406</v>
      </c>
      <c r="Y29" s="2" t="n">
        <f aca="false">INDEX(Ratings!$B$2:$B$239,MATCH(W29,Ratings!$A$2:$A$239,0))</f>
        <v>-2.2</v>
      </c>
      <c r="Z29" s="2" t="n">
        <f aca="false">IF(X29="Home",Assumptions!$B$2,IF(X29="Away",-Assumptions!$B$2,0))</f>
        <v>2.5</v>
      </c>
      <c r="AA29" s="2" t="n">
        <f aca="false">NORMDIST($B29-Y29+Z29,0,Assumptions!$B$3,TRUE())</f>
        <v>0.82735129164233</v>
      </c>
      <c r="AB29" s="2" t="s">
        <v>119</v>
      </c>
      <c r="AC29" s="2" t="s">
        <v>407</v>
      </c>
      <c r="AD29" s="2" t="n">
        <f aca="false">INDEX(Ratings!$B$2:$B$239,MATCH(AB29,Ratings!$A$2:$A$239,0))</f>
        <v>2.2</v>
      </c>
      <c r="AE29" s="2" t="n">
        <f aca="false">IF(AC29="Home",Assumptions!$B$2,IF(AC29="Away",-Assumptions!$B$2,0))</f>
        <v>-2.5</v>
      </c>
      <c r="AF29" s="2" t="n">
        <f aca="false">NORMDIST($B29-AD29+AE29,0,Assumptions!$B$3,TRUE())</f>
        <v>0.639173324850217</v>
      </c>
      <c r="AG29" s="2" t="s">
        <v>59</v>
      </c>
      <c r="AH29" s="2" t="s">
        <v>406</v>
      </c>
      <c r="AI29" s="2" t="n">
        <f aca="false">INDEX(Ratings!$B$2:$B$239,MATCH(AG29,Ratings!$A$2:$A$239,0))</f>
        <v>29.2</v>
      </c>
      <c r="AJ29" s="2" t="n">
        <f aca="false">IF(AH29="Home",Assumptions!$B$2,IF(AH29="Away",-Assumptions!$B$2,0))</f>
        <v>2.5</v>
      </c>
      <c r="AK29" s="2" t="n">
        <f aca="false">NORMDIST($B29-AI29+AJ29,0,Assumptions!$B$3,TRUE())</f>
        <v>0.154160834280354</v>
      </c>
      <c r="AL29" s="2" t="s">
        <v>105</v>
      </c>
      <c r="AM29" s="2" t="s">
        <v>407</v>
      </c>
      <c r="AN29" s="2" t="n">
        <f aca="false">INDEX(Ratings!$B$2:$B$239,MATCH(AL29,Ratings!$A$2:$A$239,0))</f>
        <v>5.2</v>
      </c>
      <c r="AO29" s="2" t="n">
        <f aca="false">IF(AM29="Home",Assumptions!$B$2,IF(AM29="Away",-Assumptions!$B$2,0))</f>
        <v>-2.5</v>
      </c>
      <c r="AP29" s="2" t="n">
        <f aca="false">NORMDIST($B29-AN29+AO29,0,Assumptions!$B$3,TRUE())</f>
        <v>0.567003355806672</v>
      </c>
      <c r="AQ29" s="2" t="s">
        <v>90</v>
      </c>
      <c r="AR29" s="2" t="s">
        <v>406</v>
      </c>
      <c r="AS29" s="2" t="n">
        <f aca="false">INDEX(Ratings!$B$2:$B$239,MATCH(AQ29,Ratings!$A$2:$A$239,0))</f>
        <v>9.3</v>
      </c>
      <c r="AT29" s="2" t="n">
        <f aca="false">IF(AR29="Home",Assumptions!$B$2,IF(AR29="Away",-Assumptions!$B$2,0))</f>
        <v>2.5</v>
      </c>
      <c r="AU29" s="2" t="n">
        <f aca="false">NORMDIST($B29-AS29+AT29,0,Assumptions!$B$3,TRUE())</f>
        <v>0.58901036286873</v>
      </c>
      <c r="AV29" s="2" t="s">
        <v>103</v>
      </c>
      <c r="AW29" s="2" t="s">
        <v>407</v>
      </c>
      <c r="AX29" s="2" t="n">
        <f aca="false">INDEX(Ratings!$B$2:$B$239,MATCH(AV29,Ratings!$A$2:$A$239,0))</f>
        <v>5.4</v>
      </c>
      <c r="AY29" s="2" t="n">
        <f aca="false">IF(AW29="Home",Assumptions!$B$2,IF(AW29="Away",-Assumptions!$B$2,0))</f>
        <v>-2.5</v>
      </c>
      <c r="AZ29" s="2" t="n">
        <f aca="false">NORMDIST($B29-AX29+AY29,0,Assumptions!$B$3,TRUE())</f>
        <v>0.562082016808295</v>
      </c>
      <c r="BA29" s="2" t="s">
        <v>79</v>
      </c>
      <c r="BB29" s="2" t="s">
        <v>406</v>
      </c>
      <c r="BC29" s="2" t="n">
        <f aca="false">INDEX(Ratings!$B$2:$B$239,MATCH(BA29,Ratings!$A$2:$A$239,0))</f>
        <v>14.6</v>
      </c>
      <c r="BD29" s="2" t="n">
        <f aca="false">IF(BB29="Home",Assumptions!$B$2,IF(BB29="Away",-Assumptions!$B$2,0))</f>
        <v>2.5</v>
      </c>
      <c r="BE29" s="2" t="n">
        <f aca="false">NORMDIST($B29-BC29+BD29,0,Assumptions!$B$3,TRUE())</f>
        <v>0.457692000582065</v>
      </c>
      <c r="BF29" s="2" t="s">
        <v>107</v>
      </c>
      <c r="BG29" s="2" t="s">
        <v>407</v>
      </c>
      <c r="BH29" s="2" t="n">
        <f aca="false">INDEX(Ratings!$B$2:$B$239,MATCH(BF29,Ratings!$A$2:$A$239,0))</f>
        <v>5.1</v>
      </c>
      <c r="BI29" s="2" t="n">
        <f aca="false">IF(BG29="Home",Assumptions!$B$2,IF(BG29="Away",-Assumptions!$B$2,0))</f>
        <v>-2.5</v>
      </c>
      <c r="BJ29" s="2" t="n">
        <f aca="false">NORMDIST($B29-BH29+BI29,0,Assumptions!$B$3,TRUE())</f>
        <v>0.569460183207674</v>
      </c>
      <c r="BP29" s="2" t="n">
        <v>12</v>
      </c>
      <c r="BQ29" s="2" t="n">
        <f aca="false">G29+L29+Q29+V29+AA29+AF29+AK29+AP29+AU29+AZ29+BE29+BJ29</f>
        <v>7.03308111481601</v>
      </c>
    </row>
    <row r="30" customFormat="false" ht="15" hidden="false" customHeight="false" outlineLevel="0" collapsed="false">
      <c r="A30" s="2" t="s">
        <v>86</v>
      </c>
      <c r="B30" s="2" t="n">
        <f aca="false">INDEX(Ratings!$B$2:$B$239,MATCH($A30,Ratings!$A$2:$A$239,0))</f>
        <v>9.8</v>
      </c>
      <c r="C30" s="2" t="s">
        <v>243</v>
      </c>
      <c r="D30" s="2" t="s">
        <v>406</v>
      </c>
      <c r="E30" s="2" t="n">
        <f aca="false">INDEX(Ratings!$B$2:$B$239,MATCH(C30,Ratings!$A$2:$A$239,0))</f>
        <v>-33</v>
      </c>
      <c r="F30" s="2" t="n">
        <f aca="false">IF(D30="Home",Assumptions!$B$2,IF(D30="Away",-Assumptions!$B$2,0))</f>
        <v>2.5</v>
      </c>
      <c r="G30" s="2" t="n">
        <f aca="false">NORMDIST($B30-E30+F30,0,Assumptions!$B$3,TRUE())</f>
        <v>0.997681676775721</v>
      </c>
      <c r="H30" s="2" t="s">
        <v>170</v>
      </c>
      <c r="I30" s="2" t="s">
        <v>406</v>
      </c>
      <c r="J30" s="2" t="n">
        <f aca="false">INDEX(Ratings!$B$2:$B$239,MATCH(H30,Ratings!$A$2:$A$239,0))</f>
        <v>-12.9</v>
      </c>
      <c r="K30" s="2" t="n">
        <f aca="false">IF(I30="Home",Assumptions!$B$2,IF(I30="Away",-Assumptions!$B$2,0))</f>
        <v>2.5</v>
      </c>
      <c r="L30" s="2" t="n">
        <f aca="false">NORMDIST($B30-J30+K30,0,Assumptions!$B$3,TRUE())</f>
        <v>0.942371777723847</v>
      </c>
      <c r="M30" s="2" t="s">
        <v>100</v>
      </c>
      <c r="N30" s="2" t="s">
        <v>406</v>
      </c>
      <c r="O30" s="2" t="n">
        <f aca="false">INDEX(Ratings!$B$2:$B$239,MATCH(M30,Ratings!$A$2:$A$239,0))</f>
        <v>5.7</v>
      </c>
      <c r="P30" s="2" t="n">
        <f aca="false">IF(N30="Home",Assumptions!$B$2,IF(N30="Away",-Assumptions!$B$2,0))</f>
        <v>2.5</v>
      </c>
      <c r="Q30" s="2" t="n">
        <f aca="false">NORMDIST($B30-O30+P30,0,Assumptions!$B$3,TRUE())</f>
        <v>0.660013509650861</v>
      </c>
      <c r="R30" s="2" t="s">
        <v>83</v>
      </c>
      <c r="S30" s="2" t="s">
        <v>407</v>
      </c>
      <c r="T30" s="2" t="n">
        <f aca="false">INDEX(Ratings!$B$2:$B$239,MATCH(R30,Ratings!$A$2:$A$239,0))</f>
        <v>11.5</v>
      </c>
      <c r="U30" s="2" t="n">
        <f aca="false">IF(S30="Home",Assumptions!$B$2,IF(S30="Away",-Assumptions!$B$2,0))</f>
        <v>-2.5</v>
      </c>
      <c r="V30" s="2" t="n">
        <f aca="false">NORMDIST($B30-T30+U30,0,Assumptions!$B$3,TRUE())</f>
        <v>0.396467992679005</v>
      </c>
      <c r="W30" s="2" t="s">
        <v>61</v>
      </c>
      <c r="X30" s="2" t="s">
        <v>407</v>
      </c>
      <c r="Y30" s="2" t="n">
        <f aca="false">INDEX(Ratings!$B$2:$B$239,MATCH(W30,Ratings!$A$2:$A$239,0))</f>
        <v>26.4</v>
      </c>
      <c r="Z30" s="2" t="n">
        <f aca="false">IF(X30="Home",Assumptions!$B$2,IF(X30="Away",-Assumptions!$B$2,0))</f>
        <v>-2.5</v>
      </c>
      <c r="AA30" s="2" t="n">
        <f aca="false">NORMDIST($B30-Y30+Z30,0,Assumptions!$B$3,TRUE())</f>
        <v>0.116287887754489</v>
      </c>
      <c r="AB30" s="2" t="s">
        <v>73</v>
      </c>
      <c r="AC30" s="2" t="s">
        <v>406</v>
      </c>
      <c r="AD30" s="2" t="n">
        <f aca="false">INDEX(Ratings!$B$2:$B$239,MATCH(AB30,Ratings!$A$2:$A$239,0))</f>
        <v>16.5</v>
      </c>
      <c r="AE30" s="2" t="n">
        <f aca="false">IF(AC30="Home",Assumptions!$B$2,IF(AC30="Away",-Assumptions!$B$2,0))</f>
        <v>2.5</v>
      </c>
      <c r="AF30" s="2" t="n">
        <f aca="false">NORMDIST($B30-AD30+AE30,0,Assumptions!$B$3,TRUE())</f>
        <v>0.396467992679005</v>
      </c>
      <c r="AG30" s="2" t="s">
        <v>101</v>
      </c>
      <c r="AH30" s="2" t="s">
        <v>406</v>
      </c>
      <c r="AI30" s="2" t="n">
        <f aca="false">INDEX(Ratings!$B$2:$B$239,MATCH(AG30,Ratings!$A$2:$A$239,0))</f>
        <v>5.6</v>
      </c>
      <c r="AJ30" s="2" t="n">
        <f aca="false">IF(AH30="Home",Assumptions!$B$2,IF(AH30="Away",-Assumptions!$B$2,0))</f>
        <v>2.5</v>
      </c>
      <c r="AK30" s="2" t="n">
        <f aca="false">NORMDIST($B30-AI30+AJ30,0,Assumptions!$B$3,TRUE())</f>
        <v>0.662300575057129</v>
      </c>
      <c r="AL30" s="2" t="s">
        <v>104</v>
      </c>
      <c r="AM30" s="2" t="s">
        <v>407</v>
      </c>
      <c r="AN30" s="2" t="n">
        <f aca="false">INDEX(Ratings!$B$2:$B$239,MATCH(AL30,Ratings!$A$2:$A$239,0))</f>
        <v>5.2</v>
      </c>
      <c r="AO30" s="2" t="n">
        <f aca="false">IF(AM30="Home",Assumptions!$B$2,IF(AM30="Away",-Assumptions!$B$2,0))</f>
        <v>-2.5</v>
      </c>
      <c r="AP30" s="2" t="n">
        <f aca="false">NORMDIST($B30-AN30+AO30,0,Assumptions!$B$3,TRUE())</f>
        <v>0.552211228127385</v>
      </c>
      <c r="AQ30" s="2" t="s">
        <v>109</v>
      </c>
      <c r="AR30" s="2" t="s">
        <v>407</v>
      </c>
      <c r="AS30" s="2" t="n">
        <f aca="false">INDEX(Ratings!$B$2:$B$239,MATCH(AQ30,Ratings!$A$2:$A$239,0))</f>
        <v>4.8</v>
      </c>
      <c r="AT30" s="2" t="n">
        <f aca="false">IF(AR30="Home",Assumptions!$B$2,IF(AR30="Away",-Assumptions!$B$2,0))</f>
        <v>-2.5</v>
      </c>
      <c r="AU30" s="2" t="n">
        <f aca="false">NORMDIST($B30-AS30+AT30,0,Assumptions!$B$3,TRUE())</f>
        <v>0.562082016808295</v>
      </c>
      <c r="AV30" s="2" t="s">
        <v>70</v>
      </c>
      <c r="AW30" s="2" t="s">
        <v>406</v>
      </c>
      <c r="AX30" s="2" t="n">
        <f aca="false">INDEX(Ratings!$B$2:$B$239,MATCH(AV30,Ratings!$A$2:$A$239,0))</f>
        <v>17.6</v>
      </c>
      <c r="AY30" s="2" t="n">
        <f aca="false">IF(AW30="Home",Assumptions!$B$2,IF(AW30="Away",-Assumptions!$B$2,0))</f>
        <v>2.5</v>
      </c>
      <c r="AZ30" s="2" t="n">
        <f aca="false">NORMDIST($B30-AX30+AY30,0,Assumptions!$B$3,TRUE())</f>
        <v>0.370227827724972</v>
      </c>
      <c r="BA30" s="2" t="s">
        <v>77</v>
      </c>
      <c r="BB30" s="2" t="s">
        <v>407</v>
      </c>
      <c r="BC30" s="2" t="n">
        <f aca="false">INDEX(Ratings!$B$2:$B$239,MATCH(BA30,Ratings!$A$2:$A$239,0))</f>
        <v>15.2</v>
      </c>
      <c r="BD30" s="2" t="n">
        <f aca="false">IF(BB30="Home",Assumptions!$B$2,IF(BB30="Away",-Assumptions!$B$2,0))</f>
        <v>-2.5</v>
      </c>
      <c r="BE30" s="2" t="n">
        <f aca="false">NORMDIST($B30-BC30+BD30,0,Assumptions!$B$3,TRUE())</f>
        <v>0.310741374381306</v>
      </c>
      <c r="BF30" s="2" t="s">
        <v>71</v>
      </c>
      <c r="BG30" s="2" t="s">
        <v>406</v>
      </c>
      <c r="BH30" s="2" t="n">
        <f aca="false">INDEX(Ratings!$B$2:$B$239,MATCH(BF30,Ratings!$A$2:$A$239,0))</f>
        <v>17.3</v>
      </c>
      <c r="BI30" s="2" t="n">
        <f aca="false">IF(BG30="Home",Assumptions!$B$2,IF(BG30="Away",-Assumptions!$B$2,0))</f>
        <v>2.5</v>
      </c>
      <c r="BJ30" s="2" t="n">
        <f aca="false">NORMDIST($B30-BH30+BI30,0,Assumptions!$B$3,TRUE())</f>
        <v>0.377330281529843</v>
      </c>
      <c r="BP30" s="2" t="n">
        <v>12</v>
      </c>
      <c r="BQ30" s="2" t="n">
        <f aca="false">G30+L30+Q30+V30+AA30+AF30+AK30+AP30+AU30+AZ30+BE30+BJ30</f>
        <v>6.34418414089186</v>
      </c>
    </row>
    <row r="31" customFormat="false" ht="15" hidden="false" customHeight="false" outlineLevel="0" collapsed="false">
      <c r="A31" s="2" t="s">
        <v>87</v>
      </c>
      <c r="B31" s="2" t="n">
        <f aca="false">INDEX(Ratings!$B$2:$B$239,MATCH($A31,Ratings!$A$2:$A$239,0))</f>
        <v>9.8</v>
      </c>
      <c r="C31" s="2" t="s">
        <v>271</v>
      </c>
      <c r="D31" s="2" t="s">
        <v>406</v>
      </c>
      <c r="E31" s="2" t="n">
        <f aca="false">INDEX(Ratings!$B$2:$B$239,MATCH(C31,Ratings!$A$2:$A$239,0))</f>
        <v>-15</v>
      </c>
      <c r="F31" s="2" t="n">
        <f aca="false">IF(D31="Home",Assumptions!$B$2,IF(D31="Away",-Assumptions!$B$2,0))</f>
        <v>2.5</v>
      </c>
      <c r="G31" s="2" t="n">
        <f aca="false">NORMDIST($B31-E31+F31,0,Assumptions!$B$3,TRUE())</f>
        <v>0.956019228485642</v>
      </c>
      <c r="H31" s="2" t="s">
        <v>101</v>
      </c>
      <c r="I31" s="2" t="s">
        <v>406</v>
      </c>
      <c r="J31" s="2" t="n">
        <f aca="false">INDEX(Ratings!$B$2:$B$239,MATCH(H31,Ratings!$A$2:$A$239,0))</f>
        <v>5.6</v>
      </c>
      <c r="K31" s="2" t="n">
        <f aca="false">IF(I31="Home",Assumptions!$B$2,IF(I31="Away",-Assumptions!$B$2,0))</f>
        <v>2.5</v>
      </c>
      <c r="L31" s="2" t="n">
        <f aca="false">NORMDIST($B31-J31+K31,0,Assumptions!$B$3,TRUE())</f>
        <v>0.662300575057129</v>
      </c>
      <c r="M31" s="2" t="s">
        <v>153</v>
      </c>
      <c r="N31" s="2" t="s">
        <v>406</v>
      </c>
      <c r="O31" s="2" t="n">
        <f aca="false">INDEX(Ratings!$B$2:$B$239,MATCH(M31,Ratings!$A$2:$A$239,0))</f>
        <v>-7.9</v>
      </c>
      <c r="P31" s="2" t="n">
        <f aca="false">IF(N31="Home",Assumptions!$B$2,IF(N31="Away",-Assumptions!$B$2,0))</f>
        <v>2.5</v>
      </c>
      <c r="Q31" s="2" t="n">
        <f aca="false">NORMDIST($B31-O31+P31,0,Assumptions!$B$3,TRUE())</f>
        <v>0.89661553685184</v>
      </c>
      <c r="R31" s="2" t="s">
        <v>126</v>
      </c>
      <c r="S31" s="2" t="s">
        <v>407</v>
      </c>
      <c r="T31" s="2" t="n">
        <f aca="false">INDEX(Ratings!$B$2:$B$239,MATCH(R31,Ratings!$A$2:$A$239,0))</f>
        <v>-0.4</v>
      </c>
      <c r="U31" s="2" t="n">
        <f aca="false">IF(S31="Home",Assumptions!$B$2,IF(S31="Away",-Assumptions!$B$2,0))</f>
        <v>-2.5</v>
      </c>
      <c r="V31" s="2" t="n">
        <f aca="false">NORMDIST($B31-T31+U31,0,Assumptions!$B$3,TRUE())</f>
        <v>0.684830585730692</v>
      </c>
      <c r="W31" s="2" t="s">
        <v>115</v>
      </c>
      <c r="X31" s="2" t="s">
        <v>406</v>
      </c>
      <c r="Y31" s="2" t="n">
        <f aca="false">INDEX(Ratings!$B$2:$B$239,MATCH(W31,Ratings!$A$2:$A$239,0))</f>
        <v>3.3</v>
      </c>
      <c r="Z31" s="2" t="n">
        <f aca="false">IF(X31="Home",Assumptions!$B$2,IF(X31="Away",-Assumptions!$B$2,0))</f>
        <v>2.5</v>
      </c>
      <c r="AA31" s="2" t="n">
        <f aca="false">NORMDIST($B31-Y31+Z31,0,Assumptions!$B$3,TRUE())</f>
        <v>0.713112298183635</v>
      </c>
      <c r="AB31" s="2" t="s">
        <v>123</v>
      </c>
      <c r="AC31" s="2" t="s">
        <v>407</v>
      </c>
      <c r="AD31" s="2" t="n">
        <f aca="false">INDEX(Ratings!$B$2:$B$239,MATCH(AB31,Ratings!$A$2:$A$239,0))</f>
        <v>0.7</v>
      </c>
      <c r="AE31" s="2" t="n">
        <f aca="false">IF(AC31="Home",Assumptions!$B$2,IF(AC31="Away",-Assumptions!$B$2,0))</f>
        <v>-2.5</v>
      </c>
      <c r="AF31" s="2" t="n">
        <f aca="false">NORMDIST($B31-AD31+AE31,0,Assumptions!$B$3,TRUE())</f>
        <v>0.660013509650862</v>
      </c>
      <c r="AG31" s="2" t="s">
        <v>95</v>
      </c>
      <c r="AH31" s="2" t="s">
        <v>406</v>
      </c>
      <c r="AI31" s="2" t="n">
        <f aca="false">INDEX(Ratings!$B$2:$B$239,MATCH(AG31,Ratings!$A$2:$A$239,0))</f>
        <v>7.4</v>
      </c>
      <c r="AJ31" s="2" t="n">
        <f aca="false">IF(AH31="Home",Assumptions!$B$2,IF(AH31="Away",-Assumptions!$B$2,0))</f>
        <v>2.5</v>
      </c>
      <c r="AK31" s="2" t="n">
        <f aca="false">NORMDIST($B31-AI31+AJ31,0,Assumptions!$B$3,TRUE())</f>
        <v>0.620292847240567</v>
      </c>
      <c r="AL31" s="2" t="s">
        <v>116</v>
      </c>
      <c r="AM31" s="2" t="s">
        <v>407</v>
      </c>
      <c r="AN31" s="2" t="n">
        <f aca="false">INDEX(Ratings!$B$2:$B$239,MATCH(AL31,Ratings!$A$2:$A$239,0))</f>
        <v>3</v>
      </c>
      <c r="AO31" s="2" t="n">
        <f aca="false">IF(AM31="Home",Assumptions!$B$2,IF(AM31="Away",-Assumptions!$B$2,0))</f>
        <v>-2.5</v>
      </c>
      <c r="AP31" s="2" t="n">
        <f aca="false">NORMDIST($B31-AN31+AO31,0,Assumptions!$B$3,TRUE())</f>
        <v>0.605938963847754</v>
      </c>
      <c r="AQ31" s="2" t="s">
        <v>78</v>
      </c>
      <c r="AR31" s="2" t="s">
        <v>406</v>
      </c>
      <c r="AS31" s="2" t="n">
        <f aca="false">INDEX(Ratings!$B$2:$B$239,MATCH(AQ31,Ratings!$A$2:$A$239,0))</f>
        <v>14.9</v>
      </c>
      <c r="AT31" s="2" t="n">
        <f aca="false">IF(AR31="Home",Assumptions!$B$2,IF(AR31="Away",-Assumptions!$B$2,0))</f>
        <v>2.5</v>
      </c>
      <c r="AU31" s="2" t="n">
        <f aca="false">NORMDIST($B31-AS31+AT31,0,Assumptions!$B$3,TRUE())</f>
        <v>0.435456064137962</v>
      </c>
      <c r="AV31" s="2" t="s">
        <v>88</v>
      </c>
      <c r="AW31" s="2" t="s">
        <v>407</v>
      </c>
      <c r="AX31" s="2" t="n">
        <f aca="false">INDEX(Ratings!$B$2:$B$239,MATCH(AV31,Ratings!$A$2:$A$239,0))</f>
        <v>9.5</v>
      </c>
      <c r="AY31" s="2" t="n">
        <f aca="false">IF(AW31="Home",Assumptions!$B$2,IF(AW31="Away",-Assumptions!$B$2,0))</f>
        <v>-2.5</v>
      </c>
      <c r="AZ31" s="2" t="n">
        <f aca="false">NORMDIST($B31-AX31+AY31,0,Assumptions!$B$3,TRUE())</f>
        <v>0.445317796372433</v>
      </c>
      <c r="BA31" s="2" t="s">
        <v>89</v>
      </c>
      <c r="BB31" s="2" t="s">
        <v>407</v>
      </c>
      <c r="BC31" s="2" t="n">
        <f aca="false">INDEX(Ratings!$B$2:$B$239,MATCH(BA31,Ratings!$A$2:$A$239,0))</f>
        <v>9.4</v>
      </c>
      <c r="BD31" s="2" t="n">
        <f aca="false">IF(BB31="Home",Assumptions!$B$2,IF(BB31="Away",-Assumptions!$B$2,0))</f>
        <v>-2.5</v>
      </c>
      <c r="BE31" s="2" t="n">
        <f aca="false">NORMDIST($B31-BC31+BD31,0,Assumptions!$B$3,TRUE())</f>
        <v>0.447788771872615</v>
      </c>
      <c r="BF31" s="2" t="s">
        <v>129</v>
      </c>
      <c r="BG31" s="2" t="s">
        <v>406</v>
      </c>
      <c r="BH31" s="2" t="n">
        <f aca="false">INDEX(Ratings!$B$2:$B$239,MATCH(BF31,Ratings!$A$2:$A$239,0))</f>
        <v>-1.3</v>
      </c>
      <c r="BI31" s="2" t="n">
        <f aca="false">IF(BG31="Home",Assumptions!$B$2,IF(BG31="Away",-Assumptions!$B$2,0))</f>
        <v>2.5</v>
      </c>
      <c r="BJ31" s="2" t="n">
        <f aca="false">NORMDIST($B31-BH31+BI31,0,Assumptions!$B$3,TRUE())</f>
        <v>0.802337456877308</v>
      </c>
      <c r="BP31" s="2" t="n">
        <v>12</v>
      </c>
      <c r="BQ31" s="2" t="n">
        <f aca="false">G31+L31+Q31+V31+AA31+AF31+AK31+AP31+AU31+AZ31+BE31+BJ31</f>
        <v>7.93002363430844</v>
      </c>
    </row>
    <row r="32" customFormat="false" ht="15" hidden="false" customHeight="false" outlineLevel="0" collapsed="false">
      <c r="A32" s="2" t="s">
        <v>88</v>
      </c>
      <c r="B32" s="2" t="n">
        <f aca="false">INDEX(Ratings!$B$2:$B$239,MATCH($A32,Ratings!$A$2:$A$239,0))</f>
        <v>9.5</v>
      </c>
      <c r="C32" s="2" t="s">
        <v>297</v>
      </c>
      <c r="D32" s="2" t="s">
        <v>406</v>
      </c>
      <c r="E32" s="2" t="n">
        <f aca="false">INDEX(Ratings!$B$2:$B$239,MATCH(C32,Ratings!$A$2:$A$239,0))</f>
        <v>-23</v>
      </c>
      <c r="F32" s="2" t="n">
        <f aca="false">IF(D32="Home",Assumptions!$B$2,IF(D32="Away",-Assumptions!$B$2,0))</f>
        <v>2.5</v>
      </c>
      <c r="G32" s="2" t="n">
        <f aca="false">NORMDIST($B32-E32+F32,0,Assumptions!$B$3,TRUE())</f>
        <v>0.985646978391198</v>
      </c>
      <c r="H32" s="2" t="s">
        <v>78</v>
      </c>
      <c r="I32" s="2" t="s">
        <v>407</v>
      </c>
      <c r="J32" s="2" t="n">
        <f aca="false">INDEX(Ratings!$B$2:$B$239,MATCH(H32,Ratings!$A$2:$A$239,0))</f>
        <v>14.9</v>
      </c>
      <c r="K32" s="2" t="n">
        <f aca="false">IF(I32="Home",Assumptions!$B$2,IF(I32="Away",-Assumptions!$B$2,0))</f>
        <v>-2.5</v>
      </c>
      <c r="L32" s="2" t="n">
        <f aca="false">NORMDIST($B32-J32+K32,0,Assumptions!$B$3,TRUE())</f>
        <v>0.310741374381306</v>
      </c>
      <c r="M32" s="2" t="s">
        <v>180</v>
      </c>
      <c r="N32" s="2" t="s">
        <v>406</v>
      </c>
      <c r="O32" s="2" t="n">
        <f aca="false">INDEX(Ratings!$B$2:$B$239,MATCH(M32,Ratings!$A$2:$A$239,0))</f>
        <v>-17.2</v>
      </c>
      <c r="P32" s="2" t="n">
        <f aca="false">IF(N32="Home",Assumptions!$B$2,IF(N32="Away",-Assumptions!$B$2,0))</f>
        <v>2.5</v>
      </c>
      <c r="Q32" s="2" t="n">
        <f aca="false">NORMDIST($B32-O32+P32,0,Assumptions!$B$3,TRUE())</f>
        <v>0.965999485330178</v>
      </c>
      <c r="R32" s="2" t="s">
        <v>143</v>
      </c>
      <c r="S32" s="2" t="s">
        <v>407</v>
      </c>
      <c r="T32" s="2" t="n">
        <f aca="false">INDEX(Ratings!$B$2:$B$239,MATCH(R32,Ratings!$A$2:$A$239,0))</f>
        <v>-4.3</v>
      </c>
      <c r="U32" s="2" t="n">
        <f aca="false">IF(S32="Home",Assumptions!$B$2,IF(S32="Away",-Assumptions!$B$2,0))</f>
        <v>-2.5</v>
      </c>
      <c r="V32" s="2" t="n">
        <f aca="false">NORMDIST($B32-T32+U32,0,Assumptions!$B$3,TRUE())</f>
        <v>0.759983659318733</v>
      </c>
      <c r="W32" s="2" t="s">
        <v>116</v>
      </c>
      <c r="X32" s="2" t="s">
        <v>406</v>
      </c>
      <c r="Y32" s="2" t="n">
        <f aca="false">INDEX(Ratings!$B$2:$B$239,MATCH(W32,Ratings!$A$2:$A$239,0))</f>
        <v>3</v>
      </c>
      <c r="Z32" s="2" t="n">
        <f aca="false">IF(X32="Home",Assumptions!$B$2,IF(X32="Away",-Assumptions!$B$2,0))</f>
        <v>2.5</v>
      </c>
      <c r="AA32" s="2" t="n">
        <f aca="false">NORMDIST($B32-Y32+Z32,0,Assumptions!$B$3,TRUE())</f>
        <v>0.713112298183635</v>
      </c>
      <c r="AB32" s="2" t="s">
        <v>129</v>
      </c>
      <c r="AC32" s="2" t="s">
        <v>407</v>
      </c>
      <c r="AD32" s="2" t="n">
        <f aca="false">INDEX(Ratings!$B$2:$B$239,MATCH(AB32,Ratings!$A$2:$A$239,0))</f>
        <v>-1.3</v>
      </c>
      <c r="AE32" s="2" t="n">
        <f aca="false">IF(AC32="Home",Assumptions!$B$2,IF(AC32="Away",-Assumptions!$B$2,0))</f>
        <v>-2.5</v>
      </c>
      <c r="AF32" s="2" t="n">
        <f aca="false">NORMDIST($B32-AD32+AE32,0,Assumptions!$B$3,TRUE())</f>
        <v>0.698032455319819</v>
      </c>
      <c r="AG32" s="2" t="s">
        <v>126</v>
      </c>
      <c r="AH32" s="2" t="s">
        <v>406</v>
      </c>
      <c r="AI32" s="2" t="n">
        <f aca="false">INDEX(Ratings!$B$2:$B$239,MATCH(AG32,Ratings!$A$2:$A$239,0))</f>
        <v>-0.4</v>
      </c>
      <c r="AJ32" s="2" t="n">
        <f aca="false">IF(AH32="Home",Assumptions!$B$2,IF(AH32="Away",-Assumptions!$B$2,0))</f>
        <v>2.5</v>
      </c>
      <c r="AK32" s="2" t="n">
        <f aca="false">NORMDIST($B32-AI32+AJ32,0,Assumptions!$B$3,TRUE())</f>
        <v>0.780830170206623</v>
      </c>
      <c r="AL32" s="2" t="s">
        <v>65</v>
      </c>
      <c r="AM32" s="2" t="s">
        <v>407</v>
      </c>
      <c r="AN32" s="2" t="n">
        <f aca="false">INDEX(Ratings!$B$2:$B$239,MATCH(AL32,Ratings!$A$2:$A$239,0))</f>
        <v>21.8</v>
      </c>
      <c r="AO32" s="2" t="n">
        <f aca="false">IF(AM32="Home",Assumptions!$B$2,IF(AM32="Away",-Assumptions!$B$2,0))</f>
        <v>-2.5</v>
      </c>
      <c r="AP32" s="2" t="n">
        <f aca="false">NORMDIST($B32-AN32+AO32,0,Assumptions!$B$3,TRUE())</f>
        <v>0.177482953723232</v>
      </c>
      <c r="AQ32" s="2" t="s">
        <v>89</v>
      </c>
      <c r="AR32" s="2" t="s">
        <v>406</v>
      </c>
      <c r="AS32" s="2" t="n">
        <f aca="false">INDEX(Ratings!$B$2:$B$239,MATCH(AQ32,Ratings!$A$2:$A$239,0))</f>
        <v>9.4</v>
      </c>
      <c r="AT32" s="2" t="n">
        <f aca="false">IF(AR32="Home",Assumptions!$B$2,IF(AR32="Away",-Assumptions!$B$2,0))</f>
        <v>2.5</v>
      </c>
      <c r="AU32" s="2" t="n">
        <f aca="false">NORMDIST($B32-AS32+AT32,0,Assumptions!$B$3,TRUE())</f>
        <v>0.564543935862038</v>
      </c>
      <c r="AV32" s="2" t="s">
        <v>87</v>
      </c>
      <c r="AW32" s="2" t="s">
        <v>406</v>
      </c>
      <c r="AX32" s="2" t="n">
        <f aca="false">INDEX(Ratings!$B$2:$B$239,MATCH(AV32,Ratings!$A$2:$A$239,0))</f>
        <v>9.8</v>
      </c>
      <c r="AY32" s="2" t="n">
        <f aca="false">IF(AW32="Home",Assumptions!$B$2,IF(AW32="Away",-Assumptions!$B$2,0))</f>
        <v>2.5</v>
      </c>
      <c r="AZ32" s="2" t="n">
        <f aca="false">NORMDIST($B32-AX32+AY32,0,Assumptions!$B$3,TRUE())</f>
        <v>0.554682203627567</v>
      </c>
      <c r="BA32" s="2" t="s">
        <v>91</v>
      </c>
      <c r="BB32" s="2" t="s">
        <v>407</v>
      </c>
      <c r="BC32" s="2" t="n">
        <f aca="false">INDEX(Ratings!$B$2:$B$239,MATCH(BA32,Ratings!$A$2:$A$239,0))</f>
        <v>9.2</v>
      </c>
      <c r="BD32" s="2" t="n">
        <f aca="false">IF(BB32="Home",Assumptions!$B$2,IF(BB32="Away",-Assumptions!$B$2,0))</f>
        <v>-2.5</v>
      </c>
      <c r="BE32" s="2" t="n">
        <f aca="false">NORMDIST($B32-BC32+BD32,0,Assumptions!$B$3,TRUE())</f>
        <v>0.445317796372433</v>
      </c>
      <c r="BF32" s="2" t="s">
        <v>108</v>
      </c>
      <c r="BG32" s="2" t="s">
        <v>406</v>
      </c>
      <c r="BH32" s="2" t="n">
        <f aca="false">INDEX(Ratings!$B$2:$B$239,MATCH(BF32,Ratings!$A$2:$A$239,0))</f>
        <v>4.9</v>
      </c>
      <c r="BI32" s="2" t="n">
        <f aca="false">IF(BG32="Home",Assumptions!$B$2,IF(BG32="Away",-Assumptions!$B$2,0))</f>
        <v>2.5</v>
      </c>
      <c r="BJ32" s="2" t="n">
        <f aca="false">NORMDIST($B32-BH32+BI32,0,Assumptions!$B$3,TRUE())</f>
        <v>0.671388329230721</v>
      </c>
      <c r="BP32" s="2" t="n">
        <v>12</v>
      </c>
      <c r="BQ32" s="2" t="n">
        <f aca="false">G32+L32+Q32+V32+AA32+AF32+AK32+AP32+AU32+AZ32+BE32+BJ32</f>
        <v>7.62776163994748</v>
      </c>
    </row>
    <row r="33" customFormat="false" ht="15" hidden="false" customHeight="false" outlineLevel="0" collapsed="false">
      <c r="A33" s="2" t="s">
        <v>89</v>
      </c>
      <c r="B33" s="2" t="n">
        <f aca="false">INDEX(Ratings!$B$2:$B$239,MATCH($A33,Ratings!$A$2:$A$239,0))</f>
        <v>9.4</v>
      </c>
      <c r="C33" s="2" t="s">
        <v>113</v>
      </c>
      <c r="D33" s="2" t="s">
        <v>408</v>
      </c>
      <c r="E33" s="2" t="n">
        <f aca="false">INDEX(Ratings!$B$2:$B$239,MATCH(C33,Ratings!$A$2:$A$239,0))</f>
        <v>3.5</v>
      </c>
      <c r="F33" s="2" t="n">
        <f aca="false">IF(D33="Home",Assumptions!$B$2,IF(D33="Away",-Assumptions!$B$2,0))</f>
        <v>0</v>
      </c>
      <c r="G33" s="2" t="n">
        <f aca="false">NORMDIST($B33-E33+F33,0,Assumptions!$B$3,TRUE())</f>
        <v>0.643842961816324</v>
      </c>
      <c r="H33" s="2" t="s">
        <v>266</v>
      </c>
      <c r="I33" s="2" t="s">
        <v>406</v>
      </c>
      <c r="J33" s="2" t="n">
        <f aca="false">INDEX(Ratings!$B$2:$B$239,MATCH(H33,Ratings!$A$2:$A$239,0))</f>
        <v>-37</v>
      </c>
      <c r="K33" s="2" t="n">
        <f aca="false">IF(I33="Home",Assumptions!$B$2,IF(I33="Away",-Assumptions!$B$2,0))</f>
        <v>2.5</v>
      </c>
      <c r="L33" s="2" t="n">
        <f aca="false">NORMDIST($B33-J33+K33,0,Assumptions!$B$3,TRUE())</f>
        <v>0.998879378515777</v>
      </c>
      <c r="M33" s="2" t="s">
        <v>163</v>
      </c>
      <c r="N33" s="2" t="s">
        <v>406</v>
      </c>
      <c r="O33" s="2" t="n">
        <f aca="false">INDEX(Ratings!$B$2:$B$239,MATCH(M33,Ratings!$A$2:$A$239,0))</f>
        <v>-11.6</v>
      </c>
      <c r="P33" s="2" t="n">
        <f aca="false">IF(N33="Home",Assumptions!$B$2,IF(N33="Away",-Assumptions!$B$2,0))</f>
        <v>2.5</v>
      </c>
      <c r="Q33" s="2" t="n">
        <f aca="false">NORMDIST($B33-O33+P33,0,Assumptions!$B$3,TRUE())</f>
        <v>0.92904969486101</v>
      </c>
      <c r="R33" s="2" t="s">
        <v>120</v>
      </c>
      <c r="S33" s="2" t="s">
        <v>407</v>
      </c>
      <c r="T33" s="2" t="n">
        <f aca="false">INDEX(Ratings!$B$2:$B$239,MATCH(R33,Ratings!$A$2:$A$239,0))</f>
        <v>1.7</v>
      </c>
      <c r="U33" s="2" t="n">
        <f aca="false">IF(S33="Home",Assumptions!$B$2,IF(S33="Away",-Assumptions!$B$2,0))</f>
        <v>-2.5</v>
      </c>
      <c r="V33" s="2" t="n">
        <f aca="false">NORMDIST($B33-T33+U33,0,Assumptions!$B$3,TRUE())</f>
        <v>0.627409464153284</v>
      </c>
      <c r="W33" s="2" t="s">
        <v>78</v>
      </c>
      <c r="X33" s="2" t="s">
        <v>406</v>
      </c>
      <c r="Y33" s="2" t="n">
        <f aca="false">INDEX(Ratings!$B$2:$B$239,MATCH(W33,Ratings!$A$2:$A$239,0))</f>
        <v>14.9</v>
      </c>
      <c r="Z33" s="2" t="n">
        <f aca="false">IF(X33="Home",Assumptions!$B$2,IF(X33="Away",-Assumptions!$B$2,0))</f>
        <v>2.5</v>
      </c>
      <c r="AA33" s="2" t="n">
        <f aca="false">NORMDIST($B33-Y33+Z33,0,Assumptions!$B$3,TRUE())</f>
        <v>0.425634311844103</v>
      </c>
      <c r="AB33" s="2" t="s">
        <v>111</v>
      </c>
      <c r="AC33" s="2" t="s">
        <v>407</v>
      </c>
      <c r="AD33" s="2" t="n">
        <f aca="false">INDEX(Ratings!$B$2:$B$239,MATCH(AB33,Ratings!$A$2:$A$239,0))</f>
        <v>3.8</v>
      </c>
      <c r="AE33" s="2" t="n">
        <f aca="false">IF(AC33="Home",Assumptions!$B$2,IF(AC33="Away",-Assumptions!$B$2,0))</f>
        <v>-2.5</v>
      </c>
      <c r="AF33" s="2" t="n">
        <f aca="false">NORMDIST($B33-AD33+AE33,0,Assumptions!$B$3,TRUE())</f>
        <v>0.576814180380971</v>
      </c>
      <c r="AG33" s="2" t="s">
        <v>129</v>
      </c>
      <c r="AH33" s="2" t="s">
        <v>406</v>
      </c>
      <c r="AI33" s="2" t="n">
        <f aca="false">INDEX(Ratings!$B$2:$B$239,MATCH(AG33,Ratings!$A$2:$A$239,0))</f>
        <v>-1.3</v>
      </c>
      <c r="AJ33" s="2" t="n">
        <f aca="false">IF(AH33="Home",Assumptions!$B$2,IF(AH33="Away",-Assumptions!$B$2,0))</f>
        <v>2.5</v>
      </c>
      <c r="AK33" s="2" t="n">
        <f aca="false">NORMDIST($B33-AI33+AJ33,0,Assumptions!$B$3,TRUE())</f>
        <v>0.795314204652747</v>
      </c>
      <c r="AL33" s="2" t="s">
        <v>115</v>
      </c>
      <c r="AM33" s="2" t="s">
        <v>406</v>
      </c>
      <c r="AN33" s="2" t="n">
        <f aca="false">INDEX(Ratings!$B$2:$B$239,MATCH(AL33,Ratings!$A$2:$A$239,0))</f>
        <v>3.3</v>
      </c>
      <c r="AO33" s="2" t="n">
        <f aca="false">IF(AM33="Home",Assumptions!$B$2,IF(AM33="Away",-Assumptions!$B$2,0))</f>
        <v>2.5</v>
      </c>
      <c r="AP33" s="2" t="n">
        <f aca="false">NORMDIST($B33-AN33+AO33,0,Assumptions!$B$3,TRUE())</f>
        <v>0.704538857537264</v>
      </c>
      <c r="AQ33" s="2" t="s">
        <v>88</v>
      </c>
      <c r="AR33" s="2" t="s">
        <v>407</v>
      </c>
      <c r="AS33" s="2" t="n">
        <f aca="false">INDEX(Ratings!$B$2:$B$239,MATCH(AQ33,Ratings!$A$2:$A$239,0))</f>
        <v>9.5</v>
      </c>
      <c r="AT33" s="2" t="n">
        <f aca="false">IF(AR33="Home",Assumptions!$B$2,IF(AR33="Away",-Assumptions!$B$2,0))</f>
        <v>-2.5</v>
      </c>
      <c r="AU33" s="2" t="n">
        <f aca="false">NORMDIST($B33-AS33+AT33,0,Assumptions!$B$3,TRUE())</f>
        <v>0.435456064137962</v>
      </c>
      <c r="AV33" s="2" t="s">
        <v>91</v>
      </c>
      <c r="AW33" s="2" t="s">
        <v>406</v>
      </c>
      <c r="AX33" s="2" t="n">
        <f aca="false">INDEX(Ratings!$B$2:$B$239,MATCH(AV33,Ratings!$A$2:$A$239,0))</f>
        <v>9.2</v>
      </c>
      <c r="AY33" s="2" t="n">
        <f aca="false">IF(AW33="Home",Assumptions!$B$2,IF(AW33="Away",-Assumptions!$B$2,0))</f>
        <v>2.5</v>
      </c>
      <c r="AZ33" s="2" t="n">
        <f aca="false">NORMDIST($B33-AX33+AY33,0,Assumptions!$B$3,TRUE())</f>
        <v>0.567003355806672</v>
      </c>
      <c r="BA33" s="2" t="s">
        <v>87</v>
      </c>
      <c r="BB33" s="2" t="s">
        <v>406</v>
      </c>
      <c r="BC33" s="2" t="n">
        <f aca="false">INDEX(Ratings!$B$2:$B$239,MATCH(BA33,Ratings!$A$2:$A$239,0))</f>
        <v>9.8</v>
      </c>
      <c r="BD33" s="2" t="n">
        <f aca="false">IF(BB33="Home",Assumptions!$B$2,IF(BB33="Away",-Assumptions!$B$2,0))</f>
        <v>2.5</v>
      </c>
      <c r="BE33" s="2" t="n">
        <f aca="false">NORMDIST($B33-BC33+BD33,0,Assumptions!$B$3,TRUE())</f>
        <v>0.552211228127385</v>
      </c>
      <c r="BF33" s="2" t="s">
        <v>65</v>
      </c>
      <c r="BG33" s="2" t="s">
        <v>407</v>
      </c>
      <c r="BH33" s="2" t="n">
        <f aca="false">INDEX(Ratings!$B$2:$B$239,MATCH(BF33,Ratings!$A$2:$A$239,0))</f>
        <v>21.8</v>
      </c>
      <c r="BI33" s="2" t="n">
        <f aca="false">IF(BG33="Home",Assumptions!$B$2,IF(BG33="Away",-Assumptions!$B$2,0))</f>
        <v>-2.5</v>
      </c>
      <c r="BJ33" s="2" t="n">
        <f aca="false">NORMDIST($B33-BH33+BI33,0,Assumptions!$B$3,TRUE())</f>
        <v>0.175862129666074</v>
      </c>
      <c r="BP33" s="2" t="n">
        <v>12</v>
      </c>
      <c r="BQ33" s="2" t="n">
        <f aca="false">G33+L33+Q33+V33+AA33+AF33+AK33+AP33+AU33+AZ33+BE33+BJ33</f>
        <v>7.43201583149957</v>
      </c>
    </row>
    <row r="34" customFormat="false" ht="15" hidden="false" customHeight="false" outlineLevel="0" collapsed="false">
      <c r="A34" s="2" t="s">
        <v>90</v>
      </c>
      <c r="B34" s="2" t="n">
        <f aca="false">INDEX(Ratings!$B$2:$B$239,MATCH($A34,Ratings!$A$2:$A$239,0))</f>
        <v>9.3</v>
      </c>
      <c r="C34" s="2" t="s">
        <v>166</v>
      </c>
      <c r="D34" s="2" t="s">
        <v>406</v>
      </c>
      <c r="E34" s="2" t="n">
        <f aca="false">INDEX(Ratings!$B$2:$B$239,MATCH(C34,Ratings!$A$2:$A$239,0))</f>
        <v>-11.8</v>
      </c>
      <c r="F34" s="2" t="n">
        <f aca="false">IF(D34="Home",Assumptions!$B$2,IF(D34="Away",-Assumptions!$B$2,0))</f>
        <v>2.5</v>
      </c>
      <c r="G34" s="2" t="n">
        <f aca="false">NORMDIST($B34-E34+F34,0,Assumptions!$B$3,TRUE())</f>
        <v>0.929893728288777</v>
      </c>
      <c r="H34" s="2" t="s">
        <v>175</v>
      </c>
      <c r="I34" s="2" t="s">
        <v>406</v>
      </c>
      <c r="J34" s="2" t="n">
        <f aca="false">INDEX(Ratings!$B$2:$B$239,MATCH(H34,Ratings!$A$2:$A$239,0))</f>
        <v>-15</v>
      </c>
      <c r="K34" s="2" t="n">
        <f aca="false">IF(I34="Home",Assumptions!$B$2,IF(I34="Away",-Assumptions!$B$2,0))</f>
        <v>2.5</v>
      </c>
      <c r="L34" s="2" t="n">
        <f aca="false">NORMDIST($B34-J34+K34,0,Assumptions!$B$3,TRUE())</f>
        <v>0.953032884169254</v>
      </c>
      <c r="M34" s="2" t="s">
        <v>296</v>
      </c>
      <c r="N34" s="2" t="s">
        <v>406</v>
      </c>
      <c r="O34" s="2" t="n">
        <f aca="false">INDEX(Ratings!$B$2:$B$239,MATCH(M34,Ratings!$A$2:$A$239,0))</f>
        <v>-11</v>
      </c>
      <c r="P34" s="2" t="n">
        <f aca="false">IF(N34="Home",Assumptions!$B$2,IF(N34="Away",-Assumptions!$B$2,0))</f>
        <v>2.5</v>
      </c>
      <c r="Q34" s="2" t="n">
        <f aca="false">NORMDIST($B34-O34+P34,0,Assumptions!$B$3,TRUE())</f>
        <v>0.922921399447928</v>
      </c>
      <c r="R34" s="2" t="s">
        <v>119</v>
      </c>
      <c r="S34" s="2" t="s">
        <v>407</v>
      </c>
      <c r="T34" s="2" t="n">
        <f aca="false">INDEX(Ratings!$B$2:$B$239,MATCH(R34,Ratings!$A$2:$A$239,0))</f>
        <v>2.2</v>
      </c>
      <c r="U34" s="2" t="n">
        <f aca="false">IF(S34="Home",Assumptions!$B$2,IF(S34="Away",-Assumptions!$B$2,0))</f>
        <v>-2.5</v>
      </c>
      <c r="V34" s="2" t="n">
        <f aca="false">NORMDIST($B34-T34+U34,0,Assumptions!$B$3,TRUE())</f>
        <v>0.613135249031273</v>
      </c>
      <c r="W34" s="2" t="s">
        <v>105</v>
      </c>
      <c r="X34" s="2" t="s">
        <v>406</v>
      </c>
      <c r="Y34" s="2" t="n">
        <f aca="false">INDEX(Ratings!$B$2:$B$239,MATCH(W34,Ratings!$A$2:$A$239,0))</f>
        <v>5.2</v>
      </c>
      <c r="Z34" s="2" t="n">
        <f aca="false">IF(X34="Home",Assumptions!$B$2,IF(X34="Away",-Assumptions!$B$2,0))</f>
        <v>2.5</v>
      </c>
      <c r="AA34" s="2" t="n">
        <f aca="false">NORMDIST($B34-Y34+Z34,0,Assumptions!$B$3,TRUE())</f>
        <v>0.660013509650861</v>
      </c>
      <c r="AB34" s="2" t="s">
        <v>62</v>
      </c>
      <c r="AC34" s="2" t="s">
        <v>406</v>
      </c>
      <c r="AD34" s="2" t="n">
        <f aca="false">INDEX(Ratings!$B$2:$B$239,MATCH(AB34,Ratings!$A$2:$A$239,0))</f>
        <v>25.8</v>
      </c>
      <c r="AE34" s="2" t="n">
        <f aca="false">IF(AC34="Home",Assumptions!$B$2,IF(AC34="Away",-Assumptions!$B$2,0))</f>
        <v>2.5</v>
      </c>
      <c r="AF34" s="2" t="n">
        <f aca="false">NORMDIST($B34-AD34+AE34,0,Assumptions!$B$3,TRUE())</f>
        <v>0.190786952852511</v>
      </c>
      <c r="AG34" s="2" t="s">
        <v>59</v>
      </c>
      <c r="AH34" s="2" t="s">
        <v>407</v>
      </c>
      <c r="AI34" s="2" t="n">
        <f aca="false">INDEX(Ratings!$B$2:$B$239,MATCH(AG34,Ratings!$A$2:$A$239,0))</f>
        <v>29.2</v>
      </c>
      <c r="AJ34" s="2" t="n">
        <f aca="false">IF(AH34="Home",Assumptions!$B$2,IF(AH34="Away",-Assumptions!$B$2,0))</f>
        <v>-2.5</v>
      </c>
      <c r="AK34" s="2" t="n">
        <f aca="false">NORMDIST($B34-AI34+AJ34,0,Assumptions!$B$3,TRUE())</f>
        <v>0.080756659233771</v>
      </c>
      <c r="AL34" s="2" t="s">
        <v>75</v>
      </c>
      <c r="AM34" s="2" t="s">
        <v>406</v>
      </c>
      <c r="AN34" s="2" t="n">
        <f aca="false">INDEX(Ratings!$B$2:$B$239,MATCH(AL34,Ratings!$A$2:$A$239,0))</f>
        <v>15.8</v>
      </c>
      <c r="AO34" s="2" t="n">
        <f aca="false">IF(AM34="Home",Assumptions!$B$2,IF(AM34="Away",-Assumptions!$B$2,0))</f>
        <v>2.5</v>
      </c>
      <c r="AP34" s="2" t="n">
        <f aca="false">NORMDIST($B34-AN34+AO34,0,Assumptions!$B$3,TRUE())</f>
        <v>0.401293674317076</v>
      </c>
      <c r="AQ34" s="2" t="s">
        <v>85</v>
      </c>
      <c r="AR34" s="2" t="s">
        <v>407</v>
      </c>
      <c r="AS34" s="2" t="n">
        <f aca="false">INDEX(Ratings!$B$2:$B$239,MATCH(AQ34,Ratings!$A$2:$A$239,0))</f>
        <v>10.4</v>
      </c>
      <c r="AT34" s="2" t="n">
        <f aca="false">IF(AR34="Home",Assumptions!$B$2,IF(AR34="Away",-Assumptions!$B$2,0))</f>
        <v>-2.5</v>
      </c>
      <c r="AU34" s="2" t="n">
        <f aca="false">NORMDIST($B34-AS34+AT34,0,Assumptions!$B$3,TRUE())</f>
        <v>0.41098963713127</v>
      </c>
      <c r="AV34" s="2" t="s">
        <v>118</v>
      </c>
      <c r="AW34" s="2" t="s">
        <v>407</v>
      </c>
      <c r="AX34" s="2" t="n">
        <f aca="false">INDEX(Ratings!$B$2:$B$239,MATCH(AV34,Ratings!$A$2:$A$239,0))</f>
        <v>2.7</v>
      </c>
      <c r="AY34" s="2" t="n">
        <f aca="false">IF(AW34="Home",Assumptions!$B$2,IF(AW34="Away",-Assumptions!$B$2,0))</f>
        <v>-2.5</v>
      </c>
      <c r="AZ34" s="2" t="n">
        <f aca="false">NORMDIST($B34-AX34+AY34,0,Assumptions!$B$3,TRUE())</f>
        <v>0.601121098652944</v>
      </c>
      <c r="BA34" s="2" t="s">
        <v>58</v>
      </c>
      <c r="BB34" s="2" t="s">
        <v>406</v>
      </c>
      <c r="BC34" s="2" t="n">
        <f aca="false">INDEX(Ratings!$B$2:$B$239,MATCH(BA34,Ratings!$A$2:$A$239,0))</f>
        <v>32.7</v>
      </c>
      <c r="BD34" s="2" t="n">
        <f aca="false">IF(BB34="Home",Assumptions!$B$2,IF(BB34="Away",-Assumptions!$B$2,0))</f>
        <v>2.5</v>
      </c>
      <c r="BE34" s="2" t="n">
        <f aca="false">NORMDIST($B34-BC34+BD34,0,Assumptions!$B$3,TRUE())</f>
        <v>0.0957337772110985</v>
      </c>
      <c r="BF34" s="2" t="s">
        <v>79</v>
      </c>
      <c r="BG34" s="2" t="s">
        <v>407</v>
      </c>
      <c r="BH34" s="2" t="n">
        <f aca="false">INDEX(Ratings!$B$2:$B$239,MATCH(BF34,Ratings!$A$2:$A$239,0))</f>
        <v>14.6</v>
      </c>
      <c r="BI34" s="2" t="n">
        <f aca="false">IF(BG34="Home",Assumptions!$B$2,IF(BG34="Away",-Assumptions!$B$2,0))</f>
        <v>-2.5</v>
      </c>
      <c r="BJ34" s="2" t="n">
        <f aca="false">NORMDIST($B34-BH34+BI34,0,Assumptions!$B$3,TRUE())</f>
        <v>0.312952021417887</v>
      </c>
      <c r="BP34" s="2" t="n">
        <v>12</v>
      </c>
      <c r="BQ34" s="2" t="n">
        <f aca="false">G34+L34+Q34+V34+AA34+AF34+AK34+AP34+AU34+AZ34+BE34+BJ34</f>
        <v>6.17263059140465</v>
      </c>
    </row>
    <row r="35" customFormat="false" ht="15" hidden="false" customHeight="false" outlineLevel="0" collapsed="false">
      <c r="A35" s="2" t="s">
        <v>91</v>
      </c>
      <c r="B35" s="2" t="n">
        <f aca="false">INDEX(Ratings!$B$2:$B$239,MATCH($A35,Ratings!$A$2:$A$239,0))</f>
        <v>9.2</v>
      </c>
      <c r="C35" s="2" t="s">
        <v>292</v>
      </c>
      <c r="D35" s="2" t="s">
        <v>406</v>
      </c>
      <c r="E35" s="2" t="n">
        <f aca="false">INDEX(Ratings!$B$2:$B$239,MATCH(C35,Ratings!$A$2:$A$239,0))</f>
        <v>-30</v>
      </c>
      <c r="F35" s="2" t="n">
        <f aca="false">IF(D35="Home",Assumptions!$B$2,IF(D35="Away",-Assumptions!$B$2,0))</f>
        <v>2.5</v>
      </c>
      <c r="G35" s="2" t="n">
        <f aca="false">NORMDIST($B35-E35+F35,0,Assumptions!$B$3,TRUE())</f>
        <v>0.99542301894891</v>
      </c>
      <c r="H35" s="2" t="s">
        <v>143</v>
      </c>
      <c r="I35" s="2" t="s">
        <v>406</v>
      </c>
      <c r="J35" s="2" t="n">
        <f aca="false">INDEX(Ratings!$B$2:$B$239,MATCH(H35,Ratings!$A$2:$A$239,0))</f>
        <v>-4.3</v>
      </c>
      <c r="K35" s="2" t="n">
        <f aca="false">IF(I35="Home",Assumptions!$B$2,IF(I35="Away",-Assumptions!$B$2,0))</f>
        <v>2.5</v>
      </c>
      <c r="L35" s="2" t="n">
        <f aca="false">NORMDIST($B35-J35+K35,0,Assumptions!$B$3,TRUE())</f>
        <v>0.841344746068543</v>
      </c>
      <c r="M35" s="2" t="s">
        <v>144</v>
      </c>
      <c r="N35" s="2" t="s">
        <v>406</v>
      </c>
      <c r="O35" s="2" t="n">
        <f aca="false">INDEX(Ratings!$B$2:$B$239,MATCH(M35,Ratings!$A$2:$A$239,0))</f>
        <v>-4.3</v>
      </c>
      <c r="P35" s="2" t="n">
        <f aca="false">IF(N35="Home",Assumptions!$B$2,IF(N35="Away",-Assumptions!$B$2,0))</f>
        <v>2.5</v>
      </c>
      <c r="Q35" s="2" t="n">
        <f aca="false">NORMDIST($B35-O35+P35,0,Assumptions!$B$3,TRUE())</f>
        <v>0.841344746068543</v>
      </c>
      <c r="R35" s="2" t="s">
        <v>116</v>
      </c>
      <c r="S35" s="2" t="s">
        <v>407</v>
      </c>
      <c r="T35" s="2" t="n">
        <f aca="false">INDEX(Ratings!$B$2:$B$239,MATCH(R35,Ratings!$A$2:$A$239,0))</f>
        <v>3</v>
      </c>
      <c r="U35" s="2" t="n">
        <f aca="false">IF(S35="Home",Assumptions!$B$2,IF(S35="Away",-Assumptions!$B$2,0))</f>
        <v>-2.5</v>
      </c>
      <c r="V35" s="2" t="n">
        <f aca="false">NORMDIST($B35-T35+U35,0,Assumptions!$B$3,TRUE())</f>
        <v>0.591439705940164</v>
      </c>
      <c r="W35" s="2" t="s">
        <v>95</v>
      </c>
      <c r="X35" s="2" t="s">
        <v>406</v>
      </c>
      <c r="Y35" s="2" t="n">
        <f aca="false">INDEX(Ratings!$B$2:$B$239,MATCH(W35,Ratings!$A$2:$A$239,0))</f>
        <v>7.4</v>
      </c>
      <c r="Z35" s="2" t="n">
        <f aca="false">IF(X35="Home",Assumptions!$B$2,IF(X35="Away",-Assumptions!$B$2,0))</f>
        <v>2.5</v>
      </c>
      <c r="AA35" s="2" t="n">
        <f aca="false">NORMDIST($B35-Y35+Z35,0,Assumptions!$B$3,TRUE())</f>
        <v>0.605938963847754</v>
      </c>
      <c r="AB35" s="2" t="s">
        <v>115</v>
      </c>
      <c r="AC35" s="2" t="s">
        <v>406</v>
      </c>
      <c r="AD35" s="2" t="n">
        <f aca="false">INDEX(Ratings!$B$2:$B$239,MATCH(AB35,Ratings!$A$2:$A$239,0))</f>
        <v>3.3</v>
      </c>
      <c r="AE35" s="2" t="n">
        <f aca="false">IF(AC35="Home",Assumptions!$B$2,IF(AC35="Away",-Assumptions!$B$2,0))</f>
        <v>2.5</v>
      </c>
      <c r="AF35" s="2" t="n">
        <f aca="false">NORMDIST($B35-AD35+AE35,0,Assumptions!$B$3,TRUE())</f>
        <v>0.700208404531304</v>
      </c>
      <c r="AG35" s="2" t="s">
        <v>108</v>
      </c>
      <c r="AH35" s="2" t="s">
        <v>407</v>
      </c>
      <c r="AI35" s="2" t="n">
        <f aca="false">INDEX(Ratings!$B$2:$B$239,MATCH(AG35,Ratings!$A$2:$A$239,0))</f>
        <v>4.9</v>
      </c>
      <c r="AJ35" s="2" t="n">
        <f aca="false">IF(AH35="Home",Assumptions!$B$2,IF(AH35="Away",-Assumptions!$B$2,0))</f>
        <v>-2.5</v>
      </c>
      <c r="AK35" s="2" t="n">
        <f aca="false">NORMDIST($B35-AI35+AJ35,0,Assumptions!$B$3,TRUE())</f>
        <v>0.544786515128255</v>
      </c>
      <c r="AL35" s="2" t="s">
        <v>123</v>
      </c>
      <c r="AM35" s="2" t="s">
        <v>407</v>
      </c>
      <c r="AN35" s="2" t="n">
        <f aca="false">INDEX(Ratings!$B$2:$B$239,MATCH(AL35,Ratings!$A$2:$A$239,0))</f>
        <v>0.7</v>
      </c>
      <c r="AO35" s="2" t="n">
        <f aca="false">IF(AM35="Home",Assumptions!$B$2,IF(AM35="Away",-Assumptions!$B$2,0))</f>
        <v>-2.5</v>
      </c>
      <c r="AP35" s="2" t="n">
        <f aca="false">NORMDIST($B35-AN35+AO35,0,Assumptions!$B$3,TRUE())</f>
        <v>0.646169766672724</v>
      </c>
      <c r="AQ35" s="2" t="s">
        <v>96</v>
      </c>
      <c r="AR35" s="2" t="s">
        <v>406</v>
      </c>
      <c r="AS35" s="2" t="n">
        <f aca="false">INDEX(Ratings!$B$2:$B$239,MATCH(AQ35,Ratings!$A$2:$A$239,0))</f>
        <v>6.9</v>
      </c>
      <c r="AT35" s="2" t="n">
        <f aca="false">IF(AR35="Home",Assumptions!$B$2,IF(AR35="Away",-Assumptions!$B$2,0))</f>
        <v>2.5</v>
      </c>
      <c r="AU35" s="2" t="n">
        <f aca="false">NORMDIST($B35-AS35+AT35,0,Assumptions!$B$3,TRUE())</f>
        <v>0.617911422188953</v>
      </c>
      <c r="AV35" s="2" t="s">
        <v>89</v>
      </c>
      <c r="AW35" s="2" t="s">
        <v>407</v>
      </c>
      <c r="AX35" s="2" t="n">
        <f aca="false">INDEX(Ratings!$B$2:$B$239,MATCH(AV35,Ratings!$A$2:$A$239,0))</f>
        <v>9.4</v>
      </c>
      <c r="AY35" s="2" t="n">
        <f aca="false">IF(AW35="Home",Assumptions!$B$2,IF(AW35="Away",-Assumptions!$B$2,0))</f>
        <v>-2.5</v>
      </c>
      <c r="AZ35" s="2" t="n">
        <f aca="false">NORMDIST($B35-AX35+AY35,0,Assumptions!$B$3,TRUE())</f>
        <v>0.432996644193328</v>
      </c>
      <c r="BA35" s="2" t="s">
        <v>88</v>
      </c>
      <c r="BB35" s="2" t="s">
        <v>406</v>
      </c>
      <c r="BC35" s="2" t="n">
        <f aca="false">INDEX(Ratings!$B$2:$B$239,MATCH(BA35,Ratings!$A$2:$A$239,0))</f>
        <v>9.5</v>
      </c>
      <c r="BD35" s="2" t="n">
        <f aca="false">IF(BB35="Home",Assumptions!$B$2,IF(BB35="Away",-Assumptions!$B$2,0))</f>
        <v>2.5</v>
      </c>
      <c r="BE35" s="2" t="n">
        <f aca="false">NORMDIST($B35-BC35+BD35,0,Assumptions!$B$3,TRUE())</f>
        <v>0.554682203627567</v>
      </c>
      <c r="BF35" s="2" t="s">
        <v>126</v>
      </c>
      <c r="BG35" s="2" t="s">
        <v>407</v>
      </c>
      <c r="BH35" s="2" t="n">
        <f aca="false">INDEX(Ratings!$B$2:$B$239,MATCH(BF35,Ratings!$A$2:$A$239,0))</f>
        <v>-0.4</v>
      </c>
      <c r="BI35" s="2" t="n">
        <f aca="false">IF(BG35="Home",Assumptions!$B$2,IF(BG35="Away",-Assumptions!$B$2,0))</f>
        <v>-2.5</v>
      </c>
      <c r="BJ35" s="2" t="n">
        <f aca="false">NORMDIST($B35-BH35+BI35,0,Assumptions!$B$3,TRUE())</f>
        <v>0.671388329230721</v>
      </c>
      <c r="BP35" s="2" t="n">
        <v>12</v>
      </c>
      <c r="BQ35" s="2" t="n">
        <f aca="false">G35+L35+Q35+V35+AA35+AF35+AK35+AP35+AU35+AZ35+BE35+BJ35</f>
        <v>8.04363446644677</v>
      </c>
    </row>
    <row r="36" customFormat="false" ht="15" hidden="false" customHeight="false" outlineLevel="0" collapsed="false">
      <c r="A36" s="2" t="s">
        <v>92</v>
      </c>
      <c r="B36" s="2" t="n">
        <f aca="false">INDEX(Ratings!$B$2:$B$239,MATCH($A36,Ratings!$A$2:$A$239,0))</f>
        <v>9.1</v>
      </c>
      <c r="C36" s="2" t="s">
        <v>182</v>
      </c>
      <c r="D36" s="2" t="s">
        <v>406</v>
      </c>
      <c r="E36" s="2" t="n">
        <f aca="false">INDEX(Ratings!$B$2:$B$239,MATCH(C36,Ratings!$A$2:$A$239,0))</f>
        <v>-18.5</v>
      </c>
      <c r="F36" s="2" t="n">
        <f aca="false">IF(D36="Home",Assumptions!$B$2,IF(D36="Away",-Assumptions!$B$2,0))</f>
        <v>2.5</v>
      </c>
      <c r="G36" s="2" t="n">
        <f aca="false">NORMDIST($B36-E36+F36,0,Assumptions!$B$3,TRUE())</f>
        <v>0.970031040466775</v>
      </c>
      <c r="H36" s="2" t="s">
        <v>82</v>
      </c>
      <c r="I36" s="2" t="s">
        <v>406</v>
      </c>
      <c r="J36" s="2" t="n">
        <f aca="false">INDEX(Ratings!$B$2:$B$239,MATCH(H36,Ratings!$A$2:$A$239,0))</f>
        <v>12.1</v>
      </c>
      <c r="K36" s="2" t="n">
        <f aca="false">IF(I36="Home",Assumptions!$B$2,IF(I36="Away",-Assumptions!$B$2,0))</f>
        <v>2.5</v>
      </c>
      <c r="L36" s="2" t="n">
        <f aca="false">NORMDIST($B36-J36+K36,0,Assumptions!$B$3,TRUE())</f>
        <v>0.487535082565623</v>
      </c>
      <c r="M36" s="2" t="s">
        <v>70</v>
      </c>
      <c r="N36" s="2" t="s">
        <v>407</v>
      </c>
      <c r="O36" s="2" t="n">
        <f aca="false">INDEX(Ratings!$B$2:$B$239,MATCH(M36,Ratings!$A$2:$A$239,0))</f>
        <v>17.6</v>
      </c>
      <c r="P36" s="2" t="n">
        <f aca="false">IF(N36="Home",Assumptions!$B$2,IF(N36="Away",-Assumptions!$B$2,0))</f>
        <v>-2.5</v>
      </c>
      <c r="Q36" s="2" t="n">
        <f aca="false">NORMDIST($B36-O36+P36,0,Assumptions!$B$3,TRUE())</f>
        <v>0.245883850380261</v>
      </c>
      <c r="R36" s="2" t="s">
        <v>250</v>
      </c>
      <c r="S36" s="2" t="s">
        <v>406</v>
      </c>
      <c r="T36" s="2" t="n">
        <f aca="false">INDEX(Ratings!$B$2:$B$239,MATCH(R36,Ratings!$A$2:$A$239,0))</f>
        <v>-29</v>
      </c>
      <c r="U36" s="2" t="n">
        <f aca="false">IF(S36="Home",Assumptions!$B$2,IF(S36="Away",-Assumptions!$B$2,0))</f>
        <v>2.5</v>
      </c>
      <c r="V36" s="2" t="n">
        <f aca="false">NORMDIST($B36-T36+U36,0,Assumptions!$B$3,TRUE())</f>
        <v>0.994417631593983</v>
      </c>
      <c r="W36" s="2" t="s">
        <v>94</v>
      </c>
      <c r="X36" s="2" t="s">
        <v>406</v>
      </c>
      <c r="Y36" s="2" t="n">
        <f aca="false">INDEX(Ratings!$B$2:$B$239,MATCH(W36,Ratings!$A$2:$A$239,0))</f>
        <v>8.1</v>
      </c>
      <c r="Z36" s="2" t="n">
        <f aca="false">IF(X36="Home",Assumptions!$B$2,IF(X36="Away",-Assumptions!$B$2,0))</f>
        <v>2.5</v>
      </c>
      <c r="AA36" s="2" t="n">
        <f aca="false">NORMDIST($B36-Y36+Z36,0,Assumptions!$B$3,TRUE())</f>
        <v>0.586577601141551</v>
      </c>
      <c r="AB36" s="2" t="s">
        <v>84</v>
      </c>
      <c r="AC36" s="2" t="s">
        <v>407</v>
      </c>
      <c r="AD36" s="2" t="n">
        <f aca="false">INDEX(Ratings!$B$2:$B$239,MATCH(AB36,Ratings!$A$2:$A$239,0))</f>
        <v>11.1</v>
      </c>
      <c r="AE36" s="2" t="n">
        <f aca="false">IF(AC36="Home",Assumptions!$B$2,IF(AC36="Away",-Assumptions!$B$2,0))</f>
        <v>-2.5</v>
      </c>
      <c r="AF36" s="2" t="n">
        <f aca="false">NORMDIST($B36-AD36+AE36,0,Assumptions!$B$3,TRUE())</f>
        <v>0.389259328607937</v>
      </c>
      <c r="AG36" s="2" t="s">
        <v>64</v>
      </c>
      <c r="AH36" s="2" t="s">
        <v>407</v>
      </c>
      <c r="AI36" s="2" t="n">
        <f aca="false">INDEX(Ratings!$B$2:$B$239,MATCH(AG36,Ratings!$A$2:$A$239,0))</f>
        <v>22</v>
      </c>
      <c r="AJ36" s="2" t="n">
        <f aca="false">IF(AH36="Home",Assumptions!$B$2,IF(AH36="Away",-Assumptions!$B$2,0))</f>
        <v>-2.5</v>
      </c>
      <c r="AK36" s="2" t="n">
        <f aca="false">NORMDIST($B36-AI36+AJ36,0,Assumptions!$B$3,TRUE())</f>
        <v>0.167899251597676</v>
      </c>
      <c r="AL36" s="2" t="s">
        <v>80</v>
      </c>
      <c r="AM36" s="2" t="s">
        <v>406</v>
      </c>
      <c r="AN36" s="2" t="n">
        <f aca="false">INDEX(Ratings!$B$2:$B$239,MATCH(AL36,Ratings!$A$2:$A$239,0))</f>
        <v>13.1</v>
      </c>
      <c r="AO36" s="2" t="n">
        <f aca="false">IF(AM36="Home",Assumptions!$B$2,IF(AM36="Away",-Assumptions!$B$2,0))</f>
        <v>2.5</v>
      </c>
      <c r="AP36" s="2" t="n">
        <f aca="false">NORMDIST($B36-AN36+AO36,0,Assumptions!$B$3,TRUE())</f>
        <v>0.462653875444673</v>
      </c>
      <c r="AQ36" s="2" t="s">
        <v>139</v>
      </c>
      <c r="AR36" s="2" t="s">
        <v>407</v>
      </c>
      <c r="AS36" s="2" t="n">
        <f aca="false">INDEX(Ratings!$B$2:$B$239,MATCH(AQ36,Ratings!$A$2:$A$239,0))</f>
        <v>-2.5</v>
      </c>
      <c r="AT36" s="2" t="n">
        <f aca="false">IF(AR36="Home",Assumptions!$B$2,IF(AR36="Away",-Assumptions!$B$2,0))</f>
        <v>-2.5</v>
      </c>
      <c r="AU36" s="2" t="n">
        <f aca="false">NORMDIST($B36-AS36+AT36,0,Assumptions!$B$3,TRUE())</f>
        <v>0.715237094620453</v>
      </c>
      <c r="AV36" s="2" t="s">
        <v>98</v>
      </c>
      <c r="AW36" s="2" t="s">
        <v>407</v>
      </c>
      <c r="AX36" s="2" t="n">
        <f aca="false">INDEX(Ratings!$B$2:$B$239,MATCH(AV36,Ratings!$A$2:$A$239,0))</f>
        <v>6.2</v>
      </c>
      <c r="AY36" s="2" t="n">
        <f aca="false">IF(AW36="Home",Assumptions!$B$2,IF(AW36="Away",-Assumptions!$B$2,0))</f>
        <v>-2.5</v>
      </c>
      <c r="AZ36" s="2" t="n">
        <f aca="false">NORMDIST($B36-AX36+AY36,0,Assumptions!$B$3,TRUE())</f>
        <v>0.509972518195238</v>
      </c>
      <c r="BA36" s="2" t="s">
        <v>100</v>
      </c>
      <c r="BB36" s="2" t="s">
        <v>406</v>
      </c>
      <c r="BC36" s="2" t="n">
        <f aca="false">INDEX(Ratings!$B$2:$B$239,MATCH(BA36,Ratings!$A$2:$A$239,0))</f>
        <v>5.7</v>
      </c>
      <c r="BD36" s="2" t="n">
        <f aca="false">IF(BB36="Home",Assumptions!$B$2,IF(BB36="Away",-Assumptions!$B$2,0))</f>
        <v>2.5</v>
      </c>
      <c r="BE36" s="2" t="n">
        <f aca="false">NORMDIST($B36-BC36+BD36,0,Assumptions!$B$3,TRUE())</f>
        <v>0.643842961816324</v>
      </c>
      <c r="BF36" s="2" t="s">
        <v>77</v>
      </c>
      <c r="BG36" s="2" t="s">
        <v>406</v>
      </c>
      <c r="BH36" s="2" t="n">
        <f aca="false">INDEX(Ratings!$B$2:$B$239,MATCH(BF36,Ratings!$A$2:$A$239,0))</f>
        <v>15.2</v>
      </c>
      <c r="BI36" s="2" t="n">
        <f aca="false">IF(BG36="Home",Assumptions!$B$2,IF(BG36="Away",-Assumptions!$B$2,0))</f>
        <v>2.5</v>
      </c>
      <c r="BJ36" s="2" t="n">
        <f aca="false">NORMDIST($B36-BH36+BI36,0,Assumptions!$B$3,TRUE())</f>
        <v>0.41098963713127</v>
      </c>
      <c r="BP36" s="2" t="n">
        <v>12</v>
      </c>
      <c r="BQ36" s="2" t="n">
        <f aca="false">G36+L36+Q36+V36+AA36+AF36+AK36+AP36+AU36+AZ36+BE36+BJ36</f>
        <v>6.58429987356177</v>
      </c>
    </row>
    <row r="37" customFormat="false" ht="15" hidden="false" customHeight="false" outlineLevel="0" collapsed="false">
      <c r="A37" s="2" t="s">
        <v>93</v>
      </c>
      <c r="B37" s="2" t="n">
        <f aca="false">INDEX(Ratings!$B$2:$B$239,MATCH($A37,Ratings!$A$2:$A$239,0))</f>
        <v>8.6</v>
      </c>
      <c r="C37" s="2" t="s">
        <v>330</v>
      </c>
      <c r="D37" s="2" t="s">
        <v>406</v>
      </c>
      <c r="E37" s="2" t="n">
        <f aca="false">INDEX(Ratings!$B$2:$B$239,MATCH(C37,Ratings!$A$2:$A$239,0))</f>
        <v>-35</v>
      </c>
      <c r="F37" s="2" t="n">
        <f aca="false">IF(D37="Home",Assumptions!$B$2,IF(D37="Away",-Assumptions!$B$2,0))</f>
        <v>2.5</v>
      </c>
      <c r="G37" s="2" t="n">
        <f aca="false">NORMDIST($B37-E37+F37,0,Assumptions!$B$3,TRUE())</f>
        <v>0.998019493377932</v>
      </c>
      <c r="H37" s="2" t="s">
        <v>150</v>
      </c>
      <c r="I37" s="2" t="s">
        <v>406</v>
      </c>
      <c r="J37" s="2" t="n">
        <f aca="false">INDEX(Ratings!$B$2:$B$239,MATCH(H37,Ratings!$A$2:$A$239,0))</f>
        <v>-6.9</v>
      </c>
      <c r="K37" s="2" t="n">
        <f aca="false">IF(I37="Home",Assumptions!$B$2,IF(I37="Away",-Assumptions!$B$2,0))</f>
        <v>2.5</v>
      </c>
      <c r="L37" s="2" t="n">
        <f aca="false">NORMDIST($B37-J37+K37,0,Assumptions!$B$3,TRUE())</f>
        <v>0.869705482863191</v>
      </c>
      <c r="M37" s="2" t="s">
        <v>105</v>
      </c>
      <c r="N37" s="2" t="s">
        <v>407</v>
      </c>
      <c r="O37" s="2" t="n">
        <f aca="false">INDEX(Ratings!$B$2:$B$239,MATCH(M37,Ratings!$A$2:$A$239,0))</f>
        <v>5.2</v>
      </c>
      <c r="P37" s="2" t="n">
        <f aca="false">IF(N37="Home",Assumptions!$B$2,IF(N37="Away",-Assumptions!$B$2,0))</f>
        <v>-2.5</v>
      </c>
      <c r="Q37" s="2" t="n">
        <f aca="false">NORMDIST($B37-O37+P37,0,Assumptions!$B$3,TRUE())</f>
        <v>0.522428675027779</v>
      </c>
      <c r="R37" s="2" t="s">
        <v>139</v>
      </c>
      <c r="S37" s="2" t="s">
        <v>407</v>
      </c>
      <c r="T37" s="2" t="n">
        <f aca="false">INDEX(Ratings!$B$2:$B$239,MATCH(R37,Ratings!$A$2:$A$239,0))</f>
        <v>-2.5</v>
      </c>
      <c r="U37" s="2" t="n">
        <f aca="false">IF(S37="Home",Assumptions!$B$2,IF(S37="Away",-Assumptions!$B$2,0))</f>
        <v>-2.5</v>
      </c>
      <c r="V37" s="2" t="n">
        <f aca="false">NORMDIST($B37-T37+U37,0,Assumptions!$B$3,TRUE())</f>
        <v>0.704538857537264</v>
      </c>
      <c r="W37" s="2" t="s">
        <v>98</v>
      </c>
      <c r="X37" s="2" t="s">
        <v>406</v>
      </c>
      <c r="Y37" s="2" t="n">
        <f aca="false">INDEX(Ratings!$B$2:$B$239,MATCH(W37,Ratings!$A$2:$A$239,0))</f>
        <v>6.2</v>
      </c>
      <c r="Z37" s="2" t="n">
        <f aca="false">IF(X37="Home",Assumptions!$B$2,IF(X37="Away",-Assumptions!$B$2,0))</f>
        <v>2.5</v>
      </c>
      <c r="AA37" s="2" t="n">
        <f aca="false">NORMDIST($B37-Y37+Z37,0,Assumptions!$B$3,TRUE())</f>
        <v>0.620292847240567</v>
      </c>
      <c r="AB37" s="2" t="s">
        <v>117</v>
      </c>
      <c r="AC37" s="2" t="s">
        <v>407</v>
      </c>
      <c r="AD37" s="2" t="n">
        <f aca="false">INDEX(Ratings!$B$2:$B$239,MATCH(AB37,Ratings!$A$2:$A$239,0))</f>
        <v>3</v>
      </c>
      <c r="AE37" s="2" t="n">
        <f aca="false">IF(AC37="Home",Assumptions!$B$2,IF(AC37="Away",-Assumptions!$B$2,0))</f>
        <v>-2.5</v>
      </c>
      <c r="AF37" s="2" t="n">
        <f aca="false">NORMDIST($B37-AD37+AE37,0,Assumptions!$B$3,TRUE())</f>
        <v>0.576814180380971</v>
      </c>
      <c r="AG37" s="2" t="s">
        <v>99</v>
      </c>
      <c r="AH37" s="2" t="s">
        <v>406</v>
      </c>
      <c r="AI37" s="2" t="n">
        <f aca="false">INDEX(Ratings!$B$2:$B$239,MATCH(AG37,Ratings!$A$2:$A$239,0))</f>
        <v>5.9</v>
      </c>
      <c r="AJ37" s="2" t="n">
        <f aca="false">IF(AH37="Home",Assumptions!$B$2,IF(AH37="Away",-Assumptions!$B$2,0))</f>
        <v>2.5</v>
      </c>
      <c r="AK37" s="2" t="n">
        <f aca="false">NORMDIST($B37-AI37+AJ37,0,Assumptions!$B$3,TRUE())</f>
        <v>0.627409464153284</v>
      </c>
      <c r="AL37" s="2" t="s">
        <v>80</v>
      </c>
      <c r="AM37" s="2" t="s">
        <v>407</v>
      </c>
      <c r="AN37" s="2" t="n">
        <f aca="false">INDEX(Ratings!$B$2:$B$239,MATCH(AL37,Ratings!$A$2:$A$239,0))</f>
        <v>13.1</v>
      </c>
      <c r="AO37" s="2" t="n">
        <f aca="false">IF(AM37="Home",Assumptions!$B$2,IF(AM37="Away",-Assumptions!$B$2,0))</f>
        <v>-2.5</v>
      </c>
      <c r="AP37" s="2" t="n">
        <f aca="false">NORMDIST($B37-AN37+AO37,0,Assumptions!$B$3,TRUE())</f>
        <v>0.330874388040879</v>
      </c>
      <c r="AQ37" s="2" t="s">
        <v>82</v>
      </c>
      <c r="AR37" s="2" t="s">
        <v>407</v>
      </c>
      <c r="AS37" s="2" t="n">
        <f aca="false">INDEX(Ratings!$B$2:$B$239,MATCH(AQ37,Ratings!$A$2:$A$239,0))</f>
        <v>12.1</v>
      </c>
      <c r="AT37" s="2" t="n">
        <f aca="false">IF(AR37="Home",Assumptions!$B$2,IF(AR37="Away",-Assumptions!$B$2,0))</f>
        <v>-2.5</v>
      </c>
      <c r="AU37" s="2" t="n">
        <f aca="false">NORMDIST($B37-AS37+AT37,0,Assumptions!$B$3,TRUE())</f>
        <v>0.353830233327276</v>
      </c>
      <c r="AV37" s="2" t="s">
        <v>136</v>
      </c>
      <c r="AW37" s="2" t="s">
        <v>406</v>
      </c>
      <c r="AX37" s="2" t="n">
        <f aca="false">INDEX(Ratings!$B$2:$B$239,MATCH(AV37,Ratings!$A$2:$A$239,0))</f>
        <v>-2.3</v>
      </c>
      <c r="AY37" s="2" t="n">
        <f aca="false">IF(AW37="Home",Assumptions!$B$2,IF(AW37="Away",-Assumptions!$B$2,0))</f>
        <v>2.5</v>
      </c>
      <c r="AZ37" s="2" t="n">
        <f aca="false">NORMDIST($B37-AX37+AY37,0,Assumptions!$B$3,TRUE())</f>
        <v>0.798844211525758</v>
      </c>
      <c r="BA37" s="2" t="s">
        <v>64</v>
      </c>
      <c r="BB37" s="2" t="s">
        <v>407</v>
      </c>
      <c r="BC37" s="2" t="n">
        <f aca="false">INDEX(Ratings!$B$2:$B$239,MATCH(BA37,Ratings!$A$2:$A$239,0))</f>
        <v>22</v>
      </c>
      <c r="BD37" s="2" t="n">
        <f aca="false">IF(BB37="Home",Assumptions!$B$2,IF(BB37="Away",-Assumptions!$B$2,0))</f>
        <v>-2.5</v>
      </c>
      <c r="BE37" s="2" t="n">
        <f aca="false">NORMDIST($B37-BC37+BD37,0,Assumptions!$B$3,TRUE())</f>
        <v>0.160172296919608</v>
      </c>
      <c r="BF37" s="2" t="s">
        <v>94</v>
      </c>
      <c r="BG37" s="2" t="s">
        <v>406</v>
      </c>
      <c r="BH37" s="2" t="n">
        <f aca="false">INDEX(Ratings!$B$2:$B$239,MATCH(BF37,Ratings!$A$2:$A$239,0))</f>
        <v>8.1</v>
      </c>
      <c r="BI37" s="2" t="n">
        <f aca="false">IF(BG37="Home",Assumptions!$B$2,IF(BG37="Away",-Assumptions!$B$2,0))</f>
        <v>2.5</v>
      </c>
      <c r="BJ37" s="2" t="n">
        <f aca="false">NORMDIST($B37-BH37+BI37,0,Assumptions!$B$3,TRUE())</f>
        <v>0.574365688155897</v>
      </c>
      <c r="BP37" s="2" t="n">
        <v>12</v>
      </c>
      <c r="BQ37" s="2" t="n">
        <f aca="false">G37+L37+Q37+V37+AA37+AF37+AK37+AP37+AU37+AZ37+BE37+BJ37</f>
        <v>7.1372958185504</v>
      </c>
    </row>
    <row r="38" customFormat="false" ht="15" hidden="false" customHeight="false" outlineLevel="0" collapsed="false">
      <c r="A38" s="2" t="s">
        <v>94</v>
      </c>
      <c r="B38" s="2" t="n">
        <f aca="false">INDEX(Ratings!$B$2:$B$239,MATCH($A38,Ratings!$A$2:$A$239,0))</f>
        <v>8.1</v>
      </c>
      <c r="C38" s="2" t="s">
        <v>100</v>
      </c>
      <c r="D38" s="2" t="s">
        <v>406</v>
      </c>
      <c r="E38" s="2" t="n">
        <f aca="false">INDEX(Ratings!$B$2:$B$239,MATCH(C38,Ratings!$A$2:$A$239,0))</f>
        <v>5.7</v>
      </c>
      <c r="F38" s="2" t="n">
        <f aca="false">IF(D38="Home",Assumptions!$B$2,IF(D38="Away",-Assumptions!$B$2,0))</f>
        <v>2.5</v>
      </c>
      <c r="G38" s="2" t="n">
        <f aca="false">NORMDIST($B38-E38+F38,0,Assumptions!$B$3,TRUE())</f>
        <v>0.620292847240567</v>
      </c>
      <c r="H38" s="2" t="s">
        <v>293</v>
      </c>
      <c r="I38" s="2" t="s">
        <v>406</v>
      </c>
      <c r="J38" s="2" t="n">
        <f aca="false">INDEX(Ratings!$B$2:$B$239,MATCH(H38,Ratings!$A$2:$A$239,0))</f>
        <v>-39</v>
      </c>
      <c r="K38" s="2" t="n">
        <f aca="false">IF(I38="Home",Assumptions!$B$2,IF(I38="Away",-Assumptions!$B$2,0))</f>
        <v>2.5</v>
      </c>
      <c r="L38" s="2" t="n">
        <f aca="false">NORMDIST($B38-J38+K38,0,Assumptions!$B$3,TRUE())</f>
        <v>0.999032396786782</v>
      </c>
      <c r="M38" s="2" t="s">
        <v>129</v>
      </c>
      <c r="N38" s="2" t="s">
        <v>408</v>
      </c>
      <c r="O38" s="2" t="n">
        <f aca="false">INDEX(Ratings!$B$2:$B$239,MATCH(M38,Ratings!$A$2:$A$239,0))</f>
        <v>-1.3</v>
      </c>
      <c r="P38" s="2" t="n">
        <f aca="false">IF(N38="Home",Assumptions!$B$2,IF(N38="Away",-Assumptions!$B$2,0))</f>
        <v>0</v>
      </c>
      <c r="Q38" s="2" t="n">
        <f aca="false">NORMDIST($B38-O38+P38,0,Assumptions!$B$3,TRUE())</f>
        <v>0.721566024768411</v>
      </c>
      <c r="R38" s="2" t="s">
        <v>170</v>
      </c>
      <c r="S38" s="2" t="s">
        <v>406</v>
      </c>
      <c r="T38" s="2" t="n">
        <f aca="false">INDEX(Ratings!$B$2:$B$239,MATCH(R38,Ratings!$A$2:$A$239,0))</f>
        <v>-12.9</v>
      </c>
      <c r="U38" s="2" t="n">
        <f aca="false">IF(S38="Home",Assumptions!$B$2,IF(S38="Away",-Assumptions!$B$2,0))</f>
        <v>2.5</v>
      </c>
      <c r="V38" s="2" t="n">
        <f aca="false">NORMDIST($B38-T38+U38,0,Assumptions!$B$3,TRUE())</f>
        <v>0.92904969486101</v>
      </c>
      <c r="W38" s="2" t="s">
        <v>92</v>
      </c>
      <c r="X38" s="2" t="s">
        <v>407</v>
      </c>
      <c r="Y38" s="2" t="n">
        <f aca="false">INDEX(Ratings!$B$2:$B$239,MATCH(W38,Ratings!$A$2:$A$239,0))</f>
        <v>9.1</v>
      </c>
      <c r="Z38" s="2" t="n">
        <f aca="false">IF(X38="Home",Assumptions!$B$2,IF(X38="Away",-Assumptions!$B$2,0))</f>
        <v>-2.5</v>
      </c>
      <c r="AA38" s="2" t="n">
        <f aca="false">NORMDIST($B38-Y38+Z38,0,Assumptions!$B$3,TRUE())</f>
        <v>0.413422398858449</v>
      </c>
      <c r="AB38" s="2" t="s">
        <v>133</v>
      </c>
      <c r="AC38" s="2" t="s">
        <v>406</v>
      </c>
      <c r="AD38" s="2" t="n">
        <f aca="false">INDEX(Ratings!$B$2:$B$239,MATCH(AB38,Ratings!$A$2:$A$239,0))</f>
        <v>-1.9</v>
      </c>
      <c r="AE38" s="2" t="n">
        <f aca="false">IF(AC38="Home",Assumptions!$B$2,IF(AC38="Away",-Assumptions!$B$2,0))</f>
        <v>2.5</v>
      </c>
      <c r="AF38" s="2" t="n">
        <f aca="false">NORMDIST($B38-AD38+AE38,0,Assumptions!$B$3,TRUE())</f>
        <v>0.782672264321914</v>
      </c>
      <c r="AG38" s="2" t="s">
        <v>82</v>
      </c>
      <c r="AH38" s="2" t="s">
        <v>407</v>
      </c>
      <c r="AI38" s="2" t="n">
        <f aca="false">INDEX(Ratings!$B$2:$B$239,MATCH(AG38,Ratings!$A$2:$A$239,0))</f>
        <v>12.1</v>
      </c>
      <c r="AJ38" s="2" t="n">
        <f aca="false">IF(AH38="Home",Assumptions!$B$2,IF(AH38="Away",-Assumptions!$B$2,0))</f>
        <v>-2.5</v>
      </c>
      <c r="AK38" s="2" t="n">
        <f aca="false">NORMDIST($B38-AI38+AJ38,0,Assumptions!$B$3,TRUE())</f>
        <v>0.342279459683951</v>
      </c>
      <c r="AL38" s="2" t="s">
        <v>102</v>
      </c>
      <c r="AM38" s="2" t="s">
        <v>406</v>
      </c>
      <c r="AN38" s="2" t="n">
        <f aca="false">INDEX(Ratings!$B$2:$B$239,MATCH(AL38,Ratings!$A$2:$A$239,0))</f>
        <v>5.6</v>
      </c>
      <c r="AO38" s="2" t="n">
        <f aca="false">IF(AM38="Home",Assumptions!$B$2,IF(AM38="Away",-Assumptions!$B$2,0))</f>
        <v>2.5</v>
      </c>
      <c r="AP38" s="2" t="n">
        <f aca="false">NORMDIST($B38-AN38+AO38,0,Assumptions!$B$3,TRUE())</f>
        <v>0.622669718470157</v>
      </c>
      <c r="AQ38" s="2" t="s">
        <v>114</v>
      </c>
      <c r="AR38" s="2" t="s">
        <v>407</v>
      </c>
      <c r="AS38" s="2" t="n">
        <f aca="false">INDEX(Ratings!$B$2:$B$239,MATCH(AQ38,Ratings!$A$2:$A$239,0))</f>
        <v>3.4</v>
      </c>
      <c r="AT38" s="2" t="n">
        <f aca="false">IF(AR38="Home",Assumptions!$B$2,IF(AR38="Away",-Assumptions!$B$2,0))</f>
        <v>-2.5</v>
      </c>
      <c r="AU38" s="2" t="n">
        <f aca="false">NORMDIST($B38-AS38+AT38,0,Assumptions!$B$3,TRUE())</f>
        <v>0.554682203627567</v>
      </c>
      <c r="AV38" s="2" t="s">
        <v>117</v>
      </c>
      <c r="AW38" s="2" t="s">
        <v>406</v>
      </c>
      <c r="AX38" s="2" t="n">
        <f aca="false">INDEX(Ratings!$B$2:$B$239,MATCH(AV38,Ratings!$A$2:$A$239,0))</f>
        <v>3</v>
      </c>
      <c r="AY38" s="2" t="n">
        <f aca="false">IF(AW38="Home",Assumptions!$B$2,IF(AW38="Away",-Assumptions!$B$2,0))</f>
        <v>2.5</v>
      </c>
      <c r="AZ38" s="2" t="n">
        <f aca="false">NORMDIST($B38-AX38+AY38,0,Assumptions!$B$3,TRUE())</f>
        <v>0.682606513358741</v>
      </c>
      <c r="BA38" s="2" t="s">
        <v>113</v>
      </c>
      <c r="BB38" s="2" t="s">
        <v>406</v>
      </c>
      <c r="BC38" s="2" t="n">
        <f aca="false">INDEX(Ratings!$B$2:$B$239,MATCH(BA38,Ratings!$A$2:$A$239,0))</f>
        <v>3.5</v>
      </c>
      <c r="BD38" s="2" t="n">
        <f aca="false">IF(BB38="Home",Assumptions!$B$2,IF(BB38="Away",-Assumptions!$B$2,0))</f>
        <v>2.5</v>
      </c>
      <c r="BE38" s="2" t="n">
        <f aca="false">NORMDIST($B38-BC38+BD38,0,Assumptions!$B$3,TRUE())</f>
        <v>0.671388329230721</v>
      </c>
      <c r="BF38" s="2" t="s">
        <v>93</v>
      </c>
      <c r="BG38" s="2" t="s">
        <v>407</v>
      </c>
      <c r="BH38" s="2" t="n">
        <f aca="false">INDEX(Ratings!$B$2:$B$239,MATCH(BF38,Ratings!$A$2:$A$239,0))</f>
        <v>8.6</v>
      </c>
      <c r="BI38" s="2" t="n">
        <f aca="false">IF(BG38="Home",Assumptions!$B$2,IF(BG38="Away",-Assumptions!$B$2,0))</f>
        <v>-2.5</v>
      </c>
      <c r="BJ38" s="2" t="n">
        <f aca="false">NORMDIST($B38-BH38+BI38,0,Assumptions!$B$3,TRUE())</f>
        <v>0.425634311844103</v>
      </c>
      <c r="BP38" s="2" t="n">
        <v>12</v>
      </c>
      <c r="BQ38" s="2" t="n">
        <f aca="false">G38+L38+Q38+V38+AA38+AF38+AK38+AP38+AU38+AZ38+BE38+BJ38</f>
        <v>7.76529616305237</v>
      </c>
    </row>
    <row r="39" customFormat="false" ht="15" hidden="false" customHeight="false" outlineLevel="0" collapsed="false">
      <c r="A39" s="2" t="s">
        <v>95</v>
      </c>
      <c r="B39" s="2" t="n">
        <f aca="false">INDEX(Ratings!$B$2:$B$239,MATCH($A39,Ratings!$A$2:$A$239,0))</f>
        <v>7.4</v>
      </c>
      <c r="C39" s="2" t="s">
        <v>146</v>
      </c>
      <c r="D39" s="2" t="s">
        <v>406</v>
      </c>
      <c r="E39" s="2" t="n">
        <f aca="false">INDEX(Ratings!$B$2:$B$239,MATCH(C39,Ratings!$A$2:$A$239,0))</f>
        <v>-5.6</v>
      </c>
      <c r="F39" s="2" t="n">
        <f aca="false">IF(D39="Home",Assumptions!$B$2,IF(D39="Away",-Assumptions!$B$2,0))</f>
        <v>2.5</v>
      </c>
      <c r="G39" s="2" t="n">
        <f aca="false">NORMDIST($B39-E39+F39,0,Assumptions!$B$3,TRUE())</f>
        <v>0.833665030507882</v>
      </c>
      <c r="H39" s="2" t="s">
        <v>312</v>
      </c>
      <c r="I39" s="2" t="s">
        <v>406</v>
      </c>
      <c r="J39" s="2" t="n">
        <f aca="false">INDEX(Ratings!$B$2:$B$239,MATCH(H39,Ratings!$A$2:$A$239,0))</f>
        <v>-37</v>
      </c>
      <c r="K39" s="2" t="n">
        <f aca="false">IF(I39="Home",Assumptions!$B$2,IF(I39="Away",-Assumptions!$B$2,0))</f>
        <v>2.5</v>
      </c>
      <c r="L39" s="2" t="n">
        <f aca="false">NORMDIST($B39-J39+K39,0,Assumptions!$B$3,TRUE())</f>
        <v>0.998311995128459</v>
      </c>
      <c r="M39" s="2" t="s">
        <v>65</v>
      </c>
      <c r="N39" s="2" t="s">
        <v>407</v>
      </c>
      <c r="O39" s="2" t="n">
        <f aca="false">INDEX(Ratings!$B$2:$B$239,MATCH(M39,Ratings!$A$2:$A$239,0))</f>
        <v>21.8</v>
      </c>
      <c r="P39" s="2" t="n">
        <f aca="false">IF(N39="Home",Assumptions!$B$2,IF(N39="Away",-Assumptions!$B$2,0))</f>
        <v>-2.5</v>
      </c>
      <c r="Q39" s="2" t="n">
        <f aca="false">NORMDIST($B39-O39+P39,0,Assumptions!$B$3,TRUE())</f>
        <v>0.145427006388604</v>
      </c>
      <c r="R39" s="2" t="s">
        <v>160</v>
      </c>
      <c r="S39" s="2" t="s">
        <v>407</v>
      </c>
      <c r="T39" s="2" t="n">
        <f aca="false">INDEX(Ratings!$B$2:$B$239,MATCH(R39,Ratings!$A$2:$A$239,0))</f>
        <v>-10.8</v>
      </c>
      <c r="U39" s="2" t="n">
        <f aca="false">IF(S39="Home",Assumptions!$B$2,IF(S39="Away",-Assumptions!$B$2,0))</f>
        <v>-2.5</v>
      </c>
      <c r="V39" s="2" t="n">
        <f aca="false">NORMDIST($B39-T39+U39,0,Assumptions!$B$3,TRUE())</f>
        <v>0.836765263568869</v>
      </c>
      <c r="W39" s="2" t="s">
        <v>120</v>
      </c>
      <c r="X39" s="2" t="s">
        <v>406</v>
      </c>
      <c r="Y39" s="2" t="n">
        <f aca="false">INDEX(Ratings!$B$2:$B$239,MATCH(W39,Ratings!$A$2:$A$239,0))</f>
        <v>1.7</v>
      </c>
      <c r="Z39" s="2" t="n">
        <f aca="false">IF(X39="Home",Assumptions!$B$2,IF(X39="Away",-Assumptions!$B$2,0))</f>
        <v>2.5</v>
      </c>
      <c r="AA39" s="2" t="n">
        <f aca="false">NORMDIST($B39-Y39+Z39,0,Assumptions!$B$3,TRUE())</f>
        <v>0.69584943984712</v>
      </c>
      <c r="AB39" s="2" t="s">
        <v>91</v>
      </c>
      <c r="AC39" s="2" t="s">
        <v>407</v>
      </c>
      <c r="AD39" s="2" t="n">
        <f aca="false">INDEX(Ratings!$B$2:$B$239,MATCH(AB39,Ratings!$A$2:$A$239,0))</f>
        <v>9.2</v>
      </c>
      <c r="AE39" s="2" t="n">
        <f aca="false">IF(AC39="Home",Assumptions!$B$2,IF(AC39="Away",-Assumptions!$B$2,0))</f>
        <v>-2.5</v>
      </c>
      <c r="AF39" s="2" t="n">
        <f aca="false">NORMDIST($B39-AD39+AE39,0,Assumptions!$B$3,TRUE())</f>
        <v>0.394061036152246</v>
      </c>
      <c r="AG39" s="2" t="s">
        <v>96</v>
      </c>
      <c r="AH39" s="2" t="s">
        <v>406</v>
      </c>
      <c r="AI39" s="2" t="n">
        <f aca="false">INDEX(Ratings!$B$2:$B$239,MATCH(AG39,Ratings!$A$2:$A$239,0))</f>
        <v>6.9</v>
      </c>
      <c r="AJ39" s="2" t="n">
        <f aca="false">IF(AH39="Home",Assumptions!$B$2,IF(AH39="Away",-Assumptions!$B$2,0))</f>
        <v>2.5</v>
      </c>
      <c r="AK39" s="2" t="n">
        <f aca="false">NORMDIST($B39-AI39+AJ39,0,Assumptions!$B$3,TRUE())</f>
        <v>0.574365688155897</v>
      </c>
      <c r="AL39" s="2" t="s">
        <v>87</v>
      </c>
      <c r="AM39" s="2" t="s">
        <v>407</v>
      </c>
      <c r="AN39" s="2" t="n">
        <f aca="false">INDEX(Ratings!$B$2:$B$239,MATCH(AL39,Ratings!$A$2:$A$239,0))</f>
        <v>9.8</v>
      </c>
      <c r="AO39" s="2" t="n">
        <f aca="false">IF(AM39="Home",Assumptions!$B$2,IF(AM39="Away",-Assumptions!$B$2,0))</f>
        <v>-2.5</v>
      </c>
      <c r="AP39" s="2" t="n">
        <f aca="false">NORMDIST($B39-AN39+AO39,0,Assumptions!$B$3,TRUE())</f>
        <v>0.379707152759433</v>
      </c>
      <c r="AQ39" s="2" t="s">
        <v>116</v>
      </c>
      <c r="AR39" s="2" t="s">
        <v>406</v>
      </c>
      <c r="AS39" s="2" t="n">
        <f aca="false">INDEX(Ratings!$B$2:$B$239,MATCH(AQ39,Ratings!$A$2:$A$239,0))</f>
        <v>3</v>
      </c>
      <c r="AT39" s="2" t="n">
        <f aca="false">IF(AR39="Home",Assumptions!$B$2,IF(AR39="Away",-Assumptions!$B$2,0))</f>
        <v>2.5</v>
      </c>
      <c r="AU39" s="2" t="n">
        <f aca="false">NORMDIST($B39-AS39+AT39,0,Assumptions!$B$3,TRUE())</f>
        <v>0.666856699123512</v>
      </c>
      <c r="AV39" s="2" t="s">
        <v>123</v>
      </c>
      <c r="AW39" s="2" t="s">
        <v>407</v>
      </c>
      <c r="AX39" s="2" t="n">
        <f aca="false">INDEX(Ratings!$B$2:$B$239,MATCH(AV39,Ratings!$A$2:$A$239,0))</f>
        <v>0.7</v>
      </c>
      <c r="AY39" s="2" t="n">
        <f aca="false">IF(AW39="Home",Assumptions!$B$2,IF(AW39="Away",-Assumptions!$B$2,0))</f>
        <v>-2.5</v>
      </c>
      <c r="AZ39" s="2" t="n">
        <f aca="false">NORMDIST($B39-AX39+AY39,0,Assumptions!$B$3,TRUE())</f>
        <v>0.603532007320995</v>
      </c>
      <c r="BA39" s="2" t="s">
        <v>129</v>
      </c>
      <c r="BB39" s="2" t="s">
        <v>407</v>
      </c>
      <c r="BC39" s="2" t="n">
        <f aca="false">INDEX(Ratings!$B$2:$B$239,MATCH(BA39,Ratings!$A$2:$A$239,0))</f>
        <v>-1.3</v>
      </c>
      <c r="BD39" s="2" t="n">
        <f aca="false">IF(BB39="Home",Assumptions!$B$2,IF(BB39="Away",-Assumptions!$B$2,0))</f>
        <v>-2.5</v>
      </c>
      <c r="BE39" s="2" t="n">
        <f aca="false">NORMDIST($B39-BC39+BD39,0,Assumptions!$B$3,TRUE())</f>
        <v>0.650806957537142</v>
      </c>
      <c r="BF39" s="2" t="s">
        <v>111</v>
      </c>
      <c r="BG39" s="2" t="s">
        <v>406</v>
      </c>
      <c r="BH39" s="2" t="n">
        <f aca="false">INDEX(Ratings!$B$2:$B$239,MATCH(BF39,Ratings!$A$2:$A$239,0))</f>
        <v>3.8</v>
      </c>
      <c r="BI39" s="2" t="n">
        <f aca="false">IF(BG39="Home",Assumptions!$B$2,IF(BG39="Away",-Assumptions!$B$2,0))</f>
        <v>2.5</v>
      </c>
      <c r="BJ39" s="2" t="n">
        <f aca="false">NORMDIST($B39-BH39+BI39,0,Assumptions!$B$3,TRUE())</f>
        <v>0.648491124483723</v>
      </c>
      <c r="BP39" s="2" t="n">
        <v>12</v>
      </c>
      <c r="BQ39" s="2" t="n">
        <f aca="false">G39+L39+Q39+V39+AA39+AF39+AK39+AP39+AU39+AZ39+BE39+BJ39</f>
        <v>7.42783940097388</v>
      </c>
    </row>
    <row r="40" customFormat="false" ht="15" hidden="false" customHeight="false" outlineLevel="0" collapsed="false">
      <c r="A40" s="2" t="s">
        <v>96</v>
      </c>
      <c r="B40" s="2" t="n">
        <f aca="false">INDEX(Ratings!$B$2:$B$239,MATCH($A40,Ratings!$A$2:$A$239,0))</f>
        <v>6.9</v>
      </c>
      <c r="C40" s="2" t="s">
        <v>149</v>
      </c>
      <c r="D40" s="2" t="s">
        <v>407</v>
      </c>
      <c r="E40" s="2" t="n">
        <f aca="false">INDEX(Ratings!$B$2:$B$239,MATCH(C40,Ratings!$A$2:$A$239,0))</f>
        <v>-6.1</v>
      </c>
      <c r="F40" s="2" t="n">
        <f aca="false">IF(D40="Home",Assumptions!$B$2,IF(D40="Away",-Assumptions!$B$2,0))</f>
        <v>-2.5</v>
      </c>
      <c r="G40" s="2" t="n">
        <f aca="false">NORMDIST($B40-E40+F40,0,Assumptions!$B$3,TRUE())</f>
        <v>0.744168358652066</v>
      </c>
      <c r="H40" s="2" t="s">
        <v>59</v>
      </c>
      <c r="I40" s="2" t="s">
        <v>406</v>
      </c>
      <c r="J40" s="2" t="n">
        <f aca="false">INDEX(Ratings!$B$2:$B$239,MATCH(H40,Ratings!$A$2:$A$239,0))</f>
        <v>29.2</v>
      </c>
      <c r="K40" s="2" t="n">
        <f aca="false">IF(I40="Home",Assumptions!$B$2,IF(I40="Away",-Assumptions!$B$2,0))</f>
        <v>2.5</v>
      </c>
      <c r="L40" s="2" t="n">
        <f aca="false">NORMDIST($B40-J40+K40,0,Assumptions!$B$3,TRUE())</f>
        <v>0.107950757167325</v>
      </c>
      <c r="M40" s="2" t="s">
        <v>289</v>
      </c>
      <c r="N40" s="2" t="s">
        <v>406</v>
      </c>
      <c r="O40" s="2" t="n">
        <f aca="false">INDEX(Ratings!$B$2:$B$239,MATCH(M40,Ratings!$A$2:$A$239,0))</f>
        <v>-19</v>
      </c>
      <c r="P40" s="2" t="n">
        <f aca="false">IF(N40="Home",Assumptions!$B$2,IF(N40="Away",-Assumptions!$B$2,0))</f>
        <v>2.5</v>
      </c>
      <c r="Q40" s="2" t="n">
        <f aca="false">NORMDIST($B40-O40+P40,0,Assumptions!$B$3,TRUE())</f>
        <v>0.962051056406311</v>
      </c>
      <c r="R40" s="2" t="s">
        <v>129</v>
      </c>
      <c r="S40" s="2" t="s">
        <v>407</v>
      </c>
      <c r="T40" s="2" t="n">
        <f aca="false">INDEX(Ratings!$B$2:$B$239,MATCH(R40,Ratings!$A$2:$A$239,0))</f>
        <v>-1.3</v>
      </c>
      <c r="U40" s="2" t="n">
        <f aca="false">IF(S40="Home",Assumptions!$B$2,IF(S40="Away",-Assumptions!$B$2,0))</f>
        <v>-2.5</v>
      </c>
      <c r="V40" s="2" t="n">
        <f aca="false">NORMDIST($B40-T40+U40,0,Assumptions!$B$3,TRUE())</f>
        <v>0.639173324850217</v>
      </c>
      <c r="W40" s="2" t="s">
        <v>120</v>
      </c>
      <c r="X40" s="2" t="s">
        <v>406</v>
      </c>
      <c r="Y40" s="2" t="n">
        <f aca="false">INDEX(Ratings!$B$2:$B$239,MATCH(W40,Ratings!$A$2:$A$239,0))</f>
        <v>1.7</v>
      </c>
      <c r="Z40" s="2" t="n">
        <f aca="false">IF(X40="Home",Assumptions!$B$2,IF(X40="Away",-Assumptions!$B$2,0))</f>
        <v>2.5</v>
      </c>
      <c r="AA40" s="2" t="n">
        <f aca="false">NORMDIST($B40-Y40+Z40,0,Assumptions!$B$3,TRUE())</f>
        <v>0.684830585730692</v>
      </c>
      <c r="AB40" s="2" t="s">
        <v>95</v>
      </c>
      <c r="AC40" s="2" t="s">
        <v>407</v>
      </c>
      <c r="AD40" s="2" t="n">
        <f aca="false">INDEX(Ratings!$B$2:$B$239,MATCH(AB40,Ratings!$A$2:$A$239,0))</f>
        <v>7.4</v>
      </c>
      <c r="AE40" s="2" t="n">
        <f aca="false">IF(AC40="Home",Assumptions!$B$2,IF(AC40="Away",-Assumptions!$B$2,0))</f>
        <v>-2.5</v>
      </c>
      <c r="AF40" s="2" t="n">
        <f aca="false">NORMDIST($B40-AD40+AE40,0,Assumptions!$B$3,TRUE())</f>
        <v>0.425634311844103</v>
      </c>
      <c r="AG40" s="2" t="s">
        <v>123</v>
      </c>
      <c r="AH40" s="2" t="s">
        <v>406</v>
      </c>
      <c r="AI40" s="2" t="n">
        <f aca="false">INDEX(Ratings!$B$2:$B$239,MATCH(AG40,Ratings!$A$2:$A$239,0))</f>
        <v>0.7</v>
      </c>
      <c r="AJ40" s="2" t="n">
        <f aca="false">IF(AH40="Home",Assumptions!$B$2,IF(AH40="Away",-Assumptions!$B$2,0))</f>
        <v>2.5</v>
      </c>
      <c r="AK40" s="2" t="n">
        <f aca="false">NORMDIST($B40-AI40+AJ40,0,Assumptions!$B$3,TRUE())</f>
        <v>0.706693239916112</v>
      </c>
      <c r="AL40" s="2" t="s">
        <v>126</v>
      </c>
      <c r="AM40" s="2" t="s">
        <v>407</v>
      </c>
      <c r="AN40" s="2" t="n">
        <f aca="false">INDEX(Ratings!$B$2:$B$239,MATCH(AL40,Ratings!$A$2:$A$239,0))</f>
        <v>-0.4</v>
      </c>
      <c r="AO40" s="2" t="n">
        <f aca="false">IF(AM40="Home",Assumptions!$B$2,IF(AM40="Away",-Assumptions!$B$2,0))</f>
        <v>-2.5</v>
      </c>
      <c r="AP40" s="2" t="n">
        <f aca="false">NORMDIST($B40-AN40+AO40,0,Assumptions!$B$3,TRUE())</f>
        <v>0.617911422188953</v>
      </c>
      <c r="AQ40" s="2" t="s">
        <v>91</v>
      </c>
      <c r="AR40" s="2" t="s">
        <v>407</v>
      </c>
      <c r="AS40" s="2" t="n">
        <f aca="false">INDEX(Ratings!$B$2:$B$239,MATCH(AQ40,Ratings!$A$2:$A$239,0))</f>
        <v>9.2</v>
      </c>
      <c r="AT40" s="2" t="n">
        <f aca="false">IF(AR40="Home",Assumptions!$B$2,IF(AR40="Away",-Assumptions!$B$2,0))</f>
        <v>-2.5</v>
      </c>
      <c r="AU40" s="2" t="n">
        <f aca="false">NORMDIST($B40-AS40+AT40,0,Assumptions!$B$3,TRUE())</f>
        <v>0.382088577811047</v>
      </c>
      <c r="AV40" s="2" t="s">
        <v>65</v>
      </c>
      <c r="AW40" s="2" t="s">
        <v>406</v>
      </c>
      <c r="AX40" s="2" t="n">
        <f aca="false">INDEX(Ratings!$B$2:$B$239,MATCH(AV40,Ratings!$A$2:$A$239,0))</f>
        <v>21.8</v>
      </c>
      <c r="AY40" s="2" t="n">
        <f aca="false">IF(AW40="Home",Assumptions!$B$2,IF(AW40="Away",-Assumptions!$B$2,0))</f>
        <v>2.5</v>
      </c>
      <c r="AZ40" s="2" t="n">
        <f aca="false">NORMDIST($B40-AX40+AY40,0,Assumptions!$B$3,TRUE())</f>
        <v>0.219169829793377</v>
      </c>
      <c r="BA40" s="2" t="s">
        <v>108</v>
      </c>
      <c r="BB40" s="2" t="s">
        <v>407</v>
      </c>
      <c r="BC40" s="2" t="n">
        <f aca="false">INDEX(Ratings!$B$2:$B$239,MATCH(BA40,Ratings!$A$2:$A$239,0))</f>
        <v>4.9</v>
      </c>
      <c r="BD40" s="2" t="n">
        <f aca="false">IF(BB40="Home",Assumptions!$B$2,IF(BB40="Away",-Assumptions!$B$2,0))</f>
        <v>-2.5</v>
      </c>
      <c r="BE40" s="2" t="n">
        <f aca="false">NORMDIST($B40-BC40+BD40,0,Assumptions!$B$3,TRUE())</f>
        <v>0.487535082565623</v>
      </c>
      <c r="BF40" s="2" t="s">
        <v>115</v>
      </c>
      <c r="BG40" s="2" t="s">
        <v>406</v>
      </c>
      <c r="BH40" s="2" t="n">
        <f aca="false">INDEX(Ratings!$B$2:$B$239,MATCH(BF40,Ratings!$A$2:$A$239,0))</f>
        <v>3.3</v>
      </c>
      <c r="BI40" s="2" t="n">
        <f aca="false">IF(BG40="Home",Assumptions!$B$2,IF(BG40="Away",-Assumptions!$B$2,0))</f>
        <v>2.5</v>
      </c>
      <c r="BJ40" s="2" t="n">
        <f aca="false">NORMDIST($B40-BH40+BI40,0,Assumptions!$B$3,TRUE())</f>
        <v>0.648491124483723</v>
      </c>
      <c r="BP40" s="2" t="n">
        <v>12</v>
      </c>
      <c r="BQ40" s="2" t="n">
        <f aca="false">G40+L40+Q40+V40+AA40+AF40+AK40+AP40+AU40+AZ40+BE40+BJ40</f>
        <v>6.62569767140955</v>
      </c>
    </row>
    <row r="41" customFormat="false" ht="15" hidden="false" customHeight="false" outlineLevel="0" collapsed="false">
      <c r="A41" s="2" t="s">
        <v>97</v>
      </c>
      <c r="B41" s="2" t="n">
        <f aca="false">INDEX(Ratings!$B$2:$B$239,MATCH($A41,Ratings!$A$2:$A$239,0))</f>
        <v>6.2</v>
      </c>
      <c r="C41" s="2" t="s">
        <v>258</v>
      </c>
      <c r="D41" s="2" t="s">
        <v>406</v>
      </c>
      <c r="E41" s="2" t="n">
        <f aca="false">INDEX(Ratings!$B$2:$B$239,MATCH(C41,Ratings!$A$2:$A$239,0))</f>
        <v>-39</v>
      </c>
      <c r="F41" s="2" t="n">
        <f aca="false">IF(D41="Home",Assumptions!$B$2,IF(D41="Away",-Assumptions!$B$2,0))</f>
        <v>2.5</v>
      </c>
      <c r="G41" s="2" t="n">
        <f aca="false">NORMDIST($B41-E41+F41,0,Assumptions!$B$3,TRUE())</f>
        <v>0.9985646283379</v>
      </c>
      <c r="H41" s="2" t="s">
        <v>109</v>
      </c>
      <c r="I41" s="2" t="s">
        <v>406</v>
      </c>
      <c r="J41" s="2" t="n">
        <f aca="false">INDEX(Ratings!$B$2:$B$239,MATCH(H41,Ratings!$A$2:$A$239,0))</f>
        <v>4.8</v>
      </c>
      <c r="K41" s="2" t="n">
        <f aca="false">IF(I41="Home",Assumptions!$B$2,IF(I41="Away",-Assumptions!$B$2,0))</f>
        <v>2.5</v>
      </c>
      <c r="L41" s="2" t="n">
        <f aca="false">NORMDIST($B41-J41+K41,0,Assumptions!$B$3,TRUE())</f>
        <v>0.596287776693183</v>
      </c>
      <c r="M41" s="2" t="s">
        <v>187</v>
      </c>
      <c r="N41" s="2" t="s">
        <v>406</v>
      </c>
      <c r="O41" s="2" t="n">
        <f aca="false">INDEX(Ratings!$B$2:$B$239,MATCH(M41,Ratings!$A$2:$A$239,0))</f>
        <v>-22.9</v>
      </c>
      <c r="P41" s="2" t="n">
        <f aca="false">IF(N41="Home",Assumptions!$B$2,IF(N41="Away",-Assumptions!$B$2,0))</f>
        <v>2.5</v>
      </c>
      <c r="Q41" s="2" t="n">
        <f aca="false">NORMDIST($B41-O41+P41,0,Assumptions!$B$3,TRUE())</f>
        <v>0.975865925995275</v>
      </c>
      <c r="R41" s="2" t="s">
        <v>75</v>
      </c>
      <c r="S41" s="2" t="s">
        <v>407</v>
      </c>
      <c r="T41" s="2" t="n">
        <f aca="false">INDEX(Ratings!$B$2:$B$239,MATCH(R41,Ratings!$A$2:$A$239,0))</f>
        <v>15.8</v>
      </c>
      <c r="U41" s="2" t="n">
        <f aca="false">IF(S41="Home",Assumptions!$B$2,IF(S41="Away",-Assumptions!$B$2,0))</f>
        <v>-2.5</v>
      </c>
      <c r="V41" s="2" t="n">
        <f aca="false">NORMDIST($B41-T41+U41,0,Assumptions!$B$3,TRUE())</f>
        <v>0.22474965994458</v>
      </c>
      <c r="W41" s="2" t="s">
        <v>72</v>
      </c>
      <c r="X41" s="2" t="s">
        <v>406</v>
      </c>
      <c r="Y41" s="2" t="n">
        <f aca="false">INDEX(Ratings!$B$2:$B$239,MATCH(W41,Ratings!$A$2:$A$239,0))</f>
        <v>17</v>
      </c>
      <c r="Z41" s="2" t="n">
        <f aca="false">IF(X41="Home",Assumptions!$B$2,IF(X41="Away",-Assumptions!$B$2,0))</f>
        <v>2.5</v>
      </c>
      <c r="AA41" s="2" t="n">
        <f aca="false">NORMDIST($B41-Y41+Z41,0,Assumptions!$B$3,TRUE())</f>
        <v>0.301967544680181</v>
      </c>
      <c r="AB41" s="2" t="s">
        <v>135</v>
      </c>
      <c r="AC41" s="2" t="s">
        <v>407</v>
      </c>
      <c r="AD41" s="2" t="n">
        <f aca="false">INDEX(Ratings!$B$2:$B$239,MATCH(AB41,Ratings!$A$2:$A$239,0))</f>
        <v>-2.2</v>
      </c>
      <c r="AE41" s="2" t="n">
        <f aca="false">IF(AC41="Home",Assumptions!$B$2,IF(AC41="Away",-Assumptions!$B$2,0))</f>
        <v>-2.5</v>
      </c>
      <c r="AF41" s="2" t="n">
        <f aca="false">NORMDIST($B41-AD41+AE41,0,Assumptions!$B$3,TRUE())</f>
        <v>0.643842961816324</v>
      </c>
      <c r="AG41" s="2" t="s">
        <v>79</v>
      </c>
      <c r="AH41" s="2" t="s">
        <v>406</v>
      </c>
      <c r="AI41" s="2" t="n">
        <f aca="false">INDEX(Ratings!$B$2:$B$239,MATCH(AG41,Ratings!$A$2:$A$239,0))</f>
        <v>14.6</v>
      </c>
      <c r="AJ41" s="2" t="n">
        <f aca="false">IF(AH41="Home",Assumptions!$B$2,IF(AH41="Away",-Assumptions!$B$2,0))</f>
        <v>2.5</v>
      </c>
      <c r="AK41" s="2" t="n">
        <f aca="false">NORMDIST($B41-AI41+AJ41,0,Assumptions!$B$3,TRUE())</f>
        <v>0.356157038183677</v>
      </c>
      <c r="AL41" s="2" t="s">
        <v>62</v>
      </c>
      <c r="AM41" s="2" t="s">
        <v>407</v>
      </c>
      <c r="AN41" s="2" t="n">
        <f aca="false">INDEX(Ratings!$B$2:$B$239,MATCH(AL41,Ratings!$A$2:$A$239,0))</f>
        <v>25.8</v>
      </c>
      <c r="AO41" s="2" t="n">
        <f aca="false">IF(AM41="Home",Assumptions!$B$2,IF(AM41="Away",-Assumptions!$B$2,0))</f>
        <v>-2.5</v>
      </c>
      <c r="AP41" s="2" t="n">
        <f aca="false">NORMDIST($B41-AN41+AO41,0,Assumptions!$B$3,TRUE())</f>
        <v>0.0836010529867114</v>
      </c>
      <c r="AQ41" s="2" t="s">
        <v>103</v>
      </c>
      <c r="AR41" s="2" t="s">
        <v>406</v>
      </c>
      <c r="AS41" s="2" t="n">
        <f aca="false">INDEX(Ratings!$B$2:$B$239,MATCH(AQ41,Ratings!$A$2:$A$239,0))</f>
        <v>5.4</v>
      </c>
      <c r="AT41" s="2" t="n">
        <f aca="false">IF(AR41="Home",Assumptions!$B$2,IF(AR41="Away",-Assumptions!$B$2,0))</f>
        <v>2.5</v>
      </c>
      <c r="AU41" s="2" t="n">
        <f aca="false">NORMDIST($B41-AS41+AT41,0,Assumptions!$B$3,TRUE())</f>
        <v>0.581702183505625</v>
      </c>
      <c r="AV41" s="2" t="s">
        <v>74</v>
      </c>
      <c r="AW41" s="2" t="s">
        <v>407</v>
      </c>
      <c r="AX41" s="2" t="n">
        <f aca="false">INDEX(Ratings!$B$2:$B$239,MATCH(AV41,Ratings!$A$2:$A$239,0))</f>
        <v>16.2</v>
      </c>
      <c r="AY41" s="2" t="n">
        <f aca="false">IF(AW41="Home",Assumptions!$B$2,IF(AW41="Away",-Assumptions!$B$2,0))</f>
        <v>-2.5</v>
      </c>
      <c r="AZ41" s="2" t="n">
        <f aca="false">NORMDIST($B41-AX41+AY41,0,Assumptions!$B$3,TRUE())</f>
        <v>0.217327735678086</v>
      </c>
      <c r="BA41" s="2" t="s">
        <v>107</v>
      </c>
      <c r="BB41" s="2" t="s">
        <v>406</v>
      </c>
      <c r="BC41" s="2" t="n">
        <f aca="false">INDEX(Ratings!$B$2:$B$239,MATCH(BA41,Ratings!$A$2:$A$239,0))</f>
        <v>5.1</v>
      </c>
      <c r="BD41" s="2" t="n">
        <f aca="false">IF(BB41="Home",Assumptions!$B$2,IF(BB41="Away",-Assumptions!$B$2,0))</f>
        <v>2.5</v>
      </c>
      <c r="BE41" s="2" t="n">
        <f aca="false">NORMDIST($B41-BC41+BD41,0,Assumptions!$B$3,TRUE())</f>
        <v>0.58901036286873</v>
      </c>
      <c r="BF41" s="2" t="s">
        <v>110</v>
      </c>
      <c r="BG41" s="2" t="s">
        <v>407</v>
      </c>
      <c r="BH41" s="2" t="n">
        <f aca="false">INDEX(Ratings!$B$2:$B$239,MATCH(BF41,Ratings!$A$2:$A$239,0))</f>
        <v>3.8</v>
      </c>
      <c r="BI41" s="2" t="n">
        <f aca="false">IF(BG41="Home",Assumptions!$B$2,IF(BG41="Away",-Assumptions!$B$2,0))</f>
        <v>-2.5</v>
      </c>
      <c r="BJ41" s="2" t="n">
        <f aca="false">NORMDIST($B41-BH41+BI41,0,Assumptions!$B$3,TRUE())</f>
        <v>0.497506626980399</v>
      </c>
      <c r="BP41" s="2" t="n">
        <v>12</v>
      </c>
      <c r="BQ41" s="2" t="n">
        <f aca="false">G41+L41+Q41+V41+AA41+AF41+AK41+AP41+AU41+AZ41+BE41+BJ41</f>
        <v>6.06658349767067</v>
      </c>
    </row>
    <row r="42" customFormat="false" ht="15" hidden="false" customHeight="false" outlineLevel="0" collapsed="false">
      <c r="A42" s="2" t="s">
        <v>98</v>
      </c>
      <c r="B42" s="2" t="n">
        <f aca="false">INDEX(Ratings!$B$2:$B$239,MATCH($A42,Ratings!$A$2:$A$239,0))</f>
        <v>6.2</v>
      </c>
      <c r="C42" s="2" t="s">
        <v>142</v>
      </c>
      <c r="D42" s="2" t="s">
        <v>406</v>
      </c>
      <c r="E42" s="2" t="n">
        <f aca="false">INDEX(Ratings!$B$2:$B$239,MATCH(C42,Ratings!$A$2:$A$239,0))</f>
        <v>-4</v>
      </c>
      <c r="F42" s="2" t="n">
        <f aca="false">IF(D42="Home",Assumptions!$B$2,IF(D42="Away",-Assumptions!$B$2,0))</f>
        <v>2.5</v>
      </c>
      <c r="G42" s="2" t="n">
        <f aca="false">NORMDIST($B42-E42+F42,0,Assumptions!$B$3,TRUE())</f>
        <v>0.786329507059644</v>
      </c>
      <c r="H42" s="2" t="s">
        <v>120</v>
      </c>
      <c r="I42" s="2" t="s">
        <v>406</v>
      </c>
      <c r="J42" s="2" t="n">
        <f aca="false">INDEX(Ratings!$B$2:$B$239,MATCH(H42,Ratings!$A$2:$A$239,0))</f>
        <v>1.7</v>
      </c>
      <c r="K42" s="2" t="n">
        <f aca="false">IF(I42="Home",Assumptions!$B$2,IF(I42="Away",-Assumptions!$B$2,0))</f>
        <v>2.5</v>
      </c>
      <c r="L42" s="2" t="n">
        <f aca="false">NORMDIST($B42-J42+K42,0,Assumptions!$B$3,TRUE())</f>
        <v>0.669125611959121</v>
      </c>
      <c r="M42" s="2" t="s">
        <v>133</v>
      </c>
      <c r="N42" s="2" t="s">
        <v>406</v>
      </c>
      <c r="O42" s="2" t="n">
        <f aca="false">INDEX(Ratings!$B$2:$B$239,MATCH(M42,Ratings!$A$2:$A$239,0))</f>
        <v>-1.9</v>
      </c>
      <c r="P42" s="2" t="n">
        <f aca="false">IF(N42="Home",Assumptions!$B$2,IF(N42="Away",-Assumptions!$B$2,0))</f>
        <v>2.5</v>
      </c>
      <c r="Q42" s="2" t="n">
        <f aca="false">NORMDIST($B42-O42+P42,0,Assumptions!$B$3,TRUE())</f>
        <v>0.746174582585778</v>
      </c>
      <c r="R42" s="2" t="s">
        <v>246</v>
      </c>
      <c r="S42" s="2" t="s">
        <v>406</v>
      </c>
      <c r="T42" s="2" t="n">
        <f aca="false">INDEX(Ratings!$B$2:$B$239,MATCH(R42,Ratings!$A$2:$A$239,0))</f>
        <v>-44</v>
      </c>
      <c r="U42" s="2" t="n">
        <f aca="false">IF(S42="Home",Assumptions!$B$2,IF(S42="Away",-Assumptions!$B$2,0))</f>
        <v>2.5</v>
      </c>
      <c r="V42" s="2" t="n">
        <f aca="false">NORMDIST($B42-T42+U42,0,Assumptions!$B$3,TRUE())</f>
        <v>0.999505698080732</v>
      </c>
      <c r="W42" s="2" t="s">
        <v>93</v>
      </c>
      <c r="X42" s="2" t="s">
        <v>407</v>
      </c>
      <c r="Y42" s="2" t="n">
        <f aca="false">INDEX(Ratings!$B$2:$B$239,MATCH(W42,Ratings!$A$2:$A$239,0))</f>
        <v>8.6</v>
      </c>
      <c r="Z42" s="2" t="n">
        <f aca="false">IF(X42="Home",Assumptions!$B$2,IF(X42="Away",-Assumptions!$B$2,0))</f>
        <v>-2.5</v>
      </c>
      <c r="AA42" s="2" t="n">
        <f aca="false">NORMDIST($B42-Y42+Z42,0,Assumptions!$B$3,TRUE())</f>
        <v>0.379707152759433</v>
      </c>
      <c r="AB42" s="2" t="s">
        <v>113</v>
      </c>
      <c r="AC42" s="2" t="s">
        <v>406</v>
      </c>
      <c r="AD42" s="2" t="n">
        <f aca="false">INDEX(Ratings!$B$2:$B$239,MATCH(AB42,Ratings!$A$2:$A$239,0))</f>
        <v>3.5</v>
      </c>
      <c r="AE42" s="2" t="n">
        <f aca="false">IF(AC42="Home",Assumptions!$B$2,IF(AC42="Away",-Assumptions!$B$2,0))</f>
        <v>2.5</v>
      </c>
      <c r="AF42" s="2" t="n">
        <f aca="false">NORMDIST($B42-AD42+AE42,0,Assumptions!$B$3,TRUE())</f>
        <v>0.627409464153284</v>
      </c>
      <c r="AG42" s="2" t="s">
        <v>139</v>
      </c>
      <c r="AH42" s="2" t="s">
        <v>407</v>
      </c>
      <c r="AI42" s="2" t="n">
        <f aca="false">INDEX(Ratings!$B$2:$B$239,MATCH(AG42,Ratings!$A$2:$A$239,0))</f>
        <v>-2.5</v>
      </c>
      <c r="AJ42" s="2" t="n">
        <f aca="false">IF(AH42="Home",Assumptions!$B$2,IF(AH42="Away",-Assumptions!$B$2,0))</f>
        <v>-2.5</v>
      </c>
      <c r="AK42" s="2" t="n">
        <f aca="false">NORMDIST($B42-AI42+AJ42,0,Assumptions!$B$3,TRUE())</f>
        <v>0.650806957537142</v>
      </c>
      <c r="AL42" s="2" t="s">
        <v>64</v>
      </c>
      <c r="AM42" s="2" t="s">
        <v>407</v>
      </c>
      <c r="AN42" s="2" t="n">
        <f aca="false">INDEX(Ratings!$B$2:$B$239,MATCH(AL42,Ratings!$A$2:$A$239,0))</f>
        <v>22</v>
      </c>
      <c r="AO42" s="2" t="n">
        <f aca="false">IF(AM42="Home",Assumptions!$B$2,IF(AM42="Away",-Assumptions!$B$2,0))</f>
        <v>-2.5</v>
      </c>
      <c r="AP42" s="2" t="n">
        <f aca="false">NORMDIST($B42-AN42+AO42,0,Assumptions!$B$3,TRUE())</f>
        <v>0.126363665515411</v>
      </c>
      <c r="AQ42" s="2" t="s">
        <v>99</v>
      </c>
      <c r="AR42" s="2" t="s">
        <v>406</v>
      </c>
      <c r="AS42" s="2" t="n">
        <f aca="false">INDEX(Ratings!$B$2:$B$239,MATCH(AQ42,Ratings!$A$2:$A$239,0))</f>
        <v>5.9</v>
      </c>
      <c r="AT42" s="2" t="n">
        <f aca="false">IF(AR42="Home",Assumptions!$B$2,IF(AR42="Away",-Assumptions!$B$2,0))</f>
        <v>2.5</v>
      </c>
      <c r="AU42" s="2" t="n">
        <f aca="false">NORMDIST($B42-AS42+AT42,0,Assumptions!$B$3,TRUE())</f>
        <v>0.569460183207674</v>
      </c>
      <c r="AV42" s="2" t="s">
        <v>92</v>
      </c>
      <c r="AW42" s="2" t="s">
        <v>406</v>
      </c>
      <c r="AX42" s="2" t="n">
        <f aca="false">INDEX(Ratings!$B$2:$B$239,MATCH(AV42,Ratings!$A$2:$A$239,0))</f>
        <v>9.1</v>
      </c>
      <c r="AY42" s="2" t="n">
        <f aca="false">IF(AW42="Home",Assumptions!$B$2,IF(AW42="Away",-Assumptions!$B$2,0))</f>
        <v>2.5</v>
      </c>
      <c r="AZ42" s="2" t="n">
        <f aca="false">NORMDIST($B42-AX42+AY42,0,Assumptions!$B$3,TRUE())</f>
        <v>0.490027481804762</v>
      </c>
      <c r="BA42" s="2" t="s">
        <v>84</v>
      </c>
      <c r="BB42" s="2" t="s">
        <v>407</v>
      </c>
      <c r="BC42" s="2" t="n">
        <f aca="false">INDEX(Ratings!$B$2:$B$239,MATCH(BA42,Ratings!$A$2:$A$239,0))</f>
        <v>11.1</v>
      </c>
      <c r="BD42" s="2" t="n">
        <f aca="false">IF(BB42="Home",Assumptions!$B$2,IF(BB42="Away",-Assumptions!$B$2,0))</f>
        <v>-2.5</v>
      </c>
      <c r="BE42" s="2" t="n">
        <f aca="false">NORMDIST($B42-BC42+BD42,0,Assumptions!$B$3,TRUE())</f>
        <v>0.321861401163654</v>
      </c>
      <c r="BF42" s="2" t="s">
        <v>117</v>
      </c>
      <c r="BG42" s="2" t="s">
        <v>407</v>
      </c>
      <c r="BH42" s="2" t="n">
        <f aca="false">INDEX(Ratings!$B$2:$B$239,MATCH(BF42,Ratings!$A$2:$A$239,0))</f>
        <v>3</v>
      </c>
      <c r="BI42" s="2" t="n">
        <f aca="false">IF(BG42="Home",Assumptions!$B$2,IF(BG42="Away",-Assumptions!$B$2,0))</f>
        <v>-2.5</v>
      </c>
      <c r="BJ42" s="2" t="n">
        <f aca="false">NORMDIST($B42-BH42+BI42,0,Assumptions!$B$3,TRUE())</f>
        <v>0.51744815844579</v>
      </c>
      <c r="BP42" s="2" t="n">
        <v>12</v>
      </c>
      <c r="BQ42" s="2" t="n">
        <f aca="false">G42+L42+Q42+V42+AA42+AF42+AK42+AP42+AU42+AZ42+BE42+BJ42</f>
        <v>6.88421986427242</v>
      </c>
    </row>
    <row r="43" customFormat="false" ht="15" hidden="false" customHeight="false" outlineLevel="0" collapsed="false">
      <c r="A43" s="2" t="s">
        <v>99</v>
      </c>
      <c r="B43" s="2" t="n">
        <f aca="false">INDEX(Ratings!$B$2:$B$239,MATCH($A43,Ratings!$A$2:$A$239,0))</f>
        <v>5.9</v>
      </c>
      <c r="C43" s="2" t="s">
        <v>123</v>
      </c>
      <c r="D43" s="2" t="s">
        <v>406</v>
      </c>
      <c r="E43" s="2" t="n">
        <f aca="false">INDEX(Ratings!$B$2:$B$239,MATCH(C43,Ratings!$A$2:$A$239,0))</f>
        <v>0.7</v>
      </c>
      <c r="F43" s="2" t="n">
        <f aca="false">IF(D43="Home",Assumptions!$B$2,IF(D43="Away",-Assumptions!$B$2,0))</f>
        <v>2.5</v>
      </c>
      <c r="G43" s="2" t="n">
        <f aca="false">NORMDIST($B43-E43+F43,0,Assumptions!$B$3,TRUE())</f>
        <v>0.684830585730692</v>
      </c>
      <c r="H43" s="2" t="s">
        <v>71</v>
      </c>
      <c r="I43" s="2" t="s">
        <v>406</v>
      </c>
      <c r="J43" s="2" t="n">
        <f aca="false">INDEX(Ratings!$B$2:$B$239,MATCH(H43,Ratings!$A$2:$A$239,0))</f>
        <v>17.3</v>
      </c>
      <c r="K43" s="2" t="n">
        <f aca="false">IF(I43="Home",Assumptions!$B$2,IF(I43="Away",-Assumptions!$B$2,0))</f>
        <v>2.5</v>
      </c>
      <c r="L43" s="2" t="n">
        <f aca="false">NORMDIST($B43-J43+K43,0,Assumptions!$B$3,TRUE())</f>
        <v>0.289019981362493</v>
      </c>
      <c r="M43" s="2" t="s">
        <v>282</v>
      </c>
      <c r="N43" s="2" t="s">
        <v>406</v>
      </c>
      <c r="O43" s="2" t="n">
        <f aca="false">INDEX(Ratings!$B$2:$B$239,MATCH(M43,Ratings!$A$2:$A$239,0))</f>
        <v>-26</v>
      </c>
      <c r="P43" s="2" t="n">
        <f aca="false">IF(N43="Home",Assumptions!$B$2,IF(N43="Away",-Assumptions!$B$2,0))</f>
        <v>2.5</v>
      </c>
      <c r="Q43" s="2" t="n">
        <f aca="false">NORMDIST($B43-O43+P43,0,Assumptions!$B$3,TRUE())</f>
        <v>0.98422239260891</v>
      </c>
      <c r="R43" s="2" t="s">
        <v>136</v>
      </c>
      <c r="S43" s="2" t="s">
        <v>407</v>
      </c>
      <c r="T43" s="2" t="n">
        <f aca="false">INDEX(Ratings!$B$2:$B$239,MATCH(R43,Ratings!$A$2:$A$239,0))</f>
        <v>-2.3</v>
      </c>
      <c r="U43" s="2" t="n">
        <f aca="false">IF(S43="Home",Assumptions!$B$2,IF(S43="Away",-Assumptions!$B$2,0))</f>
        <v>-2.5</v>
      </c>
      <c r="V43" s="2" t="n">
        <f aca="false">NORMDIST($B43-T43+U43,0,Assumptions!$B$3,TRUE())</f>
        <v>0.639173324850217</v>
      </c>
      <c r="W43" s="2" t="s">
        <v>102</v>
      </c>
      <c r="X43" s="2" t="s">
        <v>406</v>
      </c>
      <c r="Y43" s="2" t="n">
        <f aca="false">INDEX(Ratings!$B$2:$B$239,MATCH(W43,Ratings!$A$2:$A$239,0))</f>
        <v>5.6</v>
      </c>
      <c r="Z43" s="2" t="n">
        <f aca="false">IF(X43="Home",Assumptions!$B$2,IF(X43="Away",-Assumptions!$B$2,0))</f>
        <v>2.5</v>
      </c>
      <c r="AA43" s="2" t="n">
        <f aca="false">NORMDIST($B43-Y43+Z43,0,Assumptions!$B$3,TRUE())</f>
        <v>0.569460183207674</v>
      </c>
      <c r="AB43" s="2" t="s">
        <v>93</v>
      </c>
      <c r="AC43" s="2" t="s">
        <v>407</v>
      </c>
      <c r="AD43" s="2" t="n">
        <f aca="false">INDEX(Ratings!$B$2:$B$239,MATCH(AB43,Ratings!$A$2:$A$239,0))</f>
        <v>8.6</v>
      </c>
      <c r="AE43" s="2" t="n">
        <f aca="false">IF(AC43="Home",Assumptions!$B$2,IF(AC43="Away",-Assumptions!$B$2,0))</f>
        <v>-2.5</v>
      </c>
      <c r="AF43" s="2" t="n">
        <f aca="false">NORMDIST($B43-AD43+AE43,0,Assumptions!$B$3,TRUE())</f>
        <v>0.372590535846716</v>
      </c>
      <c r="AG43" s="2" t="s">
        <v>139</v>
      </c>
      <c r="AH43" s="2" t="s">
        <v>406</v>
      </c>
      <c r="AI43" s="2" t="n">
        <f aca="false">INDEX(Ratings!$B$2:$B$239,MATCH(AG43,Ratings!$A$2:$A$239,0))</f>
        <v>-2.5</v>
      </c>
      <c r="AJ43" s="2" t="n">
        <f aca="false">IF(AH43="Home",Assumptions!$B$2,IF(AH43="Away",-Assumptions!$B$2,0))</f>
        <v>2.5</v>
      </c>
      <c r="AK43" s="2" t="n">
        <f aca="false">NORMDIST($B43-AI43+AJ43,0,Assumptions!$B$3,TRUE())</f>
        <v>0.752143342435738</v>
      </c>
      <c r="AL43" s="2" t="s">
        <v>98</v>
      </c>
      <c r="AM43" s="2" t="s">
        <v>407</v>
      </c>
      <c r="AN43" s="2" t="n">
        <f aca="false">INDEX(Ratings!$B$2:$B$239,MATCH(AL43,Ratings!$A$2:$A$239,0))</f>
        <v>6.2</v>
      </c>
      <c r="AO43" s="2" t="n">
        <f aca="false">IF(AM43="Home",Assumptions!$B$2,IF(AM43="Away",-Assumptions!$B$2,0))</f>
        <v>-2.5</v>
      </c>
      <c r="AP43" s="2" t="n">
        <f aca="false">NORMDIST($B43-AN43+AO43,0,Assumptions!$B$3,TRUE())</f>
        <v>0.430539816792326</v>
      </c>
      <c r="AQ43" s="2" t="s">
        <v>84</v>
      </c>
      <c r="AR43" s="2" t="s">
        <v>406</v>
      </c>
      <c r="AS43" s="2" t="n">
        <f aca="false">INDEX(Ratings!$B$2:$B$239,MATCH(AQ43,Ratings!$A$2:$A$239,0))</f>
        <v>11.1</v>
      </c>
      <c r="AT43" s="2" t="n">
        <f aca="false">IF(AR43="Home",Assumptions!$B$2,IF(AR43="Away",-Assumptions!$B$2,0))</f>
        <v>2.5</v>
      </c>
      <c r="AU43" s="2" t="n">
        <f aca="false">NORMDIST($B43-AS43+AT43,0,Assumptions!$B$3,TRUE())</f>
        <v>0.432996644193328</v>
      </c>
      <c r="AV43" s="2" t="s">
        <v>80</v>
      </c>
      <c r="AW43" s="2" t="s">
        <v>407</v>
      </c>
      <c r="AX43" s="2" t="n">
        <f aca="false">INDEX(Ratings!$B$2:$B$239,MATCH(AV43,Ratings!$A$2:$A$239,0))</f>
        <v>13.1</v>
      </c>
      <c r="AY43" s="2" t="n">
        <f aca="false">IF(AW43="Home",Assumptions!$B$2,IF(AW43="Away",-Assumptions!$B$2,0))</f>
        <v>-2.5</v>
      </c>
      <c r="AZ43" s="2" t="n">
        <f aca="false">NORMDIST($B43-AX43+AY43,0,Assumptions!$B$3,TRUE())</f>
        <v>0.272174377601955</v>
      </c>
      <c r="BA43" s="2" t="s">
        <v>114</v>
      </c>
      <c r="BB43" s="2" t="s">
        <v>406</v>
      </c>
      <c r="BC43" s="2" t="n">
        <f aca="false">INDEX(Ratings!$B$2:$B$239,MATCH(BA43,Ratings!$A$2:$A$239,0))</f>
        <v>3.4</v>
      </c>
      <c r="BD43" s="2" t="n">
        <f aca="false">IF(BB43="Home",Assumptions!$B$2,IF(BB43="Away",-Assumptions!$B$2,0))</f>
        <v>2.5</v>
      </c>
      <c r="BE43" s="2" t="n">
        <f aca="false">NORMDIST($B43-BC43+BD43,0,Assumptions!$B$3,TRUE())</f>
        <v>0.622669718470157</v>
      </c>
      <c r="BF43" s="2" t="s">
        <v>61</v>
      </c>
      <c r="BG43" s="2" t="s">
        <v>407</v>
      </c>
      <c r="BH43" s="2" t="n">
        <f aca="false">INDEX(Ratings!$B$2:$B$239,MATCH(BF43,Ratings!$A$2:$A$239,0))</f>
        <v>26.4</v>
      </c>
      <c r="BI43" s="2" t="n">
        <f aca="false">IF(BG43="Home",Assumptions!$B$2,IF(BG43="Away",-Assumptions!$B$2,0))</f>
        <v>-2.5</v>
      </c>
      <c r="BJ43" s="2" t="n">
        <f aca="false">NORMDIST($B43-BH43+BI43,0,Assumptions!$B$3,TRUE())</f>
        <v>0.0752879864124234</v>
      </c>
      <c r="BP43" s="2" t="n">
        <v>12</v>
      </c>
      <c r="BQ43" s="2" t="n">
        <f aca="false">G43+L43+Q43+V43+AA43+AF43+AK43+AP43+AU43+AZ43+BE43+BJ43</f>
        <v>6.12510888951263</v>
      </c>
    </row>
    <row r="44" customFormat="false" ht="15" hidden="false" customHeight="false" outlineLevel="0" collapsed="false">
      <c r="A44" s="2" t="s">
        <v>100</v>
      </c>
      <c r="B44" s="2" t="n">
        <f aca="false">INDEX(Ratings!$B$2:$B$239,MATCH($A44,Ratings!$A$2:$A$239,0))</f>
        <v>5.7</v>
      </c>
      <c r="C44" s="2" t="s">
        <v>94</v>
      </c>
      <c r="D44" s="2" t="s">
        <v>407</v>
      </c>
      <c r="E44" s="2" t="n">
        <f aca="false">INDEX(Ratings!$B$2:$B$239,MATCH(C44,Ratings!$A$2:$A$239,0))</f>
        <v>8.1</v>
      </c>
      <c r="F44" s="2" t="n">
        <f aca="false">IF(D44="Home",Assumptions!$B$2,IF(D44="Away",-Assumptions!$B$2,0))</f>
        <v>-2.5</v>
      </c>
      <c r="G44" s="2" t="n">
        <f aca="false">NORMDIST($B44-E44+F44,0,Assumptions!$B$3,TRUE())</f>
        <v>0.379707152759433</v>
      </c>
      <c r="H44" s="2" t="s">
        <v>304</v>
      </c>
      <c r="I44" s="2" t="s">
        <v>406</v>
      </c>
      <c r="J44" s="2" t="n">
        <f aca="false">INDEX(Ratings!$B$2:$B$239,MATCH(H44,Ratings!$A$2:$A$239,0))</f>
        <v>-22</v>
      </c>
      <c r="K44" s="2" t="n">
        <f aca="false">IF(I44="Home",Assumptions!$B$2,IF(I44="Away",-Assumptions!$B$2,0))</f>
        <v>2.5</v>
      </c>
      <c r="L44" s="2" t="n">
        <f aca="false">NORMDIST($B44-J44+K44,0,Assumptions!$B$3,TRUE())</f>
        <v>0.970453446827581</v>
      </c>
      <c r="M44" s="2" t="s">
        <v>86</v>
      </c>
      <c r="N44" s="2" t="s">
        <v>407</v>
      </c>
      <c r="O44" s="2" t="n">
        <f aca="false">INDEX(Ratings!$B$2:$B$239,MATCH(M44,Ratings!$A$2:$A$239,0))</f>
        <v>9.8</v>
      </c>
      <c r="P44" s="2" t="n">
        <f aca="false">IF(N44="Home",Assumptions!$B$2,IF(N44="Away",-Assumptions!$B$2,0))</f>
        <v>-2.5</v>
      </c>
      <c r="Q44" s="2" t="n">
        <f aca="false">NORMDIST($B44-O44+P44,0,Assumptions!$B$3,TRUE())</f>
        <v>0.339986490349139</v>
      </c>
      <c r="R44" s="2" t="s">
        <v>169</v>
      </c>
      <c r="S44" s="2" t="s">
        <v>406</v>
      </c>
      <c r="T44" s="2" t="n">
        <f aca="false">INDEX(Ratings!$B$2:$B$239,MATCH(R44,Ratings!$A$2:$A$239,0))</f>
        <v>-12.7</v>
      </c>
      <c r="U44" s="2" t="n">
        <f aca="false">IF(S44="Home",Assumptions!$B$2,IF(S44="Away",-Assumptions!$B$2,0))</f>
        <v>2.5</v>
      </c>
      <c r="V44" s="2" t="n">
        <f aca="false">NORMDIST($B44-T44+U44,0,Assumptions!$B$3,TRUE())</f>
        <v>0.904266222788901</v>
      </c>
      <c r="W44" s="2" t="s">
        <v>84</v>
      </c>
      <c r="X44" s="2" t="s">
        <v>406</v>
      </c>
      <c r="Y44" s="2" t="n">
        <f aca="false">INDEX(Ratings!$B$2:$B$239,MATCH(W44,Ratings!$A$2:$A$239,0))</f>
        <v>11.1</v>
      </c>
      <c r="Z44" s="2" t="n">
        <f aca="false">IF(X44="Home",Assumptions!$B$2,IF(X44="Away",-Assumptions!$B$2,0))</f>
        <v>2.5</v>
      </c>
      <c r="AA44" s="2" t="n">
        <f aca="false">NORMDIST($B44-Y44+Z44,0,Assumptions!$B$3,TRUE())</f>
        <v>0.428085675068554</v>
      </c>
      <c r="AB44" s="2" t="s">
        <v>114</v>
      </c>
      <c r="AC44" s="2" t="s">
        <v>406</v>
      </c>
      <c r="AD44" s="2" t="n">
        <f aca="false">INDEX(Ratings!$B$2:$B$239,MATCH(AB44,Ratings!$A$2:$A$239,0))</f>
        <v>3.4</v>
      </c>
      <c r="AE44" s="2" t="n">
        <f aca="false">IF(AC44="Home",Assumptions!$B$2,IF(AC44="Away",-Assumptions!$B$2,0))</f>
        <v>2.5</v>
      </c>
      <c r="AF44" s="2" t="n">
        <f aca="false">NORMDIST($B44-AD44+AE44,0,Assumptions!$B$3,TRUE())</f>
        <v>0.617911422188953</v>
      </c>
      <c r="AG44" s="2" t="s">
        <v>136</v>
      </c>
      <c r="AH44" s="2" t="s">
        <v>407</v>
      </c>
      <c r="AI44" s="2" t="n">
        <f aca="false">INDEX(Ratings!$B$2:$B$239,MATCH(AG44,Ratings!$A$2:$A$239,0))</f>
        <v>-2.3</v>
      </c>
      <c r="AJ44" s="2" t="n">
        <f aca="false">IF(AH44="Home",Assumptions!$B$2,IF(AH44="Away",-Assumptions!$B$2,0))</f>
        <v>-2.5</v>
      </c>
      <c r="AK44" s="2" t="n">
        <f aca="false">NORMDIST($B44-AI44+AJ44,0,Assumptions!$B$3,TRUE())</f>
        <v>0.634482847309957</v>
      </c>
      <c r="AL44" s="2" t="s">
        <v>117</v>
      </c>
      <c r="AM44" s="2" t="s">
        <v>406</v>
      </c>
      <c r="AN44" s="2" t="n">
        <f aca="false">INDEX(Ratings!$B$2:$B$239,MATCH(AL44,Ratings!$A$2:$A$239,0))</f>
        <v>3</v>
      </c>
      <c r="AO44" s="2" t="n">
        <f aca="false">IF(AM44="Home",Assumptions!$B$2,IF(AM44="Away",-Assumptions!$B$2,0))</f>
        <v>2.5</v>
      </c>
      <c r="AP44" s="2" t="n">
        <f aca="false">NORMDIST($B44-AN44+AO44,0,Assumptions!$B$3,TRUE())</f>
        <v>0.627409464153284</v>
      </c>
      <c r="AQ44" s="2" t="s">
        <v>102</v>
      </c>
      <c r="AR44" s="2" t="s">
        <v>406</v>
      </c>
      <c r="AS44" s="2" t="n">
        <f aca="false">INDEX(Ratings!$B$2:$B$239,MATCH(AQ44,Ratings!$A$2:$A$239,0))</f>
        <v>5.6</v>
      </c>
      <c r="AT44" s="2" t="n">
        <f aca="false">IF(AR44="Home",Assumptions!$B$2,IF(AR44="Away",-Assumptions!$B$2,0))</f>
        <v>2.5</v>
      </c>
      <c r="AU44" s="2" t="n">
        <f aca="false">NORMDIST($B44-AS44+AT44,0,Assumptions!$B$3,TRUE())</f>
        <v>0.564543935862038</v>
      </c>
      <c r="AV44" s="2" t="s">
        <v>133</v>
      </c>
      <c r="AW44" s="2" t="s">
        <v>406</v>
      </c>
      <c r="AX44" s="2" t="n">
        <f aca="false">INDEX(Ratings!$B$2:$B$239,MATCH(AV44,Ratings!$A$2:$A$239,0))</f>
        <v>-1.9</v>
      </c>
      <c r="AY44" s="2" t="n">
        <f aca="false">IF(AW44="Home",Assumptions!$B$2,IF(AW44="Away",-Assumptions!$B$2,0))</f>
        <v>2.5</v>
      </c>
      <c r="AZ44" s="2" t="n">
        <f aca="false">NORMDIST($B44-AX44+AY44,0,Assumptions!$B$3,TRUE())</f>
        <v>0.736061463030662</v>
      </c>
      <c r="BA44" s="2" t="s">
        <v>92</v>
      </c>
      <c r="BB44" s="2" t="s">
        <v>407</v>
      </c>
      <c r="BC44" s="2" t="n">
        <f aca="false">INDEX(Ratings!$B$2:$B$239,MATCH(BA44,Ratings!$A$2:$A$239,0))</f>
        <v>9.1</v>
      </c>
      <c r="BD44" s="2" t="n">
        <f aca="false">IF(BB44="Home",Assumptions!$B$2,IF(BB44="Away",-Assumptions!$B$2,0))</f>
        <v>-2.5</v>
      </c>
      <c r="BE44" s="2" t="n">
        <f aca="false">NORMDIST($B44-BC44+BD44,0,Assumptions!$B$3,TRUE())</f>
        <v>0.356157038183677</v>
      </c>
      <c r="BF44" s="2" t="s">
        <v>113</v>
      </c>
      <c r="BG44" s="2" t="s">
        <v>407</v>
      </c>
      <c r="BH44" s="2" t="n">
        <f aca="false">INDEX(Ratings!$B$2:$B$239,MATCH(BF44,Ratings!$A$2:$A$239,0))</f>
        <v>3.5</v>
      </c>
      <c r="BI44" s="2" t="n">
        <f aca="false">IF(BG44="Home",Assumptions!$B$2,IF(BG44="Away",-Assumptions!$B$2,0))</f>
        <v>-2.5</v>
      </c>
      <c r="BJ44" s="2" t="n">
        <f aca="false">NORMDIST($B44-BH44+BI44,0,Assumptions!$B$3,TRUE())</f>
        <v>0.492520270510441</v>
      </c>
      <c r="BP44" s="2" t="n">
        <v>12</v>
      </c>
      <c r="BQ44" s="2" t="n">
        <f aca="false">G44+L44+Q44+V44+AA44+AF44+AK44+AP44+AU44+AZ44+BE44+BJ44</f>
        <v>7.05158542903262</v>
      </c>
    </row>
    <row r="45" customFormat="false" ht="15" hidden="false" customHeight="false" outlineLevel="0" collapsed="false">
      <c r="A45" s="2" t="s">
        <v>101</v>
      </c>
      <c r="B45" s="2" t="n">
        <f aca="false">INDEX(Ratings!$B$2:$B$239,MATCH($A45,Ratings!$A$2:$A$239,0))</f>
        <v>5.6</v>
      </c>
      <c r="C45" s="2" t="s">
        <v>294</v>
      </c>
      <c r="D45" s="2" t="s">
        <v>406</v>
      </c>
      <c r="E45" s="2" t="n">
        <f aca="false">INDEX(Ratings!$B$2:$B$239,MATCH(C45,Ratings!$A$2:$A$239,0))</f>
        <v>-33</v>
      </c>
      <c r="F45" s="2" t="n">
        <f aca="false">IF(D45="Home",Assumptions!$B$2,IF(D45="Away",-Assumptions!$B$2,0))</f>
        <v>2.5</v>
      </c>
      <c r="G45" s="2" t="n">
        <f aca="false">NORMDIST($B45-E45+F45,0,Assumptions!$B$3,TRUE())</f>
        <v>0.994896696941652</v>
      </c>
      <c r="H45" s="2" t="s">
        <v>87</v>
      </c>
      <c r="I45" s="2" t="s">
        <v>407</v>
      </c>
      <c r="J45" s="2" t="n">
        <f aca="false">INDEX(Ratings!$B$2:$B$239,MATCH(H45,Ratings!$A$2:$A$239,0))</f>
        <v>9.8</v>
      </c>
      <c r="K45" s="2" t="n">
        <f aca="false">IF(I45="Home",Assumptions!$B$2,IF(I45="Away",-Assumptions!$B$2,0))</f>
        <v>-2.5</v>
      </c>
      <c r="L45" s="2" t="n">
        <f aca="false">NORMDIST($B45-J45+K45,0,Assumptions!$B$3,TRUE())</f>
        <v>0.337699424942871</v>
      </c>
      <c r="M45" s="2" t="s">
        <v>61</v>
      </c>
      <c r="N45" s="2" t="s">
        <v>406</v>
      </c>
      <c r="O45" s="2" t="n">
        <f aca="false">INDEX(Ratings!$B$2:$B$239,MATCH(M45,Ratings!$A$2:$A$239,0))</f>
        <v>26.4</v>
      </c>
      <c r="P45" s="2" t="n">
        <f aca="false">IF(N45="Home",Assumptions!$B$2,IF(N45="Away",-Assumptions!$B$2,0))</f>
        <v>2.5</v>
      </c>
      <c r="Q45" s="2" t="n">
        <f aca="false">NORMDIST($B45-O45+P45,0,Assumptions!$B$3,TRUE())</f>
        <v>0.126363665515411</v>
      </c>
      <c r="R45" s="2" t="s">
        <v>149</v>
      </c>
      <c r="S45" s="2" t="s">
        <v>406</v>
      </c>
      <c r="T45" s="2" t="n">
        <f aca="false">INDEX(Ratings!$B$2:$B$239,MATCH(R45,Ratings!$A$2:$A$239,0))</f>
        <v>-6.1</v>
      </c>
      <c r="U45" s="2" t="n">
        <f aca="false">IF(S45="Home",Assumptions!$B$2,IF(S45="Away",-Assumptions!$B$2,0))</f>
        <v>2.5</v>
      </c>
      <c r="V45" s="2" t="n">
        <f aca="false">NORMDIST($B45-T45+U45,0,Assumptions!$B$3,TRUE())</f>
        <v>0.812595116901775</v>
      </c>
      <c r="W45" s="2" t="s">
        <v>66</v>
      </c>
      <c r="X45" s="2" t="s">
        <v>407</v>
      </c>
      <c r="Y45" s="2" t="n">
        <f aca="false">INDEX(Ratings!$B$2:$B$239,MATCH(W45,Ratings!$A$2:$A$239,0))</f>
        <v>20.9</v>
      </c>
      <c r="Z45" s="2" t="n">
        <f aca="false">IF(X45="Home",Assumptions!$B$2,IF(X45="Away",-Assumptions!$B$2,0))</f>
        <v>-2.5</v>
      </c>
      <c r="AA45" s="2" t="n">
        <f aca="false">NORMDIST($B45-Y45+Z45,0,Assumptions!$B$3,TRUE())</f>
        <v>0.132961615077904</v>
      </c>
      <c r="AB45" s="2" t="s">
        <v>71</v>
      </c>
      <c r="AC45" s="2" t="s">
        <v>406</v>
      </c>
      <c r="AD45" s="2" t="n">
        <f aca="false">INDEX(Ratings!$B$2:$B$239,MATCH(AB45,Ratings!$A$2:$A$239,0))</f>
        <v>17.3</v>
      </c>
      <c r="AE45" s="2" t="n">
        <f aca="false">IF(AC45="Home",Assumptions!$B$2,IF(AC45="Away",-Assumptions!$B$2,0))</f>
        <v>2.5</v>
      </c>
      <c r="AF45" s="2" t="n">
        <f aca="false">NORMDIST($B45-AD45+AE45,0,Assumptions!$B$3,TRUE())</f>
        <v>0.282645648497201</v>
      </c>
      <c r="AG45" s="2" t="s">
        <v>86</v>
      </c>
      <c r="AH45" s="2" t="s">
        <v>407</v>
      </c>
      <c r="AI45" s="2" t="n">
        <f aca="false">INDEX(Ratings!$B$2:$B$239,MATCH(AG45,Ratings!$A$2:$A$239,0))</f>
        <v>9.8</v>
      </c>
      <c r="AJ45" s="2" t="n">
        <f aca="false">IF(AH45="Home",Assumptions!$B$2,IF(AH45="Away",-Assumptions!$B$2,0))</f>
        <v>-2.5</v>
      </c>
      <c r="AK45" s="2" t="n">
        <f aca="false">NORMDIST($B45-AI45+AJ45,0,Assumptions!$B$3,TRUE())</f>
        <v>0.337699424942871</v>
      </c>
      <c r="AL45" s="2" t="s">
        <v>76</v>
      </c>
      <c r="AM45" s="2" t="s">
        <v>406</v>
      </c>
      <c r="AN45" s="2" t="n">
        <f aca="false">INDEX(Ratings!$B$2:$B$239,MATCH(AL45,Ratings!$A$2:$A$239,0))</f>
        <v>15.4</v>
      </c>
      <c r="AO45" s="2" t="n">
        <f aca="false">IF(AM45="Home",Assumptions!$B$2,IF(AM45="Away",-Assumptions!$B$2,0))</f>
        <v>2.5</v>
      </c>
      <c r="AP45" s="2" t="n">
        <f aca="false">NORMDIST($B45-AN45+AO45,0,Assumptions!$B$3,TRUE())</f>
        <v>0.324105107136862</v>
      </c>
      <c r="AQ45" s="2" t="s">
        <v>83</v>
      </c>
      <c r="AR45" s="2" t="s">
        <v>407</v>
      </c>
      <c r="AS45" s="2" t="n">
        <f aca="false">INDEX(Ratings!$B$2:$B$239,MATCH(AQ45,Ratings!$A$2:$A$239,0))</f>
        <v>11.5</v>
      </c>
      <c r="AT45" s="2" t="n">
        <f aca="false">IF(AR45="Home",Assumptions!$B$2,IF(AR45="Away",-Assumptions!$B$2,0))</f>
        <v>-2.5</v>
      </c>
      <c r="AU45" s="2" t="n">
        <f aca="false">NORMDIST($B45-AS45+AT45,0,Assumptions!$B$3,TRUE())</f>
        <v>0.299791595468696</v>
      </c>
      <c r="AV45" s="2" t="s">
        <v>81</v>
      </c>
      <c r="AW45" s="2" t="s">
        <v>406</v>
      </c>
      <c r="AX45" s="2" t="n">
        <f aca="false">INDEX(Ratings!$B$2:$B$239,MATCH(AV45,Ratings!$A$2:$A$239,0))</f>
        <v>12.6</v>
      </c>
      <c r="AY45" s="2" t="n">
        <f aca="false">IF(AW45="Home",Assumptions!$B$2,IF(AW45="Away",-Assumptions!$B$2,0))</f>
        <v>2.5</v>
      </c>
      <c r="AZ45" s="2" t="n">
        <f aca="false">NORMDIST($B45-AX45+AY45,0,Assumptions!$B$3,TRUE())</f>
        <v>0.389259328607937</v>
      </c>
      <c r="BA45" s="2" t="s">
        <v>63</v>
      </c>
      <c r="BB45" s="2" t="s">
        <v>407</v>
      </c>
      <c r="BC45" s="2" t="n">
        <f aca="false">INDEX(Ratings!$B$2:$B$239,MATCH(BA45,Ratings!$A$2:$A$239,0))</f>
        <v>22.8</v>
      </c>
      <c r="BD45" s="2" t="n">
        <f aca="false">IF(BB45="Home",Assumptions!$B$2,IF(BB45="Away",-Assumptions!$B$2,0))</f>
        <v>-2.5</v>
      </c>
      <c r="BE45" s="2" t="n">
        <f aca="false">NORMDIST($B45-BC45+BD45,0,Assumptions!$B$3,TRUE())</f>
        <v>0.109114688043218</v>
      </c>
      <c r="BF45" s="2" t="s">
        <v>67</v>
      </c>
      <c r="BG45" s="2" t="s">
        <v>406</v>
      </c>
      <c r="BH45" s="2" t="n">
        <f aca="false">INDEX(Ratings!$B$2:$B$239,MATCH(BF45,Ratings!$A$2:$A$239,0))</f>
        <v>20.4</v>
      </c>
      <c r="BI45" s="2" t="n">
        <f aca="false">IF(BG45="Home",Assumptions!$B$2,IF(BG45="Away",-Assumptions!$B$2,0))</f>
        <v>2.5</v>
      </c>
      <c r="BJ45" s="2" t="n">
        <f aca="false">NORMDIST($B45-BH45+BI45,0,Assumptions!$B$3,TRUE())</f>
        <v>0.221020868167314</v>
      </c>
      <c r="BP45" s="2" t="n">
        <v>12</v>
      </c>
      <c r="BQ45" s="2" t="n">
        <f aca="false">G45+L45+Q45+V45+AA45+AF45+AK45+AP45+AU45+AZ45+BE45+BJ45</f>
        <v>4.36815318024371</v>
      </c>
    </row>
    <row r="46" customFormat="false" ht="15" hidden="false" customHeight="false" outlineLevel="0" collapsed="false">
      <c r="A46" s="2" t="s">
        <v>102</v>
      </c>
      <c r="B46" s="2" t="n">
        <f aca="false">INDEX(Ratings!$B$2:$B$239,MATCH($A46,Ratings!$A$2:$A$239,0))</f>
        <v>5.6</v>
      </c>
      <c r="C46" s="2" t="s">
        <v>144</v>
      </c>
      <c r="D46" s="2" t="s">
        <v>406</v>
      </c>
      <c r="E46" s="2" t="n">
        <f aca="false">INDEX(Ratings!$B$2:$B$239,MATCH(C46,Ratings!$A$2:$A$239,0))</f>
        <v>-4.3</v>
      </c>
      <c r="F46" s="2" t="n">
        <f aca="false">IF(D46="Home",Assumptions!$B$2,IF(D46="Away",-Assumptions!$B$2,0))</f>
        <v>2.5</v>
      </c>
      <c r="G46" s="2" t="n">
        <f aca="false">NORMDIST($B46-E46+F46,0,Assumptions!$B$3,TRUE())</f>
        <v>0.780830170206623</v>
      </c>
      <c r="H46" s="2" t="s">
        <v>85</v>
      </c>
      <c r="I46" s="2" t="s">
        <v>407</v>
      </c>
      <c r="J46" s="2" t="n">
        <f aca="false">INDEX(Ratings!$B$2:$B$239,MATCH(H46,Ratings!$A$2:$A$239,0))</f>
        <v>10.4</v>
      </c>
      <c r="K46" s="2" t="n">
        <f aca="false">IF(I46="Home",Assumptions!$B$2,IF(I46="Away",-Assumptions!$B$2,0))</f>
        <v>-2.5</v>
      </c>
      <c r="L46" s="2" t="n">
        <f aca="false">NORMDIST($B46-J46+K46,0,Assumptions!$B$3,TRUE())</f>
        <v>0.324105107136862</v>
      </c>
      <c r="M46" s="2" t="s">
        <v>136</v>
      </c>
      <c r="N46" s="2" t="s">
        <v>406</v>
      </c>
      <c r="O46" s="2" t="n">
        <f aca="false">INDEX(Ratings!$B$2:$B$239,MATCH(M46,Ratings!$A$2:$A$239,0))</f>
        <v>-2.3</v>
      </c>
      <c r="P46" s="2" t="n">
        <f aca="false">IF(N46="Home",Assumptions!$B$2,IF(N46="Away",-Assumptions!$B$2,0))</f>
        <v>2.5</v>
      </c>
      <c r="Q46" s="2" t="n">
        <f aca="false">NORMDIST($B46-O46+P46,0,Assumptions!$B$3,TRUE())</f>
        <v>0.742153889194135</v>
      </c>
      <c r="R46" s="2" t="s">
        <v>337</v>
      </c>
      <c r="S46" s="2" t="s">
        <v>406</v>
      </c>
      <c r="T46" s="2" t="n">
        <f aca="false">INDEX(Ratings!$B$2:$B$239,MATCH(R46,Ratings!$A$2:$A$239,0))</f>
        <v>-22</v>
      </c>
      <c r="U46" s="2" t="n">
        <f aca="false">IF(S46="Home",Assumptions!$B$2,IF(S46="Away",-Assumptions!$B$2,0))</f>
        <v>2.5</v>
      </c>
      <c r="V46" s="2" t="n">
        <f aca="false">NORMDIST($B46-T46+U46,0,Assumptions!$B$3,TRUE())</f>
        <v>0.970031040466775</v>
      </c>
      <c r="W46" s="2" t="s">
        <v>99</v>
      </c>
      <c r="X46" s="2" t="s">
        <v>407</v>
      </c>
      <c r="Y46" s="2" t="n">
        <f aca="false">INDEX(Ratings!$B$2:$B$239,MATCH(W46,Ratings!$A$2:$A$239,0))</f>
        <v>5.9</v>
      </c>
      <c r="Z46" s="2" t="n">
        <f aca="false">IF(X46="Home",Assumptions!$B$2,IF(X46="Away",-Assumptions!$B$2,0))</f>
        <v>-2.5</v>
      </c>
      <c r="AA46" s="2" t="n">
        <f aca="false">NORMDIST($B46-Y46+Z46,0,Assumptions!$B$3,TRUE())</f>
        <v>0.430539816792326</v>
      </c>
      <c r="AB46" s="2" t="s">
        <v>113</v>
      </c>
      <c r="AC46" s="2" t="s">
        <v>406</v>
      </c>
      <c r="AD46" s="2" t="n">
        <f aca="false">INDEX(Ratings!$B$2:$B$239,MATCH(AB46,Ratings!$A$2:$A$239,0))</f>
        <v>3.5</v>
      </c>
      <c r="AE46" s="2" t="n">
        <f aca="false">IF(AC46="Home",Assumptions!$B$2,IF(AC46="Away",-Assumptions!$B$2,0))</f>
        <v>2.5</v>
      </c>
      <c r="AF46" s="2" t="n">
        <f aca="false">NORMDIST($B46-AD46+AE46,0,Assumptions!$B$3,TRUE())</f>
        <v>0.613135249031273</v>
      </c>
      <c r="AG46" s="2" t="s">
        <v>94</v>
      </c>
      <c r="AH46" s="2" t="s">
        <v>407</v>
      </c>
      <c r="AI46" s="2" t="n">
        <f aca="false">INDEX(Ratings!$B$2:$B$239,MATCH(AG46,Ratings!$A$2:$A$239,0))</f>
        <v>8.1</v>
      </c>
      <c r="AJ46" s="2" t="n">
        <f aca="false">IF(AH46="Home",Assumptions!$B$2,IF(AH46="Away",-Assumptions!$B$2,0))</f>
        <v>-2.5</v>
      </c>
      <c r="AK46" s="2" t="n">
        <f aca="false">NORMDIST($B46-AI46+AJ46,0,Assumptions!$B$3,TRUE())</f>
        <v>0.377330281529843</v>
      </c>
      <c r="AL46" s="2" t="s">
        <v>139</v>
      </c>
      <c r="AM46" s="2" t="s">
        <v>406</v>
      </c>
      <c r="AN46" s="2" t="n">
        <f aca="false">INDEX(Ratings!$B$2:$B$239,MATCH(AL46,Ratings!$A$2:$A$239,0))</f>
        <v>-2.5</v>
      </c>
      <c r="AO46" s="2" t="n">
        <f aca="false">IF(AM46="Home",Assumptions!$B$2,IF(AM46="Away",-Assumptions!$B$2,0))</f>
        <v>2.5</v>
      </c>
      <c r="AP46" s="2" t="n">
        <f aca="false">NORMDIST($B46-AN46+AO46,0,Assumptions!$B$3,TRUE())</f>
        <v>0.746174582585778</v>
      </c>
      <c r="AQ46" s="2" t="s">
        <v>100</v>
      </c>
      <c r="AR46" s="2" t="s">
        <v>407</v>
      </c>
      <c r="AS46" s="2" t="n">
        <f aca="false">INDEX(Ratings!$B$2:$B$239,MATCH(AQ46,Ratings!$A$2:$A$239,0))</f>
        <v>5.7</v>
      </c>
      <c r="AT46" s="2" t="n">
        <f aca="false">IF(AR46="Home",Assumptions!$B$2,IF(AR46="Away",-Assumptions!$B$2,0))</f>
        <v>-2.5</v>
      </c>
      <c r="AU46" s="2" t="n">
        <f aca="false">NORMDIST($B46-AS46+AT46,0,Assumptions!$B$3,TRUE())</f>
        <v>0.435456064137962</v>
      </c>
      <c r="AV46" s="2" t="s">
        <v>64</v>
      </c>
      <c r="AW46" s="2" t="s">
        <v>407</v>
      </c>
      <c r="AX46" s="2" t="n">
        <f aca="false">INDEX(Ratings!$B$2:$B$239,MATCH(AV46,Ratings!$A$2:$A$239,0))</f>
        <v>22</v>
      </c>
      <c r="AY46" s="2" t="n">
        <f aca="false">IF(AW46="Home",Assumptions!$B$2,IF(AW46="Away",-Assumptions!$B$2,0))</f>
        <v>-2.5</v>
      </c>
      <c r="AZ46" s="2" t="n">
        <f aca="false">NORMDIST($B46-AX46+AY46,0,Assumptions!$B$3,TRUE())</f>
        <v>0.118751711857465</v>
      </c>
      <c r="BA46" s="2" t="s">
        <v>80</v>
      </c>
      <c r="BB46" s="2" t="s">
        <v>406</v>
      </c>
      <c r="BC46" s="2" t="n">
        <f aca="false">INDEX(Ratings!$B$2:$B$239,MATCH(BA46,Ratings!$A$2:$A$239,0))</f>
        <v>13.1</v>
      </c>
      <c r="BD46" s="2" t="n">
        <f aca="false">IF(BB46="Home",Assumptions!$B$2,IF(BB46="Away",-Assumptions!$B$2,0))</f>
        <v>2.5</v>
      </c>
      <c r="BE46" s="2" t="n">
        <f aca="false">NORMDIST($B46-BC46+BD46,0,Assumptions!$B$3,TRUE())</f>
        <v>0.377330281529843</v>
      </c>
      <c r="BF46" s="2" t="s">
        <v>114</v>
      </c>
      <c r="BG46" s="2" t="s">
        <v>407</v>
      </c>
      <c r="BH46" s="2" t="n">
        <f aca="false">INDEX(Ratings!$B$2:$B$239,MATCH(BF46,Ratings!$A$2:$A$239,0))</f>
        <v>3.4</v>
      </c>
      <c r="BI46" s="2" t="n">
        <f aca="false">IF(BG46="Home",Assumptions!$B$2,IF(BG46="Away",-Assumptions!$B$2,0))</f>
        <v>-2.5</v>
      </c>
      <c r="BJ46" s="2" t="n">
        <f aca="false">NORMDIST($B46-BH46+BI46,0,Assumptions!$B$3,TRUE())</f>
        <v>0.492520270510441</v>
      </c>
      <c r="BP46" s="2" t="n">
        <v>12</v>
      </c>
      <c r="BQ46" s="2" t="n">
        <f aca="false">G46+L46+Q46+V46+AA46+AF46+AK46+AP46+AU46+AZ46+BE46+BJ46</f>
        <v>6.40835846497933</v>
      </c>
    </row>
    <row r="47" customFormat="false" ht="15" hidden="false" customHeight="false" outlineLevel="0" collapsed="false">
      <c r="A47" s="2" t="s">
        <v>103</v>
      </c>
      <c r="B47" s="2" t="n">
        <f aca="false">INDEX(Ratings!$B$2:$B$239,MATCH($A47,Ratings!$A$2:$A$239,0))</f>
        <v>5.4</v>
      </c>
      <c r="C47" s="2" t="s">
        <v>117</v>
      </c>
      <c r="D47" s="2" t="s">
        <v>407</v>
      </c>
      <c r="E47" s="2" t="n">
        <f aca="false">INDEX(Ratings!$B$2:$B$239,MATCH(C47,Ratings!$A$2:$A$239,0))</f>
        <v>3</v>
      </c>
      <c r="F47" s="2" t="n">
        <f aca="false">IF(D47="Home",Assumptions!$B$2,IF(D47="Away",-Assumptions!$B$2,0))</f>
        <v>-2.5</v>
      </c>
      <c r="G47" s="2" t="n">
        <f aca="false">NORMDIST($B47-E47+F47,0,Assumptions!$B$3,TRUE())</f>
        <v>0.497506626980399</v>
      </c>
      <c r="H47" s="2" t="s">
        <v>122</v>
      </c>
      <c r="I47" s="2" t="s">
        <v>406</v>
      </c>
      <c r="J47" s="2" t="n">
        <f aca="false">INDEX(Ratings!$B$2:$B$239,MATCH(H47,Ratings!$A$2:$A$239,0))</f>
        <v>0.7</v>
      </c>
      <c r="K47" s="2" t="n">
        <f aca="false">IF(I47="Home",Assumptions!$B$2,IF(I47="Away",-Assumptions!$B$2,0))</f>
        <v>2.5</v>
      </c>
      <c r="L47" s="2" t="n">
        <f aca="false">NORMDIST($B47-J47+K47,0,Assumptions!$B$3,TRUE())</f>
        <v>0.67364477971208</v>
      </c>
      <c r="M47" s="2" t="s">
        <v>135</v>
      </c>
      <c r="N47" s="2" t="s">
        <v>406</v>
      </c>
      <c r="O47" s="2" t="n">
        <f aca="false">INDEX(Ratings!$B$2:$B$239,MATCH(M47,Ratings!$A$2:$A$239,0))</f>
        <v>-2.2</v>
      </c>
      <c r="P47" s="2" t="n">
        <f aca="false">IF(N47="Home",Assumptions!$B$2,IF(N47="Away",-Assumptions!$B$2,0))</f>
        <v>2.5</v>
      </c>
      <c r="Q47" s="2" t="n">
        <f aca="false">NORMDIST($B47-O47+P47,0,Assumptions!$B$3,TRUE())</f>
        <v>0.736061463030662</v>
      </c>
      <c r="R47" s="2" t="s">
        <v>105</v>
      </c>
      <c r="S47" s="2" t="s">
        <v>407</v>
      </c>
      <c r="T47" s="2" t="n">
        <f aca="false">INDEX(Ratings!$B$2:$B$239,MATCH(R47,Ratings!$A$2:$A$239,0))</f>
        <v>5.2</v>
      </c>
      <c r="U47" s="2" t="n">
        <f aca="false">IF(S47="Home",Assumptions!$B$2,IF(S47="Away",-Assumptions!$B$2,0))</f>
        <v>-2.5</v>
      </c>
      <c r="V47" s="2" t="n">
        <f aca="false">NORMDIST($B47-T47+U47,0,Assumptions!$B$3,TRUE())</f>
        <v>0.442848943447737</v>
      </c>
      <c r="W47" s="2" t="s">
        <v>59</v>
      </c>
      <c r="X47" s="2" t="s">
        <v>407</v>
      </c>
      <c r="Y47" s="2" t="n">
        <f aca="false">INDEX(Ratings!$B$2:$B$239,MATCH(W47,Ratings!$A$2:$A$239,0))</f>
        <v>29.2</v>
      </c>
      <c r="Z47" s="2" t="n">
        <f aca="false">IF(X47="Home",Assumptions!$B$2,IF(X47="Away",-Assumptions!$B$2,0))</f>
        <v>-2.5</v>
      </c>
      <c r="AA47" s="2" t="n">
        <f aca="false">NORMDIST($B47-Y47+Z47,0,Assumptions!$B$3,TRUE())</f>
        <v>0.0501139266237468</v>
      </c>
      <c r="AB47" s="2" t="s">
        <v>110</v>
      </c>
      <c r="AC47" s="2" t="s">
        <v>406</v>
      </c>
      <c r="AD47" s="2" t="n">
        <f aca="false">INDEX(Ratings!$B$2:$B$239,MATCH(AB47,Ratings!$A$2:$A$239,0))</f>
        <v>3.8</v>
      </c>
      <c r="AE47" s="2" t="n">
        <f aca="false">IF(AC47="Home",Assumptions!$B$2,IF(AC47="Away",-Assumptions!$B$2,0))</f>
        <v>2.5</v>
      </c>
      <c r="AF47" s="2" t="n">
        <f aca="false">NORMDIST($B47-AD47+AE47,0,Assumptions!$B$3,TRUE())</f>
        <v>0.601121098652944</v>
      </c>
      <c r="AG47" s="2" t="s">
        <v>119</v>
      </c>
      <c r="AH47" s="2" t="s">
        <v>406</v>
      </c>
      <c r="AI47" s="2" t="n">
        <f aca="false">INDEX(Ratings!$B$2:$B$239,MATCH(AG47,Ratings!$A$2:$A$239,0))</f>
        <v>2.2</v>
      </c>
      <c r="AJ47" s="2" t="n">
        <f aca="false">IF(AH47="Home",Assumptions!$B$2,IF(AH47="Away",-Assumptions!$B$2,0))</f>
        <v>2.5</v>
      </c>
      <c r="AK47" s="2" t="n">
        <f aca="false">NORMDIST($B47-AI47+AJ47,0,Assumptions!$B$3,TRUE())</f>
        <v>0.639173324850217</v>
      </c>
      <c r="AL47" s="2" t="s">
        <v>165</v>
      </c>
      <c r="AM47" s="2" t="s">
        <v>406</v>
      </c>
      <c r="AN47" s="2" t="n">
        <f aca="false">INDEX(Ratings!$B$2:$B$239,MATCH(AL47,Ratings!$A$2:$A$239,0))</f>
        <v>-11.7</v>
      </c>
      <c r="AO47" s="2" t="n">
        <f aca="false">IF(AM47="Home",Assumptions!$B$2,IF(AM47="Away",-Assumptions!$B$2,0))</f>
        <v>2.5</v>
      </c>
      <c r="AP47" s="2" t="n">
        <f aca="false">NORMDIST($B47-AN47+AO47,0,Assumptions!$B$3,TRUE())</f>
        <v>0.889712389747149</v>
      </c>
      <c r="AQ47" s="2" t="s">
        <v>97</v>
      </c>
      <c r="AR47" s="2" t="s">
        <v>407</v>
      </c>
      <c r="AS47" s="2" t="n">
        <f aca="false">INDEX(Ratings!$B$2:$B$239,MATCH(AQ47,Ratings!$A$2:$A$239,0))</f>
        <v>6.2</v>
      </c>
      <c r="AT47" s="2" t="n">
        <f aca="false">IF(AR47="Home",Assumptions!$B$2,IF(AR47="Away",-Assumptions!$B$2,0))</f>
        <v>-2.5</v>
      </c>
      <c r="AU47" s="2" t="n">
        <f aca="false">NORMDIST($B47-AS47+AT47,0,Assumptions!$B$3,TRUE())</f>
        <v>0.418297816494375</v>
      </c>
      <c r="AV47" s="2" t="s">
        <v>85</v>
      </c>
      <c r="AW47" s="2" t="s">
        <v>406</v>
      </c>
      <c r="AX47" s="2" t="n">
        <f aca="false">INDEX(Ratings!$B$2:$B$239,MATCH(AV47,Ratings!$A$2:$A$239,0))</f>
        <v>10.4</v>
      </c>
      <c r="AY47" s="2" t="n">
        <f aca="false">IF(AW47="Home",Assumptions!$B$2,IF(AW47="Away",-Assumptions!$B$2,0))</f>
        <v>2.5</v>
      </c>
      <c r="AZ47" s="2" t="n">
        <f aca="false">NORMDIST($B47-AX47+AY47,0,Assumptions!$B$3,TRUE())</f>
        <v>0.437917983191705</v>
      </c>
      <c r="BA47" s="2" t="s">
        <v>72</v>
      </c>
      <c r="BB47" s="2" t="s">
        <v>407</v>
      </c>
      <c r="BC47" s="2" t="n">
        <f aca="false">INDEX(Ratings!$B$2:$B$239,MATCH(BA47,Ratings!$A$2:$A$239,0))</f>
        <v>17</v>
      </c>
      <c r="BD47" s="2" t="n">
        <f aca="false">IF(BB47="Home",Assumptions!$B$2,IF(BB47="Away",-Assumptions!$B$2,0))</f>
        <v>-2.5</v>
      </c>
      <c r="BE47" s="2" t="n">
        <f aca="false">NORMDIST($B47-BC47+BD47,0,Assumptions!$B$3,TRUE())</f>
        <v>0.189091261050782</v>
      </c>
      <c r="BF47" s="2" t="s">
        <v>69</v>
      </c>
      <c r="BG47" s="2" t="s">
        <v>406</v>
      </c>
      <c r="BH47" s="2" t="n">
        <f aca="false">INDEX(Ratings!$B$2:$B$239,MATCH(BF47,Ratings!$A$2:$A$239,0))</f>
        <v>17.7</v>
      </c>
      <c r="BI47" s="2" t="n">
        <f aca="false">IF(BG47="Home",Assumptions!$B$2,IF(BG47="Away",-Assumptions!$B$2,0))</f>
        <v>2.5</v>
      </c>
      <c r="BJ47" s="2" t="n">
        <f aca="false">NORMDIST($B47-BH47+BI47,0,Assumptions!$B$3,TRUE())</f>
        <v>0.270103499001235</v>
      </c>
      <c r="BP47" s="2" t="n">
        <v>12</v>
      </c>
      <c r="BQ47" s="2" t="n">
        <f aca="false">G47+L47+Q47+V47+AA47+AF47+AK47+AP47+AU47+AZ47+BE47+BJ47</f>
        <v>5.84559311278303</v>
      </c>
    </row>
    <row r="48" customFormat="false" ht="15" hidden="false" customHeight="false" outlineLevel="0" collapsed="false">
      <c r="A48" s="2" t="s">
        <v>104</v>
      </c>
      <c r="B48" s="2" t="n">
        <f aca="false">INDEX(Ratings!$B$2:$B$239,MATCH($A48,Ratings!$A$2:$A$239,0))</f>
        <v>5.2</v>
      </c>
      <c r="C48" s="2" t="s">
        <v>339</v>
      </c>
      <c r="D48" s="2" t="s">
        <v>406</v>
      </c>
      <c r="E48" s="2" t="n">
        <f aca="false">INDEX(Ratings!$B$2:$B$239,MATCH(C48,Ratings!$A$2:$A$239,0))</f>
        <v>-15</v>
      </c>
      <c r="F48" s="2" t="n">
        <f aca="false">IF(D48="Home",Assumptions!$B$2,IF(D48="Away",-Assumptions!$B$2,0))</f>
        <v>2.5</v>
      </c>
      <c r="G48" s="2" t="n">
        <f aca="false">NORMDIST($B48-E48+F48,0,Assumptions!$B$3,TRUE())</f>
        <v>0.92201404277756</v>
      </c>
      <c r="H48" s="2" t="s">
        <v>70</v>
      </c>
      <c r="I48" s="2" t="s">
        <v>406</v>
      </c>
      <c r="J48" s="2" t="n">
        <f aca="false">INDEX(Ratings!$B$2:$B$239,MATCH(H48,Ratings!$A$2:$A$239,0))</f>
        <v>17.6</v>
      </c>
      <c r="K48" s="2" t="n">
        <f aca="false">IF(I48="Home",Assumptions!$B$2,IF(I48="Away",-Assumptions!$B$2,0))</f>
        <v>2.5</v>
      </c>
      <c r="L48" s="2" t="n">
        <f aca="false">NORMDIST($B48-J48+K48,0,Assumptions!$B$3,TRUE())</f>
        <v>0.268040532802408</v>
      </c>
      <c r="M48" s="2" t="s">
        <v>66</v>
      </c>
      <c r="N48" s="2" t="s">
        <v>407</v>
      </c>
      <c r="O48" s="2" t="n">
        <f aca="false">INDEX(Ratings!$B$2:$B$239,MATCH(M48,Ratings!$A$2:$A$239,0))</f>
        <v>20.9</v>
      </c>
      <c r="P48" s="2" t="n">
        <f aca="false">IF(N48="Home",Assumptions!$B$2,IF(N48="Away",-Assumptions!$B$2,0))</f>
        <v>-2.5</v>
      </c>
      <c r="Q48" s="2" t="n">
        <f aca="false">NORMDIST($B48-O48+P48,0,Assumptions!$B$3,TRUE())</f>
        <v>0.127664662296284</v>
      </c>
      <c r="R48" s="2" t="s">
        <v>173</v>
      </c>
      <c r="S48" s="2" t="s">
        <v>406</v>
      </c>
      <c r="T48" s="2" t="n">
        <f aca="false">INDEX(Ratings!$B$2:$B$239,MATCH(R48,Ratings!$A$2:$A$239,0))</f>
        <v>-14.6</v>
      </c>
      <c r="U48" s="2" t="n">
        <f aca="false">IF(S48="Home",Assumptions!$B$2,IF(S48="Away",-Assumptions!$B$2,0))</f>
        <v>2.5</v>
      </c>
      <c r="V48" s="2" t="n">
        <f aca="false">NORMDIST($B48-T48+U48,0,Assumptions!$B$3,TRUE())</f>
        <v>0.918303444160807</v>
      </c>
      <c r="W48" s="2" t="s">
        <v>81</v>
      </c>
      <c r="X48" s="2" t="s">
        <v>407</v>
      </c>
      <c r="Y48" s="2" t="n">
        <f aca="false">INDEX(Ratings!$B$2:$B$239,MATCH(W48,Ratings!$A$2:$A$239,0))</f>
        <v>12.6</v>
      </c>
      <c r="Z48" s="2" t="n">
        <f aca="false">IF(X48="Home",Assumptions!$B$2,IF(X48="Away",-Assumptions!$B$2,0))</f>
        <v>-2.5</v>
      </c>
      <c r="AA48" s="2" t="n">
        <f aca="false">NORMDIST($B48-Y48+Z48,0,Assumptions!$B$3,TRUE())</f>
        <v>0.268040532802408</v>
      </c>
      <c r="AB48" s="2" t="s">
        <v>67</v>
      </c>
      <c r="AC48" s="2" t="s">
        <v>406</v>
      </c>
      <c r="AD48" s="2" t="n">
        <f aca="false">INDEX(Ratings!$B$2:$B$239,MATCH(AB48,Ratings!$A$2:$A$239,0))</f>
        <v>20.4</v>
      </c>
      <c r="AE48" s="2" t="n">
        <f aca="false">IF(AC48="Home",Assumptions!$B$2,IF(AC48="Away",-Assumptions!$B$2,0))</f>
        <v>2.5</v>
      </c>
      <c r="AF48" s="2" t="n">
        <f aca="false">NORMDIST($B48-AD48+AE48,0,Assumptions!$B$3,TRUE())</f>
        <v>0.213670492940356</v>
      </c>
      <c r="AG48" s="2" t="s">
        <v>68</v>
      </c>
      <c r="AH48" s="2" t="s">
        <v>407</v>
      </c>
      <c r="AI48" s="2" t="n">
        <f aca="false">INDEX(Ratings!$B$2:$B$239,MATCH(AG48,Ratings!$A$2:$A$239,0))</f>
        <v>18.8</v>
      </c>
      <c r="AJ48" s="2" t="n">
        <f aca="false">IF(AH48="Home",Assumptions!$B$2,IF(AH48="Away",-Assumptions!$B$2,0))</f>
        <v>-2.5</v>
      </c>
      <c r="AK48" s="2" t="n">
        <f aca="false">NORMDIST($B48-AI48+AJ48,0,Assumptions!$B$3,TRUE())</f>
        <v>0.157147662863196</v>
      </c>
      <c r="AL48" s="2" t="s">
        <v>86</v>
      </c>
      <c r="AM48" s="2" t="s">
        <v>406</v>
      </c>
      <c r="AN48" s="2" t="n">
        <f aca="false">INDEX(Ratings!$B$2:$B$239,MATCH(AL48,Ratings!$A$2:$A$239,0))</f>
        <v>9.8</v>
      </c>
      <c r="AO48" s="2" t="n">
        <f aca="false">IF(AM48="Home",Assumptions!$B$2,IF(AM48="Away",-Assumptions!$B$2,0))</f>
        <v>2.5</v>
      </c>
      <c r="AP48" s="2" t="n">
        <f aca="false">NORMDIST($B48-AN48+AO48,0,Assumptions!$B$3,TRUE())</f>
        <v>0.447788771872615</v>
      </c>
      <c r="AQ48" s="2" t="s">
        <v>71</v>
      </c>
      <c r="AR48" s="2" t="s">
        <v>407</v>
      </c>
      <c r="AS48" s="2" t="n">
        <f aca="false">INDEX(Ratings!$B$2:$B$239,MATCH(AQ48,Ratings!$A$2:$A$239,0))</f>
        <v>17.3</v>
      </c>
      <c r="AT48" s="2" t="n">
        <f aca="false">IF(AR48="Home",Assumptions!$B$2,IF(AR48="Away",-Assumptions!$B$2,0))</f>
        <v>-2.5</v>
      </c>
      <c r="AU48" s="2" t="n">
        <f aca="false">NORMDIST($B48-AS48+AT48,0,Assumptions!$B$3,TRUE())</f>
        <v>0.180752784766576</v>
      </c>
      <c r="AV48" s="2" t="s">
        <v>77</v>
      </c>
      <c r="AW48" s="2" t="s">
        <v>406</v>
      </c>
      <c r="AX48" s="2" t="n">
        <f aca="false">INDEX(Ratings!$B$2:$B$239,MATCH(AV48,Ratings!$A$2:$A$239,0))</f>
        <v>15.2</v>
      </c>
      <c r="AY48" s="2" t="n">
        <f aca="false">IF(AW48="Home",Assumptions!$B$2,IF(AW48="Away",-Assumptions!$B$2,0))</f>
        <v>2.5</v>
      </c>
      <c r="AZ48" s="2" t="n">
        <f aca="false">NORMDIST($B48-AX48+AY48,0,Assumptions!$B$3,TRUE())</f>
        <v>0.319624171517118</v>
      </c>
      <c r="BA48" s="2" t="s">
        <v>76</v>
      </c>
      <c r="BB48" s="2" t="s">
        <v>407</v>
      </c>
      <c r="BC48" s="2" t="n">
        <f aca="false">INDEX(Ratings!$B$2:$B$239,MATCH(BA48,Ratings!$A$2:$A$239,0))</f>
        <v>15.4</v>
      </c>
      <c r="BD48" s="2" t="n">
        <f aca="false">IF(BB48="Home",Assumptions!$B$2,IF(BB48="Away",-Assumptions!$B$2,0))</f>
        <v>-2.5</v>
      </c>
      <c r="BE48" s="2" t="n">
        <f aca="false">NORMDIST($B48-BC48+BD48,0,Assumptions!$B$3,TRUE())</f>
        <v>0.213670492940356</v>
      </c>
      <c r="BF48" s="2" t="s">
        <v>84</v>
      </c>
      <c r="BG48" s="2" t="s">
        <v>406</v>
      </c>
      <c r="BH48" s="2" t="n">
        <f aca="false">INDEX(Ratings!$B$2:$B$239,MATCH(BF48,Ratings!$A$2:$A$239,0))</f>
        <v>11.1</v>
      </c>
      <c r="BI48" s="2" t="n">
        <f aca="false">IF(BG48="Home",Assumptions!$B$2,IF(BG48="Away",-Assumptions!$B$2,0))</f>
        <v>2.5</v>
      </c>
      <c r="BJ48" s="2" t="n">
        <f aca="false">NORMDIST($B48-BH48+BI48,0,Assumptions!$B$3,TRUE())</f>
        <v>0.415858488890908</v>
      </c>
      <c r="BP48" s="2" t="n">
        <v>12</v>
      </c>
      <c r="BQ48" s="2" t="n">
        <f aca="false">G48+L48+Q48+V48+AA48+AF48+AK48+AP48+AU48+AZ48+BE48+BJ48</f>
        <v>4.45257608063059</v>
      </c>
    </row>
    <row r="49" customFormat="false" ht="15" hidden="false" customHeight="false" outlineLevel="0" collapsed="false">
      <c r="A49" s="2" t="s">
        <v>105</v>
      </c>
      <c r="B49" s="2" t="n">
        <f aca="false">INDEX(Ratings!$B$2:$B$239,MATCH($A49,Ratings!$A$2:$A$239,0))</f>
        <v>5.2</v>
      </c>
      <c r="C49" s="2" t="s">
        <v>268</v>
      </c>
      <c r="D49" s="2" t="s">
        <v>406</v>
      </c>
      <c r="E49" s="2" t="n">
        <f aca="false">INDEX(Ratings!$B$2:$B$239,MATCH(C49,Ratings!$A$2:$A$239,0))</f>
        <v>-26</v>
      </c>
      <c r="F49" s="2" t="n">
        <f aca="false">IF(D49="Home",Assumptions!$B$2,IF(D49="Away",-Assumptions!$B$2,0))</f>
        <v>2.5</v>
      </c>
      <c r="G49" s="2" t="n">
        <f aca="false">NORMDIST($B49-E49+F49,0,Assumptions!$B$3,TRUE())</f>
        <v>0.982408678991955</v>
      </c>
      <c r="H49" s="2" t="s">
        <v>167</v>
      </c>
      <c r="I49" s="2" t="s">
        <v>407</v>
      </c>
      <c r="J49" s="2" t="n">
        <f aca="false">INDEX(Ratings!$B$2:$B$239,MATCH(H49,Ratings!$A$2:$A$239,0))</f>
        <v>-11.9</v>
      </c>
      <c r="K49" s="2" t="n">
        <f aca="false">IF(I49="Home",Assumptions!$B$2,IF(I49="Away",-Assumptions!$B$2,0))</f>
        <v>-2.5</v>
      </c>
      <c r="L49" s="2" t="n">
        <f aca="false">NORMDIST($B49-J49+K49,0,Assumptions!$B$3,TRUE())</f>
        <v>0.819247215233424</v>
      </c>
      <c r="M49" s="2" t="s">
        <v>93</v>
      </c>
      <c r="N49" s="2" t="s">
        <v>406</v>
      </c>
      <c r="O49" s="2" t="n">
        <f aca="false">INDEX(Ratings!$B$2:$B$239,MATCH(M49,Ratings!$A$2:$A$239,0))</f>
        <v>8.6</v>
      </c>
      <c r="P49" s="2" t="n">
        <f aca="false">IF(N49="Home",Assumptions!$B$2,IF(N49="Away",-Assumptions!$B$2,0))</f>
        <v>2.5</v>
      </c>
      <c r="Q49" s="2" t="n">
        <f aca="false">NORMDIST($B49-O49+P49,0,Assumptions!$B$3,TRUE())</f>
        <v>0.477571324972222</v>
      </c>
      <c r="R49" s="2" t="s">
        <v>103</v>
      </c>
      <c r="S49" s="2" t="s">
        <v>406</v>
      </c>
      <c r="T49" s="2" t="n">
        <f aca="false">INDEX(Ratings!$B$2:$B$239,MATCH(R49,Ratings!$A$2:$A$239,0))</f>
        <v>5.4</v>
      </c>
      <c r="U49" s="2" t="n">
        <f aca="false">IF(S49="Home",Assumptions!$B$2,IF(S49="Away",-Assumptions!$B$2,0))</f>
        <v>2.5</v>
      </c>
      <c r="V49" s="2" t="n">
        <f aca="false">NORMDIST($B49-T49+U49,0,Assumptions!$B$3,TRUE())</f>
        <v>0.557151056552264</v>
      </c>
      <c r="W49" s="2" t="s">
        <v>90</v>
      </c>
      <c r="X49" s="2" t="s">
        <v>407</v>
      </c>
      <c r="Y49" s="2" t="n">
        <f aca="false">INDEX(Ratings!$B$2:$B$239,MATCH(W49,Ratings!$A$2:$A$239,0))</f>
        <v>9.3</v>
      </c>
      <c r="Z49" s="2" t="n">
        <f aca="false">IF(X49="Home",Assumptions!$B$2,IF(X49="Away",-Assumptions!$B$2,0))</f>
        <v>-2.5</v>
      </c>
      <c r="AA49" s="2" t="n">
        <f aca="false">NORMDIST($B49-Y49+Z49,0,Assumptions!$B$3,TRUE())</f>
        <v>0.339986490349139</v>
      </c>
      <c r="AB49" s="2" t="s">
        <v>58</v>
      </c>
      <c r="AC49" s="2" t="s">
        <v>407</v>
      </c>
      <c r="AD49" s="2" t="n">
        <f aca="false">INDEX(Ratings!$B$2:$B$239,MATCH(AB49,Ratings!$A$2:$A$239,0))</f>
        <v>32.7</v>
      </c>
      <c r="AE49" s="2" t="n">
        <f aca="false">IF(AC49="Home",Assumptions!$B$2,IF(AC49="Away",-Assumptions!$B$2,0))</f>
        <v>-2.5</v>
      </c>
      <c r="AF49" s="2" t="n">
        <f aca="false">NORMDIST($B49-AD49+AE49,0,Assumptions!$B$3,TRUE())</f>
        <v>0.0303963617652613</v>
      </c>
      <c r="AG49" s="2" t="s">
        <v>118</v>
      </c>
      <c r="AH49" s="2" t="s">
        <v>406</v>
      </c>
      <c r="AI49" s="2" t="n">
        <f aca="false">INDEX(Ratings!$B$2:$B$239,MATCH(AG49,Ratings!$A$2:$A$239,0))</f>
        <v>2.7</v>
      </c>
      <c r="AJ49" s="2" t="n">
        <f aca="false">IF(AH49="Home",Assumptions!$B$2,IF(AH49="Away",-Assumptions!$B$2,0))</f>
        <v>2.5</v>
      </c>
      <c r="AK49" s="2" t="n">
        <f aca="false">NORMDIST($B49-AI49+AJ49,0,Assumptions!$B$3,TRUE())</f>
        <v>0.622669718470157</v>
      </c>
      <c r="AL49" s="2" t="s">
        <v>85</v>
      </c>
      <c r="AM49" s="2" t="s">
        <v>406</v>
      </c>
      <c r="AN49" s="2" t="n">
        <f aca="false">INDEX(Ratings!$B$2:$B$239,MATCH(AL49,Ratings!$A$2:$A$239,0))</f>
        <v>10.4</v>
      </c>
      <c r="AO49" s="2" t="n">
        <f aca="false">IF(AM49="Home",Assumptions!$B$2,IF(AM49="Away",-Assumptions!$B$2,0))</f>
        <v>2.5</v>
      </c>
      <c r="AP49" s="2" t="n">
        <f aca="false">NORMDIST($B49-AN49+AO49,0,Assumptions!$B$3,TRUE())</f>
        <v>0.432996644193328</v>
      </c>
      <c r="AQ49" s="2" t="s">
        <v>135</v>
      </c>
      <c r="AR49" s="2" t="s">
        <v>407</v>
      </c>
      <c r="AS49" s="2" t="n">
        <f aca="false">INDEX(Ratings!$B$2:$B$239,MATCH(AQ49,Ratings!$A$2:$A$239,0))</f>
        <v>-2.2</v>
      </c>
      <c r="AT49" s="2" t="n">
        <f aca="false">IF(AR49="Home",Assumptions!$B$2,IF(AR49="Away",-Assumptions!$B$2,0))</f>
        <v>-2.5</v>
      </c>
      <c r="AU49" s="2" t="n">
        <f aca="false">NORMDIST($B49-AS49+AT49,0,Assumptions!$B$3,TRUE())</f>
        <v>0.620292847240567</v>
      </c>
      <c r="AV49" s="2" t="s">
        <v>110</v>
      </c>
      <c r="AW49" s="2" t="s">
        <v>406</v>
      </c>
      <c r="AX49" s="2" t="n">
        <f aca="false">INDEX(Ratings!$B$2:$B$239,MATCH(AV49,Ratings!$A$2:$A$239,0))</f>
        <v>3.8</v>
      </c>
      <c r="AY49" s="2" t="n">
        <f aca="false">IF(AW49="Home",Assumptions!$B$2,IF(AW49="Away",-Assumptions!$B$2,0))</f>
        <v>2.5</v>
      </c>
      <c r="AZ49" s="2" t="n">
        <f aca="false">NORMDIST($B49-AX49+AY49,0,Assumptions!$B$3,TRUE())</f>
        <v>0.596287776693183</v>
      </c>
      <c r="BA49" s="2" t="s">
        <v>69</v>
      </c>
      <c r="BB49" s="2" t="s">
        <v>407</v>
      </c>
      <c r="BC49" s="2" t="n">
        <f aca="false">INDEX(Ratings!$B$2:$B$239,MATCH(BA49,Ratings!$A$2:$A$239,0))</f>
        <v>17.7</v>
      </c>
      <c r="BD49" s="2" t="n">
        <f aca="false">IF(BB49="Home",Assumptions!$B$2,IF(BB49="Away",-Assumptions!$B$2,0))</f>
        <v>-2.5</v>
      </c>
      <c r="BE49" s="2" t="n">
        <f aca="false">NORMDIST($B49-BC49+BD49,0,Assumptions!$B$3,TRUE())</f>
        <v>0.174250711880542</v>
      </c>
      <c r="BF49" s="2" t="s">
        <v>74</v>
      </c>
      <c r="BG49" s="2" t="s">
        <v>406</v>
      </c>
      <c r="BH49" s="2" t="n">
        <f aca="false">INDEX(Ratings!$B$2:$B$239,MATCH(BF49,Ratings!$A$2:$A$239,0))</f>
        <v>16.2</v>
      </c>
      <c r="BI49" s="2" t="n">
        <f aca="false">IF(BG49="Home",Assumptions!$B$2,IF(BG49="Away",-Assumptions!$B$2,0))</f>
        <v>2.5</v>
      </c>
      <c r="BJ49" s="2" t="n">
        <f aca="false">NORMDIST($B49-BH49+BI49,0,Assumptions!$B$3,TRUE())</f>
        <v>0.297622774366408</v>
      </c>
      <c r="BP49" s="2" t="n">
        <v>12</v>
      </c>
      <c r="BQ49" s="2" t="n">
        <f aca="false">G49+L49+Q49+V49+AA49+AF49+AK49+AP49+AU49+AZ49+BE49+BJ49</f>
        <v>5.95088160070845</v>
      </c>
    </row>
    <row r="50" customFormat="false" ht="15" hidden="false" customHeight="false" outlineLevel="0" collapsed="false">
      <c r="A50" s="2" t="s">
        <v>106</v>
      </c>
      <c r="B50" s="2" t="n">
        <f aca="false">INDEX(Ratings!$B$2:$B$239,MATCH($A50,Ratings!$A$2:$A$239,0))</f>
        <v>5.1</v>
      </c>
      <c r="C50" s="2" t="s">
        <v>59</v>
      </c>
      <c r="D50" s="2" t="s">
        <v>407</v>
      </c>
      <c r="E50" s="2" t="n">
        <f aca="false">INDEX(Ratings!$B$2:$B$239,MATCH(C50,Ratings!$A$2:$A$239,0))</f>
        <v>29.2</v>
      </c>
      <c r="F50" s="2" t="n">
        <f aca="false">IF(D50="Home",Assumptions!$B$2,IF(D50="Away",-Assumptions!$B$2,0))</f>
        <v>-2.5</v>
      </c>
      <c r="G50" s="2" t="n">
        <f aca="false">NORMDIST($B50-E50+F50,0,Assumptions!$B$3,TRUE())</f>
        <v>0.0482062816775056</v>
      </c>
      <c r="H50" s="2" t="s">
        <v>124</v>
      </c>
      <c r="I50" s="2" t="s">
        <v>406</v>
      </c>
      <c r="J50" s="2" t="n">
        <f aca="false">INDEX(Ratings!$B$2:$B$239,MATCH(H50,Ratings!$A$2:$A$239,0))</f>
        <v>0.3</v>
      </c>
      <c r="K50" s="2" t="n">
        <f aca="false">IF(I50="Home",Assumptions!$B$2,IF(I50="Away",-Assumptions!$B$2,0))</f>
        <v>2.5</v>
      </c>
      <c r="L50" s="2" t="n">
        <f aca="false">NORMDIST($B50-J50+K50,0,Assumptions!$B$3,TRUE())</f>
        <v>0.675894892863138</v>
      </c>
      <c r="M50" s="2" t="s">
        <v>308</v>
      </c>
      <c r="N50" s="2" t="s">
        <v>406</v>
      </c>
      <c r="O50" s="2" t="n">
        <f aca="false">INDEX(Ratings!$B$2:$B$239,MATCH(M50,Ratings!$A$2:$A$239,0))</f>
        <v>-15</v>
      </c>
      <c r="P50" s="2" t="n">
        <f aca="false">IF(N50="Home",Assumptions!$B$2,IF(N50="Away",-Assumptions!$B$2,0))</f>
        <v>2.5</v>
      </c>
      <c r="Q50" s="2" t="n">
        <f aca="false">NORMDIST($B50-O50+P50,0,Assumptions!$B$3,TRUE())</f>
        <v>0.921098604654847</v>
      </c>
      <c r="R50" s="2" t="s">
        <v>147</v>
      </c>
      <c r="S50" s="2" t="s">
        <v>407</v>
      </c>
      <c r="T50" s="2" t="n">
        <f aca="false">INDEX(Ratings!$B$2:$B$239,MATCH(R50,Ratings!$A$2:$A$239,0))</f>
        <v>-6</v>
      </c>
      <c r="U50" s="2" t="n">
        <f aca="false">IF(S50="Home",Assumptions!$B$2,IF(S50="Away",-Assumptions!$B$2,0))</f>
        <v>-2.5</v>
      </c>
      <c r="V50" s="2" t="n">
        <f aca="false">NORMDIST($B50-T50+U50,0,Assumptions!$B$3,TRUE())</f>
        <v>0.704538857537264</v>
      </c>
      <c r="W50" s="2" t="s">
        <v>153</v>
      </c>
      <c r="X50" s="2" t="s">
        <v>406</v>
      </c>
      <c r="Y50" s="2" t="n">
        <f aca="false">INDEX(Ratings!$B$2:$B$239,MATCH(W50,Ratings!$A$2:$A$239,0))</f>
        <v>-7.9</v>
      </c>
      <c r="Z50" s="2" t="n">
        <f aca="false">IF(X50="Home",Assumptions!$B$2,IF(X50="Away",-Assumptions!$B$2,0))</f>
        <v>2.5</v>
      </c>
      <c r="AA50" s="2" t="n">
        <f aca="false">NORMDIST($B50-Y50+Z50,0,Assumptions!$B$3,TRUE())</f>
        <v>0.833665030507882</v>
      </c>
      <c r="AB50" s="2" t="s">
        <v>130</v>
      </c>
      <c r="AC50" s="2" t="s">
        <v>407</v>
      </c>
      <c r="AD50" s="2" t="n">
        <f aca="false">INDEX(Ratings!$B$2:$B$239,MATCH(AB50,Ratings!$A$2:$A$239,0))</f>
        <v>-1.4</v>
      </c>
      <c r="AE50" s="2" t="n">
        <f aca="false">IF(AC50="Home",Assumptions!$B$2,IF(AC50="Away",-Assumptions!$B$2,0))</f>
        <v>-2.5</v>
      </c>
      <c r="AF50" s="2" t="n">
        <f aca="false">NORMDIST($B50-AD50+AE50,0,Assumptions!$B$3,TRUE())</f>
        <v>0.598706325682924</v>
      </c>
      <c r="AG50" s="2" t="s">
        <v>143</v>
      </c>
      <c r="AH50" s="2" t="s">
        <v>407</v>
      </c>
      <c r="AI50" s="2" t="n">
        <f aca="false">INDEX(Ratings!$B$2:$B$239,MATCH(AG50,Ratings!$A$2:$A$239,0))</f>
        <v>-4.3</v>
      </c>
      <c r="AJ50" s="2" t="n">
        <f aca="false">IF(AH50="Home",Assumptions!$B$2,IF(AH50="Away",-Assumptions!$B$2,0))</f>
        <v>-2.5</v>
      </c>
      <c r="AK50" s="2" t="n">
        <f aca="false">NORMDIST($B50-AI50+AJ50,0,Assumptions!$B$3,TRUE())</f>
        <v>0.666856699123512</v>
      </c>
      <c r="AL50" s="2" t="s">
        <v>134</v>
      </c>
      <c r="AM50" s="2" t="s">
        <v>406</v>
      </c>
      <c r="AN50" s="2" t="n">
        <f aca="false">INDEX(Ratings!$B$2:$B$239,MATCH(AL50,Ratings!$A$2:$A$239,0))</f>
        <v>-2.1</v>
      </c>
      <c r="AO50" s="2" t="n">
        <f aca="false">IF(AM50="Home",Assumptions!$B$2,IF(AM50="Away",-Assumptions!$B$2,0))</f>
        <v>2.5</v>
      </c>
      <c r="AP50" s="2" t="n">
        <f aca="false">NORMDIST($B50-AN50+AO50,0,Assumptions!$B$3,TRUE())</f>
        <v>0.727825622398045</v>
      </c>
      <c r="AQ50" s="2" t="s">
        <v>164</v>
      </c>
      <c r="AR50" s="2" t="s">
        <v>407</v>
      </c>
      <c r="AS50" s="2" t="n">
        <f aca="false">INDEX(Ratings!$B$2:$B$239,MATCH(AQ50,Ratings!$A$2:$A$239,0))</f>
        <v>-11.6</v>
      </c>
      <c r="AT50" s="2" t="n">
        <f aca="false">IF(AR50="Home",Assumptions!$B$2,IF(AR50="Away",-Assumptions!$B$2,0))</f>
        <v>-2.5</v>
      </c>
      <c r="AU50" s="2" t="n">
        <f aca="false">NORMDIST($B50-AS50+AT50,0,Assumptions!$B$3,TRUE())</f>
        <v>0.812595116901775</v>
      </c>
      <c r="AV50" s="2" t="s">
        <v>146</v>
      </c>
      <c r="AW50" s="2" t="s">
        <v>406</v>
      </c>
      <c r="AX50" s="2" t="n">
        <f aca="false">INDEX(Ratings!$B$2:$B$239,MATCH(AV50,Ratings!$A$2:$A$239,0))</f>
        <v>-5.6</v>
      </c>
      <c r="AY50" s="2" t="n">
        <f aca="false">IF(AW50="Home",Assumptions!$B$2,IF(AW50="Away",-Assumptions!$B$2,0))</f>
        <v>2.5</v>
      </c>
      <c r="AZ50" s="2" t="n">
        <f aca="false">NORMDIST($B50-AX50+AY50,0,Assumptions!$B$3,TRUE())</f>
        <v>0.795314204652747</v>
      </c>
      <c r="BA50" s="2" t="s">
        <v>122</v>
      </c>
      <c r="BB50" s="2" t="s">
        <v>406</v>
      </c>
      <c r="BC50" s="2" t="n">
        <f aca="false">INDEX(Ratings!$B$2:$B$239,MATCH(BA50,Ratings!$A$2:$A$239,0))</f>
        <v>0.7</v>
      </c>
      <c r="BD50" s="2" t="n">
        <f aca="false">IF(BB50="Home",Assumptions!$B$2,IF(BB50="Away",-Assumptions!$B$2,0))</f>
        <v>2.5</v>
      </c>
      <c r="BE50" s="2" t="n">
        <f aca="false">NORMDIST($B50-BC50+BD50,0,Assumptions!$B$3,TRUE())</f>
        <v>0.666856699123512</v>
      </c>
      <c r="BF50" s="2" t="s">
        <v>153</v>
      </c>
      <c r="BG50" s="2" t="s">
        <v>407</v>
      </c>
      <c r="BH50" s="2" t="n">
        <f aca="false">INDEX(Ratings!$B$2:$B$239,MATCH(BF50,Ratings!$A$2:$A$239,0))</f>
        <v>-7.9</v>
      </c>
      <c r="BI50" s="2" t="n">
        <f aca="false">IF(BG50="Home",Assumptions!$B$2,IF(BG50="Away",-Assumptions!$B$2,0))</f>
        <v>-2.5</v>
      </c>
      <c r="BJ50" s="2" t="n">
        <f aca="false">NORMDIST($B50-BH50+BI50,0,Assumptions!$B$3,TRUE())</f>
        <v>0.744168358652066</v>
      </c>
      <c r="BP50" s="2" t="n">
        <v>12</v>
      </c>
      <c r="BQ50" s="2" t="n">
        <f aca="false">G50+L50+Q50+V50+AA50+AF50+AK50+AP50+AU50+AZ50+BE50+BJ50</f>
        <v>8.19572669377522</v>
      </c>
    </row>
    <row r="51" customFormat="false" ht="15" hidden="false" customHeight="false" outlineLevel="0" collapsed="false">
      <c r="A51" s="2" t="s">
        <v>107</v>
      </c>
      <c r="B51" s="2" t="n">
        <f aca="false">INDEX(Ratings!$B$2:$B$239,MATCH($A51,Ratings!$A$2:$A$239,0))</f>
        <v>5.1</v>
      </c>
      <c r="C51" s="2" t="s">
        <v>309</v>
      </c>
      <c r="D51" s="2" t="s">
        <v>406</v>
      </c>
      <c r="E51" s="2" t="n">
        <f aca="false">INDEX(Ratings!$B$2:$B$239,MATCH(C51,Ratings!$A$2:$A$239,0))</f>
        <v>-11</v>
      </c>
      <c r="F51" s="2" t="n">
        <f aca="false">IF(D51="Home",Assumptions!$B$2,IF(D51="Away",-Assumptions!$B$2,0))</f>
        <v>2.5</v>
      </c>
      <c r="G51" s="2" t="n">
        <f aca="false">NORMDIST($B51-E51+F51,0,Assumptions!$B$3,TRUE())</f>
        <v>0.877483787656951</v>
      </c>
      <c r="H51" s="2" t="s">
        <v>123</v>
      </c>
      <c r="I51" s="2" t="s">
        <v>406</v>
      </c>
      <c r="J51" s="2" t="n">
        <f aca="false">INDEX(Ratings!$B$2:$B$239,MATCH(H51,Ratings!$A$2:$A$239,0))</f>
        <v>0.7</v>
      </c>
      <c r="K51" s="2" t="n">
        <f aca="false">IF(I51="Home",Assumptions!$B$2,IF(I51="Away",-Assumptions!$B$2,0))</f>
        <v>2.5</v>
      </c>
      <c r="L51" s="2" t="n">
        <f aca="false">NORMDIST($B51-J51+K51,0,Assumptions!$B$3,TRUE())</f>
        <v>0.666856699123512</v>
      </c>
      <c r="M51" s="2" t="s">
        <v>62</v>
      </c>
      <c r="N51" s="2" t="s">
        <v>407</v>
      </c>
      <c r="O51" s="2" t="n">
        <f aca="false">INDEX(Ratings!$B$2:$B$239,MATCH(M51,Ratings!$A$2:$A$239,0))</f>
        <v>25.8</v>
      </c>
      <c r="P51" s="2" t="n">
        <f aca="false">IF(N51="Home",Assumptions!$B$2,IF(N51="Away",-Assumptions!$B$2,0))</f>
        <v>-2.5</v>
      </c>
      <c r="Q51" s="2" t="n">
        <f aca="false">NORMDIST($B51-O51+P51,0,Assumptions!$B$3,TRUE())</f>
        <v>0.0735292596096483</v>
      </c>
      <c r="R51" s="2" t="s">
        <v>74</v>
      </c>
      <c r="S51" s="2" t="s">
        <v>406</v>
      </c>
      <c r="T51" s="2" t="n">
        <f aca="false">INDEX(Ratings!$B$2:$B$239,MATCH(R51,Ratings!$A$2:$A$239,0))</f>
        <v>16.2</v>
      </c>
      <c r="U51" s="2" t="n">
        <f aca="false">IF(S51="Home",Assumptions!$B$2,IF(S51="Away",-Assumptions!$B$2,0))</f>
        <v>2.5</v>
      </c>
      <c r="V51" s="2" t="n">
        <f aca="false">NORMDIST($B51-T51+U51,0,Assumptions!$B$3,TRUE())</f>
        <v>0.295461142462736</v>
      </c>
      <c r="W51" s="2" t="s">
        <v>190</v>
      </c>
      <c r="X51" s="2" t="s">
        <v>406</v>
      </c>
      <c r="Y51" s="2" t="n">
        <f aca="false">INDEX(Ratings!$B$2:$B$239,MATCH(W51,Ratings!$A$2:$A$239,0))</f>
        <v>-25.1</v>
      </c>
      <c r="Z51" s="2" t="n">
        <f aca="false">IF(X51="Home",Assumptions!$B$2,IF(X51="Away",-Assumptions!$B$2,0))</f>
        <v>2.5</v>
      </c>
      <c r="AA51" s="2" t="n">
        <f aca="false">NORMDIST($B51-Y51+Z51,0,Assumptions!$B$3,TRUE())</f>
        <v>0.979510874525774</v>
      </c>
      <c r="AB51" s="2" t="s">
        <v>119</v>
      </c>
      <c r="AC51" s="2" t="s">
        <v>407</v>
      </c>
      <c r="AD51" s="2" t="n">
        <f aca="false">INDEX(Ratings!$B$2:$B$239,MATCH(AB51,Ratings!$A$2:$A$239,0))</f>
        <v>2.2</v>
      </c>
      <c r="AE51" s="2" t="n">
        <f aca="false">IF(AC51="Home",Assumptions!$B$2,IF(AC51="Away",-Assumptions!$B$2,0))</f>
        <v>-2.5</v>
      </c>
      <c r="AF51" s="2" t="n">
        <f aca="false">NORMDIST($B51-AD51+AE51,0,Assumptions!$B$3,TRUE())</f>
        <v>0.509972518195238</v>
      </c>
      <c r="AG51" s="2" t="s">
        <v>118</v>
      </c>
      <c r="AH51" s="2" t="s">
        <v>406</v>
      </c>
      <c r="AI51" s="2" t="n">
        <f aca="false">INDEX(Ratings!$B$2:$B$239,MATCH(AG51,Ratings!$A$2:$A$239,0))</f>
        <v>2.7</v>
      </c>
      <c r="AJ51" s="2" t="n">
        <f aca="false">IF(AH51="Home",Assumptions!$B$2,IF(AH51="Away",-Assumptions!$B$2,0))</f>
        <v>2.5</v>
      </c>
      <c r="AK51" s="2" t="n">
        <f aca="false">NORMDIST($B51-AI51+AJ51,0,Assumptions!$B$3,TRUE())</f>
        <v>0.620292847240567</v>
      </c>
      <c r="AL51" s="2" t="s">
        <v>59</v>
      </c>
      <c r="AM51" s="2" t="s">
        <v>407</v>
      </c>
      <c r="AN51" s="2" t="n">
        <f aca="false">INDEX(Ratings!$B$2:$B$239,MATCH(AL51,Ratings!$A$2:$A$239,0))</f>
        <v>29.2</v>
      </c>
      <c r="AO51" s="2" t="n">
        <f aca="false">IF(AM51="Home",Assumptions!$B$2,IF(AM51="Away",-Assumptions!$B$2,0))</f>
        <v>-2.5</v>
      </c>
      <c r="AP51" s="2" t="n">
        <f aca="false">NORMDIST($B51-AN51+AO51,0,Assumptions!$B$3,TRUE())</f>
        <v>0.0482062816775056</v>
      </c>
      <c r="AQ51" s="2" t="s">
        <v>79</v>
      </c>
      <c r="AR51" s="2" t="s">
        <v>406</v>
      </c>
      <c r="AS51" s="2" t="n">
        <f aca="false">INDEX(Ratings!$B$2:$B$239,MATCH(AQ51,Ratings!$A$2:$A$239,0))</f>
        <v>14.6</v>
      </c>
      <c r="AT51" s="2" t="n">
        <f aca="false">IF(AR51="Home",Assumptions!$B$2,IF(AR51="Away",-Assumptions!$B$2,0))</f>
        <v>2.5</v>
      </c>
      <c r="AU51" s="2" t="n">
        <f aca="false">NORMDIST($B51-AS51+AT51,0,Assumptions!$B$3,TRUE())</f>
        <v>0.330874388040879</v>
      </c>
      <c r="AV51" s="2" t="s">
        <v>58</v>
      </c>
      <c r="AW51" s="2" t="s">
        <v>407</v>
      </c>
      <c r="AX51" s="2" t="n">
        <f aca="false">INDEX(Ratings!$B$2:$B$239,MATCH(AV51,Ratings!$A$2:$A$239,0))</f>
        <v>32.7</v>
      </c>
      <c r="AY51" s="2" t="n">
        <f aca="false">IF(AW51="Home",Assumptions!$B$2,IF(AW51="Away",-Assumptions!$B$2,0))</f>
        <v>-2.5</v>
      </c>
      <c r="AZ51" s="2" t="n">
        <f aca="false">NORMDIST($B51-AX51+AY51,0,Assumptions!$B$3,TRUE())</f>
        <v>0.0299689595332247</v>
      </c>
      <c r="BA51" s="2" t="s">
        <v>97</v>
      </c>
      <c r="BB51" s="2" t="s">
        <v>407</v>
      </c>
      <c r="BC51" s="2" t="n">
        <f aca="false">INDEX(Ratings!$B$2:$B$239,MATCH(BA51,Ratings!$A$2:$A$239,0))</f>
        <v>6.2</v>
      </c>
      <c r="BD51" s="2" t="n">
        <f aca="false">IF(BB51="Home",Assumptions!$B$2,IF(BB51="Away",-Assumptions!$B$2,0))</f>
        <v>-2.5</v>
      </c>
      <c r="BE51" s="2" t="n">
        <f aca="false">NORMDIST($B51-BC51+BD51,0,Assumptions!$B$3,TRUE())</f>
        <v>0.41098963713127</v>
      </c>
      <c r="BF51" s="2" t="s">
        <v>85</v>
      </c>
      <c r="BG51" s="2" t="s">
        <v>406</v>
      </c>
      <c r="BH51" s="2" t="n">
        <f aca="false">INDEX(Ratings!$B$2:$B$239,MATCH(BF51,Ratings!$A$2:$A$239,0))</f>
        <v>10.4</v>
      </c>
      <c r="BI51" s="2" t="n">
        <f aca="false">IF(BG51="Home",Assumptions!$B$2,IF(BG51="Away",-Assumptions!$B$2,0))</f>
        <v>2.5</v>
      </c>
      <c r="BJ51" s="2" t="n">
        <f aca="false">NORMDIST($B51-BH51+BI51,0,Assumptions!$B$3,TRUE())</f>
        <v>0.430539816792326</v>
      </c>
      <c r="BP51" s="2" t="n">
        <v>12</v>
      </c>
      <c r="BQ51" s="2" t="n">
        <f aca="false">G51+L51+Q51+V51+AA51+AF51+AK51+AP51+AU51+AZ51+BE51+BJ51</f>
        <v>5.27368621198963</v>
      </c>
    </row>
    <row r="52" customFormat="false" ht="15" hidden="false" customHeight="false" outlineLevel="0" collapsed="false">
      <c r="A52" s="2" t="s">
        <v>108</v>
      </c>
      <c r="B52" s="2" t="n">
        <f aca="false">INDEX(Ratings!$B$2:$B$239,MATCH($A52,Ratings!$A$2:$A$239,0))</f>
        <v>4.9</v>
      </c>
      <c r="C52" s="2" t="s">
        <v>288</v>
      </c>
      <c r="D52" s="2" t="s">
        <v>406</v>
      </c>
      <c r="E52" s="2" t="n">
        <f aca="false">INDEX(Ratings!$B$2:$B$239,MATCH(C52,Ratings!$A$2:$A$239,0))</f>
        <v>-44</v>
      </c>
      <c r="F52" s="2" t="n">
        <f aca="false">IF(D52="Home",Assumptions!$B$2,IF(D52="Away",-Assumptions!$B$2,0))</f>
        <v>2.5</v>
      </c>
      <c r="G52" s="2" t="n">
        <f aca="false">NORMDIST($B52-E52+F52,0,Assumptions!$B$3,TRUE())</f>
        <v>0.999342074257536</v>
      </c>
      <c r="H52" s="2" t="s">
        <v>66</v>
      </c>
      <c r="I52" s="2" t="s">
        <v>407</v>
      </c>
      <c r="J52" s="2" t="n">
        <f aca="false">INDEX(Ratings!$B$2:$B$239,MATCH(H52,Ratings!$A$2:$A$239,0))</f>
        <v>20.9</v>
      </c>
      <c r="K52" s="2" t="n">
        <f aca="false">IF(I52="Home",Assumptions!$B$2,IF(I52="Away",-Assumptions!$B$2,0))</f>
        <v>-2.5</v>
      </c>
      <c r="L52" s="2" t="n">
        <f aca="false">NORMDIST($B52-J52+K52,0,Assumptions!$B$3,TRUE())</f>
        <v>0.123789456751694</v>
      </c>
      <c r="M52" s="2" t="s">
        <v>115</v>
      </c>
      <c r="N52" s="2" t="s">
        <v>408</v>
      </c>
      <c r="O52" s="2" t="n">
        <f aca="false">INDEX(Ratings!$B$2:$B$239,MATCH(M52,Ratings!$A$2:$A$239,0))</f>
        <v>3.3</v>
      </c>
      <c r="P52" s="2" t="n">
        <f aca="false">IF(N52="Home",Assumptions!$B$2,IF(N52="Away",-Assumptions!$B$2,0))</f>
        <v>0</v>
      </c>
      <c r="Q52" s="2" t="n">
        <f aca="false">NORMDIST($B52-O52+P52,0,Assumptions!$B$3,TRUE())</f>
        <v>0.539827837277029</v>
      </c>
      <c r="R52" s="2" t="s">
        <v>111</v>
      </c>
      <c r="S52" s="2" t="s">
        <v>406</v>
      </c>
      <c r="T52" s="2" t="n">
        <f aca="false">INDEX(Ratings!$B$2:$B$239,MATCH(R52,Ratings!$A$2:$A$239,0))</f>
        <v>3.8</v>
      </c>
      <c r="U52" s="2" t="n">
        <f aca="false">IF(S52="Home",Assumptions!$B$2,IF(S52="Away",-Assumptions!$B$2,0))</f>
        <v>2.5</v>
      </c>
      <c r="V52" s="2" t="n">
        <f aca="false">NORMDIST($B52-T52+U52,0,Assumptions!$B$3,TRUE())</f>
        <v>0.58901036286873</v>
      </c>
      <c r="W52" s="2" t="s">
        <v>140</v>
      </c>
      <c r="X52" s="2" t="s">
        <v>406</v>
      </c>
      <c r="Y52" s="2" t="n">
        <f aca="false">INDEX(Ratings!$B$2:$B$239,MATCH(W52,Ratings!$A$2:$A$239,0))</f>
        <v>-2.6</v>
      </c>
      <c r="Z52" s="2" t="n">
        <f aca="false">IF(X52="Home",Assumptions!$B$2,IF(X52="Away",-Assumptions!$B$2,0))</f>
        <v>2.5</v>
      </c>
      <c r="AA52" s="2" t="n">
        <f aca="false">NORMDIST($B52-Y52+Z52,0,Assumptions!$B$3,TRUE())</f>
        <v>0.7340144709513</v>
      </c>
      <c r="AB52" s="2" t="s">
        <v>65</v>
      </c>
      <c r="AC52" s="2" t="s">
        <v>407</v>
      </c>
      <c r="AD52" s="2" t="n">
        <f aca="false">INDEX(Ratings!$B$2:$B$239,MATCH(AB52,Ratings!$A$2:$A$239,0))</f>
        <v>21.8</v>
      </c>
      <c r="AE52" s="2" t="n">
        <f aca="false">IF(AC52="Home",Assumptions!$B$2,IF(AC52="Away",-Assumptions!$B$2,0))</f>
        <v>-2.5</v>
      </c>
      <c r="AF52" s="2" t="n">
        <f aca="false">NORMDIST($B52-AD52+AE52,0,Assumptions!$B$3,TRUE())</f>
        <v>0.112660521295943</v>
      </c>
      <c r="AG52" s="2" t="s">
        <v>91</v>
      </c>
      <c r="AH52" s="2" t="s">
        <v>406</v>
      </c>
      <c r="AI52" s="2" t="n">
        <f aca="false">INDEX(Ratings!$B$2:$B$239,MATCH(AG52,Ratings!$A$2:$A$239,0))</f>
        <v>9.2</v>
      </c>
      <c r="AJ52" s="2" t="n">
        <f aca="false">IF(AH52="Home",Assumptions!$B$2,IF(AH52="Away",-Assumptions!$B$2,0))</f>
        <v>2.5</v>
      </c>
      <c r="AK52" s="2" t="n">
        <f aca="false">NORMDIST($B52-AI52+AJ52,0,Assumptions!$B$3,TRUE())</f>
        <v>0.455213484871745</v>
      </c>
      <c r="AL52" s="2" t="s">
        <v>78</v>
      </c>
      <c r="AM52" s="2" t="s">
        <v>407</v>
      </c>
      <c r="AN52" s="2" t="n">
        <f aca="false">INDEX(Ratings!$B$2:$B$239,MATCH(AL52,Ratings!$A$2:$A$239,0))</f>
        <v>14.9</v>
      </c>
      <c r="AO52" s="2" t="n">
        <f aca="false">IF(AM52="Home",Assumptions!$B$2,IF(AM52="Away",-Assumptions!$B$2,0))</f>
        <v>-2.5</v>
      </c>
      <c r="AP52" s="2" t="n">
        <f aca="false">NORMDIST($B52-AN52+AO52,0,Assumptions!$B$3,TRUE())</f>
        <v>0.217327735678086</v>
      </c>
      <c r="AQ52" s="2" t="s">
        <v>123</v>
      </c>
      <c r="AR52" s="2" t="s">
        <v>406</v>
      </c>
      <c r="AS52" s="2" t="n">
        <f aca="false">INDEX(Ratings!$B$2:$B$239,MATCH(AQ52,Ratings!$A$2:$A$239,0))</f>
        <v>0.7</v>
      </c>
      <c r="AT52" s="2" t="n">
        <f aca="false">IF(AR52="Home",Assumptions!$B$2,IF(AR52="Away",-Assumptions!$B$2,0))</f>
        <v>2.5</v>
      </c>
      <c r="AU52" s="2" t="n">
        <f aca="false">NORMDIST($B52-AS52+AT52,0,Assumptions!$B$3,TRUE())</f>
        <v>0.662300575057129</v>
      </c>
      <c r="AV52" s="2" t="s">
        <v>120</v>
      </c>
      <c r="AW52" s="2" t="s">
        <v>407</v>
      </c>
      <c r="AX52" s="2" t="n">
        <f aca="false">INDEX(Ratings!$B$2:$B$239,MATCH(AV52,Ratings!$A$2:$A$239,0))</f>
        <v>1.7</v>
      </c>
      <c r="AY52" s="2" t="n">
        <f aca="false">IF(AW52="Home",Assumptions!$B$2,IF(AW52="Away",-Assumptions!$B$2,0))</f>
        <v>-2.5</v>
      </c>
      <c r="AZ52" s="2" t="n">
        <f aca="false">NORMDIST($B52-AX52+AY52,0,Assumptions!$B$3,TRUE())</f>
        <v>0.51744815844579</v>
      </c>
      <c r="BA52" s="2" t="s">
        <v>96</v>
      </c>
      <c r="BB52" s="2" t="s">
        <v>406</v>
      </c>
      <c r="BC52" s="2" t="n">
        <f aca="false">INDEX(Ratings!$B$2:$B$239,MATCH(BA52,Ratings!$A$2:$A$239,0))</f>
        <v>6.9</v>
      </c>
      <c r="BD52" s="2" t="n">
        <f aca="false">IF(BB52="Home",Assumptions!$B$2,IF(BB52="Away",-Assumptions!$B$2,0))</f>
        <v>2.5</v>
      </c>
      <c r="BE52" s="2" t="n">
        <f aca="false">NORMDIST($B52-BC52+BD52,0,Assumptions!$B$3,TRUE())</f>
        <v>0.512464917434377</v>
      </c>
      <c r="BF52" s="2" t="s">
        <v>88</v>
      </c>
      <c r="BG52" s="2" t="s">
        <v>407</v>
      </c>
      <c r="BH52" s="2" t="n">
        <f aca="false">INDEX(Ratings!$B$2:$B$239,MATCH(BF52,Ratings!$A$2:$A$239,0))</f>
        <v>9.5</v>
      </c>
      <c r="BI52" s="2" t="n">
        <f aca="false">IF(BG52="Home",Assumptions!$B$2,IF(BG52="Away",-Assumptions!$B$2,0))</f>
        <v>-2.5</v>
      </c>
      <c r="BJ52" s="2" t="n">
        <f aca="false">NORMDIST($B52-BH52+BI52,0,Assumptions!$B$3,TRUE())</f>
        <v>0.328611670769279</v>
      </c>
      <c r="BP52" s="2" t="n">
        <v>12</v>
      </c>
      <c r="BQ52" s="2" t="n">
        <f aca="false">G52+L52+Q52+V52+AA52+AF52+AK52+AP52+AU52+AZ52+BE52+BJ52</f>
        <v>5.79201126565864</v>
      </c>
    </row>
    <row r="53" customFormat="false" ht="15" hidden="false" customHeight="false" outlineLevel="0" collapsed="false">
      <c r="A53" s="2" t="s">
        <v>109</v>
      </c>
      <c r="B53" s="2" t="n">
        <f aca="false">INDEX(Ratings!$B$2:$B$239,MATCH($A53,Ratings!$A$2:$A$239,0))</f>
        <v>4.8</v>
      </c>
      <c r="C53" s="2" t="s">
        <v>193</v>
      </c>
      <c r="D53" s="2" t="s">
        <v>406</v>
      </c>
      <c r="E53" s="2" t="n">
        <f aca="false">INDEX(Ratings!$B$2:$B$239,MATCH(C53,Ratings!$A$2:$A$239,0))</f>
        <v>-28.9</v>
      </c>
      <c r="F53" s="2" t="n">
        <f aca="false">IF(D53="Home",Assumptions!$B$2,IF(D53="Away",-Assumptions!$B$2,0))</f>
        <v>2.5</v>
      </c>
      <c r="G53" s="2" t="n">
        <f aca="false">NORMDIST($B53-E53+F53,0,Assumptions!$B$3,TRUE())</f>
        <v>0.988166735580673</v>
      </c>
      <c r="H53" s="2" t="s">
        <v>97</v>
      </c>
      <c r="I53" s="2" t="s">
        <v>407</v>
      </c>
      <c r="J53" s="2" t="n">
        <f aca="false">INDEX(Ratings!$B$2:$B$239,MATCH(H53,Ratings!$A$2:$A$239,0))</f>
        <v>6.2</v>
      </c>
      <c r="K53" s="2" t="n">
        <f aca="false">IF(I53="Home",Assumptions!$B$2,IF(I53="Away",-Assumptions!$B$2,0))</f>
        <v>-2.5</v>
      </c>
      <c r="L53" s="2" t="n">
        <f aca="false">NORMDIST($B53-J53+K53,0,Assumptions!$B$3,TRUE())</f>
        <v>0.403712223306817</v>
      </c>
      <c r="M53" s="2" t="s">
        <v>81</v>
      </c>
      <c r="N53" s="2" t="s">
        <v>407</v>
      </c>
      <c r="O53" s="2" t="n">
        <f aca="false">INDEX(Ratings!$B$2:$B$239,MATCH(M53,Ratings!$A$2:$A$239,0))</f>
        <v>12.6</v>
      </c>
      <c r="P53" s="2" t="n">
        <f aca="false">IF(N53="Home",Assumptions!$B$2,IF(N53="Away",-Assumptions!$B$2,0))</f>
        <v>-2.5</v>
      </c>
      <c r="Q53" s="2" t="n">
        <f aca="false">NORMDIST($B53-O53+P53,0,Assumptions!$B$3,TRUE())</f>
        <v>0.259868780665061</v>
      </c>
      <c r="R53" s="2" t="s">
        <v>76</v>
      </c>
      <c r="S53" s="2" t="s">
        <v>406</v>
      </c>
      <c r="T53" s="2" t="n">
        <f aca="false">INDEX(Ratings!$B$2:$B$239,MATCH(R53,Ratings!$A$2:$A$239,0))</f>
        <v>15.4</v>
      </c>
      <c r="U53" s="2" t="n">
        <f aca="false">IF(S53="Home",Assumptions!$B$2,IF(S53="Away",-Assumptions!$B$2,0))</f>
        <v>2.5</v>
      </c>
      <c r="V53" s="2" t="n">
        <f aca="false">NORMDIST($B53-T53+U53,0,Assumptions!$B$3,TRUE())</f>
        <v>0.306340579285027</v>
      </c>
      <c r="W53" s="2" t="s">
        <v>70</v>
      </c>
      <c r="X53" s="2" t="s">
        <v>406</v>
      </c>
      <c r="Y53" s="2" t="n">
        <f aca="false">INDEX(Ratings!$B$2:$B$239,MATCH(W53,Ratings!$A$2:$A$239,0))</f>
        <v>17.6</v>
      </c>
      <c r="Z53" s="2" t="n">
        <f aca="false">IF(X53="Home",Assumptions!$B$2,IF(X53="Away",-Assumptions!$B$2,0))</f>
        <v>2.5</v>
      </c>
      <c r="AA53" s="2" t="n">
        <f aca="false">NORMDIST($B53-Y53+Z53,0,Assumptions!$B$3,TRUE())</f>
        <v>0.259868780665061</v>
      </c>
      <c r="AB53" s="2" t="s">
        <v>67</v>
      </c>
      <c r="AC53" s="2" t="s">
        <v>407</v>
      </c>
      <c r="AD53" s="2" t="n">
        <f aca="false">INDEX(Ratings!$B$2:$B$239,MATCH(AB53,Ratings!$A$2:$A$239,0))</f>
        <v>20.4</v>
      </c>
      <c r="AE53" s="2" t="n">
        <f aca="false">IF(AC53="Home",Assumptions!$B$2,IF(AC53="Away",-Assumptions!$B$2,0))</f>
        <v>-2.5</v>
      </c>
      <c r="AF53" s="2" t="n">
        <f aca="false">NORMDIST($B53-AD53+AE53,0,Assumptions!$B$3,TRUE())</f>
        <v>0.128974941277154</v>
      </c>
      <c r="AG53" s="2" t="s">
        <v>68</v>
      </c>
      <c r="AH53" s="2" t="s">
        <v>406</v>
      </c>
      <c r="AI53" s="2" t="n">
        <f aca="false">INDEX(Ratings!$B$2:$B$239,MATCH(AG53,Ratings!$A$2:$A$239,0))</f>
        <v>18.8</v>
      </c>
      <c r="AJ53" s="2" t="n">
        <f aca="false">IF(AH53="Home",Assumptions!$B$2,IF(AH53="Away",-Assumptions!$B$2,0))</f>
        <v>2.5</v>
      </c>
      <c r="AK53" s="2" t="n">
        <f aca="false">NORMDIST($B53-AI53+AJ53,0,Assumptions!$B$3,TRUE())</f>
        <v>0.236147484972854</v>
      </c>
      <c r="AL53" s="2" t="s">
        <v>63</v>
      </c>
      <c r="AM53" s="2" t="s">
        <v>407</v>
      </c>
      <c r="AN53" s="2" t="n">
        <f aca="false">INDEX(Ratings!$B$2:$B$239,MATCH(AL53,Ratings!$A$2:$A$239,0))</f>
        <v>22.8</v>
      </c>
      <c r="AO53" s="2" t="n">
        <f aca="false">IF(AM53="Home",Assumptions!$B$2,IF(AM53="Away",-Assumptions!$B$2,0))</f>
        <v>-2.5</v>
      </c>
      <c r="AP53" s="2" t="n">
        <f aca="false">NORMDIST($B53-AN53+AO53,0,Assumptions!$B$3,TRUE())</f>
        <v>0.100052934477426</v>
      </c>
      <c r="AQ53" s="2" t="s">
        <v>86</v>
      </c>
      <c r="AR53" s="2" t="s">
        <v>406</v>
      </c>
      <c r="AS53" s="2" t="n">
        <f aca="false">INDEX(Ratings!$B$2:$B$239,MATCH(AQ53,Ratings!$A$2:$A$239,0))</f>
        <v>9.8</v>
      </c>
      <c r="AT53" s="2" t="n">
        <f aca="false">IF(AR53="Home",Assumptions!$B$2,IF(AR53="Away",-Assumptions!$B$2,0))</f>
        <v>2.5</v>
      </c>
      <c r="AU53" s="2" t="n">
        <f aca="false">NORMDIST($B53-AS53+AT53,0,Assumptions!$B$3,TRUE())</f>
        <v>0.437917983191705</v>
      </c>
      <c r="AV53" s="2" t="s">
        <v>83</v>
      </c>
      <c r="AW53" s="2" t="s">
        <v>406</v>
      </c>
      <c r="AX53" s="2" t="n">
        <f aca="false">INDEX(Ratings!$B$2:$B$239,MATCH(AV53,Ratings!$A$2:$A$239,0))</f>
        <v>11.5</v>
      </c>
      <c r="AY53" s="2" t="n">
        <f aca="false">IF(AW53="Home",Assumptions!$B$2,IF(AW53="Away",-Assumptions!$B$2,0))</f>
        <v>2.5</v>
      </c>
      <c r="AZ53" s="2" t="n">
        <f aca="false">NORMDIST($B53-AX53+AY53,0,Assumptions!$B$3,TRUE())</f>
        <v>0.396467992679005</v>
      </c>
      <c r="BA53" s="2" t="s">
        <v>319</v>
      </c>
      <c r="BB53" s="2" t="s">
        <v>406</v>
      </c>
      <c r="BC53" s="2" t="n">
        <f aca="false">INDEX(Ratings!$B$2:$B$239,MATCH(BA53,Ratings!$A$2:$A$239,0))</f>
        <v>-34</v>
      </c>
      <c r="BD53" s="2" t="n">
        <f aca="false">IF(BB53="Home",Assumptions!$B$2,IF(BB53="Away",-Assumptions!$B$2,0))</f>
        <v>2.5</v>
      </c>
      <c r="BE53" s="2" t="n">
        <f aca="false">NORMDIST($B53-BC53+BD53,0,Assumptions!$B$3,TRUE())</f>
        <v>0.995077836821063</v>
      </c>
      <c r="BF53" s="2" t="s">
        <v>73</v>
      </c>
      <c r="BG53" s="2" t="s">
        <v>407</v>
      </c>
      <c r="BH53" s="2" t="n">
        <f aca="false">INDEX(Ratings!$B$2:$B$239,MATCH(BF53,Ratings!$A$2:$A$239,0))</f>
        <v>16.5</v>
      </c>
      <c r="BI53" s="2" t="n">
        <f aca="false">IF(BG53="Home",Assumptions!$B$2,IF(BG53="Away",-Assumptions!$B$2,0))</f>
        <v>-2.5</v>
      </c>
      <c r="BJ53" s="2" t="n">
        <f aca="false">NORMDIST($B53-BH53+BI53,0,Assumptions!$B$3,TRUE())</f>
        <v>0.187404883098225</v>
      </c>
      <c r="BP53" s="2" t="n">
        <v>12</v>
      </c>
      <c r="BQ53" s="2" t="n">
        <f aca="false">G53+L53+Q53+V53+AA53+AF53+AK53+AP53+AU53+AZ53+BE53+BJ53</f>
        <v>4.70000115602007</v>
      </c>
    </row>
    <row r="54" customFormat="false" ht="15" hidden="false" customHeight="false" outlineLevel="0" collapsed="false">
      <c r="A54" s="2" t="s">
        <v>110</v>
      </c>
      <c r="B54" s="2" t="n">
        <f aca="false">INDEX(Ratings!$B$2:$B$239,MATCH($A54,Ratings!$A$2:$A$239,0))</f>
        <v>3.8</v>
      </c>
      <c r="C54" s="2" t="s">
        <v>60</v>
      </c>
      <c r="D54" s="2" t="s">
        <v>408</v>
      </c>
      <c r="E54" s="2" t="n">
        <f aca="false">INDEX(Ratings!$B$2:$B$239,MATCH(C54,Ratings!$A$2:$A$239,0))</f>
        <v>26.5</v>
      </c>
      <c r="F54" s="2" t="n">
        <f aca="false">IF(D54="Home",Assumptions!$B$2,IF(D54="Away",-Assumptions!$B$2,0))</f>
        <v>0</v>
      </c>
      <c r="G54" s="2" t="n">
        <f aca="false">NORMDIST($B54-E54+F54,0,Assumptions!$B$3,TRUE())</f>
        <v>0.0779859572224404</v>
      </c>
      <c r="H54" s="2" t="s">
        <v>336</v>
      </c>
      <c r="I54" s="2" t="s">
        <v>406</v>
      </c>
      <c r="J54" s="2" t="n">
        <f aca="false">INDEX(Ratings!$B$2:$B$239,MATCH(H54,Ratings!$A$2:$A$239,0))</f>
        <v>-19</v>
      </c>
      <c r="K54" s="2" t="n">
        <f aca="false">IF(I54="Home",Assumptions!$B$2,IF(I54="Away",-Assumptions!$B$2,0))</f>
        <v>2.5</v>
      </c>
      <c r="L54" s="2" t="n">
        <f aca="false">NORMDIST($B54-J54+K54,0,Assumptions!$B$3,TRUE())</f>
        <v>0.943089556476493</v>
      </c>
      <c r="M54" s="2" t="s">
        <v>179</v>
      </c>
      <c r="N54" s="2" t="s">
        <v>406</v>
      </c>
      <c r="O54" s="2" t="n">
        <f aca="false">INDEX(Ratings!$B$2:$B$239,MATCH(M54,Ratings!$A$2:$A$239,0))</f>
        <v>-16.1</v>
      </c>
      <c r="P54" s="2" t="n">
        <f aca="false">IF(N54="Home",Assumptions!$B$2,IF(N54="Away",-Assumptions!$B$2,0))</f>
        <v>2.5</v>
      </c>
      <c r="Q54" s="2" t="n">
        <f aca="false">NORMDIST($B54-O54+P54,0,Assumptions!$B$3,TRUE())</f>
        <v>0.919243340766229</v>
      </c>
      <c r="R54" s="2" t="s">
        <v>74</v>
      </c>
      <c r="S54" s="2" t="s">
        <v>407</v>
      </c>
      <c r="T54" s="2" t="n">
        <f aca="false">INDEX(Ratings!$B$2:$B$239,MATCH(R54,Ratings!$A$2:$A$239,0))</f>
        <v>16.2</v>
      </c>
      <c r="U54" s="2" t="n">
        <f aca="false">IF(S54="Home",Assumptions!$B$2,IF(S54="Away",-Assumptions!$B$2,0))</f>
        <v>-2.5</v>
      </c>
      <c r="V54" s="2" t="n">
        <f aca="false">NORMDIST($B54-T54+U54,0,Assumptions!$B$3,TRUE())</f>
        <v>0.175862129666074</v>
      </c>
      <c r="W54" s="2" t="s">
        <v>119</v>
      </c>
      <c r="X54" s="2" t="s">
        <v>406</v>
      </c>
      <c r="Y54" s="2" t="n">
        <f aca="false">INDEX(Ratings!$B$2:$B$239,MATCH(W54,Ratings!$A$2:$A$239,0))</f>
        <v>2.2</v>
      </c>
      <c r="Z54" s="2" t="n">
        <f aca="false">IF(X54="Home",Assumptions!$B$2,IF(X54="Away",-Assumptions!$B$2,0))</f>
        <v>2.5</v>
      </c>
      <c r="AA54" s="2" t="n">
        <f aca="false">NORMDIST($B54-Y54+Z54,0,Assumptions!$B$3,TRUE())</f>
        <v>0.601121098652944</v>
      </c>
      <c r="AB54" s="2" t="s">
        <v>103</v>
      </c>
      <c r="AC54" s="2" t="s">
        <v>407</v>
      </c>
      <c r="AD54" s="2" t="n">
        <f aca="false">INDEX(Ratings!$B$2:$B$239,MATCH(AB54,Ratings!$A$2:$A$239,0))</f>
        <v>5.4</v>
      </c>
      <c r="AE54" s="2" t="n">
        <f aca="false">IF(AC54="Home",Assumptions!$B$2,IF(AC54="Away",-Assumptions!$B$2,0))</f>
        <v>-2.5</v>
      </c>
      <c r="AF54" s="2" t="n">
        <f aca="false">NORMDIST($B54-AD54+AE54,0,Assumptions!$B$3,TRUE())</f>
        <v>0.398878901347056</v>
      </c>
      <c r="AG54" s="2" t="s">
        <v>69</v>
      </c>
      <c r="AH54" s="2" t="s">
        <v>406</v>
      </c>
      <c r="AI54" s="2" t="n">
        <f aca="false">INDEX(Ratings!$B$2:$B$239,MATCH(AG54,Ratings!$A$2:$A$239,0))</f>
        <v>17.7</v>
      </c>
      <c r="AJ54" s="2" t="n">
        <f aca="false">IF(AH54="Home",Assumptions!$B$2,IF(AH54="Away",-Assumptions!$B$2,0))</f>
        <v>2.5</v>
      </c>
      <c r="AK54" s="2" t="n">
        <f aca="false">NORMDIST($B54-AI54+AJ54,0,Assumptions!$B$3,TRUE())</f>
        <v>0.23807760572368</v>
      </c>
      <c r="AL54" s="2" t="s">
        <v>79</v>
      </c>
      <c r="AM54" s="2" t="s">
        <v>407</v>
      </c>
      <c r="AN54" s="2" t="n">
        <f aca="false">INDEX(Ratings!$B$2:$B$239,MATCH(AL54,Ratings!$A$2:$A$239,0))</f>
        <v>14.6</v>
      </c>
      <c r="AO54" s="2" t="n">
        <f aca="false">IF(AM54="Home",Assumptions!$B$2,IF(AM54="Away",-Assumptions!$B$2,0))</f>
        <v>-2.5</v>
      </c>
      <c r="AP54" s="2" t="n">
        <f aca="false">NORMDIST($B54-AN54+AO54,0,Assumptions!$B$3,TRUE())</f>
        <v>0.202916207063777</v>
      </c>
      <c r="AQ54" s="2" t="s">
        <v>118</v>
      </c>
      <c r="AR54" s="2" t="s">
        <v>406</v>
      </c>
      <c r="AS54" s="2" t="n">
        <f aca="false">INDEX(Ratings!$B$2:$B$239,MATCH(AQ54,Ratings!$A$2:$A$239,0))</f>
        <v>2.7</v>
      </c>
      <c r="AT54" s="2" t="n">
        <f aca="false">IF(AR54="Home",Assumptions!$B$2,IF(AR54="Away",-Assumptions!$B$2,0))</f>
        <v>2.5</v>
      </c>
      <c r="AU54" s="2" t="n">
        <f aca="false">NORMDIST($B54-AS54+AT54,0,Assumptions!$B$3,TRUE())</f>
        <v>0.58901036286873</v>
      </c>
      <c r="AV54" s="2" t="s">
        <v>105</v>
      </c>
      <c r="AW54" s="2" t="s">
        <v>407</v>
      </c>
      <c r="AX54" s="2" t="n">
        <f aca="false">INDEX(Ratings!$B$2:$B$239,MATCH(AV54,Ratings!$A$2:$A$239,0))</f>
        <v>5.2</v>
      </c>
      <c r="AY54" s="2" t="n">
        <f aca="false">IF(AW54="Home",Assumptions!$B$2,IF(AW54="Away",-Assumptions!$B$2,0))</f>
        <v>-2.5</v>
      </c>
      <c r="AZ54" s="2" t="n">
        <f aca="false">NORMDIST($B54-AX54+AY54,0,Assumptions!$B$3,TRUE())</f>
        <v>0.403712223306817</v>
      </c>
      <c r="BA54" s="2" t="s">
        <v>135</v>
      </c>
      <c r="BB54" s="2" t="s">
        <v>407</v>
      </c>
      <c r="BC54" s="2" t="n">
        <f aca="false">INDEX(Ratings!$B$2:$B$239,MATCH(BA54,Ratings!$A$2:$A$239,0))</f>
        <v>-2.2</v>
      </c>
      <c r="BD54" s="2" t="n">
        <f aca="false">IF(BB54="Home",Assumptions!$B$2,IF(BB54="Away",-Assumptions!$B$2,0))</f>
        <v>-2.5</v>
      </c>
      <c r="BE54" s="2" t="n">
        <f aca="false">NORMDIST($B54-BC54+BD54,0,Assumptions!$B$3,TRUE())</f>
        <v>0.586577601141551</v>
      </c>
      <c r="BF54" s="2" t="s">
        <v>97</v>
      </c>
      <c r="BG54" s="2" t="s">
        <v>406</v>
      </c>
      <c r="BH54" s="2" t="n">
        <f aca="false">INDEX(Ratings!$B$2:$B$239,MATCH(BF54,Ratings!$A$2:$A$239,0))</f>
        <v>6.2</v>
      </c>
      <c r="BI54" s="2" t="n">
        <f aca="false">IF(BG54="Home",Assumptions!$B$2,IF(BG54="Away",-Assumptions!$B$2,0))</f>
        <v>2.5</v>
      </c>
      <c r="BJ54" s="2" t="n">
        <f aca="false">NORMDIST($B54-BH54+BI54,0,Assumptions!$B$3,TRUE())</f>
        <v>0.502493373019601</v>
      </c>
      <c r="BP54" s="2" t="n">
        <v>12</v>
      </c>
      <c r="BQ54" s="2" t="n">
        <f aca="false">G54+L54+Q54+V54+AA54+AF54+AK54+AP54+AU54+AZ54+BE54+BJ54</f>
        <v>5.63896835725539</v>
      </c>
    </row>
    <row r="55" customFormat="false" ht="15" hidden="false" customHeight="false" outlineLevel="0" collapsed="false">
      <c r="A55" s="2" t="s">
        <v>111</v>
      </c>
      <c r="B55" s="2" t="n">
        <f aca="false">INDEX(Ratings!$B$2:$B$239,MATCH($A55,Ratings!$A$2:$A$239,0))</f>
        <v>3.8</v>
      </c>
      <c r="C55" s="2" t="s">
        <v>83</v>
      </c>
      <c r="D55" s="2" t="s">
        <v>408</v>
      </c>
      <c r="E55" s="2" t="n">
        <f aca="false">INDEX(Ratings!$B$2:$B$239,MATCH(C55,Ratings!$A$2:$A$239,0))</f>
        <v>11.5</v>
      </c>
      <c r="F55" s="2" t="n">
        <f aca="false">IF(D55="Home",Assumptions!$B$2,IF(D55="Away",-Assumptions!$B$2,0))</f>
        <v>0</v>
      </c>
      <c r="G55" s="2" t="n">
        <f aca="false">NORMDIST($B55-E55+F55,0,Assumptions!$B$3,TRUE())</f>
        <v>0.315169414269308</v>
      </c>
      <c r="H55" s="2" t="s">
        <v>302</v>
      </c>
      <c r="I55" s="2" t="s">
        <v>406</v>
      </c>
      <c r="J55" s="2" t="n">
        <f aca="false">INDEX(Ratings!$B$2:$B$239,MATCH(H55,Ratings!$A$2:$A$239,0))</f>
        <v>-42</v>
      </c>
      <c r="K55" s="2" t="n">
        <f aca="false">IF(I55="Home",Assumptions!$B$2,IF(I55="Away",-Assumptions!$B$2,0))</f>
        <v>2.5</v>
      </c>
      <c r="L55" s="2" t="n">
        <f aca="false">NORMDIST($B55-J55+K55,0,Assumptions!$B$3,TRUE())</f>
        <v>0.998730900562069</v>
      </c>
      <c r="M55" s="2" t="s">
        <v>156</v>
      </c>
      <c r="N55" s="2" t="s">
        <v>406</v>
      </c>
      <c r="O55" s="2" t="n">
        <f aca="false">INDEX(Ratings!$B$2:$B$239,MATCH(M55,Ratings!$A$2:$A$239,0))</f>
        <v>-9.1</v>
      </c>
      <c r="P55" s="2" t="n">
        <f aca="false">IF(N55="Home",Assumptions!$B$2,IF(N55="Away",-Assumptions!$B$2,0))</f>
        <v>2.5</v>
      </c>
      <c r="Q55" s="2" t="n">
        <f aca="false">NORMDIST($B55-O55+P55,0,Assumptions!$B$3,TRUE())</f>
        <v>0.832100748402324</v>
      </c>
      <c r="R55" s="2" t="s">
        <v>123</v>
      </c>
      <c r="S55" s="2" t="s">
        <v>406</v>
      </c>
      <c r="T55" s="2" t="n">
        <f aca="false">INDEX(Ratings!$B$2:$B$239,MATCH(R55,Ratings!$A$2:$A$239,0))</f>
        <v>0.7</v>
      </c>
      <c r="U55" s="2" t="n">
        <f aca="false">IF(S55="Home",Assumptions!$B$2,IF(S55="Away",-Assumptions!$B$2,0))</f>
        <v>2.5</v>
      </c>
      <c r="V55" s="2" t="n">
        <f aca="false">NORMDIST($B55-T55+U55,0,Assumptions!$B$3,TRUE())</f>
        <v>0.636830651175619</v>
      </c>
      <c r="W55" s="2" t="s">
        <v>108</v>
      </c>
      <c r="X55" s="2" t="s">
        <v>407</v>
      </c>
      <c r="Y55" s="2" t="n">
        <f aca="false">INDEX(Ratings!$B$2:$B$239,MATCH(W55,Ratings!$A$2:$A$239,0))</f>
        <v>4.9</v>
      </c>
      <c r="Z55" s="2" t="n">
        <f aca="false">IF(X55="Home",Assumptions!$B$2,IF(X55="Away",-Assumptions!$B$2,0))</f>
        <v>-2.5</v>
      </c>
      <c r="AA55" s="2" t="n">
        <f aca="false">NORMDIST($B55-Y55+Z55,0,Assumptions!$B$3,TRUE())</f>
        <v>0.41098963713127</v>
      </c>
      <c r="AB55" s="2" t="s">
        <v>89</v>
      </c>
      <c r="AC55" s="2" t="s">
        <v>406</v>
      </c>
      <c r="AD55" s="2" t="n">
        <f aca="false">INDEX(Ratings!$B$2:$B$239,MATCH(AB55,Ratings!$A$2:$A$239,0))</f>
        <v>9.4</v>
      </c>
      <c r="AE55" s="2" t="n">
        <f aca="false">IF(AC55="Home",Assumptions!$B$2,IF(AC55="Away",-Assumptions!$B$2,0))</f>
        <v>2.5</v>
      </c>
      <c r="AF55" s="2" t="n">
        <f aca="false">NORMDIST($B55-AD55+AE55,0,Assumptions!$B$3,TRUE())</f>
        <v>0.423185819619029</v>
      </c>
      <c r="AG55" s="2" t="s">
        <v>115</v>
      </c>
      <c r="AH55" s="2" t="s">
        <v>407</v>
      </c>
      <c r="AI55" s="2" t="n">
        <f aca="false">INDEX(Ratings!$B$2:$B$239,MATCH(AG55,Ratings!$A$2:$A$239,0))</f>
        <v>3.3</v>
      </c>
      <c r="AJ55" s="2" t="n">
        <f aca="false">IF(AH55="Home",Assumptions!$B$2,IF(AH55="Away",-Assumptions!$B$2,0))</f>
        <v>-2.5</v>
      </c>
      <c r="AK55" s="2" t="n">
        <f aca="false">NORMDIST($B55-AI55+AJ55,0,Assumptions!$B$3,TRUE())</f>
        <v>0.450261775169887</v>
      </c>
      <c r="AL55" s="2" t="s">
        <v>120</v>
      </c>
      <c r="AM55" s="2" t="s">
        <v>407</v>
      </c>
      <c r="AN55" s="2" t="n">
        <f aca="false">INDEX(Ratings!$B$2:$B$239,MATCH(AL55,Ratings!$A$2:$A$239,0))</f>
        <v>1.7</v>
      </c>
      <c r="AO55" s="2" t="n">
        <f aca="false">IF(AM55="Home",Assumptions!$B$2,IF(AM55="Away",-Assumptions!$B$2,0))</f>
        <v>-2.5</v>
      </c>
      <c r="AP55" s="2" t="n">
        <f aca="false">NORMDIST($B55-AN55+AO55,0,Assumptions!$B$3,TRUE())</f>
        <v>0.490027481804762</v>
      </c>
      <c r="AQ55" s="2" t="s">
        <v>126</v>
      </c>
      <c r="AR55" s="2" t="s">
        <v>406</v>
      </c>
      <c r="AS55" s="2" t="n">
        <f aca="false">INDEX(Ratings!$B$2:$B$239,MATCH(AQ55,Ratings!$A$2:$A$239,0))</f>
        <v>-0.4</v>
      </c>
      <c r="AT55" s="2" t="n">
        <f aca="false">IF(AR55="Home",Assumptions!$B$2,IF(AR55="Away",-Assumptions!$B$2,0))</f>
        <v>2.5</v>
      </c>
      <c r="AU55" s="2" t="n">
        <f aca="false">NORMDIST($B55-AS55+AT55,0,Assumptions!$B$3,TRUE())</f>
        <v>0.662300575057129</v>
      </c>
      <c r="AV55" s="2" t="s">
        <v>78</v>
      </c>
      <c r="AW55" s="2" t="s">
        <v>407</v>
      </c>
      <c r="AX55" s="2" t="n">
        <f aca="false">INDEX(Ratings!$B$2:$B$239,MATCH(AV55,Ratings!$A$2:$A$239,0))</f>
        <v>14.9</v>
      </c>
      <c r="AY55" s="2" t="n">
        <f aca="false">IF(AW55="Home",Assumptions!$B$2,IF(AW55="Away",-Assumptions!$B$2,0))</f>
        <v>-2.5</v>
      </c>
      <c r="AZ55" s="2" t="n">
        <f aca="false">NORMDIST($B55-AX55+AY55,0,Assumptions!$B$3,TRUE())</f>
        <v>0.197662543122692</v>
      </c>
      <c r="BA55" s="2" t="s">
        <v>65</v>
      </c>
      <c r="BB55" s="2" t="s">
        <v>406</v>
      </c>
      <c r="BC55" s="2" t="n">
        <f aca="false">INDEX(Ratings!$B$2:$B$239,MATCH(BA55,Ratings!$A$2:$A$239,0))</f>
        <v>21.8</v>
      </c>
      <c r="BD55" s="2" t="n">
        <f aca="false">IF(BB55="Home",Assumptions!$B$2,IF(BB55="Away",-Assumptions!$B$2,0))</f>
        <v>2.5</v>
      </c>
      <c r="BE55" s="2" t="n">
        <f aca="false">NORMDIST($B55-BC55+BD55,0,Assumptions!$B$3,TRUE())</f>
        <v>0.166334969492118</v>
      </c>
      <c r="BF55" s="2" t="s">
        <v>95</v>
      </c>
      <c r="BG55" s="2" t="s">
        <v>407</v>
      </c>
      <c r="BH55" s="2" t="n">
        <f aca="false">INDEX(Ratings!$B$2:$B$239,MATCH(BF55,Ratings!$A$2:$A$239,0))</f>
        <v>7.4</v>
      </c>
      <c r="BI55" s="2" t="n">
        <f aca="false">IF(BG55="Home",Assumptions!$B$2,IF(BG55="Away",-Assumptions!$B$2,0))</f>
        <v>-2.5</v>
      </c>
      <c r="BJ55" s="2" t="n">
        <f aca="false">NORMDIST($B55-BH55+BI55,0,Assumptions!$B$3,TRUE())</f>
        <v>0.351508875516277</v>
      </c>
      <c r="BP55" s="2" t="n">
        <v>12</v>
      </c>
      <c r="BQ55" s="2" t="n">
        <f aca="false">G55+L55+Q55+V55+AA55+AF55+AK55+AP55+AU55+AZ55+BE55+BJ55</f>
        <v>5.93510339132248</v>
      </c>
    </row>
    <row r="56" customFormat="false" ht="15" hidden="false" customHeight="false" outlineLevel="0" collapsed="false">
      <c r="A56" s="2" t="s">
        <v>112</v>
      </c>
      <c r="B56" s="2" t="n">
        <f aca="false">INDEX(Ratings!$B$2:$B$239,MATCH($A56,Ratings!$A$2:$A$239,0))</f>
        <v>3.6</v>
      </c>
      <c r="C56" s="2" t="s">
        <v>124</v>
      </c>
      <c r="D56" s="2" t="s">
        <v>406</v>
      </c>
      <c r="E56" s="2" t="n">
        <f aca="false">INDEX(Ratings!$B$2:$B$239,MATCH(C56,Ratings!$A$2:$A$239,0))</f>
        <v>0.3</v>
      </c>
      <c r="F56" s="2" t="n">
        <f aca="false">IF(D56="Home",Assumptions!$B$2,IF(D56="Away",-Assumptions!$B$2,0))</f>
        <v>2.5</v>
      </c>
      <c r="G56" s="2" t="n">
        <f aca="false">NORMDIST($B56-E56+F56,0,Assumptions!$B$3,TRUE())</f>
        <v>0.641510788235092</v>
      </c>
      <c r="H56" s="2" t="s">
        <v>140</v>
      </c>
      <c r="I56" s="2" t="s">
        <v>407</v>
      </c>
      <c r="J56" s="2" t="n">
        <f aca="false">INDEX(Ratings!$B$2:$B$239,MATCH(H56,Ratings!$A$2:$A$239,0))</f>
        <v>-2.6</v>
      </c>
      <c r="K56" s="2" t="n">
        <f aca="false">IF(I56="Home",Assumptions!$B$2,IF(I56="Away",-Assumptions!$B$2,0))</f>
        <v>-2.5</v>
      </c>
      <c r="L56" s="2" t="n">
        <f aca="false">NORMDIST($B56-J56+K56,0,Assumptions!$B$3,TRUE())</f>
        <v>0.591439705940164</v>
      </c>
      <c r="M56" s="2" t="s">
        <v>162</v>
      </c>
      <c r="N56" s="2" t="s">
        <v>407</v>
      </c>
      <c r="O56" s="2" t="n">
        <f aca="false">INDEX(Ratings!$B$2:$B$239,MATCH(M56,Ratings!$A$2:$A$239,0))</f>
        <v>-11.6</v>
      </c>
      <c r="P56" s="2" t="n">
        <f aca="false">IF(N56="Home",Assumptions!$B$2,IF(N56="Away",-Assumptions!$B$2,0))</f>
        <v>-2.5</v>
      </c>
      <c r="Q56" s="2" t="n">
        <f aca="false">NORMDIST($B56-O56+P56,0,Assumptions!$B$3,TRUE())</f>
        <v>0.786329507059644</v>
      </c>
      <c r="R56" s="2" t="s">
        <v>187</v>
      </c>
      <c r="S56" s="2" t="s">
        <v>407</v>
      </c>
      <c r="T56" s="2" t="n">
        <f aca="false">INDEX(Ratings!$B$2:$B$239,MATCH(R56,Ratings!$A$2:$A$239,0))</f>
        <v>-22.9</v>
      </c>
      <c r="U56" s="2" t="n">
        <f aca="false">IF(S56="Home",Assumptions!$B$2,IF(S56="Away",-Assumptions!$B$2,0))</f>
        <v>-2.5</v>
      </c>
      <c r="V56" s="2" t="n">
        <f aca="false">NORMDIST($B56-T56+U56,0,Assumptions!$B$3,TRUE())</f>
        <v>0.933192798731142</v>
      </c>
      <c r="W56" s="2" t="s">
        <v>117</v>
      </c>
      <c r="X56" s="2" t="s">
        <v>406</v>
      </c>
      <c r="Y56" s="2" t="n">
        <f aca="false">INDEX(Ratings!$B$2:$B$239,MATCH(W56,Ratings!$A$2:$A$239,0))</f>
        <v>3</v>
      </c>
      <c r="Z56" s="2" t="n">
        <f aca="false">IF(X56="Home",Assumptions!$B$2,IF(X56="Away",-Assumptions!$B$2,0))</f>
        <v>2.5</v>
      </c>
      <c r="AA56" s="2" t="n">
        <f aca="false">NORMDIST($B56-Y56+Z56,0,Assumptions!$B$3,TRUE())</f>
        <v>0.576814180380971</v>
      </c>
      <c r="AB56" s="2" t="s">
        <v>132</v>
      </c>
      <c r="AC56" s="2" t="s">
        <v>406</v>
      </c>
      <c r="AD56" s="2" t="n">
        <f aca="false">INDEX(Ratings!$B$2:$B$239,MATCH(AB56,Ratings!$A$2:$A$239,0))</f>
        <v>-1.8</v>
      </c>
      <c r="AE56" s="2" t="n">
        <f aca="false">IF(AC56="Home",Assumptions!$B$2,IF(AC56="Away",-Assumptions!$B$2,0))</f>
        <v>2.5</v>
      </c>
      <c r="AF56" s="2" t="n">
        <f aca="false">NORMDIST($B56-AD56+AE56,0,Assumptions!$B$3,TRUE())</f>
        <v>0.689258625618694</v>
      </c>
      <c r="AG56" s="2" t="s">
        <v>141</v>
      </c>
      <c r="AH56" s="2" t="s">
        <v>407</v>
      </c>
      <c r="AI56" s="2" t="n">
        <f aca="false">INDEX(Ratings!$B$2:$B$239,MATCH(AG56,Ratings!$A$2:$A$239,0))</f>
        <v>-3.2</v>
      </c>
      <c r="AJ56" s="2" t="n">
        <f aca="false">IF(AH56="Home",Assumptions!$B$2,IF(AH56="Away",-Assumptions!$B$2,0))</f>
        <v>-2.5</v>
      </c>
      <c r="AK56" s="2" t="n">
        <f aca="false">NORMDIST($B56-AI56+AJ56,0,Assumptions!$B$3,TRUE())</f>
        <v>0.605938963847754</v>
      </c>
      <c r="AL56" s="2" t="s">
        <v>180</v>
      </c>
      <c r="AM56" s="2" t="s">
        <v>406</v>
      </c>
      <c r="AN56" s="2" t="n">
        <f aca="false">INDEX(Ratings!$B$2:$B$239,MATCH(AL56,Ratings!$A$2:$A$239,0))</f>
        <v>-17.2</v>
      </c>
      <c r="AO56" s="2" t="n">
        <f aca="false">IF(AM56="Home",Assumptions!$B$2,IF(AM56="Away",-Assumptions!$B$2,0))</f>
        <v>2.5</v>
      </c>
      <c r="AP56" s="2" t="n">
        <f aca="false">NORMDIST($B56-AN56+AO56,0,Assumptions!$B$3,TRUE())</f>
        <v>0.927338238979873</v>
      </c>
      <c r="AQ56" s="2" t="s">
        <v>161</v>
      </c>
      <c r="AR56" s="2" t="s">
        <v>406</v>
      </c>
      <c r="AS56" s="2" t="n">
        <f aca="false">INDEX(Ratings!$B$2:$B$239,MATCH(AQ56,Ratings!$A$2:$A$239,0))</f>
        <v>-10.8</v>
      </c>
      <c r="AT56" s="2" t="n">
        <f aca="false">IF(AR56="Home",Assumptions!$B$2,IF(AR56="Away",-Assumptions!$B$2,0))</f>
        <v>2.5</v>
      </c>
      <c r="AU56" s="2" t="n">
        <f aca="false">NORMDIST($B56-AS56+AT56,0,Assumptions!$B$3,TRUE())</f>
        <v>0.854572993611396</v>
      </c>
      <c r="AV56" s="2" t="s">
        <v>125</v>
      </c>
      <c r="AW56" s="2" t="s">
        <v>407</v>
      </c>
      <c r="AX56" s="2" t="n">
        <f aca="false">INDEX(Ratings!$B$2:$B$239,MATCH(AV56,Ratings!$A$2:$A$239,0))</f>
        <v>0</v>
      </c>
      <c r="AY56" s="2" t="n">
        <f aca="false">IF(AW56="Home",Assumptions!$B$2,IF(AW56="Away",-Assumptions!$B$2,0))</f>
        <v>-2.5</v>
      </c>
      <c r="AZ56" s="2" t="n">
        <f aca="false">NORMDIST($B56-AX56+AY56,0,Assumptions!$B$3,TRUE())</f>
        <v>0.527405690960468</v>
      </c>
      <c r="BA56" s="2" t="s">
        <v>178</v>
      </c>
      <c r="BB56" s="2" t="s">
        <v>407</v>
      </c>
      <c r="BC56" s="2" t="n">
        <f aca="false">INDEX(Ratings!$B$2:$B$239,MATCH(BA56,Ratings!$A$2:$A$239,0))</f>
        <v>-15.7</v>
      </c>
      <c r="BD56" s="2" t="n">
        <f aca="false">IF(BB56="Home",Assumptions!$B$2,IF(BB56="Away",-Assumptions!$B$2,0))</f>
        <v>-2.5</v>
      </c>
      <c r="BE56" s="2" t="n">
        <f aca="false">NORMDIST($B56-BC56+BD56,0,Assumptions!$B$3,TRUE())</f>
        <v>0.853140943624104</v>
      </c>
      <c r="BF56" s="2" t="s">
        <v>165</v>
      </c>
      <c r="BG56" s="2" t="s">
        <v>406</v>
      </c>
      <c r="BH56" s="2" t="n">
        <f aca="false">INDEX(Ratings!$B$2:$B$239,MATCH(BF56,Ratings!$A$2:$A$239,0))</f>
        <v>-11.7</v>
      </c>
      <c r="BI56" s="2" t="n">
        <f aca="false">IF(BG56="Home",Assumptions!$B$2,IF(BG56="Away",-Assumptions!$B$2,0))</f>
        <v>2.5</v>
      </c>
      <c r="BJ56" s="2" t="n">
        <f aca="false">NORMDIST($B56-BH56+BI56,0,Assumptions!$B$3,TRUE())</f>
        <v>0.867038384922096</v>
      </c>
      <c r="BP56" s="2" t="n">
        <v>12</v>
      </c>
      <c r="BQ56" s="2" t="n">
        <f aca="false">G56+L56+Q56+V56+AA56+AF56+AK56+AP56+AU56+AZ56+BE56+BJ56</f>
        <v>8.8539808219114</v>
      </c>
    </row>
    <row r="57" customFormat="false" ht="15" hidden="false" customHeight="false" outlineLevel="0" collapsed="false">
      <c r="A57" s="2" t="s">
        <v>113</v>
      </c>
      <c r="B57" s="2" t="n">
        <f aca="false">INDEX(Ratings!$B$2:$B$239,MATCH($A57,Ratings!$A$2:$A$239,0))</f>
        <v>3.5</v>
      </c>
      <c r="C57" s="2" t="s">
        <v>89</v>
      </c>
      <c r="D57" s="2" t="s">
        <v>408</v>
      </c>
      <c r="E57" s="2" t="n">
        <f aca="false">INDEX(Ratings!$B$2:$B$239,MATCH(C57,Ratings!$A$2:$A$239,0))</f>
        <v>9.4</v>
      </c>
      <c r="F57" s="2" t="n">
        <f aca="false">IF(D57="Home",Assumptions!$B$2,IF(D57="Away",-Assumptions!$B$2,0))</f>
        <v>0</v>
      </c>
      <c r="G57" s="2" t="n">
        <f aca="false">NORMDIST($B57-E57+F57,0,Assumptions!$B$3,TRUE())</f>
        <v>0.356157038183677</v>
      </c>
      <c r="H57" s="2" t="s">
        <v>256</v>
      </c>
      <c r="I57" s="2" t="s">
        <v>406</v>
      </c>
      <c r="J57" s="2" t="n">
        <f aca="false">INDEX(Ratings!$B$2:$B$239,MATCH(H57,Ratings!$A$2:$A$239,0))</f>
        <v>-30</v>
      </c>
      <c r="K57" s="2" t="n">
        <f aca="false">IF(I57="Home",Assumptions!$B$2,IF(I57="Away",-Assumptions!$B$2,0))</f>
        <v>2.5</v>
      </c>
      <c r="L57" s="2" t="n">
        <f aca="false">NORMDIST($B57-J57+K57,0,Assumptions!$B$3,TRUE())</f>
        <v>0.987775527344955</v>
      </c>
      <c r="M57" s="2" t="s">
        <v>80</v>
      </c>
      <c r="N57" s="2" t="s">
        <v>407</v>
      </c>
      <c r="O57" s="2" t="n">
        <f aca="false">INDEX(Ratings!$B$2:$B$239,MATCH(M57,Ratings!$A$2:$A$239,0))</f>
        <v>13.1</v>
      </c>
      <c r="P57" s="2" t="n">
        <f aca="false">IF(N57="Home",Assumptions!$B$2,IF(N57="Away",-Assumptions!$B$2,0))</f>
        <v>-2.5</v>
      </c>
      <c r="Q57" s="2" t="n">
        <f aca="false">NORMDIST($B57-O57+P57,0,Assumptions!$B$3,TRUE())</f>
        <v>0.22474965994458</v>
      </c>
      <c r="R57" s="2" t="s">
        <v>60</v>
      </c>
      <c r="S57" s="2" t="s">
        <v>406</v>
      </c>
      <c r="T57" s="2" t="n">
        <f aca="false">INDEX(Ratings!$B$2:$B$239,MATCH(R57,Ratings!$A$2:$A$239,0))</f>
        <v>26.5</v>
      </c>
      <c r="U57" s="2" t="n">
        <f aca="false">IF(S57="Home",Assumptions!$B$2,IF(S57="Away",-Assumptions!$B$2,0))</f>
        <v>2.5</v>
      </c>
      <c r="V57" s="2" t="n">
        <f aca="false">NORMDIST($B57-T57+U57,0,Assumptions!$B$3,TRUE())</f>
        <v>0.100052934477426</v>
      </c>
      <c r="W57" s="2" t="s">
        <v>98</v>
      </c>
      <c r="X57" s="2" t="s">
        <v>407</v>
      </c>
      <c r="Y57" s="2" t="n">
        <f aca="false">INDEX(Ratings!$B$2:$B$239,MATCH(W57,Ratings!$A$2:$A$239,0))</f>
        <v>6.2</v>
      </c>
      <c r="Z57" s="2" t="n">
        <f aca="false">IF(X57="Home",Assumptions!$B$2,IF(X57="Away",-Assumptions!$B$2,0))</f>
        <v>-2.5</v>
      </c>
      <c r="AA57" s="2" t="n">
        <f aca="false">NORMDIST($B57-Y57+Z57,0,Assumptions!$B$3,TRUE())</f>
        <v>0.372590535846716</v>
      </c>
      <c r="AB57" s="2" t="s">
        <v>102</v>
      </c>
      <c r="AC57" s="2" t="s">
        <v>407</v>
      </c>
      <c r="AD57" s="2" t="n">
        <f aca="false">INDEX(Ratings!$B$2:$B$239,MATCH(AB57,Ratings!$A$2:$A$239,0))</f>
        <v>5.6</v>
      </c>
      <c r="AE57" s="2" t="n">
        <f aca="false">IF(AC57="Home",Assumptions!$B$2,IF(AC57="Away",-Assumptions!$B$2,0))</f>
        <v>-2.5</v>
      </c>
      <c r="AF57" s="2" t="n">
        <f aca="false">NORMDIST($B57-AD57+AE57,0,Assumptions!$B$3,TRUE())</f>
        <v>0.386864750968727</v>
      </c>
      <c r="AG57" s="2" t="s">
        <v>133</v>
      </c>
      <c r="AH57" s="2" t="s">
        <v>406</v>
      </c>
      <c r="AI57" s="2" t="n">
        <f aca="false">INDEX(Ratings!$B$2:$B$239,MATCH(AG57,Ratings!$A$2:$A$239,0))</f>
        <v>-1.9</v>
      </c>
      <c r="AJ57" s="2" t="n">
        <f aca="false">IF(AH57="Home",Assumptions!$B$2,IF(AH57="Away",-Assumptions!$B$2,0))</f>
        <v>2.5</v>
      </c>
      <c r="AK57" s="2" t="n">
        <f aca="false">NORMDIST($B57-AI57+AJ57,0,Assumptions!$B$3,TRUE())</f>
        <v>0.689258625618694</v>
      </c>
      <c r="AL57" s="2" t="s">
        <v>64</v>
      </c>
      <c r="AM57" s="2" t="s">
        <v>406</v>
      </c>
      <c r="AN57" s="2" t="n">
        <f aca="false">INDEX(Ratings!$B$2:$B$239,MATCH(AL57,Ratings!$A$2:$A$239,0))</f>
        <v>22</v>
      </c>
      <c r="AO57" s="2" t="n">
        <f aca="false">IF(AM57="Home",Assumptions!$B$2,IF(AM57="Away",-Assumptions!$B$2,0))</f>
        <v>2.5</v>
      </c>
      <c r="AP57" s="2" t="n">
        <f aca="false">NORMDIST($B57-AN57+AO57,0,Assumptions!$B$3,TRUE())</f>
        <v>0.158655253931457</v>
      </c>
      <c r="AQ57" s="2" t="s">
        <v>167</v>
      </c>
      <c r="AR57" s="2" t="s">
        <v>407</v>
      </c>
      <c r="AS57" s="2" t="n">
        <f aca="false">INDEX(Ratings!$B$2:$B$239,MATCH(AQ57,Ratings!$A$2:$A$239,0))</f>
        <v>-11.9</v>
      </c>
      <c r="AT57" s="2" t="n">
        <f aca="false">IF(AR57="Home",Assumptions!$B$2,IF(AR57="Away",-Assumptions!$B$2,0))</f>
        <v>-2.5</v>
      </c>
      <c r="AU57" s="2" t="n">
        <f aca="false">NORMDIST($B57-AS57+AT57,0,Assumptions!$B$3,TRUE())</f>
        <v>0.789950642982085</v>
      </c>
      <c r="AV57" s="2" t="s">
        <v>84</v>
      </c>
      <c r="AW57" s="2" t="s">
        <v>406</v>
      </c>
      <c r="AX57" s="2" t="n">
        <f aca="false">INDEX(Ratings!$B$2:$B$239,MATCH(AV57,Ratings!$A$2:$A$239,0))</f>
        <v>11.1</v>
      </c>
      <c r="AY57" s="2" t="n">
        <f aca="false">IF(AW57="Home",Assumptions!$B$2,IF(AW57="Away",-Assumptions!$B$2,0))</f>
        <v>2.5</v>
      </c>
      <c r="AZ57" s="2" t="n">
        <f aca="false">NORMDIST($B57-AX57+AY57,0,Assumptions!$B$3,TRUE())</f>
        <v>0.374958048081219</v>
      </c>
      <c r="BA57" s="2" t="s">
        <v>94</v>
      </c>
      <c r="BB57" s="2" t="s">
        <v>407</v>
      </c>
      <c r="BC57" s="2" t="n">
        <f aca="false">INDEX(Ratings!$B$2:$B$239,MATCH(BA57,Ratings!$A$2:$A$239,0))</f>
        <v>8.1</v>
      </c>
      <c r="BD57" s="2" t="n">
        <f aca="false">IF(BB57="Home",Assumptions!$B$2,IF(BB57="Away",-Assumptions!$B$2,0))</f>
        <v>-2.5</v>
      </c>
      <c r="BE57" s="2" t="n">
        <f aca="false">NORMDIST($B57-BC57+BD57,0,Assumptions!$B$3,TRUE())</f>
        <v>0.328611670769279</v>
      </c>
      <c r="BF57" s="2" t="s">
        <v>100</v>
      </c>
      <c r="BG57" s="2" t="s">
        <v>406</v>
      </c>
      <c r="BH57" s="2" t="n">
        <f aca="false">INDEX(Ratings!$B$2:$B$239,MATCH(BF57,Ratings!$A$2:$A$239,0))</f>
        <v>5.7</v>
      </c>
      <c r="BI57" s="2" t="n">
        <f aca="false">IF(BG57="Home",Assumptions!$B$2,IF(BG57="Away",-Assumptions!$B$2,0))</f>
        <v>2.5</v>
      </c>
      <c r="BJ57" s="2" t="n">
        <f aca="false">NORMDIST($B57-BH57+BI57,0,Assumptions!$B$3,TRUE())</f>
        <v>0.507479729489559</v>
      </c>
      <c r="BP57" s="2" t="n">
        <v>12</v>
      </c>
      <c r="BQ57" s="2" t="n">
        <f aca="false">G57+L57+Q57+V57+AA57+AF57+AK57+AP57+AU57+AZ57+BE57+BJ57</f>
        <v>5.27710441763838</v>
      </c>
    </row>
    <row r="58" customFormat="false" ht="15" hidden="false" customHeight="false" outlineLevel="0" collapsed="false">
      <c r="A58" s="2" t="s">
        <v>114</v>
      </c>
      <c r="B58" s="2" t="n">
        <f aca="false">INDEX(Ratings!$B$2:$B$239,MATCH($A58,Ratings!$A$2:$A$239,0))</f>
        <v>3.4</v>
      </c>
      <c r="C58" s="2" t="s">
        <v>187</v>
      </c>
      <c r="D58" s="2" t="s">
        <v>406</v>
      </c>
      <c r="E58" s="2" t="n">
        <f aca="false">INDEX(Ratings!$B$2:$B$239,MATCH(C58,Ratings!$A$2:$A$239,0))</f>
        <v>-22.9</v>
      </c>
      <c r="F58" s="2" t="n">
        <f aca="false">IF(D58="Home",Assumptions!$B$2,IF(D58="Away",-Assumptions!$B$2,0))</f>
        <v>2.5</v>
      </c>
      <c r="G58" s="2" t="n">
        <f aca="false">NORMDIST($B58-E58+F58,0,Assumptions!$B$3,TRUE())</f>
        <v>0.964069680887074</v>
      </c>
      <c r="H58" s="2" t="s">
        <v>135</v>
      </c>
      <c r="I58" s="2" t="s">
        <v>407</v>
      </c>
      <c r="J58" s="2" t="n">
        <f aca="false">INDEX(Ratings!$B$2:$B$239,MATCH(H58,Ratings!$A$2:$A$239,0))</f>
        <v>-2.2</v>
      </c>
      <c r="K58" s="2" t="n">
        <f aca="false">IF(I58="Home",Assumptions!$B$2,IF(I58="Away",-Assumptions!$B$2,0))</f>
        <v>-2.5</v>
      </c>
      <c r="L58" s="2" t="n">
        <f aca="false">NORMDIST($B58-J58+K58,0,Assumptions!$B$3,TRUE())</f>
        <v>0.576814180380971</v>
      </c>
      <c r="M58" s="2" t="s">
        <v>64</v>
      </c>
      <c r="N58" s="2" t="s">
        <v>406</v>
      </c>
      <c r="O58" s="2" t="n">
        <f aca="false">INDEX(Ratings!$B$2:$B$239,MATCH(M58,Ratings!$A$2:$A$239,0))</f>
        <v>22</v>
      </c>
      <c r="P58" s="2" t="n">
        <f aca="false">IF(N58="Home",Assumptions!$B$2,IF(N58="Away",-Assumptions!$B$2,0))</f>
        <v>2.5</v>
      </c>
      <c r="Q58" s="2" t="n">
        <f aca="false">NORMDIST($B58-O58+P58,0,Assumptions!$B$3,TRUE())</f>
        <v>0.157147662863196</v>
      </c>
      <c r="R58" s="2" t="s">
        <v>84</v>
      </c>
      <c r="S58" s="2" t="s">
        <v>407</v>
      </c>
      <c r="T58" s="2" t="n">
        <f aca="false">INDEX(Ratings!$B$2:$B$239,MATCH(R58,Ratings!$A$2:$A$239,0))</f>
        <v>11.1</v>
      </c>
      <c r="U58" s="2" t="n">
        <f aca="false">IF(S58="Home",Assumptions!$B$2,IF(S58="Away",-Assumptions!$B$2,0))</f>
        <v>-2.5</v>
      </c>
      <c r="V58" s="2" t="n">
        <f aca="false">NORMDIST($B58-T58+U58,0,Assumptions!$B$3,TRUE())</f>
        <v>0.26189960497694</v>
      </c>
      <c r="W58" s="2" t="s">
        <v>136</v>
      </c>
      <c r="X58" s="2" t="s">
        <v>406</v>
      </c>
      <c r="Y58" s="2" t="n">
        <f aca="false">INDEX(Ratings!$B$2:$B$239,MATCH(W58,Ratings!$A$2:$A$239,0))</f>
        <v>-2.3</v>
      </c>
      <c r="Z58" s="2" t="n">
        <f aca="false">IF(X58="Home",Assumptions!$B$2,IF(X58="Away",-Assumptions!$B$2,0))</f>
        <v>2.5</v>
      </c>
      <c r="AA58" s="2" t="n">
        <f aca="false">NORMDIST($B58-Y58+Z58,0,Assumptions!$B$3,TRUE())</f>
        <v>0.69584943984712</v>
      </c>
      <c r="AB58" s="2" t="s">
        <v>100</v>
      </c>
      <c r="AC58" s="2" t="s">
        <v>407</v>
      </c>
      <c r="AD58" s="2" t="n">
        <f aca="false">INDEX(Ratings!$B$2:$B$239,MATCH(AB58,Ratings!$A$2:$A$239,0))</f>
        <v>5.7</v>
      </c>
      <c r="AE58" s="2" t="n">
        <f aca="false">IF(AC58="Home",Assumptions!$B$2,IF(AC58="Away",-Assumptions!$B$2,0))</f>
        <v>-2.5</v>
      </c>
      <c r="AF58" s="2" t="n">
        <f aca="false">NORMDIST($B58-AD58+AE58,0,Assumptions!$B$3,TRUE())</f>
        <v>0.382088577811047</v>
      </c>
      <c r="AG58" s="2" t="s">
        <v>117</v>
      </c>
      <c r="AH58" s="2" t="s">
        <v>407</v>
      </c>
      <c r="AI58" s="2" t="n">
        <f aca="false">INDEX(Ratings!$B$2:$B$239,MATCH(AG58,Ratings!$A$2:$A$239,0))</f>
        <v>3</v>
      </c>
      <c r="AJ58" s="2" t="n">
        <f aca="false">IF(AH58="Home",Assumptions!$B$2,IF(AH58="Away",-Assumptions!$B$2,0))</f>
        <v>-2.5</v>
      </c>
      <c r="AK58" s="2" t="n">
        <f aca="false">NORMDIST($B58-AI58+AJ58,0,Assumptions!$B$3,TRUE())</f>
        <v>0.447788771872615</v>
      </c>
      <c r="AL58" s="2" t="s">
        <v>94</v>
      </c>
      <c r="AM58" s="2" t="s">
        <v>406</v>
      </c>
      <c r="AN58" s="2" t="n">
        <f aca="false">INDEX(Ratings!$B$2:$B$239,MATCH(AL58,Ratings!$A$2:$A$239,0))</f>
        <v>8.1</v>
      </c>
      <c r="AO58" s="2" t="n">
        <f aca="false">IF(AM58="Home",Assumptions!$B$2,IF(AM58="Away",-Assumptions!$B$2,0))</f>
        <v>2.5</v>
      </c>
      <c r="AP58" s="2" t="n">
        <f aca="false">NORMDIST($B58-AN58+AO58,0,Assumptions!$B$3,TRUE())</f>
        <v>0.445317796372433</v>
      </c>
      <c r="AQ58" s="2" t="s">
        <v>284</v>
      </c>
      <c r="AR58" s="2" t="s">
        <v>406</v>
      </c>
      <c r="AS58" s="2" t="n">
        <f aca="false">INDEX(Ratings!$B$2:$B$239,MATCH(AQ58,Ratings!$A$2:$A$239,0))</f>
        <v>-44</v>
      </c>
      <c r="AT58" s="2" t="n">
        <f aca="false">IF(AR58="Home",Assumptions!$B$2,IF(AR58="Away",-Assumptions!$B$2,0))</f>
        <v>2.5</v>
      </c>
      <c r="AU58" s="2" t="n">
        <f aca="false">NORMDIST($B58-AS58+AT58,0,Assumptions!$B$3,TRUE())</f>
        <v>0.999091900042147</v>
      </c>
      <c r="AV58" s="2" t="s">
        <v>82</v>
      </c>
      <c r="AW58" s="2" t="s">
        <v>407</v>
      </c>
      <c r="AX58" s="2" t="n">
        <f aca="false">INDEX(Ratings!$B$2:$B$239,MATCH(AV58,Ratings!$A$2:$A$239,0))</f>
        <v>12.1</v>
      </c>
      <c r="AY58" s="2" t="n">
        <f aca="false">IF(AW58="Home",Assumptions!$B$2,IF(AW58="Away",-Assumptions!$B$2,0))</f>
        <v>-2.5</v>
      </c>
      <c r="AZ58" s="2" t="n">
        <f aca="false">NORMDIST($B58-AX58+AY58,0,Assumptions!$B$3,TRUE())</f>
        <v>0.241963652223073</v>
      </c>
      <c r="BA58" s="2" t="s">
        <v>99</v>
      </c>
      <c r="BB58" s="2" t="s">
        <v>407</v>
      </c>
      <c r="BC58" s="2" t="n">
        <f aca="false">INDEX(Ratings!$B$2:$B$239,MATCH(BA58,Ratings!$A$2:$A$239,0))</f>
        <v>5.9</v>
      </c>
      <c r="BD58" s="2" t="n">
        <f aca="false">IF(BB58="Home",Assumptions!$B$2,IF(BB58="Away",-Assumptions!$B$2,0))</f>
        <v>-2.5</v>
      </c>
      <c r="BE58" s="2" t="n">
        <f aca="false">NORMDIST($B58-BC58+BD58,0,Assumptions!$B$3,TRUE())</f>
        <v>0.377330281529843</v>
      </c>
      <c r="BF58" s="2" t="s">
        <v>102</v>
      </c>
      <c r="BG58" s="2" t="s">
        <v>406</v>
      </c>
      <c r="BH58" s="2" t="n">
        <f aca="false">INDEX(Ratings!$B$2:$B$239,MATCH(BF58,Ratings!$A$2:$A$239,0))</f>
        <v>5.6</v>
      </c>
      <c r="BI58" s="2" t="n">
        <f aca="false">IF(BG58="Home",Assumptions!$B$2,IF(BG58="Away",-Assumptions!$B$2,0))</f>
        <v>2.5</v>
      </c>
      <c r="BJ58" s="2" t="n">
        <f aca="false">NORMDIST($B58-BH58+BI58,0,Assumptions!$B$3,TRUE())</f>
        <v>0.507479729489559</v>
      </c>
      <c r="BP58" s="2" t="n">
        <v>12</v>
      </c>
      <c r="BQ58" s="2" t="n">
        <f aca="false">G58+L58+Q58+V58+AA58+AF58+AK58+AP58+AU58+AZ58+BE58+BJ58</f>
        <v>6.05684127829602</v>
      </c>
    </row>
    <row r="59" customFormat="false" ht="15" hidden="false" customHeight="false" outlineLevel="0" collapsed="false">
      <c r="A59" s="2" t="s">
        <v>115</v>
      </c>
      <c r="B59" s="2" t="n">
        <f aca="false">INDEX(Ratings!$B$2:$B$239,MATCH($A59,Ratings!$A$2:$A$239,0))</f>
        <v>3.3</v>
      </c>
      <c r="C59" s="2" t="s">
        <v>275</v>
      </c>
      <c r="D59" s="2" t="s">
        <v>406</v>
      </c>
      <c r="E59" s="2" t="n">
        <f aca="false">INDEX(Ratings!$B$2:$B$239,MATCH(C59,Ratings!$A$2:$A$239,0))</f>
        <v>-49</v>
      </c>
      <c r="F59" s="2" t="n">
        <f aca="false">IF(D59="Home",Assumptions!$B$2,IF(D59="Away",-Assumptions!$B$2,0))</f>
        <v>2.5</v>
      </c>
      <c r="G59" s="2" t="n">
        <f aca="false">NORMDIST($B59-E59+F59,0,Assumptions!$B$3,TRUE())</f>
        <v>0.999692600289695</v>
      </c>
      <c r="H59" s="2" t="s">
        <v>76</v>
      </c>
      <c r="I59" s="2" t="s">
        <v>406</v>
      </c>
      <c r="J59" s="2" t="n">
        <f aca="false">INDEX(Ratings!$B$2:$B$239,MATCH(H59,Ratings!$A$2:$A$239,0))</f>
        <v>15.4</v>
      </c>
      <c r="K59" s="2" t="n">
        <f aca="false">IF(I59="Home",Assumptions!$B$2,IF(I59="Away",-Assumptions!$B$2,0))</f>
        <v>2.5</v>
      </c>
      <c r="L59" s="2" t="n">
        <f aca="false">NORMDIST($B59-J59+K59,0,Assumptions!$B$3,TRUE())</f>
        <v>0.274253117750074</v>
      </c>
      <c r="M59" s="2" t="s">
        <v>108</v>
      </c>
      <c r="N59" s="2" t="s">
        <v>408</v>
      </c>
      <c r="O59" s="2" t="n">
        <f aca="false">INDEX(Ratings!$B$2:$B$239,MATCH(M59,Ratings!$A$2:$A$239,0))</f>
        <v>4.9</v>
      </c>
      <c r="P59" s="2" t="n">
        <f aca="false">IF(N59="Home",Assumptions!$B$2,IF(N59="Away",-Assumptions!$B$2,0))</f>
        <v>0</v>
      </c>
      <c r="Q59" s="2" t="n">
        <f aca="false">NORMDIST($B59-O59+P59,0,Assumptions!$B$3,TRUE())</f>
        <v>0.460172162722971</v>
      </c>
      <c r="R59" s="2" t="s">
        <v>192</v>
      </c>
      <c r="S59" s="2" t="s">
        <v>406</v>
      </c>
      <c r="T59" s="2" t="n">
        <f aca="false">INDEX(Ratings!$B$2:$B$239,MATCH(R59,Ratings!$A$2:$A$239,0))</f>
        <v>-26.5</v>
      </c>
      <c r="U59" s="2" t="n">
        <f aca="false">IF(S59="Home",Assumptions!$B$2,IF(S59="Away",-Assumptions!$B$2,0))</f>
        <v>2.5</v>
      </c>
      <c r="V59" s="2" t="n">
        <f aca="false">NORMDIST($B59-T59+U59,0,Assumptions!$B$3,TRUE())</f>
        <v>0.978243394862276</v>
      </c>
      <c r="W59" s="2" t="s">
        <v>87</v>
      </c>
      <c r="X59" s="2" t="s">
        <v>407</v>
      </c>
      <c r="Y59" s="2" t="n">
        <f aca="false">INDEX(Ratings!$B$2:$B$239,MATCH(W59,Ratings!$A$2:$A$239,0))</f>
        <v>9.8</v>
      </c>
      <c r="Z59" s="2" t="n">
        <f aca="false">IF(X59="Home",Assumptions!$B$2,IF(X59="Away",-Assumptions!$B$2,0))</f>
        <v>-2.5</v>
      </c>
      <c r="AA59" s="2" t="n">
        <f aca="false">NORMDIST($B59-Y59+Z59,0,Assumptions!$B$3,TRUE())</f>
        <v>0.286887701816365</v>
      </c>
      <c r="AB59" s="2" t="s">
        <v>91</v>
      </c>
      <c r="AC59" s="2" t="s">
        <v>407</v>
      </c>
      <c r="AD59" s="2" t="n">
        <f aca="false">INDEX(Ratings!$B$2:$B$239,MATCH(AB59,Ratings!$A$2:$A$239,0))</f>
        <v>9.2</v>
      </c>
      <c r="AE59" s="2" t="n">
        <f aca="false">IF(AC59="Home",Assumptions!$B$2,IF(AC59="Away",-Assumptions!$B$2,0))</f>
        <v>-2.5</v>
      </c>
      <c r="AF59" s="2" t="n">
        <f aca="false">NORMDIST($B59-AD59+AE59,0,Assumptions!$B$3,TRUE())</f>
        <v>0.299791595468696</v>
      </c>
      <c r="AG59" s="2" t="s">
        <v>111</v>
      </c>
      <c r="AH59" s="2" t="s">
        <v>406</v>
      </c>
      <c r="AI59" s="2" t="n">
        <f aca="false">INDEX(Ratings!$B$2:$B$239,MATCH(AG59,Ratings!$A$2:$A$239,0))</f>
        <v>3.8</v>
      </c>
      <c r="AJ59" s="2" t="n">
        <f aca="false">IF(AH59="Home",Assumptions!$B$2,IF(AH59="Away",-Assumptions!$B$2,0))</f>
        <v>2.5</v>
      </c>
      <c r="AK59" s="2" t="n">
        <f aca="false">NORMDIST($B59-AI59+AJ59,0,Assumptions!$B$3,TRUE())</f>
        <v>0.549738224830113</v>
      </c>
      <c r="AL59" s="2" t="s">
        <v>89</v>
      </c>
      <c r="AM59" s="2" t="s">
        <v>407</v>
      </c>
      <c r="AN59" s="2" t="n">
        <f aca="false">INDEX(Ratings!$B$2:$B$239,MATCH(AL59,Ratings!$A$2:$A$239,0))</f>
        <v>9.4</v>
      </c>
      <c r="AO59" s="2" t="n">
        <f aca="false">IF(AM59="Home",Assumptions!$B$2,IF(AM59="Away",-Assumptions!$B$2,0))</f>
        <v>-2.5</v>
      </c>
      <c r="AP59" s="2" t="n">
        <f aca="false">NORMDIST($B59-AN59+AO59,0,Assumptions!$B$3,TRUE())</f>
        <v>0.295461142462736</v>
      </c>
      <c r="AQ59" s="2" t="s">
        <v>120</v>
      </c>
      <c r="AR59" s="2" t="s">
        <v>406</v>
      </c>
      <c r="AS59" s="2" t="n">
        <f aca="false">INDEX(Ratings!$B$2:$B$239,MATCH(AQ59,Ratings!$A$2:$A$239,0))</f>
        <v>1.7</v>
      </c>
      <c r="AT59" s="2" t="n">
        <f aca="false">IF(AR59="Home",Assumptions!$B$2,IF(AR59="Away",-Assumptions!$B$2,0))</f>
        <v>2.5</v>
      </c>
      <c r="AU59" s="2" t="n">
        <f aca="false">NORMDIST($B59-AS59+AT59,0,Assumptions!$B$3,TRUE())</f>
        <v>0.601121098652944</v>
      </c>
      <c r="AV59" s="2" t="s">
        <v>129</v>
      </c>
      <c r="AW59" s="2" t="s">
        <v>407</v>
      </c>
      <c r="AX59" s="2" t="n">
        <f aca="false">INDEX(Ratings!$B$2:$B$239,MATCH(AV59,Ratings!$A$2:$A$239,0))</f>
        <v>-1.3</v>
      </c>
      <c r="AY59" s="2" t="n">
        <f aca="false">IF(AW59="Home",Assumptions!$B$2,IF(AW59="Away",-Assumptions!$B$2,0))</f>
        <v>-2.5</v>
      </c>
      <c r="AZ59" s="2" t="n">
        <f aca="false">NORMDIST($B59-AX59+AY59,0,Assumptions!$B$3,TRUE())</f>
        <v>0.552211228127385</v>
      </c>
      <c r="BA59" s="2" t="s">
        <v>78</v>
      </c>
      <c r="BB59" s="2" t="s">
        <v>406</v>
      </c>
      <c r="BC59" s="2" t="n">
        <f aca="false">INDEX(Ratings!$B$2:$B$239,MATCH(BA59,Ratings!$A$2:$A$239,0))</f>
        <v>14.9</v>
      </c>
      <c r="BD59" s="2" t="n">
        <f aca="false">IF(BB59="Home",Assumptions!$B$2,IF(BB59="Away",-Assumptions!$B$2,0))</f>
        <v>2.5</v>
      </c>
      <c r="BE59" s="2" t="n">
        <f aca="false">NORMDIST($B59-BC59+BD59,0,Assumptions!$B$3,TRUE())</f>
        <v>0.284762905379547</v>
      </c>
      <c r="BF59" s="2" t="s">
        <v>96</v>
      </c>
      <c r="BG59" s="2" t="s">
        <v>407</v>
      </c>
      <c r="BH59" s="2" t="n">
        <f aca="false">INDEX(Ratings!$B$2:$B$239,MATCH(BF59,Ratings!$A$2:$A$239,0))</f>
        <v>6.9</v>
      </c>
      <c r="BI59" s="2" t="n">
        <f aca="false">IF(BG59="Home",Assumptions!$B$2,IF(BG59="Away",-Assumptions!$B$2,0))</f>
        <v>-2.5</v>
      </c>
      <c r="BJ59" s="2" t="n">
        <f aca="false">NORMDIST($B59-BH59+BI59,0,Assumptions!$B$3,TRUE())</f>
        <v>0.351508875516277</v>
      </c>
      <c r="BP59" s="2" t="n">
        <v>12</v>
      </c>
      <c r="BQ59" s="2" t="n">
        <f aca="false">G59+L59+Q59+V59+AA59+AF59+AK59+AP59+AU59+AZ59+BE59+BJ59</f>
        <v>5.93384404787908</v>
      </c>
    </row>
    <row r="60" customFormat="false" ht="15" hidden="false" customHeight="false" outlineLevel="0" collapsed="false">
      <c r="A60" s="2" t="s">
        <v>116</v>
      </c>
      <c r="B60" s="2" t="n">
        <f aca="false">INDEX(Ratings!$B$2:$B$239,MATCH($A60,Ratings!$A$2:$A$239,0))</f>
        <v>3</v>
      </c>
      <c r="C60" s="2" t="s">
        <v>139</v>
      </c>
      <c r="D60" s="2" t="s">
        <v>406</v>
      </c>
      <c r="E60" s="2" t="n">
        <f aca="false">INDEX(Ratings!$B$2:$B$239,MATCH(C60,Ratings!$A$2:$A$239,0))</f>
        <v>-2.5</v>
      </c>
      <c r="F60" s="2" t="n">
        <f aca="false">IF(D60="Home",Assumptions!$B$2,IF(D60="Away",-Assumptions!$B$2,0))</f>
        <v>2.5</v>
      </c>
      <c r="G60" s="2" t="n">
        <f aca="false">NORMDIST($B60-E60+F60,0,Assumptions!$B$3,TRUE())</f>
        <v>0.691462461274013</v>
      </c>
      <c r="H60" s="2" t="s">
        <v>335</v>
      </c>
      <c r="I60" s="2" t="s">
        <v>406</v>
      </c>
      <c r="J60" s="2" t="n">
        <f aca="false">INDEX(Ratings!$B$2:$B$239,MATCH(H60,Ratings!$A$2:$A$239,0))</f>
        <v>-35</v>
      </c>
      <c r="K60" s="2" t="n">
        <f aca="false">IF(I60="Home",Assumptions!$B$2,IF(I60="Away",-Assumptions!$B$2,0))</f>
        <v>2.5</v>
      </c>
      <c r="L60" s="2" t="n">
        <f aca="false">NORMDIST($B60-J60+K60,0,Assumptions!$B$3,TRUE())</f>
        <v>0.994317159630751</v>
      </c>
      <c r="M60" s="2" t="s">
        <v>142</v>
      </c>
      <c r="N60" s="2" t="s">
        <v>408</v>
      </c>
      <c r="O60" s="2" t="n">
        <f aca="false">INDEX(Ratings!$B$2:$B$239,MATCH(M60,Ratings!$A$2:$A$239,0))</f>
        <v>-4</v>
      </c>
      <c r="P60" s="2" t="n">
        <f aca="false">IF(N60="Home",Assumptions!$B$2,IF(N60="Away",-Assumptions!$B$2,0))</f>
        <v>0</v>
      </c>
      <c r="Q60" s="2" t="n">
        <f aca="false">NORMDIST($B60-O60+P60,0,Assumptions!$B$3,TRUE())</f>
        <v>0.669125611959121</v>
      </c>
      <c r="R60" s="2" t="s">
        <v>91</v>
      </c>
      <c r="S60" s="2" t="s">
        <v>406</v>
      </c>
      <c r="T60" s="2" t="n">
        <f aca="false">INDEX(Ratings!$B$2:$B$239,MATCH(R60,Ratings!$A$2:$A$239,0))</f>
        <v>9.2</v>
      </c>
      <c r="U60" s="2" t="n">
        <f aca="false">IF(S60="Home",Assumptions!$B$2,IF(S60="Away",-Assumptions!$B$2,0))</f>
        <v>2.5</v>
      </c>
      <c r="V60" s="2" t="n">
        <f aca="false">NORMDIST($B60-T60+U60,0,Assumptions!$B$3,TRUE())</f>
        <v>0.408560294059836</v>
      </c>
      <c r="W60" s="2" t="s">
        <v>88</v>
      </c>
      <c r="X60" s="2" t="s">
        <v>407</v>
      </c>
      <c r="Y60" s="2" t="n">
        <f aca="false">INDEX(Ratings!$B$2:$B$239,MATCH(W60,Ratings!$A$2:$A$239,0))</f>
        <v>9.5</v>
      </c>
      <c r="Z60" s="2" t="n">
        <f aca="false">IF(X60="Home",Assumptions!$B$2,IF(X60="Away",-Assumptions!$B$2,0))</f>
        <v>-2.5</v>
      </c>
      <c r="AA60" s="2" t="n">
        <f aca="false">NORMDIST($B60-Y60+Z60,0,Assumptions!$B$3,TRUE())</f>
        <v>0.286887701816365</v>
      </c>
      <c r="AB60" s="2" t="s">
        <v>129</v>
      </c>
      <c r="AC60" s="2" t="s">
        <v>407</v>
      </c>
      <c r="AD60" s="2" t="n">
        <f aca="false">INDEX(Ratings!$B$2:$B$239,MATCH(AB60,Ratings!$A$2:$A$239,0))</f>
        <v>-1.3</v>
      </c>
      <c r="AE60" s="2" t="n">
        <f aca="false">IF(AC60="Home",Assumptions!$B$2,IF(AC60="Away",-Assumptions!$B$2,0))</f>
        <v>-2.5</v>
      </c>
      <c r="AF60" s="2" t="n">
        <f aca="false">NORMDIST($B60-AD60+AE60,0,Assumptions!$B$3,TRUE())</f>
        <v>0.544786515128255</v>
      </c>
      <c r="AG60" s="2" t="s">
        <v>65</v>
      </c>
      <c r="AH60" s="2" t="s">
        <v>406</v>
      </c>
      <c r="AI60" s="2" t="n">
        <f aca="false">INDEX(Ratings!$B$2:$B$239,MATCH(AG60,Ratings!$A$2:$A$239,0))</f>
        <v>21.8</v>
      </c>
      <c r="AJ60" s="2" t="n">
        <f aca="false">IF(AH60="Home",Assumptions!$B$2,IF(AH60="Away",-Assumptions!$B$2,0))</f>
        <v>2.5</v>
      </c>
      <c r="AK60" s="2" t="n">
        <f aca="false">NORMDIST($B60-AI60+AJ60,0,Assumptions!$B$3,TRUE())</f>
        <v>0.154160834280354</v>
      </c>
      <c r="AL60" s="2" t="s">
        <v>87</v>
      </c>
      <c r="AM60" s="2" t="s">
        <v>406</v>
      </c>
      <c r="AN60" s="2" t="n">
        <f aca="false">INDEX(Ratings!$B$2:$B$239,MATCH(AL60,Ratings!$A$2:$A$239,0))</f>
        <v>9.8</v>
      </c>
      <c r="AO60" s="2" t="n">
        <f aca="false">IF(AM60="Home",Assumptions!$B$2,IF(AM60="Away",-Assumptions!$B$2,0))</f>
        <v>2.5</v>
      </c>
      <c r="AP60" s="2" t="n">
        <f aca="false">NORMDIST($B60-AN60+AO60,0,Assumptions!$B$3,TRUE())</f>
        <v>0.394061036152246</v>
      </c>
      <c r="AQ60" s="2" t="s">
        <v>95</v>
      </c>
      <c r="AR60" s="2" t="s">
        <v>407</v>
      </c>
      <c r="AS60" s="2" t="n">
        <f aca="false">INDEX(Ratings!$B$2:$B$239,MATCH(AQ60,Ratings!$A$2:$A$239,0))</f>
        <v>7.4</v>
      </c>
      <c r="AT60" s="2" t="n">
        <f aca="false">IF(AR60="Home",Assumptions!$B$2,IF(AR60="Away",-Assumptions!$B$2,0))</f>
        <v>-2.5</v>
      </c>
      <c r="AU60" s="2" t="n">
        <f aca="false">NORMDIST($B60-AS60+AT60,0,Assumptions!$B$3,TRUE())</f>
        <v>0.333143300876488</v>
      </c>
      <c r="AV60" s="2" t="s">
        <v>126</v>
      </c>
      <c r="AW60" s="2" t="s">
        <v>407</v>
      </c>
      <c r="AX60" s="2" t="n">
        <f aca="false">INDEX(Ratings!$B$2:$B$239,MATCH(AV60,Ratings!$A$2:$A$239,0))</f>
        <v>-0.4</v>
      </c>
      <c r="AY60" s="2" t="n">
        <f aca="false">IF(AW60="Home",Assumptions!$B$2,IF(AW60="Away",-Assumptions!$B$2,0))</f>
        <v>-2.5</v>
      </c>
      <c r="AZ60" s="2" t="n">
        <f aca="false">NORMDIST($B60-AX60+AY60,0,Assumptions!$B$3,TRUE())</f>
        <v>0.522428675027779</v>
      </c>
      <c r="BA60" s="2" t="s">
        <v>123</v>
      </c>
      <c r="BB60" s="2" t="s">
        <v>406</v>
      </c>
      <c r="BC60" s="2" t="n">
        <f aca="false">INDEX(Ratings!$B$2:$B$239,MATCH(BA60,Ratings!$A$2:$A$239,0))</f>
        <v>0.7</v>
      </c>
      <c r="BD60" s="2" t="n">
        <f aca="false">IF(BB60="Home",Assumptions!$B$2,IF(BB60="Away",-Assumptions!$B$2,0))</f>
        <v>2.5</v>
      </c>
      <c r="BE60" s="2" t="n">
        <f aca="false">NORMDIST($B60-BC60+BD60,0,Assumptions!$B$3,TRUE())</f>
        <v>0.617911422188953</v>
      </c>
      <c r="BF60" s="2" t="s">
        <v>78</v>
      </c>
      <c r="BG60" s="2" t="s">
        <v>407</v>
      </c>
      <c r="BH60" s="2" t="n">
        <f aca="false">INDEX(Ratings!$B$2:$B$239,MATCH(BF60,Ratings!$A$2:$A$239,0))</f>
        <v>14.9</v>
      </c>
      <c r="BI60" s="2" t="n">
        <f aca="false">IF(BG60="Home",Assumptions!$B$2,IF(BG60="Away",-Assumptions!$B$2,0))</f>
        <v>-2.5</v>
      </c>
      <c r="BJ60" s="2" t="n">
        <f aca="false">NORMDIST($B60-BH60+BI60,0,Assumptions!$B$3,TRUE())</f>
        <v>0.184060125346759</v>
      </c>
      <c r="BP60" s="2" t="n">
        <v>12</v>
      </c>
      <c r="BQ60" s="2" t="n">
        <f aca="false">G60+L60+Q60+V60+AA60+AF60+AK60+AP60+AU60+AZ60+BE60+BJ60</f>
        <v>5.80090513774092</v>
      </c>
    </row>
    <row r="61" customFormat="false" ht="15" hidden="false" customHeight="false" outlineLevel="0" collapsed="false">
      <c r="A61" s="2" t="s">
        <v>117</v>
      </c>
      <c r="B61" s="2" t="n">
        <f aca="false">INDEX(Ratings!$B$2:$B$239,MATCH($A61,Ratings!$A$2:$A$239,0))</f>
        <v>3</v>
      </c>
      <c r="C61" s="2" t="s">
        <v>103</v>
      </c>
      <c r="D61" s="2" t="s">
        <v>406</v>
      </c>
      <c r="E61" s="2" t="n">
        <f aca="false">INDEX(Ratings!$B$2:$B$239,MATCH(C61,Ratings!$A$2:$A$239,0))</f>
        <v>5.4</v>
      </c>
      <c r="F61" s="2" t="n">
        <f aca="false">IF(D61="Home",Assumptions!$B$2,IF(D61="Away",-Assumptions!$B$2,0))</f>
        <v>2.5</v>
      </c>
      <c r="G61" s="2" t="n">
        <f aca="false">NORMDIST($B61-E61+F61,0,Assumptions!$B$3,TRUE())</f>
        <v>0.502493373019601</v>
      </c>
      <c r="H61" s="2" t="s">
        <v>133</v>
      </c>
      <c r="I61" s="2" t="s">
        <v>407</v>
      </c>
      <c r="J61" s="2" t="n">
        <f aca="false">INDEX(Ratings!$B$2:$B$239,MATCH(H61,Ratings!$A$2:$A$239,0))</f>
        <v>-1.9</v>
      </c>
      <c r="K61" s="2" t="n">
        <f aca="false">IF(I61="Home",Assumptions!$B$2,IF(I61="Away",-Assumptions!$B$2,0))</f>
        <v>-2.5</v>
      </c>
      <c r="L61" s="2" t="n">
        <f aca="false">NORMDIST($B61-J61+K61,0,Assumptions!$B$3,TRUE())</f>
        <v>0.559617692370243</v>
      </c>
      <c r="M61" s="2" t="s">
        <v>332</v>
      </c>
      <c r="N61" s="2" t="s">
        <v>406</v>
      </c>
      <c r="O61" s="2" t="n">
        <f aca="false">INDEX(Ratings!$B$2:$B$239,MATCH(M61,Ratings!$A$2:$A$239,0))</f>
        <v>-49</v>
      </c>
      <c r="P61" s="2" t="n">
        <f aca="false">IF(N61="Home",Assumptions!$B$2,IF(N61="Away",-Assumptions!$B$2,0))</f>
        <v>2.5</v>
      </c>
      <c r="Q61" s="2" t="n">
        <f aca="false">NORMDIST($B61-O61+P61,0,Assumptions!$B$3,TRUE())</f>
        <v>0.999670690804268</v>
      </c>
      <c r="R61" s="2" t="s">
        <v>80</v>
      </c>
      <c r="S61" s="2" t="s">
        <v>406</v>
      </c>
      <c r="T61" s="2" t="n">
        <f aca="false">INDEX(Ratings!$B$2:$B$239,MATCH(R61,Ratings!$A$2:$A$239,0))</f>
        <v>13.1</v>
      </c>
      <c r="U61" s="2" t="n">
        <f aca="false">IF(S61="Home",Assumptions!$B$2,IF(S61="Away",-Assumptions!$B$2,0))</f>
        <v>2.5</v>
      </c>
      <c r="V61" s="2" t="n">
        <f aca="false">NORMDIST($B61-T61+U61,0,Assumptions!$B$3,TRUE())</f>
        <v>0.317393486641259</v>
      </c>
      <c r="W61" s="2" t="s">
        <v>112</v>
      </c>
      <c r="X61" s="2" t="s">
        <v>407</v>
      </c>
      <c r="Y61" s="2" t="n">
        <f aca="false">INDEX(Ratings!$B$2:$B$239,MATCH(W61,Ratings!$A$2:$A$239,0))</f>
        <v>3.6</v>
      </c>
      <c r="Z61" s="2" t="n">
        <f aca="false">IF(X61="Home",Assumptions!$B$2,IF(X61="Away",-Assumptions!$B$2,0))</f>
        <v>-2.5</v>
      </c>
      <c r="AA61" s="2" t="n">
        <f aca="false">NORMDIST($B61-Y61+Z61,0,Assumptions!$B$3,TRUE())</f>
        <v>0.423185819619029</v>
      </c>
      <c r="AB61" s="2" t="s">
        <v>93</v>
      </c>
      <c r="AC61" s="2" t="s">
        <v>406</v>
      </c>
      <c r="AD61" s="2" t="n">
        <f aca="false">INDEX(Ratings!$B$2:$B$239,MATCH(AB61,Ratings!$A$2:$A$239,0))</f>
        <v>8.6</v>
      </c>
      <c r="AE61" s="2" t="n">
        <f aca="false">IF(AC61="Home",Assumptions!$B$2,IF(AC61="Away",-Assumptions!$B$2,0))</f>
        <v>2.5</v>
      </c>
      <c r="AF61" s="2" t="n">
        <f aca="false">NORMDIST($B61-AD61+AE61,0,Assumptions!$B$3,TRUE())</f>
        <v>0.423185819619029</v>
      </c>
      <c r="AG61" s="2" t="s">
        <v>114</v>
      </c>
      <c r="AH61" s="2" t="s">
        <v>406</v>
      </c>
      <c r="AI61" s="2" t="n">
        <f aca="false">INDEX(Ratings!$B$2:$B$239,MATCH(AG61,Ratings!$A$2:$A$239,0))</f>
        <v>3.4</v>
      </c>
      <c r="AJ61" s="2" t="n">
        <f aca="false">IF(AH61="Home",Assumptions!$B$2,IF(AH61="Away",-Assumptions!$B$2,0))</f>
        <v>2.5</v>
      </c>
      <c r="AK61" s="2" t="n">
        <f aca="false">NORMDIST($B61-AI61+AJ61,0,Assumptions!$B$3,TRUE())</f>
        <v>0.552211228127385</v>
      </c>
      <c r="AL61" s="2" t="s">
        <v>82</v>
      </c>
      <c r="AM61" s="2" t="s">
        <v>407</v>
      </c>
      <c r="AN61" s="2" t="n">
        <f aca="false">INDEX(Ratings!$B$2:$B$239,MATCH(AL61,Ratings!$A$2:$A$239,0))</f>
        <v>12.1</v>
      </c>
      <c r="AO61" s="2" t="n">
        <f aca="false">IF(AM61="Home",Assumptions!$B$2,IF(AM61="Away",-Assumptions!$B$2,0))</f>
        <v>-2.5</v>
      </c>
      <c r="AP61" s="2" t="n">
        <f aca="false">NORMDIST($B61-AN61+AO61,0,Assumptions!$B$3,TRUE())</f>
        <v>0.234226015212695</v>
      </c>
      <c r="AQ61" s="2" t="s">
        <v>100</v>
      </c>
      <c r="AR61" s="2" t="s">
        <v>407</v>
      </c>
      <c r="AS61" s="2" t="n">
        <f aca="false">INDEX(Ratings!$B$2:$B$239,MATCH(AQ61,Ratings!$A$2:$A$239,0))</f>
        <v>5.7</v>
      </c>
      <c r="AT61" s="2" t="n">
        <f aca="false">IF(AR61="Home",Assumptions!$B$2,IF(AR61="Away",-Assumptions!$B$2,0))</f>
        <v>-2.5</v>
      </c>
      <c r="AU61" s="2" t="n">
        <f aca="false">NORMDIST($B61-AS61+AT61,0,Assumptions!$B$3,TRUE())</f>
        <v>0.372590535846716</v>
      </c>
      <c r="AV61" s="2" t="s">
        <v>94</v>
      </c>
      <c r="AW61" s="2" t="s">
        <v>407</v>
      </c>
      <c r="AX61" s="2" t="n">
        <f aca="false">INDEX(Ratings!$B$2:$B$239,MATCH(AV61,Ratings!$A$2:$A$239,0))</f>
        <v>8.1</v>
      </c>
      <c r="AY61" s="2" t="n">
        <f aca="false">IF(AW61="Home",Assumptions!$B$2,IF(AW61="Away",-Assumptions!$B$2,0))</f>
        <v>-2.5</v>
      </c>
      <c r="AZ61" s="2" t="n">
        <f aca="false">NORMDIST($B61-AX61+AY61,0,Assumptions!$B$3,TRUE())</f>
        <v>0.317393486641259</v>
      </c>
      <c r="BA61" s="2" t="s">
        <v>136</v>
      </c>
      <c r="BB61" s="2" t="s">
        <v>406</v>
      </c>
      <c r="BC61" s="2" t="n">
        <f aca="false">INDEX(Ratings!$B$2:$B$239,MATCH(BA61,Ratings!$A$2:$A$239,0))</f>
        <v>-2.3</v>
      </c>
      <c r="BD61" s="2" t="n">
        <f aca="false">IF(BB61="Home",Assumptions!$B$2,IF(BB61="Away",-Assumptions!$B$2,0))</f>
        <v>2.5</v>
      </c>
      <c r="BE61" s="2" t="n">
        <f aca="false">NORMDIST($B61-BC61+BD61,0,Assumptions!$B$3,TRUE())</f>
        <v>0.687047978582113</v>
      </c>
      <c r="BF61" s="2" t="s">
        <v>98</v>
      </c>
      <c r="BG61" s="2" t="s">
        <v>406</v>
      </c>
      <c r="BH61" s="2" t="n">
        <f aca="false">INDEX(Ratings!$B$2:$B$239,MATCH(BF61,Ratings!$A$2:$A$239,0))</f>
        <v>6.2</v>
      </c>
      <c r="BI61" s="2" t="n">
        <f aca="false">IF(BG61="Home",Assumptions!$B$2,IF(BG61="Away",-Assumptions!$B$2,0))</f>
        <v>2.5</v>
      </c>
      <c r="BJ61" s="2" t="n">
        <f aca="false">NORMDIST($B61-BH61+BI61,0,Assumptions!$B$3,TRUE())</f>
        <v>0.48255184155421</v>
      </c>
      <c r="BP61" s="2" t="n">
        <v>12</v>
      </c>
      <c r="BQ61" s="2" t="n">
        <f aca="false">G61+L61+Q61+V61+AA61+AF61+AK61+AP61+AU61+AZ61+BE61+BJ61</f>
        <v>5.87156796803781</v>
      </c>
    </row>
    <row r="62" customFormat="false" ht="15" hidden="false" customHeight="false" outlineLevel="0" collapsed="false">
      <c r="A62" s="2" t="s">
        <v>118</v>
      </c>
      <c r="B62" s="2" t="n">
        <f aca="false">INDEX(Ratings!$B$2:$B$239,MATCH($A62,Ratings!$A$2:$A$239,0))</f>
        <v>2.7</v>
      </c>
      <c r="C62" s="2" t="s">
        <v>195</v>
      </c>
      <c r="D62" s="2" t="s">
        <v>406</v>
      </c>
      <c r="E62" s="2" t="n">
        <f aca="false">INDEX(Ratings!$B$2:$B$239,MATCH(C62,Ratings!$A$2:$A$239,0))</f>
        <v>-32.9</v>
      </c>
      <c r="F62" s="2" t="n">
        <f aca="false">IF(D62="Home",Assumptions!$B$2,IF(D62="Away",-Assumptions!$B$2,0))</f>
        <v>2.5</v>
      </c>
      <c r="G62" s="2" t="n">
        <f aca="false">NORMDIST($B62-E62+F62,0,Assumptions!$B$3,TRUE())</f>
        <v>0.991373001063283</v>
      </c>
      <c r="H62" s="2" t="s">
        <v>139</v>
      </c>
      <c r="I62" s="2" t="s">
        <v>407</v>
      </c>
      <c r="J62" s="2" t="n">
        <f aca="false">INDEX(Ratings!$B$2:$B$239,MATCH(H62,Ratings!$A$2:$A$239,0))</f>
        <v>-2.5</v>
      </c>
      <c r="K62" s="2" t="n">
        <f aca="false">IF(I62="Home",Assumptions!$B$2,IF(I62="Away",-Assumptions!$B$2,0))</f>
        <v>-2.5</v>
      </c>
      <c r="L62" s="2" t="n">
        <f aca="false">NORMDIST($B62-J62+K62,0,Assumptions!$B$3,TRUE())</f>
        <v>0.567003355806672</v>
      </c>
      <c r="M62" s="2" t="s">
        <v>69</v>
      </c>
      <c r="N62" s="2" t="s">
        <v>406</v>
      </c>
      <c r="O62" s="2" t="n">
        <f aca="false">INDEX(Ratings!$B$2:$B$239,MATCH(M62,Ratings!$A$2:$A$239,0))</f>
        <v>17.7</v>
      </c>
      <c r="P62" s="2" t="n">
        <f aca="false">IF(N62="Home",Assumptions!$B$2,IF(N62="Away",-Assumptions!$B$2,0))</f>
        <v>2.5</v>
      </c>
      <c r="Q62" s="2" t="n">
        <f aca="false">NORMDIST($B62-O62+P62,0,Assumptions!$B$3,TRUE())</f>
        <v>0.217327735678086</v>
      </c>
      <c r="R62" s="2" t="s">
        <v>270</v>
      </c>
      <c r="S62" s="2" t="s">
        <v>406</v>
      </c>
      <c r="T62" s="2" t="n">
        <f aca="false">INDEX(Ratings!$B$2:$B$239,MATCH(R62,Ratings!$A$2:$A$239,0))</f>
        <v>-39</v>
      </c>
      <c r="U62" s="2" t="n">
        <f aca="false">IF(S62="Home",Assumptions!$B$2,IF(S62="Away",-Assumptions!$B$2,0))</f>
        <v>2.5</v>
      </c>
      <c r="V62" s="2" t="n">
        <f aca="false">NORMDIST($B62-T62+U62,0,Assumptions!$B$3,TRUE())</f>
        <v>0.997131971911371</v>
      </c>
      <c r="W62" s="2" t="s">
        <v>62</v>
      </c>
      <c r="X62" s="2" t="s">
        <v>406</v>
      </c>
      <c r="Y62" s="2" t="n">
        <f aca="false">INDEX(Ratings!$B$2:$B$239,MATCH(W62,Ratings!$A$2:$A$239,0))</f>
        <v>25.8</v>
      </c>
      <c r="Z62" s="2" t="n">
        <f aca="false">IF(X62="Home",Assumptions!$B$2,IF(X62="Away",-Assumptions!$B$2,0))</f>
        <v>2.5</v>
      </c>
      <c r="AA62" s="2" t="n">
        <f aca="false">NORMDIST($B62-Y62+Z62,0,Assumptions!$B$3,TRUE())</f>
        <v>0.0989600348010886</v>
      </c>
      <c r="AB62" s="2" t="s">
        <v>105</v>
      </c>
      <c r="AC62" s="2" t="s">
        <v>407</v>
      </c>
      <c r="AD62" s="2" t="n">
        <f aca="false">INDEX(Ratings!$B$2:$B$239,MATCH(AB62,Ratings!$A$2:$A$239,0))</f>
        <v>5.2</v>
      </c>
      <c r="AE62" s="2" t="n">
        <f aca="false">IF(AC62="Home",Assumptions!$B$2,IF(AC62="Away",-Assumptions!$B$2,0))</f>
        <v>-2.5</v>
      </c>
      <c r="AF62" s="2" t="n">
        <f aca="false">NORMDIST($B62-AD62+AE62,0,Assumptions!$B$3,TRUE())</f>
        <v>0.377330281529843</v>
      </c>
      <c r="AG62" s="2" t="s">
        <v>107</v>
      </c>
      <c r="AH62" s="2" t="s">
        <v>407</v>
      </c>
      <c r="AI62" s="2" t="n">
        <f aca="false">INDEX(Ratings!$B$2:$B$239,MATCH(AG62,Ratings!$A$2:$A$239,0))</f>
        <v>5.1</v>
      </c>
      <c r="AJ62" s="2" t="n">
        <f aca="false">IF(AH62="Home",Assumptions!$B$2,IF(AH62="Away",-Assumptions!$B$2,0))</f>
        <v>-2.5</v>
      </c>
      <c r="AK62" s="2" t="n">
        <f aca="false">NORMDIST($B62-AI62+AJ62,0,Assumptions!$B$3,TRUE())</f>
        <v>0.379707152759433</v>
      </c>
      <c r="AL62" s="2" t="s">
        <v>72</v>
      </c>
      <c r="AM62" s="2" t="s">
        <v>406</v>
      </c>
      <c r="AN62" s="2" t="n">
        <f aca="false">INDEX(Ratings!$B$2:$B$239,MATCH(AL62,Ratings!$A$2:$A$239,0))</f>
        <v>17</v>
      </c>
      <c r="AO62" s="2" t="n">
        <f aca="false">IF(AM62="Home",Assumptions!$B$2,IF(AM62="Away",-Assumptions!$B$2,0))</f>
        <v>2.5</v>
      </c>
      <c r="AP62" s="2" t="n">
        <f aca="false">NORMDIST($B62-AN62+AO62,0,Assumptions!$B$3,TRUE())</f>
        <v>0.230409171603573</v>
      </c>
      <c r="AQ62" s="2" t="s">
        <v>110</v>
      </c>
      <c r="AR62" s="2" t="s">
        <v>407</v>
      </c>
      <c r="AS62" s="2" t="n">
        <f aca="false">INDEX(Ratings!$B$2:$B$239,MATCH(AQ62,Ratings!$A$2:$A$239,0))</f>
        <v>3.8</v>
      </c>
      <c r="AT62" s="2" t="n">
        <f aca="false">IF(AR62="Home",Assumptions!$B$2,IF(AR62="Away",-Assumptions!$B$2,0))</f>
        <v>-2.5</v>
      </c>
      <c r="AU62" s="2" t="n">
        <f aca="false">NORMDIST($B62-AS62+AT62,0,Assumptions!$B$3,TRUE())</f>
        <v>0.41098963713127</v>
      </c>
      <c r="AV62" s="2" t="s">
        <v>90</v>
      </c>
      <c r="AW62" s="2" t="s">
        <v>406</v>
      </c>
      <c r="AX62" s="2" t="n">
        <f aca="false">INDEX(Ratings!$B$2:$B$239,MATCH(AV62,Ratings!$A$2:$A$239,0))</f>
        <v>9.3</v>
      </c>
      <c r="AY62" s="2" t="n">
        <f aca="false">IF(AW62="Home",Assumptions!$B$2,IF(AW62="Away",-Assumptions!$B$2,0))</f>
        <v>2.5</v>
      </c>
      <c r="AZ62" s="2" t="n">
        <f aca="false">NORMDIST($B62-AX62+AY62,0,Assumptions!$B$3,TRUE())</f>
        <v>0.398878901347056</v>
      </c>
      <c r="BA62" s="2" t="s">
        <v>74</v>
      </c>
      <c r="BB62" s="2" t="s">
        <v>407</v>
      </c>
      <c r="BC62" s="2" t="n">
        <f aca="false">INDEX(Ratings!$B$2:$B$239,MATCH(BA62,Ratings!$A$2:$A$239,0))</f>
        <v>16.2</v>
      </c>
      <c r="BD62" s="2" t="n">
        <f aca="false">IF(BB62="Home",Assumptions!$B$2,IF(BB62="Away",-Assumptions!$B$2,0))</f>
        <v>-2.5</v>
      </c>
      <c r="BE62" s="2" t="n">
        <f aca="false">NORMDIST($B62-BC62+BD62,0,Assumptions!$B$3,TRUE())</f>
        <v>0.158655253931457</v>
      </c>
      <c r="BF62" s="2" t="s">
        <v>119</v>
      </c>
      <c r="BG62" s="2" t="s">
        <v>406</v>
      </c>
      <c r="BH62" s="2" t="n">
        <f aca="false">INDEX(Ratings!$B$2:$B$239,MATCH(BF62,Ratings!$A$2:$A$239,0))</f>
        <v>2.2</v>
      </c>
      <c r="BI62" s="2" t="n">
        <f aca="false">IF(BG62="Home",Assumptions!$B$2,IF(BG62="Away",-Assumptions!$B$2,0))</f>
        <v>2.5</v>
      </c>
      <c r="BJ62" s="2" t="n">
        <f aca="false">NORMDIST($B62-BH62+BI62,0,Assumptions!$B$3,TRUE())</f>
        <v>0.574365688155897</v>
      </c>
      <c r="BP62" s="2" t="n">
        <v>12</v>
      </c>
      <c r="BQ62" s="2" t="n">
        <f aca="false">G62+L62+Q62+V62+AA62+AF62+AK62+AP62+AU62+AZ62+BE62+BJ62</f>
        <v>5.40213218571903</v>
      </c>
    </row>
    <row r="63" customFormat="false" ht="15" hidden="false" customHeight="false" outlineLevel="0" collapsed="false">
      <c r="A63" s="2" t="s">
        <v>119</v>
      </c>
      <c r="B63" s="2" t="n">
        <f aca="false">INDEX(Ratings!$B$2:$B$239,MATCH($A63,Ratings!$A$2:$A$239,0))</f>
        <v>2.2</v>
      </c>
      <c r="C63" s="2" t="s">
        <v>158</v>
      </c>
      <c r="D63" s="2" t="s">
        <v>406</v>
      </c>
      <c r="E63" s="2" t="n">
        <f aca="false">INDEX(Ratings!$B$2:$B$239,MATCH(C63,Ratings!$A$2:$A$239,0))</f>
        <v>-9.1</v>
      </c>
      <c r="F63" s="2" t="n">
        <f aca="false">IF(D63="Home",Assumptions!$B$2,IF(D63="Away",-Assumptions!$B$2,0))</f>
        <v>2.5</v>
      </c>
      <c r="G63" s="2" t="n">
        <f aca="false">NORMDIST($B63-E63+F63,0,Assumptions!$B$3,TRUE())</f>
        <v>0.805793783456004</v>
      </c>
      <c r="H63" s="2" t="s">
        <v>179</v>
      </c>
      <c r="I63" s="2" t="s">
        <v>406</v>
      </c>
      <c r="J63" s="2" t="n">
        <f aca="false">INDEX(Ratings!$B$2:$B$239,MATCH(H63,Ratings!$A$2:$A$239,0))</f>
        <v>-16.1</v>
      </c>
      <c r="K63" s="2" t="n">
        <f aca="false">IF(I63="Home",Assumptions!$B$2,IF(I63="Away",-Assumptions!$B$2,0))</f>
        <v>2.5</v>
      </c>
      <c r="L63" s="2" t="n">
        <f aca="false">NORMDIST($B63-J63+K63,0,Assumptions!$B$3,TRUE())</f>
        <v>0.90319951541439</v>
      </c>
      <c r="M63" s="2" t="s">
        <v>60</v>
      </c>
      <c r="N63" s="2" t="s">
        <v>407</v>
      </c>
      <c r="O63" s="2" t="n">
        <f aca="false">INDEX(Ratings!$B$2:$B$239,MATCH(M63,Ratings!$A$2:$A$239,0))</f>
        <v>26.5</v>
      </c>
      <c r="P63" s="2" t="n">
        <f aca="false">IF(N63="Home",Assumptions!$B$2,IF(N63="Away",-Assumptions!$B$2,0))</f>
        <v>-2.5</v>
      </c>
      <c r="Q63" s="2" t="n">
        <f aca="false">NORMDIST($B63-O63+P63,0,Assumptions!$B$3,TRUE())</f>
        <v>0.0469671158307458</v>
      </c>
      <c r="R63" s="2" t="s">
        <v>90</v>
      </c>
      <c r="S63" s="2" t="s">
        <v>406</v>
      </c>
      <c r="T63" s="2" t="n">
        <f aca="false">INDEX(Ratings!$B$2:$B$239,MATCH(R63,Ratings!$A$2:$A$239,0))</f>
        <v>9.3</v>
      </c>
      <c r="U63" s="2" t="n">
        <f aca="false">IF(S63="Home",Assumptions!$B$2,IF(S63="Away",-Assumptions!$B$2,0))</f>
        <v>2.5</v>
      </c>
      <c r="V63" s="2" t="n">
        <f aca="false">NORMDIST($B63-T63+U63,0,Assumptions!$B$3,TRUE())</f>
        <v>0.386864750968727</v>
      </c>
      <c r="W63" s="2" t="s">
        <v>110</v>
      </c>
      <c r="X63" s="2" t="s">
        <v>407</v>
      </c>
      <c r="Y63" s="2" t="n">
        <f aca="false">INDEX(Ratings!$B$2:$B$239,MATCH(W63,Ratings!$A$2:$A$239,0))</f>
        <v>3.8</v>
      </c>
      <c r="Z63" s="2" t="n">
        <f aca="false">IF(X63="Home",Assumptions!$B$2,IF(X63="Away",-Assumptions!$B$2,0))</f>
        <v>-2.5</v>
      </c>
      <c r="AA63" s="2" t="n">
        <f aca="false">NORMDIST($B63-Y63+Z63,0,Assumptions!$B$3,TRUE())</f>
        <v>0.398878901347056</v>
      </c>
      <c r="AB63" s="2" t="s">
        <v>85</v>
      </c>
      <c r="AC63" s="2" t="s">
        <v>406</v>
      </c>
      <c r="AD63" s="2" t="n">
        <f aca="false">INDEX(Ratings!$B$2:$B$239,MATCH(AB63,Ratings!$A$2:$A$239,0))</f>
        <v>10.4</v>
      </c>
      <c r="AE63" s="2" t="n">
        <f aca="false">IF(AC63="Home",Assumptions!$B$2,IF(AC63="Away",-Assumptions!$B$2,0))</f>
        <v>2.5</v>
      </c>
      <c r="AF63" s="2" t="n">
        <f aca="false">NORMDIST($B63-AD63+AE63,0,Assumptions!$B$3,TRUE())</f>
        <v>0.360826675149783</v>
      </c>
      <c r="AG63" s="2" t="s">
        <v>107</v>
      </c>
      <c r="AH63" s="2" t="s">
        <v>406</v>
      </c>
      <c r="AI63" s="2" t="n">
        <f aca="false">INDEX(Ratings!$B$2:$B$239,MATCH(AG63,Ratings!$A$2:$A$239,0))</f>
        <v>5.1</v>
      </c>
      <c r="AJ63" s="2" t="n">
        <f aca="false">IF(AH63="Home",Assumptions!$B$2,IF(AH63="Away",-Assumptions!$B$2,0))</f>
        <v>2.5</v>
      </c>
      <c r="AK63" s="2" t="n">
        <f aca="false">NORMDIST($B63-AI63+AJ63,0,Assumptions!$B$3,TRUE())</f>
        <v>0.490027481804762</v>
      </c>
      <c r="AL63" s="2" t="s">
        <v>103</v>
      </c>
      <c r="AM63" s="2" t="s">
        <v>407</v>
      </c>
      <c r="AN63" s="2" t="n">
        <f aca="false">INDEX(Ratings!$B$2:$B$239,MATCH(AL63,Ratings!$A$2:$A$239,0))</f>
        <v>5.4</v>
      </c>
      <c r="AO63" s="2" t="n">
        <f aca="false">IF(AM63="Home",Assumptions!$B$2,IF(AM63="Away",-Assumptions!$B$2,0))</f>
        <v>-2.5</v>
      </c>
      <c r="AP63" s="2" t="n">
        <f aca="false">NORMDIST($B63-AN63+AO63,0,Assumptions!$B$3,TRUE())</f>
        <v>0.360826675149783</v>
      </c>
      <c r="AQ63" s="2" t="s">
        <v>72</v>
      </c>
      <c r="AR63" s="2" t="s">
        <v>407</v>
      </c>
      <c r="AS63" s="2" t="n">
        <f aca="false">INDEX(Ratings!$B$2:$B$239,MATCH(AQ63,Ratings!$A$2:$A$239,0))</f>
        <v>17</v>
      </c>
      <c r="AT63" s="2" t="n">
        <f aca="false">IF(AR63="Home",Assumptions!$B$2,IF(AR63="Away",-Assumptions!$B$2,0))</f>
        <v>-2.5</v>
      </c>
      <c r="AU63" s="2" t="n">
        <f aca="false">NORMDIST($B63-AS63+AT63,0,Assumptions!$B$3,TRUE())</f>
        <v>0.139792961067114</v>
      </c>
      <c r="AV63" s="2" t="s">
        <v>75</v>
      </c>
      <c r="AW63" s="2" t="s">
        <v>406</v>
      </c>
      <c r="AX63" s="2" t="n">
        <f aca="false">INDEX(Ratings!$B$2:$B$239,MATCH(AV63,Ratings!$A$2:$A$239,0))</f>
        <v>15.8</v>
      </c>
      <c r="AY63" s="2" t="n">
        <f aca="false">IF(AW63="Home",Assumptions!$B$2,IF(AW63="Away",-Assumptions!$B$2,0))</f>
        <v>2.5</v>
      </c>
      <c r="AZ63" s="2" t="n">
        <f aca="false">NORMDIST($B63-AX63+AY63,0,Assumptions!$B$3,TRUE())</f>
        <v>0.243919501888608</v>
      </c>
      <c r="BA63" s="2" t="s">
        <v>59</v>
      </c>
      <c r="BB63" s="2" t="s">
        <v>406</v>
      </c>
      <c r="BC63" s="2" t="n">
        <f aca="false">INDEX(Ratings!$B$2:$B$239,MATCH(BA63,Ratings!$A$2:$A$239,0))</f>
        <v>29.2</v>
      </c>
      <c r="BD63" s="2" t="n">
        <f aca="false">IF(BB63="Home",Assumptions!$B$2,IF(BB63="Away",-Assumptions!$B$2,0))</f>
        <v>2.5</v>
      </c>
      <c r="BE63" s="2" t="n">
        <f aca="false">NORMDIST($B63-BC63+BD63,0,Assumptions!$B$3,TRUE())</f>
        <v>0.0628538088582518</v>
      </c>
      <c r="BF63" s="2" t="s">
        <v>118</v>
      </c>
      <c r="BG63" s="2" t="s">
        <v>407</v>
      </c>
      <c r="BH63" s="2" t="n">
        <f aca="false">INDEX(Ratings!$B$2:$B$239,MATCH(BF63,Ratings!$A$2:$A$239,0))</f>
        <v>2.7</v>
      </c>
      <c r="BI63" s="2" t="n">
        <f aca="false">IF(BG63="Home",Assumptions!$B$2,IF(BG63="Away",-Assumptions!$B$2,0))</f>
        <v>-2.5</v>
      </c>
      <c r="BJ63" s="2" t="n">
        <f aca="false">NORMDIST($B63-BH63+BI63,0,Assumptions!$B$3,TRUE())</f>
        <v>0.425634311844103</v>
      </c>
      <c r="BP63" s="2" t="n">
        <v>12</v>
      </c>
      <c r="BQ63" s="2" t="n">
        <f aca="false">G63+L63+Q63+V63+AA63+AF63+AK63+AP63+AU63+AZ63+BE63+BJ63</f>
        <v>4.62558548277933</v>
      </c>
    </row>
    <row r="64" customFormat="false" ht="15" hidden="false" customHeight="false" outlineLevel="0" collapsed="false">
      <c r="A64" s="2" t="s">
        <v>120</v>
      </c>
      <c r="B64" s="2" t="n">
        <f aca="false">INDEX(Ratings!$B$2:$B$239,MATCH($A64,Ratings!$A$2:$A$239,0))</f>
        <v>1.7</v>
      </c>
      <c r="C64" s="2" t="s">
        <v>244</v>
      </c>
      <c r="D64" s="2" t="s">
        <v>406</v>
      </c>
      <c r="E64" s="2" t="n">
        <f aca="false">INDEX(Ratings!$B$2:$B$239,MATCH(C64,Ratings!$A$2:$A$239,0))</f>
        <v>-37</v>
      </c>
      <c r="F64" s="2" t="n">
        <f aca="false">IF(D64="Home",Assumptions!$B$2,IF(D64="Away",-Assumptions!$B$2,0))</f>
        <v>2.5</v>
      </c>
      <c r="G64" s="2" t="n">
        <f aca="false">NORMDIST($B64-E64+F64,0,Assumptions!$B$3,TRUE())</f>
        <v>0.994987995668239</v>
      </c>
      <c r="H64" s="2" t="s">
        <v>98</v>
      </c>
      <c r="I64" s="2" t="s">
        <v>407</v>
      </c>
      <c r="J64" s="2" t="n">
        <f aca="false">INDEX(Ratings!$B$2:$B$239,MATCH(H64,Ratings!$A$2:$A$239,0))</f>
        <v>6.2</v>
      </c>
      <c r="K64" s="2" t="n">
        <f aca="false">IF(I64="Home",Assumptions!$B$2,IF(I64="Away",-Assumptions!$B$2,0))</f>
        <v>-2.5</v>
      </c>
      <c r="L64" s="2" t="n">
        <f aca="false">NORMDIST($B64-J64+K64,0,Assumptions!$B$3,TRUE())</f>
        <v>0.330874388040879</v>
      </c>
      <c r="M64" s="2" t="s">
        <v>194</v>
      </c>
      <c r="N64" s="2" t="s">
        <v>406</v>
      </c>
      <c r="O64" s="2" t="n">
        <f aca="false">INDEX(Ratings!$B$2:$B$239,MATCH(M64,Ratings!$A$2:$A$239,0))</f>
        <v>-29.3</v>
      </c>
      <c r="P64" s="2" t="n">
        <f aca="false">IF(N64="Home",Assumptions!$B$2,IF(N64="Away",-Assumptions!$B$2,0))</f>
        <v>2.5</v>
      </c>
      <c r="Q64" s="2" t="n">
        <f aca="false">NORMDIST($B64-O64+P64,0,Assumptions!$B$3,TRUE())</f>
        <v>0.981858871836494</v>
      </c>
      <c r="R64" s="2" t="s">
        <v>89</v>
      </c>
      <c r="S64" s="2" t="s">
        <v>406</v>
      </c>
      <c r="T64" s="2" t="n">
        <f aca="false">INDEX(Ratings!$B$2:$B$239,MATCH(R64,Ratings!$A$2:$A$239,0))</f>
        <v>9.4</v>
      </c>
      <c r="U64" s="2" t="n">
        <f aca="false">IF(S64="Home",Assumptions!$B$2,IF(S64="Away",-Assumptions!$B$2,0))</f>
        <v>2.5</v>
      </c>
      <c r="V64" s="2" t="n">
        <f aca="false">NORMDIST($B64-T64+U64,0,Assumptions!$B$3,TRUE())</f>
        <v>0.372590535846716</v>
      </c>
      <c r="W64" s="2" t="s">
        <v>95</v>
      </c>
      <c r="X64" s="2" t="s">
        <v>407</v>
      </c>
      <c r="Y64" s="2" t="n">
        <f aca="false">INDEX(Ratings!$B$2:$B$239,MATCH(W64,Ratings!$A$2:$A$239,0))</f>
        <v>7.4</v>
      </c>
      <c r="Z64" s="2" t="n">
        <f aca="false">IF(X64="Home",Assumptions!$B$2,IF(X64="Away",-Assumptions!$B$2,0))</f>
        <v>-2.5</v>
      </c>
      <c r="AA64" s="2" t="n">
        <f aca="false">NORMDIST($B64-Y64+Z64,0,Assumptions!$B$3,TRUE())</f>
        <v>0.30415056015288</v>
      </c>
      <c r="AB64" s="2" t="s">
        <v>96</v>
      </c>
      <c r="AC64" s="2" t="s">
        <v>407</v>
      </c>
      <c r="AD64" s="2" t="n">
        <f aca="false">INDEX(Ratings!$B$2:$B$239,MATCH(AB64,Ratings!$A$2:$A$239,0))</f>
        <v>6.9</v>
      </c>
      <c r="AE64" s="2" t="n">
        <f aca="false">IF(AC64="Home",Assumptions!$B$2,IF(AC64="Away",-Assumptions!$B$2,0))</f>
        <v>-2.5</v>
      </c>
      <c r="AF64" s="2" t="n">
        <f aca="false">NORMDIST($B64-AD64+AE64,0,Assumptions!$B$3,TRUE())</f>
        <v>0.315169414269308</v>
      </c>
      <c r="AG64" s="2" t="s">
        <v>78</v>
      </c>
      <c r="AH64" s="2" t="s">
        <v>406</v>
      </c>
      <c r="AI64" s="2" t="n">
        <f aca="false">INDEX(Ratings!$B$2:$B$239,MATCH(AG64,Ratings!$A$2:$A$239,0))</f>
        <v>14.9</v>
      </c>
      <c r="AJ64" s="2" t="n">
        <f aca="false">IF(AH64="Home",Assumptions!$B$2,IF(AH64="Away",-Assumptions!$B$2,0))</f>
        <v>2.5</v>
      </c>
      <c r="AK64" s="2" t="n">
        <f aca="false">NORMDIST($B64-AI64+AJ64,0,Assumptions!$B$3,TRUE())</f>
        <v>0.25182748330014</v>
      </c>
      <c r="AL64" s="2" t="s">
        <v>111</v>
      </c>
      <c r="AM64" s="2" t="s">
        <v>406</v>
      </c>
      <c r="AN64" s="2" t="n">
        <f aca="false">INDEX(Ratings!$B$2:$B$239,MATCH(AL64,Ratings!$A$2:$A$239,0))</f>
        <v>3.8</v>
      </c>
      <c r="AO64" s="2" t="n">
        <f aca="false">IF(AM64="Home",Assumptions!$B$2,IF(AM64="Away",-Assumptions!$B$2,0))</f>
        <v>2.5</v>
      </c>
      <c r="AP64" s="2" t="n">
        <f aca="false">NORMDIST($B64-AN64+AO64,0,Assumptions!$B$3,TRUE())</f>
        <v>0.509972518195238</v>
      </c>
      <c r="AQ64" s="2" t="s">
        <v>115</v>
      </c>
      <c r="AR64" s="2" t="s">
        <v>407</v>
      </c>
      <c r="AS64" s="2" t="n">
        <f aca="false">INDEX(Ratings!$B$2:$B$239,MATCH(AQ64,Ratings!$A$2:$A$239,0))</f>
        <v>3.3</v>
      </c>
      <c r="AT64" s="2" t="n">
        <f aca="false">IF(AR64="Home",Assumptions!$B$2,IF(AR64="Away",-Assumptions!$B$2,0))</f>
        <v>-2.5</v>
      </c>
      <c r="AU64" s="2" t="n">
        <f aca="false">NORMDIST($B64-AS64+AT64,0,Assumptions!$B$3,TRUE())</f>
        <v>0.398878901347056</v>
      </c>
      <c r="AV64" s="2" t="s">
        <v>108</v>
      </c>
      <c r="AW64" s="2" t="s">
        <v>406</v>
      </c>
      <c r="AX64" s="2" t="n">
        <f aca="false">INDEX(Ratings!$B$2:$B$239,MATCH(AV64,Ratings!$A$2:$A$239,0))</f>
        <v>4.9</v>
      </c>
      <c r="AY64" s="2" t="n">
        <f aca="false">IF(AW64="Home",Assumptions!$B$2,IF(AW64="Away",-Assumptions!$B$2,0))</f>
        <v>2.5</v>
      </c>
      <c r="AZ64" s="2" t="n">
        <f aca="false">NORMDIST($B64-AX64+AY64,0,Assumptions!$B$3,TRUE())</f>
        <v>0.48255184155421</v>
      </c>
      <c r="BA64" s="2" t="s">
        <v>126</v>
      </c>
      <c r="BB64" s="2" t="s">
        <v>406</v>
      </c>
      <c r="BC64" s="2" t="n">
        <f aca="false">INDEX(Ratings!$B$2:$B$239,MATCH(BA64,Ratings!$A$2:$A$239,0))</f>
        <v>-0.4</v>
      </c>
      <c r="BD64" s="2" t="n">
        <f aca="false">IF(BB64="Home",Assumptions!$B$2,IF(BB64="Away",-Assumptions!$B$2,0))</f>
        <v>2.5</v>
      </c>
      <c r="BE64" s="2" t="n">
        <f aca="false">NORMDIST($B64-BC64+BD64,0,Assumptions!$B$3,TRUE())</f>
        <v>0.613135249031273</v>
      </c>
      <c r="BF64" s="2" t="s">
        <v>123</v>
      </c>
      <c r="BG64" s="2" t="s">
        <v>407</v>
      </c>
      <c r="BH64" s="2" t="n">
        <f aca="false">INDEX(Ratings!$B$2:$B$239,MATCH(BF64,Ratings!$A$2:$A$239,0))</f>
        <v>0.7</v>
      </c>
      <c r="BI64" s="2" t="n">
        <f aca="false">IF(BG64="Home",Assumptions!$B$2,IF(BG64="Away",-Assumptions!$B$2,0))</f>
        <v>-2.5</v>
      </c>
      <c r="BJ64" s="2" t="n">
        <f aca="false">NORMDIST($B64-BH64+BI64,0,Assumptions!$B$3,TRUE())</f>
        <v>0.462653875444673</v>
      </c>
      <c r="BP64" s="2" t="n">
        <v>12</v>
      </c>
      <c r="BQ64" s="2" t="n">
        <f aca="false">G64+L64+Q64+V64+AA64+AF64+AK64+AP64+AU64+AZ64+BE64+BJ64</f>
        <v>6.01865163468711</v>
      </c>
    </row>
    <row r="65" customFormat="false" ht="15" hidden="false" customHeight="false" outlineLevel="0" collapsed="false">
      <c r="A65" s="2" t="s">
        <v>121</v>
      </c>
      <c r="B65" s="2" t="n">
        <f aca="false">INDEX(Ratings!$B$2:$B$239,MATCH($A65,Ratings!$A$2:$A$239,0))</f>
        <v>1.2</v>
      </c>
      <c r="C65" s="2" t="s">
        <v>322</v>
      </c>
      <c r="D65" s="2" t="s">
        <v>406</v>
      </c>
      <c r="E65" s="2" t="n">
        <f aca="false">INDEX(Ratings!$B$2:$B$239,MATCH(C65,Ratings!$A$2:$A$239,0))</f>
        <v>-26</v>
      </c>
      <c r="F65" s="2" t="n">
        <f aca="false">IF(D65="Home",Assumptions!$B$2,IF(D65="Away",-Assumptions!$B$2,0))</f>
        <v>2.5</v>
      </c>
      <c r="G65" s="2" t="n">
        <f aca="false">NORMDIST($B65-E65+F65,0,Assumptions!$B$3,TRUE())</f>
        <v>0.968291033862344</v>
      </c>
      <c r="H65" s="2" t="s">
        <v>148</v>
      </c>
      <c r="I65" s="2" t="s">
        <v>407</v>
      </c>
      <c r="J65" s="2" t="n">
        <f aca="false">INDEX(Ratings!$B$2:$B$239,MATCH(H65,Ratings!$A$2:$A$239,0))</f>
        <v>-6.1</v>
      </c>
      <c r="K65" s="2" t="n">
        <f aca="false">IF(I65="Home",Assumptions!$B$2,IF(I65="Away",-Assumptions!$B$2,0))</f>
        <v>-2.5</v>
      </c>
      <c r="L65" s="2" t="n">
        <f aca="false">NORMDIST($B65-J65+K65,0,Assumptions!$B$3,TRUE())</f>
        <v>0.617911422188953</v>
      </c>
      <c r="M65" s="2" t="s">
        <v>181</v>
      </c>
      <c r="N65" s="2" t="s">
        <v>407</v>
      </c>
      <c r="O65" s="2" t="n">
        <f aca="false">INDEX(Ratings!$B$2:$B$239,MATCH(M65,Ratings!$A$2:$A$239,0))</f>
        <v>-17.5</v>
      </c>
      <c r="P65" s="2" t="n">
        <f aca="false">IF(N65="Home",Assumptions!$B$2,IF(N65="Away",-Assumptions!$B$2,0))</f>
        <v>-2.5</v>
      </c>
      <c r="Q65" s="2" t="n">
        <f aca="false">NORMDIST($B65-O65+P65,0,Assumptions!$B$3,TRUE())</f>
        <v>0.844350476653232</v>
      </c>
      <c r="R65" s="2" t="s">
        <v>141</v>
      </c>
      <c r="S65" s="2" t="s">
        <v>407</v>
      </c>
      <c r="T65" s="2" t="n">
        <f aca="false">INDEX(Ratings!$B$2:$B$239,MATCH(R65,Ratings!$A$2:$A$239,0))</f>
        <v>-3.2</v>
      </c>
      <c r="U65" s="2" t="n">
        <f aca="false">IF(S65="Home",Assumptions!$B$2,IF(S65="Away",-Assumptions!$B$2,0))</f>
        <v>-2.5</v>
      </c>
      <c r="V65" s="2" t="n">
        <f aca="false">NORMDIST($B65-T65+U65,0,Assumptions!$B$3,TRUE())</f>
        <v>0.547263288750412</v>
      </c>
      <c r="W65" s="2" t="s">
        <v>149</v>
      </c>
      <c r="X65" s="2" t="s">
        <v>406</v>
      </c>
      <c r="Y65" s="2" t="n">
        <f aca="false">INDEX(Ratings!$B$2:$B$239,MATCH(W65,Ratings!$A$2:$A$239,0))</f>
        <v>-6.1</v>
      </c>
      <c r="Z65" s="2" t="n">
        <f aca="false">IF(X65="Home",Assumptions!$B$2,IF(X65="Away",-Assumptions!$B$2,0))</f>
        <v>2.5</v>
      </c>
      <c r="AA65" s="2" t="n">
        <f aca="false">NORMDIST($B65-Y65+Z65,0,Assumptions!$B$3,TRUE())</f>
        <v>0.729896500998765</v>
      </c>
      <c r="AB65" s="2" t="s">
        <v>128</v>
      </c>
      <c r="AC65" s="2" t="s">
        <v>407</v>
      </c>
      <c r="AD65" s="2" t="n">
        <f aca="false">INDEX(Ratings!$B$2:$B$239,MATCH(AB65,Ratings!$A$2:$A$239,0))</f>
        <v>-1.1</v>
      </c>
      <c r="AE65" s="2" t="n">
        <f aca="false">IF(AC65="Home",Assumptions!$B$2,IF(AC65="Away",-Assumptions!$B$2,0))</f>
        <v>-2.5</v>
      </c>
      <c r="AF65" s="2" t="n">
        <f aca="false">NORMDIST($B65-AD65+AE65,0,Assumptions!$B$3,TRUE())</f>
        <v>0.495013351355962</v>
      </c>
      <c r="AG65" s="2" t="s">
        <v>162</v>
      </c>
      <c r="AH65" s="2" t="s">
        <v>406</v>
      </c>
      <c r="AI65" s="2" t="n">
        <f aca="false">INDEX(Ratings!$B$2:$B$239,MATCH(AG65,Ratings!$A$2:$A$239,0))</f>
        <v>-11.6</v>
      </c>
      <c r="AJ65" s="2" t="n">
        <f aca="false">IF(AH65="Home",Assumptions!$B$2,IF(AH65="Away",-Assumptions!$B$2,0))</f>
        <v>2.5</v>
      </c>
      <c r="AK65" s="2" t="n">
        <f aca="false">NORMDIST($B65-AI65+AJ65,0,Assumptions!$B$3,TRUE())</f>
        <v>0.83052702783228</v>
      </c>
      <c r="AL65" s="2" t="s">
        <v>60</v>
      </c>
      <c r="AM65" s="2" t="s">
        <v>408</v>
      </c>
      <c r="AN65" s="2" t="n">
        <f aca="false">INDEX(Ratings!$B$2:$B$239,MATCH(AL65,Ratings!$A$2:$A$239,0))</f>
        <v>26.5</v>
      </c>
      <c r="AO65" s="2" t="n">
        <f aca="false">IF(AM65="Home",Assumptions!$B$2,IF(AM65="Away",-Assumptions!$B$2,0))</f>
        <v>0</v>
      </c>
      <c r="AP65" s="2" t="n">
        <f aca="false">NORMDIST($B65-AN65+AO65,0,Assumptions!$B$3,TRUE())</f>
        <v>0.0569104435235073</v>
      </c>
      <c r="AQ65" s="2" t="s">
        <v>157</v>
      </c>
      <c r="AR65" s="2" t="s">
        <v>406</v>
      </c>
      <c r="AS65" s="2" t="n">
        <f aca="false">INDEX(Ratings!$B$2:$B$239,MATCH(AQ65,Ratings!$A$2:$A$239,0))</f>
        <v>-9.1</v>
      </c>
      <c r="AT65" s="2" t="n">
        <f aca="false">IF(AR65="Home",Assumptions!$B$2,IF(AR65="Away",-Assumptions!$B$2,0))</f>
        <v>2.5</v>
      </c>
      <c r="AU65" s="2" t="n">
        <f aca="false">NORMDIST($B65-AS65+AT65,0,Assumptions!$B$3,TRUE())</f>
        <v>0.788144601416603</v>
      </c>
      <c r="AV65" s="2" t="s">
        <v>124</v>
      </c>
      <c r="AW65" s="2" t="s">
        <v>406</v>
      </c>
      <c r="AX65" s="2" t="n">
        <f aca="false">INDEX(Ratings!$B$2:$B$239,MATCH(AV65,Ratings!$A$2:$A$239,0))</f>
        <v>0.3</v>
      </c>
      <c r="AY65" s="2" t="n">
        <f aca="false">IF(AW65="Home",Assumptions!$B$2,IF(AW65="Away",-Assumptions!$B$2,0))</f>
        <v>2.5</v>
      </c>
      <c r="AZ65" s="2" t="n">
        <f aca="false">NORMDIST($B65-AX65+AY65,0,Assumptions!$B$3,TRUE())</f>
        <v>0.584141511109092</v>
      </c>
      <c r="BA65" s="2" t="s">
        <v>189</v>
      </c>
      <c r="BB65" s="2" t="s">
        <v>407</v>
      </c>
      <c r="BC65" s="2" t="n">
        <f aca="false">INDEX(Ratings!$B$2:$B$239,MATCH(BA65,Ratings!$A$2:$A$239,0))</f>
        <v>-24.1</v>
      </c>
      <c r="BD65" s="2" t="n">
        <f aca="false">IF(BB65="Home",Assumptions!$B$2,IF(BB65="Away",-Assumptions!$B$2,0))</f>
        <v>-2.5</v>
      </c>
      <c r="BE65" s="2" t="n">
        <f aca="false">NORMDIST($B65-BC65+BD65,0,Assumptions!$B$3,TRUE())</f>
        <v>0.922921399447928</v>
      </c>
      <c r="BF65" s="2" t="s">
        <v>138</v>
      </c>
      <c r="BG65" s="2" t="s">
        <v>408</v>
      </c>
      <c r="BH65" s="2" t="n">
        <f aca="false">INDEX(Ratings!$B$2:$B$239,MATCH(BF65,Ratings!$A$2:$A$239,0))</f>
        <v>-2.4</v>
      </c>
      <c r="BI65" s="2" t="n">
        <f aca="false">IF(BG65="Home",Assumptions!$B$2,IF(BG65="Away",-Assumptions!$B$2,0))</f>
        <v>0</v>
      </c>
      <c r="BJ65" s="2" t="n">
        <f aca="false">NORMDIST($B65-BH65+BI65,0,Assumptions!$B$3,TRUE())</f>
        <v>0.58901036286873</v>
      </c>
      <c r="BP65" s="2" t="n">
        <v>12</v>
      </c>
      <c r="BQ65" s="2" t="n">
        <f aca="false">G65+L65+Q65+V65+AA65+AF65+AK65+AP65+AU65+AZ65+BE65+BJ65</f>
        <v>7.97438142000781</v>
      </c>
    </row>
    <row r="66" customFormat="false" ht="15" hidden="false" customHeight="false" outlineLevel="0" collapsed="false">
      <c r="A66" s="2" t="s">
        <v>122</v>
      </c>
      <c r="B66" s="2" t="n">
        <f aca="false">INDEX(Ratings!$B$2:$B$239,MATCH($A66,Ratings!$A$2:$A$239,0))</f>
        <v>0.7</v>
      </c>
      <c r="C66" s="2" t="s">
        <v>301</v>
      </c>
      <c r="D66" s="2" t="s">
        <v>406</v>
      </c>
      <c r="E66" s="2" t="n">
        <f aca="false">INDEX(Ratings!$B$2:$B$239,MATCH(C66,Ratings!$A$2:$A$239,0))</f>
        <v>-23</v>
      </c>
      <c r="F66" s="2" t="n">
        <f aca="false">IF(D66="Home",Assumptions!$B$2,IF(D66="Away",-Assumptions!$B$2,0))</f>
        <v>2.5</v>
      </c>
      <c r="G66" s="2" t="n">
        <f aca="false">NORMDIST($B66-E66+F66,0,Assumptions!$B$3,TRUE())</f>
        <v>0.949236980529619</v>
      </c>
      <c r="H66" s="2" t="s">
        <v>103</v>
      </c>
      <c r="I66" s="2" t="s">
        <v>407</v>
      </c>
      <c r="J66" s="2" t="n">
        <f aca="false">INDEX(Ratings!$B$2:$B$239,MATCH(H66,Ratings!$A$2:$A$239,0))</f>
        <v>5.4</v>
      </c>
      <c r="K66" s="2" t="n">
        <f aca="false">IF(I66="Home",Assumptions!$B$2,IF(I66="Away",-Assumptions!$B$2,0))</f>
        <v>-2.5</v>
      </c>
      <c r="L66" s="2" t="n">
        <f aca="false">NORMDIST($B66-J66+K66,0,Assumptions!$B$3,TRUE())</f>
        <v>0.32635522028792</v>
      </c>
      <c r="M66" s="2" t="s">
        <v>127</v>
      </c>
      <c r="N66" s="2" t="s">
        <v>406</v>
      </c>
      <c r="O66" s="2" t="n">
        <f aca="false">INDEX(Ratings!$B$2:$B$239,MATCH(M66,Ratings!$A$2:$A$239,0))</f>
        <v>-0.9</v>
      </c>
      <c r="P66" s="2" t="n">
        <f aca="false">IF(N66="Home",Assumptions!$B$2,IF(N66="Away",-Assumptions!$B$2,0))</f>
        <v>2.5</v>
      </c>
      <c r="Q66" s="2" t="n">
        <f aca="false">NORMDIST($B66-O66+P66,0,Assumptions!$B$3,TRUE())</f>
        <v>0.601121098652944</v>
      </c>
      <c r="R66" s="2" t="s">
        <v>158</v>
      </c>
      <c r="S66" s="2" t="s">
        <v>407</v>
      </c>
      <c r="T66" s="2" t="n">
        <f aca="false">INDEX(Ratings!$B$2:$B$239,MATCH(R66,Ratings!$A$2:$A$239,0))</f>
        <v>-9.1</v>
      </c>
      <c r="U66" s="2" t="n">
        <f aca="false">IF(S66="Home",Assumptions!$B$2,IF(S66="Away",-Assumptions!$B$2,0))</f>
        <v>-2.5</v>
      </c>
      <c r="V66" s="2" t="n">
        <f aca="false">NORMDIST($B66-T66+U66,0,Assumptions!$B$3,TRUE())</f>
        <v>0.675894892863138</v>
      </c>
      <c r="W66" s="2" t="s">
        <v>134</v>
      </c>
      <c r="X66" s="2" t="s">
        <v>406</v>
      </c>
      <c r="Y66" s="2" t="n">
        <f aca="false">INDEX(Ratings!$B$2:$B$239,MATCH(W66,Ratings!$A$2:$A$239,0))</f>
        <v>-2.1</v>
      </c>
      <c r="Z66" s="2" t="n">
        <f aca="false">IF(X66="Home",Assumptions!$B$2,IF(X66="Away",-Assumptions!$B$2,0))</f>
        <v>2.5</v>
      </c>
      <c r="AA66" s="2" t="n">
        <f aca="false">NORMDIST($B66-Y66+Z66,0,Assumptions!$B$3,TRUE())</f>
        <v>0.629772172275028</v>
      </c>
      <c r="AB66" s="2" t="s">
        <v>146</v>
      </c>
      <c r="AC66" s="2" t="s">
        <v>407</v>
      </c>
      <c r="AD66" s="2" t="n">
        <f aca="false">INDEX(Ratings!$B$2:$B$239,MATCH(AB66,Ratings!$A$2:$A$239,0))</f>
        <v>-5.6</v>
      </c>
      <c r="AE66" s="2" t="n">
        <f aca="false">IF(AC66="Home",Assumptions!$B$2,IF(AC66="Away",-Assumptions!$B$2,0))</f>
        <v>-2.5</v>
      </c>
      <c r="AF66" s="2" t="n">
        <f aca="false">NORMDIST($B66-AD66+AE66,0,Assumptions!$B$3,TRUE())</f>
        <v>0.593865540399242</v>
      </c>
      <c r="AG66" s="2" t="s">
        <v>130</v>
      </c>
      <c r="AH66" s="2" t="s">
        <v>406</v>
      </c>
      <c r="AI66" s="2" t="n">
        <f aca="false">INDEX(Ratings!$B$2:$B$239,MATCH(AG66,Ratings!$A$2:$A$239,0))</f>
        <v>-1.4</v>
      </c>
      <c r="AJ66" s="2" t="n">
        <f aca="false">IF(AH66="Home",Assumptions!$B$2,IF(AH66="Away",-Assumptions!$B$2,0))</f>
        <v>2.5</v>
      </c>
      <c r="AK66" s="2" t="n">
        <f aca="false">NORMDIST($B66-AI66+AJ66,0,Assumptions!$B$3,TRUE())</f>
        <v>0.613135249031273</v>
      </c>
      <c r="AL66" s="2" t="s">
        <v>164</v>
      </c>
      <c r="AM66" s="2" t="s">
        <v>407</v>
      </c>
      <c r="AN66" s="2" t="n">
        <f aca="false">INDEX(Ratings!$B$2:$B$239,MATCH(AL66,Ratings!$A$2:$A$239,0))</f>
        <v>-11.6</v>
      </c>
      <c r="AO66" s="2" t="n">
        <f aca="false">IF(AM66="Home",Assumptions!$B$2,IF(AM66="Away",-Assumptions!$B$2,0))</f>
        <v>-2.5</v>
      </c>
      <c r="AP66" s="2" t="n">
        <f aca="false">NORMDIST($B66-AN66+AO66,0,Assumptions!$B$3,TRUE())</f>
        <v>0.729896500998765</v>
      </c>
      <c r="AQ66" s="2" t="s">
        <v>143</v>
      </c>
      <c r="AR66" s="2" t="s">
        <v>406</v>
      </c>
      <c r="AS66" s="2" t="n">
        <f aca="false">INDEX(Ratings!$B$2:$B$239,MATCH(AQ66,Ratings!$A$2:$A$239,0))</f>
        <v>-4.3</v>
      </c>
      <c r="AT66" s="2" t="n">
        <f aca="false">IF(AR66="Home",Assumptions!$B$2,IF(AR66="Away",-Assumptions!$B$2,0))</f>
        <v>2.5</v>
      </c>
      <c r="AU66" s="2" t="n">
        <f aca="false">NORMDIST($B66-AS66+AT66,0,Assumptions!$B$3,TRUE())</f>
        <v>0.680375828482882</v>
      </c>
      <c r="AV66" s="2" t="s">
        <v>153</v>
      </c>
      <c r="AW66" s="2" t="s">
        <v>406</v>
      </c>
      <c r="AX66" s="2" t="n">
        <f aca="false">INDEX(Ratings!$B$2:$B$239,MATCH(AV66,Ratings!$A$2:$A$239,0))</f>
        <v>-7.9</v>
      </c>
      <c r="AY66" s="2" t="n">
        <f aca="false">IF(AW66="Home",Assumptions!$B$2,IF(AW66="Away",-Assumptions!$B$2,0))</f>
        <v>2.5</v>
      </c>
      <c r="AZ66" s="2" t="n">
        <f aca="false">NORMDIST($B66-AX66+AY66,0,Assumptions!$B$3,TRUE())</f>
        <v>0.756080498111392</v>
      </c>
      <c r="BA66" s="2" t="s">
        <v>106</v>
      </c>
      <c r="BB66" s="2" t="s">
        <v>407</v>
      </c>
      <c r="BC66" s="2" t="n">
        <f aca="false">INDEX(Ratings!$B$2:$B$239,MATCH(BA66,Ratings!$A$2:$A$239,0))</f>
        <v>5.1</v>
      </c>
      <c r="BD66" s="2" t="n">
        <f aca="false">IF(BB66="Home",Assumptions!$B$2,IF(BB66="Away",-Assumptions!$B$2,0))</f>
        <v>-2.5</v>
      </c>
      <c r="BE66" s="2" t="n">
        <f aca="false">NORMDIST($B66-BC66+BD66,0,Assumptions!$B$3,TRUE())</f>
        <v>0.333143300876488</v>
      </c>
      <c r="BF66" s="2" t="s">
        <v>130</v>
      </c>
      <c r="BG66" s="2" t="s">
        <v>407</v>
      </c>
      <c r="BH66" s="2" t="n">
        <f aca="false">INDEX(Ratings!$B$2:$B$239,MATCH(BF66,Ratings!$A$2:$A$239,0))</f>
        <v>-1.4</v>
      </c>
      <c r="BI66" s="2" t="n">
        <f aca="false">IF(BG66="Home",Assumptions!$B$2,IF(BG66="Away",-Assumptions!$B$2,0))</f>
        <v>-2.5</v>
      </c>
      <c r="BJ66" s="2" t="n">
        <f aca="false">NORMDIST($B66-BH66+BI66,0,Assumptions!$B$3,TRUE())</f>
        <v>0.490027481804762</v>
      </c>
      <c r="BP66" s="2" t="n">
        <v>12</v>
      </c>
      <c r="BQ66" s="2" t="n">
        <f aca="false">G66+L66+Q66+V66+AA66+AF66+AK66+AP66+AU66+AZ66+BE66+BJ66</f>
        <v>7.37890476431345</v>
      </c>
    </row>
    <row r="67" customFormat="false" ht="15" hidden="false" customHeight="false" outlineLevel="0" collapsed="false">
      <c r="A67" s="2" t="s">
        <v>123</v>
      </c>
      <c r="B67" s="2" t="n">
        <f aca="false">INDEX(Ratings!$B$2:$B$239,MATCH($A67,Ratings!$A$2:$A$239,0))</f>
        <v>0.7</v>
      </c>
      <c r="C67" s="2" t="s">
        <v>99</v>
      </c>
      <c r="D67" s="2" t="s">
        <v>407</v>
      </c>
      <c r="E67" s="2" t="n">
        <f aca="false">INDEX(Ratings!$B$2:$B$239,MATCH(C67,Ratings!$A$2:$A$239,0))</f>
        <v>5.9</v>
      </c>
      <c r="F67" s="2" t="n">
        <f aca="false">IF(D67="Home",Assumptions!$B$2,IF(D67="Away",-Assumptions!$B$2,0))</f>
        <v>-2.5</v>
      </c>
      <c r="G67" s="2" t="n">
        <f aca="false">NORMDIST($B67-E67+F67,0,Assumptions!$B$3,TRUE())</f>
        <v>0.315169414269308</v>
      </c>
      <c r="H67" s="2" t="s">
        <v>333</v>
      </c>
      <c r="I67" s="2" t="s">
        <v>406</v>
      </c>
      <c r="J67" s="2" t="n">
        <f aca="false">INDEX(Ratings!$B$2:$B$239,MATCH(H67,Ratings!$A$2:$A$239,0))</f>
        <v>-19</v>
      </c>
      <c r="K67" s="2" t="n">
        <f aca="false">IF(I67="Home",Assumptions!$B$2,IF(I67="Away",-Assumptions!$B$2,0))</f>
        <v>2.5</v>
      </c>
      <c r="L67" s="2" t="n">
        <f aca="false">NORMDIST($B67-J67+K67,0,Assumptions!$B$3,TRUE())</f>
        <v>0.917355324438033</v>
      </c>
      <c r="M67" s="2" t="s">
        <v>107</v>
      </c>
      <c r="N67" s="2" t="s">
        <v>407</v>
      </c>
      <c r="O67" s="2" t="n">
        <f aca="false">INDEX(Ratings!$B$2:$B$239,MATCH(M67,Ratings!$A$2:$A$239,0))</f>
        <v>5.1</v>
      </c>
      <c r="P67" s="2" t="n">
        <f aca="false">IF(N67="Home",Assumptions!$B$2,IF(N67="Away",-Assumptions!$B$2,0))</f>
        <v>-2.5</v>
      </c>
      <c r="Q67" s="2" t="n">
        <f aca="false">NORMDIST($B67-O67+P67,0,Assumptions!$B$3,TRUE())</f>
        <v>0.333143300876488</v>
      </c>
      <c r="R67" s="2" t="s">
        <v>111</v>
      </c>
      <c r="S67" s="2" t="s">
        <v>407</v>
      </c>
      <c r="T67" s="2" t="n">
        <f aca="false">INDEX(Ratings!$B$2:$B$239,MATCH(R67,Ratings!$A$2:$A$239,0))</f>
        <v>3.8</v>
      </c>
      <c r="U67" s="2" t="n">
        <f aca="false">IF(S67="Home",Assumptions!$B$2,IF(S67="Away",-Assumptions!$B$2,0))</f>
        <v>-2.5</v>
      </c>
      <c r="V67" s="2" t="n">
        <f aca="false">NORMDIST($B67-T67+U67,0,Assumptions!$B$3,TRUE())</f>
        <v>0.363169348824381</v>
      </c>
      <c r="W67" s="2" t="s">
        <v>65</v>
      </c>
      <c r="X67" s="2" t="s">
        <v>406</v>
      </c>
      <c r="Y67" s="2" t="n">
        <f aca="false">INDEX(Ratings!$B$2:$B$239,MATCH(W67,Ratings!$A$2:$A$239,0))</f>
        <v>21.8</v>
      </c>
      <c r="Z67" s="2" t="n">
        <f aca="false">IF(X67="Home",Assumptions!$B$2,IF(X67="Away",-Assumptions!$B$2,0))</f>
        <v>2.5</v>
      </c>
      <c r="AA67" s="2" t="n">
        <f aca="false">NORMDIST($B67-Y67+Z67,0,Assumptions!$B$3,TRUE())</f>
        <v>0.122516212343049</v>
      </c>
      <c r="AB67" s="2" t="s">
        <v>87</v>
      </c>
      <c r="AC67" s="2" t="s">
        <v>406</v>
      </c>
      <c r="AD67" s="2" t="n">
        <f aca="false">INDEX(Ratings!$B$2:$B$239,MATCH(AB67,Ratings!$A$2:$A$239,0))</f>
        <v>9.8</v>
      </c>
      <c r="AE67" s="2" t="n">
        <f aca="false">IF(AC67="Home",Assumptions!$B$2,IF(AC67="Away",-Assumptions!$B$2,0))</f>
        <v>2.5</v>
      </c>
      <c r="AF67" s="2" t="n">
        <f aca="false">NORMDIST($B67-AD67+AE67,0,Assumptions!$B$3,TRUE())</f>
        <v>0.339986490349139</v>
      </c>
      <c r="AG67" s="2" t="s">
        <v>96</v>
      </c>
      <c r="AH67" s="2" t="s">
        <v>407</v>
      </c>
      <c r="AI67" s="2" t="n">
        <f aca="false">INDEX(Ratings!$B$2:$B$239,MATCH(AG67,Ratings!$A$2:$A$239,0))</f>
        <v>6.9</v>
      </c>
      <c r="AJ67" s="2" t="n">
        <f aca="false">IF(AH67="Home",Assumptions!$B$2,IF(AH67="Away",-Assumptions!$B$2,0))</f>
        <v>-2.5</v>
      </c>
      <c r="AK67" s="2" t="n">
        <f aca="false">NORMDIST($B67-AI67+AJ67,0,Assumptions!$B$3,TRUE())</f>
        <v>0.293306760083888</v>
      </c>
      <c r="AL67" s="2" t="s">
        <v>91</v>
      </c>
      <c r="AM67" s="2" t="s">
        <v>406</v>
      </c>
      <c r="AN67" s="2" t="n">
        <f aca="false">INDEX(Ratings!$B$2:$B$239,MATCH(AL67,Ratings!$A$2:$A$239,0))</f>
        <v>9.2</v>
      </c>
      <c r="AO67" s="2" t="n">
        <f aca="false">IF(AM67="Home",Assumptions!$B$2,IF(AM67="Away",-Assumptions!$B$2,0))</f>
        <v>2.5</v>
      </c>
      <c r="AP67" s="2" t="n">
        <f aca="false">NORMDIST($B67-AN67+AO67,0,Assumptions!$B$3,TRUE())</f>
        <v>0.353830233327276</v>
      </c>
      <c r="AQ67" s="2" t="s">
        <v>108</v>
      </c>
      <c r="AR67" s="2" t="s">
        <v>407</v>
      </c>
      <c r="AS67" s="2" t="n">
        <f aca="false">INDEX(Ratings!$B$2:$B$239,MATCH(AQ67,Ratings!$A$2:$A$239,0))</f>
        <v>4.9</v>
      </c>
      <c r="AT67" s="2" t="n">
        <f aca="false">IF(AR67="Home",Assumptions!$B$2,IF(AR67="Away",-Assumptions!$B$2,0))</f>
        <v>-2.5</v>
      </c>
      <c r="AU67" s="2" t="n">
        <f aca="false">NORMDIST($B67-AS67+AT67,0,Assumptions!$B$3,TRUE())</f>
        <v>0.337699424942871</v>
      </c>
      <c r="AV67" s="2" t="s">
        <v>95</v>
      </c>
      <c r="AW67" s="2" t="s">
        <v>406</v>
      </c>
      <c r="AX67" s="2" t="n">
        <f aca="false">INDEX(Ratings!$B$2:$B$239,MATCH(AV67,Ratings!$A$2:$A$239,0))</f>
        <v>7.4</v>
      </c>
      <c r="AY67" s="2" t="n">
        <f aca="false">IF(AW67="Home",Assumptions!$B$2,IF(AW67="Away",-Assumptions!$B$2,0))</f>
        <v>2.5</v>
      </c>
      <c r="AZ67" s="2" t="n">
        <f aca="false">NORMDIST($B67-AX67+AY67,0,Assumptions!$B$3,TRUE())</f>
        <v>0.396467992679005</v>
      </c>
      <c r="BA67" s="2" t="s">
        <v>116</v>
      </c>
      <c r="BB67" s="2" t="s">
        <v>407</v>
      </c>
      <c r="BC67" s="2" t="n">
        <f aca="false">INDEX(Ratings!$B$2:$B$239,MATCH(BA67,Ratings!$A$2:$A$239,0))</f>
        <v>3</v>
      </c>
      <c r="BD67" s="2" t="n">
        <f aca="false">IF(BB67="Home",Assumptions!$B$2,IF(BB67="Away",-Assumptions!$B$2,0))</f>
        <v>-2.5</v>
      </c>
      <c r="BE67" s="2" t="n">
        <f aca="false">NORMDIST($B67-BC67+BD67,0,Assumptions!$B$3,TRUE())</f>
        <v>0.382088577811047</v>
      </c>
      <c r="BF67" s="2" t="s">
        <v>120</v>
      </c>
      <c r="BG67" s="2" t="s">
        <v>406</v>
      </c>
      <c r="BH67" s="2" t="n">
        <f aca="false">INDEX(Ratings!$B$2:$B$239,MATCH(BF67,Ratings!$A$2:$A$239,0))</f>
        <v>1.7</v>
      </c>
      <c r="BI67" s="2" t="n">
        <f aca="false">IF(BG67="Home",Assumptions!$B$2,IF(BG67="Away",-Assumptions!$B$2,0))</f>
        <v>2.5</v>
      </c>
      <c r="BJ67" s="2" t="n">
        <f aca="false">NORMDIST($B67-BH67+BI67,0,Assumptions!$B$3,TRUE())</f>
        <v>0.537346124555327</v>
      </c>
      <c r="BP67" s="2" t="n">
        <v>12</v>
      </c>
      <c r="BQ67" s="2" t="n">
        <f aca="false">G67+L67+Q67+V67+AA67+AF67+AK67+AP67+AU67+AZ67+BE67+BJ67</f>
        <v>4.69207920449981</v>
      </c>
    </row>
    <row r="68" customFormat="false" ht="15" hidden="false" customHeight="false" outlineLevel="0" collapsed="false">
      <c r="A68" s="2" t="s">
        <v>124</v>
      </c>
      <c r="B68" s="2" t="n">
        <f aca="false">INDEX(Ratings!$B$2:$B$239,MATCH($A68,Ratings!$A$2:$A$239,0))</f>
        <v>0.3</v>
      </c>
      <c r="C68" s="2" t="s">
        <v>112</v>
      </c>
      <c r="D68" s="2" t="s">
        <v>407</v>
      </c>
      <c r="E68" s="2" t="n">
        <f aca="false">INDEX(Ratings!$B$2:$B$239,MATCH(C68,Ratings!$A$2:$A$239,0))</f>
        <v>3.6</v>
      </c>
      <c r="F68" s="2" t="n">
        <f aca="false">IF(D68="Home",Assumptions!$B$2,IF(D68="Away",-Assumptions!$B$2,0))</f>
        <v>-2.5</v>
      </c>
      <c r="G68" s="2" t="n">
        <f aca="false">NORMDIST($B68-E68+F68,0,Assumptions!$B$3,TRUE())</f>
        <v>0.358489211764908</v>
      </c>
      <c r="H68" s="2" t="s">
        <v>163</v>
      </c>
      <c r="I68" s="2" t="s">
        <v>406</v>
      </c>
      <c r="J68" s="2" t="n">
        <f aca="false">INDEX(Ratings!$B$2:$B$239,MATCH(H68,Ratings!$A$2:$A$239,0))</f>
        <v>-11.6</v>
      </c>
      <c r="K68" s="2" t="n">
        <f aca="false">IF(I68="Home",Assumptions!$B$2,IF(I68="Away",-Assumptions!$B$2,0))</f>
        <v>2.5</v>
      </c>
      <c r="L68" s="2" t="n">
        <f aca="false">NORMDIST($B68-J68+K68,0,Assumptions!$B$3,TRUE())</f>
        <v>0.815939874653241</v>
      </c>
      <c r="M68" s="2" t="s">
        <v>106</v>
      </c>
      <c r="N68" s="2" t="s">
        <v>407</v>
      </c>
      <c r="O68" s="2" t="n">
        <f aca="false">INDEX(Ratings!$B$2:$B$239,MATCH(M68,Ratings!$A$2:$A$239,0))</f>
        <v>5.1</v>
      </c>
      <c r="P68" s="2" t="n">
        <f aca="false">IF(N68="Home",Assumptions!$B$2,IF(N68="Away",-Assumptions!$B$2,0))</f>
        <v>-2.5</v>
      </c>
      <c r="Q68" s="2" t="n">
        <f aca="false">NORMDIST($B68-O68+P68,0,Assumptions!$B$3,TRUE())</f>
        <v>0.324105107136862</v>
      </c>
      <c r="R68" s="2" t="s">
        <v>327</v>
      </c>
      <c r="S68" s="2" t="s">
        <v>406</v>
      </c>
      <c r="T68" s="2" t="n">
        <f aca="false">INDEX(Ratings!$B$2:$B$239,MATCH(R68,Ratings!$A$2:$A$239,0))</f>
        <v>-34</v>
      </c>
      <c r="U68" s="2" t="n">
        <f aca="false">IF(S68="Home",Assumptions!$B$2,IF(S68="Away",-Assumptions!$B$2,0))</f>
        <v>2.5</v>
      </c>
      <c r="V68" s="2" t="n">
        <f aca="false">NORMDIST($B68-T68+U68,0,Assumptions!$B$3,TRUE())</f>
        <v>0.989275889978324</v>
      </c>
      <c r="W68" s="2" t="s">
        <v>189</v>
      </c>
      <c r="X68" s="2" t="s">
        <v>407</v>
      </c>
      <c r="Y68" s="2" t="n">
        <f aca="false">INDEX(Ratings!$B$2:$B$239,MATCH(W68,Ratings!$A$2:$A$239,0))</f>
        <v>-24.1</v>
      </c>
      <c r="Z68" s="2" t="n">
        <f aca="false">IF(X68="Home",Assumptions!$B$2,IF(X68="Away",-Assumptions!$B$2,0))</f>
        <v>-2.5</v>
      </c>
      <c r="AA68" s="2" t="n">
        <f aca="false">NORMDIST($B68-Y68+Z68,0,Assumptions!$B$3,TRUE())</f>
        <v>0.914461282460005</v>
      </c>
      <c r="AB68" s="2" t="s">
        <v>181</v>
      </c>
      <c r="AC68" s="2" t="s">
        <v>406</v>
      </c>
      <c r="AD68" s="2" t="n">
        <f aca="false">INDEX(Ratings!$B$2:$B$239,MATCH(AB68,Ratings!$A$2:$A$239,0))</f>
        <v>-17.5</v>
      </c>
      <c r="AE68" s="2" t="n">
        <f aca="false">IF(AC68="Home",Assumptions!$B$2,IF(AC68="Away",-Assumptions!$B$2,0))</f>
        <v>2.5</v>
      </c>
      <c r="AF68" s="2" t="n">
        <f aca="false">NORMDIST($B68-AD68+AE68,0,Assumptions!$B$3,TRUE())</f>
        <v>0.897734878378435</v>
      </c>
      <c r="AG68" s="2" t="s">
        <v>144</v>
      </c>
      <c r="AH68" s="2" t="s">
        <v>407</v>
      </c>
      <c r="AI68" s="2" t="n">
        <f aca="false">INDEX(Ratings!$B$2:$B$239,MATCH(AG68,Ratings!$A$2:$A$239,0))</f>
        <v>-4.3</v>
      </c>
      <c r="AJ68" s="2" t="n">
        <f aca="false">IF(AH68="Home",Assumptions!$B$2,IF(AH68="Away",-Assumptions!$B$2,0))</f>
        <v>-2.5</v>
      </c>
      <c r="AK68" s="2" t="n">
        <f aca="false">NORMDIST($B68-AI68+AJ68,0,Assumptions!$B$3,TRUE())</f>
        <v>0.552211228127385</v>
      </c>
      <c r="AL68" s="2" t="s">
        <v>137</v>
      </c>
      <c r="AM68" s="2" t="s">
        <v>406</v>
      </c>
      <c r="AN68" s="2" t="n">
        <f aca="false">INDEX(Ratings!$B$2:$B$239,MATCH(AL68,Ratings!$A$2:$A$239,0))</f>
        <v>-2.3</v>
      </c>
      <c r="AO68" s="2" t="n">
        <f aca="false">IF(AM68="Home",Assumptions!$B$2,IF(AM68="Away",-Assumptions!$B$2,0))</f>
        <v>2.5</v>
      </c>
      <c r="AP68" s="2" t="n">
        <f aca="false">NORMDIST($B68-AN68+AO68,0,Assumptions!$B$3,TRUE())</f>
        <v>0.625041951918781</v>
      </c>
      <c r="AQ68" s="2" t="s">
        <v>138</v>
      </c>
      <c r="AR68" s="2" t="s">
        <v>406</v>
      </c>
      <c r="AS68" s="2" t="n">
        <f aca="false">INDEX(Ratings!$B$2:$B$239,MATCH(AQ68,Ratings!$A$2:$A$239,0))</f>
        <v>-2.4</v>
      </c>
      <c r="AT68" s="2" t="n">
        <f aca="false">IF(AR68="Home",Assumptions!$B$2,IF(AR68="Away",-Assumptions!$B$2,0))</f>
        <v>2.5</v>
      </c>
      <c r="AU68" s="2" t="n">
        <f aca="false">NORMDIST($B68-AS68+AT68,0,Assumptions!$B$3,TRUE())</f>
        <v>0.627409464153284</v>
      </c>
      <c r="AV68" s="2" t="s">
        <v>131</v>
      </c>
      <c r="AW68" s="2" t="s">
        <v>407</v>
      </c>
      <c r="AX68" s="2" t="n">
        <f aca="false">INDEX(Ratings!$B$2:$B$239,MATCH(AV68,Ratings!$A$2:$A$239,0))</f>
        <v>-1.7</v>
      </c>
      <c r="AY68" s="2" t="n">
        <f aca="false">IF(AW68="Home",Assumptions!$B$2,IF(AW68="Away",-Assumptions!$B$2,0))</f>
        <v>-2.5</v>
      </c>
      <c r="AZ68" s="2" t="n">
        <f aca="false">NORMDIST($B68-AX68+AY68,0,Assumptions!$B$3,TRUE())</f>
        <v>0.487535082565623</v>
      </c>
      <c r="BA68" s="2" t="s">
        <v>121</v>
      </c>
      <c r="BB68" s="2" t="s">
        <v>407</v>
      </c>
      <c r="BC68" s="2" t="n">
        <f aca="false">INDEX(Ratings!$B$2:$B$239,MATCH(BA68,Ratings!$A$2:$A$239,0))</f>
        <v>1.2</v>
      </c>
      <c r="BD68" s="2" t="n">
        <f aca="false">IF(BB68="Home",Assumptions!$B$2,IF(BB68="Away",-Assumptions!$B$2,0))</f>
        <v>-2.5</v>
      </c>
      <c r="BE68" s="2" t="n">
        <f aca="false">NORMDIST($B68-BC68+BD68,0,Assumptions!$B$3,TRUE())</f>
        <v>0.415858488890908</v>
      </c>
      <c r="BF68" s="2" t="s">
        <v>157</v>
      </c>
      <c r="BG68" s="2" t="s">
        <v>406</v>
      </c>
      <c r="BH68" s="2" t="n">
        <f aca="false">INDEX(Ratings!$B$2:$B$239,MATCH(BF68,Ratings!$A$2:$A$239,0))</f>
        <v>-9.1</v>
      </c>
      <c r="BI68" s="2" t="n">
        <f aca="false">IF(BG68="Home",Assumptions!$B$2,IF(BG68="Away",-Assumptions!$B$2,0))</f>
        <v>2.5</v>
      </c>
      <c r="BJ68" s="2" t="n">
        <f aca="false">NORMDIST($B68-BH68+BI68,0,Assumptions!$B$3,TRUE())</f>
        <v>0.771486132875137</v>
      </c>
      <c r="BP68" s="2" t="n">
        <v>12</v>
      </c>
      <c r="BQ68" s="2" t="n">
        <f aca="false">G68+L68+Q68+V68+AA68+AF68+AK68+AP68+AU68+AZ68+BE68+BJ68</f>
        <v>7.77954859290289</v>
      </c>
    </row>
    <row r="69" customFormat="false" ht="15" hidden="false" customHeight="false" outlineLevel="0" collapsed="false">
      <c r="A69" s="2" t="s">
        <v>125</v>
      </c>
      <c r="B69" s="2" t="n">
        <f aca="false">INDEX(Ratings!$B$2:$B$239,MATCH($A69,Ratings!$A$2:$A$239,0))</f>
        <v>0</v>
      </c>
      <c r="C69" s="2" t="s">
        <v>176</v>
      </c>
      <c r="D69" s="2" t="s">
        <v>406</v>
      </c>
      <c r="E69" s="2" t="n">
        <f aca="false">INDEX(Ratings!$B$2:$B$239,MATCH(C69,Ratings!$A$2:$A$239,0))</f>
        <v>-15.1</v>
      </c>
      <c r="F69" s="2" t="n">
        <f aca="false">IF(D69="Home",Assumptions!$B$2,IF(D69="Away",-Assumptions!$B$2,0))</f>
        <v>2.5</v>
      </c>
      <c r="G69" s="2" t="n">
        <f aca="false">NORMDIST($B69-E69+F69,0,Assumptions!$B$3,TRUE())</f>
        <v>0.864333939053617</v>
      </c>
      <c r="H69" s="2" t="s">
        <v>283</v>
      </c>
      <c r="I69" s="2" t="s">
        <v>406</v>
      </c>
      <c r="J69" s="2" t="n">
        <f aca="false">INDEX(Ratings!$B$2:$B$239,MATCH(H69,Ratings!$A$2:$A$239,0))</f>
        <v>-56</v>
      </c>
      <c r="K69" s="2" t="n">
        <f aca="false">IF(I69="Home",Assumptions!$B$2,IF(I69="Away",-Assumptions!$B$2,0))</f>
        <v>2.5</v>
      </c>
      <c r="L69" s="2" t="n">
        <f aca="false">NORMDIST($B69-J69+K69,0,Assumptions!$B$3,TRUE())</f>
        <v>0.99987203411583</v>
      </c>
      <c r="M69" s="2" t="s">
        <v>68</v>
      </c>
      <c r="N69" s="2" t="s">
        <v>407</v>
      </c>
      <c r="O69" s="2" t="n">
        <f aca="false">INDEX(Ratings!$B$2:$B$239,MATCH(M69,Ratings!$A$2:$A$239,0))</f>
        <v>18.8</v>
      </c>
      <c r="P69" s="2" t="n">
        <f aca="false">IF(N69="Home",Assumptions!$B$2,IF(N69="Away",-Assumptions!$B$2,0))</f>
        <v>-2.5</v>
      </c>
      <c r="Q69" s="2" t="n">
        <f aca="false">NORMDIST($B69-O69+P69,0,Assumptions!$B$3,TRUE())</f>
        <v>0.0915533821396643</v>
      </c>
      <c r="R69" s="2" t="s">
        <v>182</v>
      </c>
      <c r="S69" s="2" t="s">
        <v>407</v>
      </c>
      <c r="T69" s="2" t="n">
        <f aca="false">INDEX(Ratings!$B$2:$B$239,MATCH(R69,Ratings!$A$2:$A$239,0))</f>
        <v>-18.5</v>
      </c>
      <c r="U69" s="2" t="n">
        <f aca="false">IF(S69="Home",Assumptions!$B$2,IF(S69="Away",-Assumptions!$B$2,0))</f>
        <v>-2.5</v>
      </c>
      <c r="V69" s="2" t="n">
        <f aca="false">NORMDIST($B69-T69+U69,0,Assumptions!$B$3,TRUE())</f>
        <v>0.841344746068543</v>
      </c>
      <c r="W69" s="2" t="s">
        <v>184</v>
      </c>
      <c r="X69" s="2" t="s">
        <v>406</v>
      </c>
      <c r="Y69" s="2" t="n">
        <f aca="false">INDEX(Ratings!$B$2:$B$239,MATCH(W69,Ratings!$A$2:$A$239,0))</f>
        <v>-19.3</v>
      </c>
      <c r="Z69" s="2" t="n">
        <f aca="false">IF(X69="Home",Assumptions!$B$2,IF(X69="Away",-Assumptions!$B$2,0))</f>
        <v>2.5</v>
      </c>
      <c r="AA69" s="2" t="n">
        <f aca="false">NORMDIST($B69-Y69+Z69,0,Assumptions!$B$3,TRUE())</f>
        <v>0.913479927923957</v>
      </c>
      <c r="AB69" s="2" t="s">
        <v>140</v>
      </c>
      <c r="AC69" s="2" t="s">
        <v>407</v>
      </c>
      <c r="AD69" s="2" t="n">
        <f aca="false">INDEX(Ratings!$B$2:$B$239,MATCH(AB69,Ratings!$A$2:$A$239,0))</f>
        <v>-2.6</v>
      </c>
      <c r="AE69" s="2" t="n">
        <f aca="false">IF(AC69="Home",Assumptions!$B$2,IF(AC69="Away",-Assumptions!$B$2,0))</f>
        <v>-2.5</v>
      </c>
      <c r="AF69" s="2" t="n">
        <f aca="false">NORMDIST($B69-AD69+AE69,0,Assumptions!$B$3,TRUE())</f>
        <v>0.502493373019601</v>
      </c>
      <c r="AG69" s="2" t="s">
        <v>132</v>
      </c>
      <c r="AH69" s="2" t="s">
        <v>406</v>
      </c>
      <c r="AI69" s="2" t="n">
        <f aca="false">INDEX(Ratings!$B$2:$B$239,MATCH(AG69,Ratings!$A$2:$A$239,0))</f>
        <v>-1.8</v>
      </c>
      <c r="AJ69" s="2" t="n">
        <f aca="false">IF(AH69="Home",Assumptions!$B$2,IF(AH69="Away",-Assumptions!$B$2,0))</f>
        <v>2.5</v>
      </c>
      <c r="AK69" s="2" t="n">
        <f aca="false">NORMDIST($B69-AI69+AJ69,0,Assumptions!$B$3,TRUE())</f>
        <v>0.605938963847754</v>
      </c>
      <c r="AL69" s="2" t="s">
        <v>178</v>
      </c>
      <c r="AM69" s="2" t="s">
        <v>407</v>
      </c>
      <c r="AN69" s="2" t="n">
        <f aca="false">INDEX(Ratings!$B$2:$B$239,MATCH(AL69,Ratings!$A$2:$A$239,0))</f>
        <v>-15.7</v>
      </c>
      <c r="AO69" s="2" t="n">
        <f aca="false">IF(AM69="Home",Assumptions!$B$2,IF(AM69="Away",-Assumptions!$B$2,0))</f>
        <v>-2.5</v>
      </c>
      <c r="AP69" s="2" t="n">
        <f aca="false">NORMDIST($B69-AN69+AO69,0,Assumptions!$B$3,TRUE())</f>
        <v>0.795314204652747</v>
      </c>
      <c r="AQ69" s="2" t="s">
        <v>165</v>
      </c>
      <c r="AR69" s="2" t="s">
        <v>407</v>
      </c>
      <c r="AS69" s="2" t="n">
        <f aca="false">INDEX(Ratings!$B$2:$B$239,MATCH(AQ69,Ratings!$A$2:$A$239,0))</f>
        <v>-11.7</v>
      </c>
      <c r="AT69" s="2" t="n">
        <f aca="false">IF(AR69="Home",Assumptions!$B$2,IF(AR69="Away",-Assumptions!$B$2,0))</f>
        <v>-2.5</v>
      </c>
      <c r="AU69" s="2" t="n">
        <f aca="false">NORMDIST($B69-AS69+AT69,0,Assumptions!$B$3,TRUE())</f>
        <v>0.717354351502799</v>
      </c>
      <c r="AV69" s="2" t="s">
        <v>112</v>
      </c>
      <c r="AW69" s="2" t="s">
        <v>406</v>
      </c>
      <c r="AX69" s="2" t="n">
        <f aca="false">INDEX(Ratings!$B$2:$B$239,MATCH(AV69,Ratings!$A$2:$A$239,0))</f>
        <v>3.6</v>
      </c>
      <c r="AY69" s="2" t="n">
        <f aca="false">IF(AW69="Home",Assumptions!$B$2,IF(AW69="Away",-Assumptions!$B$2,0))</f>
        <v>2.5</v>
      </c>
      <c r="AZ69" s="2" t="n">
        <f aca="false">NORMDIST($B69-AX69+AY69,0,Assumptions!$B$3,TRUE())</f>
        <v>0.472594309039532</v>
      </c>
      <c r="BA69" s="2" t="s">
        <v>161</v>
      </c>
      <c r="BB69" s="2" t="s">
        <v>407</v>
      </c>
      <c r="BC69" s="2" t="n">
        <f aca="false">INDEX(Ratings!$B$2:$B$239,MATCH(BA69,Ratings!$A$2:$A$239,0))</f>
        <v>-10.8</v>
      </c>
      <c r="BD69" s="2" t="n">
        <f aca="false">IF(BB69="Home",Assumptions!$B$2,IF(BB69="Away",-Assumptions!$B$2,0))</f>
        <v>-2.5</v>
      </c>
      <c r="BE69" s="2" t="n">
        <f aca="false">NORMDIST($B69-BC69+BD69,0,Assumptions!$B$3,TRUE())</f>
        <v>0.698032455319819</v>
      </c>
      <c r="BF69" s="2" t="s">
        <v>141</v>
      </c>
      <c r="BG69" s="2" t="s">
        <v>406</v>
      </c>
      <c r="BH69" s="2" t="n">
        <f aca="false">INDEX(Ratings!$B$2:$B$239,MATCH(BF69,Ratings!$A$2:$A$239,0))</f>
        <v>-3.2</v>
      </c>
      <c r="BI69" s="2" t="n">
        <f aca="false">IF(BG69="Home",Assumptions!$B$2,IF(BG69="Away",-Assumptions!$B$2,0))</f>
        <v>2.5</v>
      </c>
      <c r="BJ69" s="2" t="n">
        <f aca="false">NORMDIST($B69-BH69+BI69,0,Assumptions!$B$3,TRUE())</f>
        <v>0.639173324850217</v>
      </c>
      <c r="BP69" s="2" t="n">
        <v>12</v>
      </c>
      <c r="BQ69" s="2" t="n">
        <f aca="false">G69+L69+Q69+V69+AA69+AF69+AK69+AP69+AU69+AZ69+BE69+BJ69</f>
        <v>8.14148501153408</v>
      </c>
    </row>
    <row r="70" customFormat="false" ht="15" hidden="false" customHeight="false" outlineLevel="0" collapsed="false">
      <c r="A70" s="2" t="s">
        <v>126</v>
      </c>
      <c r="B70" s="2" t="n">
        <f aca="false">INDEX(Ratings!$B$2:$B$239,MATCH($A70,Ratings!$A$2:$A$239,0))</f>
        <v>-0.4</v>
      </c>
      <c r="C70" s="2" t="s">
        <v>310</v>
      </c>
      <c r="D70" s="2" t="s">
        <v>406</v>
      </c>
      <c r="E70" s="2" t="n">
        <f aca="false">INDEX(Ratings!$B$2:$B$239,MATCH(C70,Ratings!$A$2:$A$239,0))</f>
        <v>-39</v>
      </c>
      <c r="F70" s="2" t="n">
        <f aca="false">IF(D70="Home",Assumptions!$B$2,IF(D70="Away",-Assumptions!$B$2,0))</f>
        <v>2.5</v>
      </c>
      <c r="G70" s="2" t="n">
        <f aca="false">NORMDIST($B70-E70+F70,0,Assumptions!$B$3,TRUE())</f>
        <v>0.994896696941652</v>
      </c>
      <c r="H70" s="2" t="s">
        <v>79</v>
      </c>
      <c r="I70" s="2" t="s">
        <v>407</v>
      </c>
      <c r="J70" s="2" t="n">
        <f aca="false">INDEX(Ratings!$B$2:$B$239,MATCH(H70,Ratings!$A$2:$A$239,0))</f>
        <v>14.6</v>
      </c>
      <c r="K70" s="2" t="n">
        <f aca="false">IF(I70="Home",Assumptions!$B$2,IF(I70="Away",-Assumptions!$B$2,0))</f>
        <v>-2.5</v>
      </c>
      <c r="L70" s="2" t="n">
        <f aca="false">NORMDIST($B70-J70+K70,0,Assumptions!$B$3,TRUE())</f>
        <v>0.137032319304912</v>
      </c>
      <c r="M70" s="2" t="s">
        <v>175</v>
      </c>
      <c r="N70" s="2" t="s">
        <v>406</v>
      </c>
      <c r="O70" s="2" t="n">
        <f aca="false">INDEX(Ratings!$B$2:$B$239,MATCH(M70,Ratings!$A$2:$A$239,0))</f>
        <v>-15</v>
      </c>
      <c r="P70" s="2" t="n">
        <f aca="false">IF(N70="Home",Assumptions!$B$2,IF(N70="Away",-Assumptions!$B$2,0))</f>
        <v>2.5</v>
      </c>
      <c r="Q70" s="2" t="n">
        <f aca="false">NORMDIST($B70-O70+P70,0,Assumptions!$B$3,TRUE())</f>
        <v>0.857408832578344</v>
      </c>
      <c r="R70" s="2" t="s">
        <v>87</v>
      </c>
      <c r="S70" s="2" t="s">
        <v>406</v>
      </c>
      <c r="T70" s="2" t="n">
        <f aca="false">INDEX(Ratings!$B$2:$B$239,MATCH(R70,Ratings!$A$2:$A$239,0))</f>
        <v>9.8</v>
      </c>
      <c r="U70" s="2" t="n">
        <f aca="false">IF(S70="Home",Assumptions!$B$2,IF(S70="Away",-Assumptions!$B$2,0))</f>
        <v>2.5</v>
      </c>
      <c r="V70" s="2" t="n">
        <f aca="false">NORMDIST($B70-T70+U70,0,Assumptions!$B$3,TRUE())</f>
        <v>0.315169414269308</v>
      </c>
      <c r="W70" s="2" t="s">
        <v>129</v>
      </c>
      <c r="X70" s="2" t="s">
        <v>406</v>
      </c>
      <c r="Y70" s="2" t="n">
        <f aca="false">INDEX(Ratings!$B$2:$B$239,MATCH(W70,Ratings!$A$2:$A$239,0))</f>
        <v>-1.3</v>
      </c>
      <c r="Z70" s="2" t="n">
        <f aca="false">IF(X70="Home",Assumptions!$B$2,IF(X70="Away",-Assumptions!$B$2,0))</f>
        <v>2.5</v>
      </c>
      <c r="AA70" s="2" t="n">
        <f aca="false">NORMDIST($B70-Y70+Z70,0,Assumptions!$B$3,TRUE())</f>
        <v>0.584141511109092</v>
      </c>
      <c r="AB70" s="2" t="s">
        <v>78</v>
      </c>
      <c r="AC70" s="2" t="s">
        <v>407</v>
      </c>
      <c r="AD70" s="2" t="n">
        <f aca="false">INDEX(Ratings!$B$2:$B$239,MATCH(AB70,Ratings!$A$2:$A$239,0))</f>
        <v>14.9</v>
      </c>
      <c r="AE70" s="2" t="n">
        <f aca="false">IF(AC70="Home",Assumptions!$B$2,IF(AC70="Away",-Assumptions!$B$2,0))</f>
        <v>-2.5</v>
      </c>
      <c r="AF70" s="2" t="n">
        <f aca="false">NORMDIST($B70-AD70+AE70,0,Assumptions!$B$3,TRUE())</f>
        <v>0.132961615077904</v>
      </c>
      <c r="AG70" s="2" t="s">
        <v>88</v>
      </c>
      <c r="AH70" s="2" t="s">
        <v>407</v>
      </c>
      <c r="AI70" s="2" t="n">
        <f aca="false">INDEX(Ratings!$B$2:$B$239,MATCH(AG70,Ratings!$A$2:$A$239,0))</f>
        <v>9.5</v>
      </c>
      <c r="AJ70" s="2" t="n">
        <f aca="false">IF(AH70="Home",Assumptions!$B$2,IF(AH70="Away",-Assumptions!$B$2,0))</f>
        <v>-2.5</v>
      </c>
      <c r="AK70" s="2" t="n">
        <f aca="false">NORMDIST($B70-AI70+AJ70,0,Assumptions!$B$3,TRUE())</f>
        <v>0.219169829793377</v>
      </c>
      <c r="AL70" s="2" t="s">
        <v>96</v>
      </c>
      <c r="AM70" s="2" t="s">
        <v>406</v>
      </c>
      <c r="AN70" s="2" t="n">
        <f aca="false">INDEX(Ratings!$B$2:$B$239,MATCH(AL70,Ratings!$A$2:$A$239,0))</f>
        <v>6.9</v>
      </c>
      <c r="AO70" s="2" t="n">
        <f aca="false">IF(AM70="Home",Assumptions!$B$2,IF(AM70="Away",-Assumptions!$B$2,0))</f>
        <v>2.5</v>
      </c>
      <c r="AP70" s="2" t="n">
        <f aca="false">NORMDIST($B70-AN70+AO70,0,Assumptions!$B$3,TRUE())</f>
        <v>0.382088577811047</v>
      </c>
      <c r="AQ70" s="2" t="s">
        <v>111</v>
      </c>
      <c r="AR70" s="2" t="s">
        <v>407</v>
      </c>
      <c r="AS70" s="2" t="n">
        <f aca="false">INDEX(Ratings!$B$2:$B$239,MATCH(AQ70,Ratings!$A$2:$A$239,0))</f>
        <v>3.8</v>
      </c>
      <c r="AT70" s="2" t="n">
        <f aca="false">IF(AR70="Home",Assumptions!$B$2,IF(AR70="Away",-Assumptions!$B$2,0))</f>
        <v>-2.5</v>
      </c>
      <c r="AU70" s="2" t="n">
        <f aca="false">NORMDIST($B70-AS70+AT70,0,Assumptions!$B$3,TRUE())</f>
        <v>0.337699424942871</v>
      </c>
      <c r="AV70" s="2" t="s">
        <v>116</v>
      </c>
      <c r="AW70" s="2" t="s">
        <v>406</v>
      </c>
      <c r="AX70" s="2" t="n">
        <f aca="false">INDEX(Ratings!$B$2:$B$239,MATCH(AV70,Ratings!$A$2:$A$239,0))</f>
        <v>3</v>
      </c>
      <c r="AY70" s="2" t="n">
        <f aca="false">IF(AW70="Home",Assumptions!$B$2,IF(AW70="Away",-Assumptions!$B$2,0))</f>
        <v>2.5</v>
      </c>
      <c r="AZ70" s="2" t="n">
        <f aca="false">NORMDIST($B70-AX70+AY70,0,Assumptions!$B$3,TRUE())</f>
        <v>0.477571324972222</v>
      </c>
      <c r="BA70" s="2" t="s">
        <v>120</v>
      </c>
      <c r="BB70" s="2" t="s">
        <v>407</v>
      </c>
      <c r="BC70" s="2" t="n">
        <f aca="false">INDEX(Ratings!$B$2:$B$239,MATCH(BA70,Ratings!$A$2:$A$239,0))</f>
        <v>1.7</v>
      </c>
      <c r="BD70" s="2" t="n">
        <f aca="false">IF(BB70="Home",Assumptions!$B$2,IF(BB70="Away",-Assumptions!$B$2,0))</f>
        <v>-2.5</v>
      </c>
      <c r="BE70" s="2" t="n">
        <f aca="false">NORMDIST($B70-BC70+BD70,0,Assumptions!$B$3,TRUE())</f>
        <v>0.386864750968727</v>
      </c>
      <c r="BF70" s="2" t="s">
        <v>91</v>
      </c>
      <c r="BG70" s="2" t="s">
        <v>406</v>
      </c>
      <c r="BH70" s="2" t="n">
        <f aca="false">INDEX(Ratings!$B$2:$B$239,MATCH(BF70,Ratings!$A$2:$A$239,0))</f>
        <v>9.2</v>
      </c>
      <c r="BI70" s="2" t="n">
        <f aca="false">IF(BG70="Home",Assumptions!$B$2,IF(BG70="Away",-Assumptions!$B$2,0))</f>
        <v>2.5</v>
      </c>
      <c r="BJ70" s="2" t="n">
        <f aca="false">NORMDIST($B70-BH70+BI70,0,Assumptions!$B$3,TRUE())</f>
        <v>0.328611670769279</v>
      </c>
      <c r="BP70" s="2" t="n">
        <v>12</v>
      </c>
      <c r="BQ70" s="2" t="n">
        <f aca="false">G70+L70+Q70+V70+AA70+AF70+AK70+AP70+AU70+AZ70+BE70+BJ70</f>
        <v>5.15361596853874</v>
      </c>
    </row>
    <row r="71" customFormat="false" ht="15" hidden="false" customHeight="false" outlineLevel="0" collapsed="false">
      <c r="A71" s="2" t="s">
        <v>127</v>
      </c>
      <c r="B71" s="2" t="n">
        <f aca="false">INDEX(Ratings!$B$2:$B$239,MATCH($A71,Ratings!$A$2:$A$239,0))</f>
        <v>-0.9</v>
      </c>
      <c r="C71" s="2" t="s">
        <v>145</v>
      </c>
      <c r="D71" s="2" t="s">
        <v>406</v>
      </c>
      <c r="E71" s="2" t="n">
        <f aca="false">INDEX(Ratings!$B$2:$B$239,MATCH(C71,Ratings!$A$2:$A$239,0))</f>
        <v>-5.3</v>
      </c>
      <c r="F71" s="2" t="n">
        <f aca="false">IF(D71="Home",Assumptions!$B$2,IF(D71="Away",-Assumptions!$B$2,0))</f>
        <v>2.5</v>
      </c>
      <c r="G71" s="2" t="n">
        <f aca="false">NORMDIST($B71-E71+F71,0,Assumptions!$B$3,TRUE())</f>
        <v>0.666856699123512</v>
      </c>
      <c r="H71" s="2" t="s">
        <v>332</v>
      </c>
      <c r="I71" s="2" t="s">
        <v>406</v>
      </c>
      <c r="J71" s="2" t="n">
        <f aca="false">INDEX(Ratings!$B$2:$B$239,MATCH(H71,Ratings!$A$2:$A$239,0))</f>
        <v>-49</v>
      </c>
      <c r="K71" s="2" t="n">
        <f aca="false">IF(I71="Home",Assumptions!$B$2,IF(I71="Away",-Assumptions!$B$2,0))</f>
        <v>2.5</v>
      </c>
      <c r="L71" s="2" t="n">
        <f aca="false">NORMDIST($B71-J71+K71,0,Assumptions!$B$3,TRUE())</f>
        <v>0.999217896321951</v>
      </c>
      <c r="M71" s="2" t="s">
        <v>122</v>
      </c>
      <c r="N71" s="2" t="s">
        <v>407</v>
      </c>
      <c r="O71" s="2" t="n">
        <f aca="false">INDEX(Ratings!$B$2:$B$239,MATCH(M71,Ratings!$A$2:$A$239,0))</f>
        <v>0.7</v>
      </c>
      <c r="P71" s="2" t="n">
        <f aca="false">IF(N71="Home",Assumptions!$B$2,IF(N71="Away",-Assumptions!$B$2,0))</f>
        <v>-2.5</v>
      </c>
      <c r="Q71" s="2" t="n">
        <f aca="false">NORMDIST($B71-O71+P71,0,Assumptions!$B$3,TRUE())</f>
        <v>0.398878901347056</v>
      </c>
      <c r="R71" s="2" t="s">
        <v>150</v>
      </c>
      <c r="S71" s="2" t="s">
        <v>407</v>
      </c>
      <c r="T71" s="2" t="n">
        <f aca="false">INDEX(Ratings!$B$2:$B$239,MATCH(R71,Ratings!$A$2:$A$239,0))</f>
        <v>-6.9</v>
      </c>
      <c r="U71" s="2" t="n">
        <f aca="false">IF(S71="Home",Assumptions!$B$2,IF(S71="Away",-Assumptions!$B$2,0))</f>
        <v>-2.5</v>
      </c>
      <c r="V71" s="2" t="n">
        <f aca="false">NORMDIST($B71-T71+U71,0,Assumptions!$B$3,TRUE())</f>
        <v>0.586577601141551</v>
      </c>
      <c r="W71" s="2" t="s">
        <v>155</v>
      </c>
      <c r="X71" s="2" t="s">
        <v>406</v>
      </c>
      <c r="Y71" s="2" t="n">
        <f aca="false">INDEX(Ratings!$B$2:$B$239,MATCH(W71,Ratings!$A$2:$A$239,0))</f>
        <v>-8.2</v>
      </c>
      <c r="Z71" s="2" t="n">
        <f aca="false">IF(X71="Home",Assumptions!$B$2,IF(X71="Away",-Assumptions!$B$2,0))</f>
        <v>2.5</v>
      </c>
      <c r="AA71" s="2" t="n">
        <f aca="false">NORMDIST($B71-Y71+Z71,0,Assumptions!$B$3,TRUE())</f>
        <v>0.729896500998765</v>
      </c>
      <c r="AB71" s="2" t="s">
        <v>160</v>
      </c>
      <c r="AC71" s="2" t="s">
        <v>407</v>
      </c>
      <c r="AD71" s="2" t="n">
        <f aca="false">INDEX(Ratings!$B$2:$B$239,MATCH(AB71,Ratings!$A$2:$A$239,0))</f>
        <v>-10.8</v>
      </c>
      <c r="AE71" s="2" t="n">
        <f aca="false">IF(AC71="Home",Assumptions!$B$2,IF(AC71="Away",-Assumptions!$B$2,0))</f>
        <v>-2.5</v>
      </c>
      <c r="AF71" s="2" t="n">
        <f aca="false">NORMDIST($B71-AD71+AE71,0,Assumptions!$B$3,TRUE())</f>
        <v>0.678138598836346</v>
      </c>
      <c r="AG71" s="2" t="s">
        <v>194</v>
      </c>
      <c r="AH71" s="2" t="s">
        <v>406</v>
      </c>
      <c r="AI71" s="2" t="n">
        <f aca="false">INDEX(Ratings!$B$2:$B$239,MATCH(AG71,Ratings!$A$2:$A$239,0))</f>
        <v>-29.3</v>
      </c>
      <c r="AJ71" s="2" t="n">
        <f aca="false">IF(AH71="Home",Assumptions!$B$2,IF(AH71="Away",-Assumptions!$B$2,0))</f>
        <v>2.5</v>
      </c>
      <c r="AK71" s="2" t="n">
        <f aca="false">NORMDIST($B71-AI71+AJ71,0,Assumptions!$B$3,TRUE())</f>
        <v>0.973273928296034</v>
      </c>
      <c r="AL71" s="2" t="s">
        <v>169</v>
      </c>
      <c r="AM71" s="2" t="s">
        <v>407</v>
      </c>
      <c r="AN71" s="2" t="n">
        <f aca="false">INDEX(Ratings!$B$2:$B$239,MATCH(AL71,Ratings!$A$2:$A$239,0))</f>
        <v>-12.7</v>
      </c>
      <c r="AO71" s="2" t="n">
        <f aca="false">IF(AM71="Home",Assumptions!$B$2,IF(AM71="Away",-Assumptions!$B$2,0))</f>
        <v>-2.5</v>
      </c>
      <c r="AP71" s="2" t="n">
        <f aca="false">NORMDIST($B71-AN71+AO71,0,Assumptions!$B$3,TRUE())</f>
        <v>0.719464013173768</v>
      </c>
      <c r="AQ71" s="2" t="s">
        <v>154</v>
      </c>
      <c r="AR71" s="2" t="s">
        <v>406</v>
      </c>
      <c r="AS71" s="2" t="n">
        <f aca="false">INDEX(Ratings!$B$2:$B$239,MATCH(AQ71,Ratings!$A$2:$A$239,0))</f>
        <v>-8</v>
      </c>
      <c r="AT71" s="2" t="n">
        <f aca="false">IF(AR71="Home",Assumptions!$B$2,IF(AR71="Away",-Assumptions!$B$2,0))</f>
        <v>2.5</v>
      </c>
      <c r="AU71" s="2" t="n">
        <f aca="false">NORMDIST($B71-AS71+AT71,0,Assumptions!$B$3,TRUE())</f>
        <v>0.725746882249927</v>
      </c>
      <c r="AV71" s="2" t="s">
        <v>185</v>
      </c>
      <c r="AW71" s="2" t="s">
        <v>407</v>
      </c>
      <c r="AX71" s="2" t="n">
        <f aca="false">INDEX(Ratings!$B$2:$B$239,MATCH(AV71,Ratings!$A$2:$A$239,0))</f>
        <v>-20.7</v>
      </c>
      <c r="AY71" s="2" t="n">
        <f aca="false">IF(AW71="Home",Assumptions!$B$2,IF(AW71="Away",-Assumptions!$B$2,0))</f>
        <v>-2.5</v>
      </c>
      <c r="AZ71" s="2" t="n">
        <f aca="false">NORMDIST($B71-AX71+AY71,0,Assumptions!$B$3,TRUE())</f>
        <v>0.860207038932886</v>
      </c>
      <c r="BA71" s="2" t="s">
        <v>167</v>
      </c>
      <c r="BB71" s="2" t="s">
        <v>407</v>
      </c>
      <c r="BC71" s="2" t="n">
        <f aca="false">INDEX(Ratings!$B$2:$B$239,MATCH(BA71,Ratings!$A$2:$A$239,0))</f>
        <v>-11.9</v>
      </c>
      <c r="BD71" s="2" t="n">
        <f aca="false">IF(BB71="Home",Assumptions!$B$2,IF(BB71="Away",-Assumptions!$B$2,0))</f>
        <v>-2.5</v>
      </c>
      <c r="BE71" s="2" t="n">
        <f aca="false">NORMDIST($B71-BC71+BD71,0,Assumptions!$B$3,TRUE())</f>
        <v>0.702377225633592</v>
      </c>
      <c r="BF71" s="2" t="s">
        <v>174</v>
      </c>
      <c r="BG71" s="2" t="s">
        <v>406</v>
      </c>
      <c r="BH71" s="2" t="n">
        <f aca="false">INDEX(Ratings!$B$2:$B$239,MATCH(BF71,Ratings!$A$2:$A$239,0))</f>
        <v>-14.7</v>
      </c>
      <c r="BI71" s="2" t="n">
        <f aca="false">IF(BG71="Home",Assumptions!$B$2,IF(BG71="Away",-Assumptions!$B$2,0))</f>
        <v>2.5</v>
      </c>
      <c r="BJ71" s="2" t="n">
        <f aca="false">NORMDIST($B71-BH71+BI71,0,Assumptions!$B$3,TRUE())</f>
        <v>0.845839165719646</v>
      </c>
      <c r="BP71" s="2" t="n">
        <v>12</v>
      </c>
      <c r="BQ71" s="2" t="n">
        <f aca="false">G71+L71+Q71+V71+AA71+AF71+AK71+AP71+AU71+AZ71+BE71+BJ71</f>
        <v>8.88647445177503</v>
      </c>
    </row>
    <row r="72" customFormat="false" ht="15" hidden="false" customHeight="false" outlineLevel="0" collapsed="false">
      <c r="A72" s="2" t="s">
        <v>128</v>
      </c>
      <c r="B72" s="2" t="n">
        <f aca="false">INDEX(Ratings!$B$2:$B$239,MATCH($A72,Ratings!$A$2:$A$239,0))</f>
        <v>-1.1</v>
      </c>
      <c r="C72" s="2" t="s">
        <v>328</v>
      </c>
      <c r="D72" s="2" t="s">
        <v>406</v>
      </c>
      <c r="E72" s="2" t="n">
        <f aca="false">INDEX(Ratings!$B$2:$B$239,MATCH(C72,Ratings!$A$2:$A$239,0))</f>
        <v>-39</v>
      </c>
      <c r="F72" s="2" t="n">
        <f aca="false">IF(D72="Home",Assumptions!$B$2,IF(D72="Away",-Assumptions!$B$2,0))</f>
        <v>2.5</v>
      </c>
      <c r="G72" s="2" t="n">
        <f aca="false">NORMDIST($B72-E72+F72,0,Assumptions!$B$3,TRUE())</f>
        <v>0.994215085535176</v>
      </c>
      <c r="H72" s="2" t="s">
        <v>134</v>
      </c>
      <c r="I72" s="2" t="s">
        <v>407</v>
      </c>
      <c r="J72" s="2" t="n">
        <f aca="false">INDEX(Ratings!$B$2:$B$239,MATCH(H72,Ratings!$A$2:$A$239,0))</f>
        <v>-2.1</v>
      </c>
      <c r="K72" s="2" t="n">
        <f aca="false">IF(I72="Home",Assumptions!$B$2,IF(I72="Away",-Assumptions!$B$2,0))</f>
        <v>-2.5</v>
      </c>
      <c r="L72" s="2" t="n">
        <f aca="false">NORMDIST($B72-J72+K72,0,Assumptions!$B$3,TRUE())</f>
        <v>0.462653875444673</v>
      </c>
      <c r="M72" s="2" t="s">
        <v>63</v>
      </c>
      <c r="N72" s="2" t="s">
        <v>407</v>
      </c>
      <c r="O72" s="2" t="n">
        <f aca="false">INDEX(Ratings!$B$2:$B$239,MATCH(M72,Ratings!$A$2:$A$239,0))</f>
        <v>22.8</v>
      </c>
      <c r="P72" s="2" t="n">
        <f aca="false">IF(N72="Home",Assumptions!$B$2,IF(N72="Away",-Assumptions!$B$2,0))</f>
        <v>-2.5</v>
      </c>
      <c r="Q72" s="2" t="n">
        <f aca="false">NORMDIST($B72-O72+P72,0,Assumptions!$B$3,TRUE())</f>
        <v>0.0494714680336481</v>
      </c>
      <c r="R72" s="2" t="s">
        <v>164</v>
      </c>
      <c r="S72" s="2" t="s">
        <v>406</v>
      </c>
      <c r="T72" s="2" t="n">
        <f aca="false">INDEX(Ratings!$B$2:$B$239,MATCH(R72,Ratings!$A$2:$A$239,0))</f>
        <v>-11.6</v>
      </c>
      <c r="U72" s="2" t="n">
        <f aca="false">IF(S72="Home",Assumptions!$B$2,IF(S72="Away",-Assumptions!$B$2,0))</f>
        <v>2.5</v>
      </c>
      <c r="V72" s="2" t="n">
        <f aca="false">NORMDIST($B72-T72+U72,0,Assumptions!$B$3,TRUE())</f>
        <v>0.791747606711891</v>
      </c>
      <c r="W72" s="2" t="s">
        <v>177</v>
      </c>
      <c r="X72" s="2" t="s">
        <v>407</v>
      </c>
      <c r="Y72" s="2" t="n">
        <f aca="false">INDEX(Ratings!$B$2:$B$239,MATCH(W72,Ratings!$A$2:$A$239,0))</f>
        <v>-15.3</v>
      </c>
      <c r="Z72" s="2" t="n">
        <f aca="false">IF(X72="Home",Assumptions!$B$2,IF(X72="Away",-Assumptions!$B$2,0))</f>
        <v>-2.5</v>
      </c>
      <c r="AA72" s="2" t="n">
        <f aca="false">NORMDIST($B72-Y72+Z72,0,Assumptions!$B$3,TRUE())</f>
        <v>0.767686767612093</v>
      </c>
      <c r="AB72" s="2" t="s">
        <v>131</v>
      </c>
      <c r="AC72" s="2" t="s">
        <v>406</v>
      </c>
      <c r="AD72" s="2" t="n">
        <f aca="false">INDEX(Ratings!$B$2:$B$239,MATCH(AB72,Ratings!$A$2:$A$239,0))</f>
        <v>-1.7</v>
      </c>
      <c r="AE72" s="2" t="n">
        <f aca="false">IF(AC72="Home",Assumptions!$B$2,IF(AC72="Away",-Assumptions!$B$2,0))</f>
        <v>2.5</v>
      </c>
      <c r="AF72" s="2" t="n">
        <f aca="false">NORMDIST($B72-AD72+AE72,0,Assumptions!$B$3,TRUE())</f>
        <v>0.576814180380971</v>
      </c>
      <c r="AG72" s="2" t="s">
        <v>121</v>
      </c>
      <c r="AH72" s="2" t="s">
        <v>406</v>
      </c>
      <c r="AI72" s="2" t="n">
        <f aca="false">INDEX(Ratings!$B$2:$B$239,MATCH(AG72,Ratings!$A$2:$A$239,0))</f>
        <v>1.2</v>
      </c>
      <c r="AJ72" s="2" t="n">
        <f aca="false">IF(AH72="Home",Assumptions!$B$2,IF(AH72="Away",-Assumptions!$B$2,0))</f>
        <v>2.5</v>
      </c>
      <c r="AK72" s="2" t="n">
        <f aca="false">NORMDIST($B72-AI72+AJ72,0,Assumptions!$B$3,TRUE())</f>
        <v>0.504986648644038</v>
      </c>
      <c r="AL72" s="2" t="s">
        <v>144</v>
      </c>
      <c r="AM72" s="2" t="s">
        <v>407</v>
      </c>
      <c r="AN72" s="2" t="n">
        <f aca="false">INDEX(Ratings!$B$2:$B$239,MATCH(AL72,Ratings!$A$2:$A$239,0))</f>
        <v>-4.3</v>
      </c>
      <c r="AO72" s="2" t="n">
        <f aca="false">IF(AM72="Home",Assumptions!$B$2,IF(AM72="Away",-Assumptions!$B$2,0))</f>
        <v>-2.5</v>
      </c>
      <c r="AP72" s="2" t="n">
        <f aca="false">NORMDIST($B72-AN72+AO72,0,Assumptions!$B$3,TRUE())</f>
        <v>0.51744815844579</v>
      </c>
      <c r="AQ72" s="2" t="s">
        <v>148</v>
      </c>
      <c r="AR72" s="2" t="s">
        <v>407</v>
      </c>
      <c r="AS72" s="2" t="n">
        <f aca="false">INDEX(Ratings!$B$2:$B$239,MATCH(AQ72,Ratings!$A$2:$A$239,0))</f>
        <v>-6.1</v>
      </c>
      <c r="AT72" s="2" t="n">
        <f aca="false">IF(AR72="Home",Assumptions!$B$2,IF(AR72="Away",-Assumptions!$B$2,0))</f>
        <v>-2.5</v>
      </c>
      <c r="AU72" s="2" t="n">
        <f aca="false">NORMDIST($B72-AS72+AT72,0,Assumptions!$B$3,TRUE())</f>
        <v>0.562082016808295</v>
      </c>
      <c r="AV72" s="2" t="s">
        <v>162</v>
      </c>
      <c r="AW72" s="2" t="s">
        <v>406</v>
      </c>
      <c r="AX72" s="2" t="n">
        <f aca="false">INDEX(Ratings!$B$2:$B$239,MATCH(AV72,Ratings!$A$2:$A$239,0))</f>
        <v>-11.6</v>
      </c>
      <c r="AY72" s="2" t="n">
        <f aca="false">IF(AW72="Home",Assumptions!$B$2,IF(AW72="Away",-Assumptions!$B$2,0))</f>
        <v>2.5</v>
      </c>
      <c r="AZ72" s="2" t="n">
        <f aca="false">NORMDIST($B72-AX72+AY72,0,Assumptions!$B$3,TRUE())</f>
        <v>0.791747606711891</v>
      </c>
      <c r="BA72" s="2" t="s">
        <v>181</v>
      </c>
      <c r="BB72" s="2" t="s">
        <v>407</v>
      </c>
      <c r="BC72" s="2" t="n">
        <f aca="false">INDEX(Ratings!$B$2:$B$239,MATCH(BA72,Ratings!$A$2:$A$239,0))</f>
        <v>-17.5</v>
      </c>
      <c r="BD72" s="2" t="n">
        <f aca="false">IF(BB72="Home",Assumptions!$B$2,IF(BB72="Away",-Assumptions!$B$2,0))</f>
        <v>-2.5</v>
      </c>
      <c r="BE72" s="2" t="n">
        <f aca="false">NORMDIST($B72-BC72+BD72,0,Assumptions!$B$3,TRUE())</f>
        <v>0.807508056658567</v>
      </c>
      <c r="BF72" s="2" t="s">
        <v>149</v>
      </c>
      <c r="BG72" s="2" t="s">
        <v>406</v>
      </c>
      <c r="BH72" s="2" t="n">
        <f aca="false">INDEX(Ratings!$B$2:$B$239,MATCH(BF72,Ratings!$A$2:$A$239,0))</f>
        <v>-6.1</v>
      </c>
      <c r="BI72" s="2" t="n">
        <f aca="false">IF(BG72="Home",Assumptions!$B$2,IF(BG72="Away",-Assumptions!$B$2,0))</f>
        <v>2.5</v>
      </c>
      <c r="BJ72" s="2" t="n">
        <f aca="false">NORMDIST($B72-BH72+BI72,0,Assumptions!$B$3,TRUE())</f>
        <v>0.680375828482882</v>
      </c>
      <c r="BP72" s="2" t="n">
        <v>12</v>
      </c>
      <c r="BQ72" s="2" t="n">
        <f aca="false">G72+L72+Q72+V72+AA72+AF72+AK72+AP72+AU72+AZ72+BE72+BJ72</f>
        <v>7.50673729946991</v>
      </c>
    </row>
    <row r="73" customFormat="false" ht="15" hidden="false" customHeight="false" outlineLevel="0" collapsed="false">
      <c r="A73" s="2" t="s">
        <v>129</v>
      </c>
      <c r="B73" s="2" t="n">
        <f aca="false">INDEX(Ratings!$B$2:$B$239,MATCH($A73,Ratings!$A$2:$A$239,0))</f>
        <v>-1.3</v>
      </c>
      <c r="C73" s="2" t="s">
        <v>174</v>
      </c>
      <c r="D73" s="2" t="s">
        <v>406</v>
      </c>
      <c r="E73" s="2" t="n">
        <f aca="false">INDEX(Ratings!$B$2:$B$239,MATCH(C73,Ratings!$A$2:$A$239,0))</f>
        <v>-14.7</v>
      </c>
      <c r="F73" s="2" t="n">
        <f aca="false">IF(D73="Home",Assumptions!$B$2,IF(D73="Away",-Assumptions!$B$2,0))</f>
        <v>2.5</v>
      </c>
      <c r="G73" s="2" t="n">
        <f aca="false">NORMDIST($B73-E73+F73,0,Assumptions!$B$3,TRUE())</f>
        <v>0.839827703080392</v>
      </c>
      <c r="H73" s="2" t="s">
        <v>327</v>
      </c>
      <c r="I73" s="2" t="s">
        <v>406</v>
      </c>
      <c r="J73" s="2" t="n">
        <f aca="false">INDEX(Ratings!$B$2:$B$239,MATCH(H73,Ratings!$A$2:$A$239,0))</f>
        <v>-34</v>
      </c>
      <c r="K73" s="2" t="n">
        <f aca="false">IF(I73="Home",Assumptions!$B$2,IF(I73="Away",-Assumptions!$B$2,0))</f>
        <v>2.5</v>
      </c>
      <c r="L73" s="2" t="n">
        <f aca="false">NORMDIST($B73-J73+K73,0,Assumptions!$B$3,TRUE())</f>
        <v>0.986096552486501</v>
      </c>
      <c r="M73" s="2" t="s">
        <v>94</v>
      </c>
      <c r="N73" s="2" t="s">
        <v>408</v>
      </c>
      <c r="O73" s="2" t="n">
        <f aca="false">INDEX(Ratings!$B$2:$B$239,MATCH(M73,Ratings!$A$2:$A$239,0))</f>
        <v>8.1</v>
      </c>
      <c r="P73" s="2" t="n">
        <f aca="false">IF(N73="Home",Assumptions!$B$2,IF(N73="Away",-Assumptions!$B$2,0))</f>
        <v>0</v>
      </c>
      <c r="Q73" s="2" t="n">
        <f aca="false">NORMDIST($B73-O73+P73,0,Assumptions!$B$3,TRUE())</f>
        <v>0.278433975231589</v>
      </c>
      <c r="R73" s="2" t="s">
        <v>96</v>
      </c>
      <c r="S73" s="2" t="s">
        <v>406</v>
      </c>
      <c r="T73" s="2" t="n">
        <f aca="false">INDEX(Ratings!$B$2:$B$239,MATCH(R73,Ratings!$A$2:$A$239,0))</f>
        <v>6.9</v>
      </c>
      <c r="U73" s="2" t="n">
        <f aca="false">IF(S73="Home",Assumptions!$B$2,IF(S73="Away",-Assumptions!$B$2,0))</f>
        <v>2.5</v>
      </c>
      <c r="V73" s="2" t="n">
        <f aca="false">NORMDIST($B73-T73+U73,0,Assumptions!$B$3,TRUE())</f>
        <v>0.360826675149783</v>
      </c>
      <c r="W73" s="2" t="s">
        <v>126</v>
      </c>
      <c r="X73" s="2" t="s">
        <v>407</v>
      </c>
      <c r="Y73" s="2" t="n">
        <f aca="false">INDEX(Ratings!$B$2:$B$239,MATCH(W73,Ratings!$A$2:$A$239,0))</f>
        <v>-0.4</v>
      </c>
      <c r="Z73" s="2" t="n">
        <f aca="false">IF(X73="Home",Assumptions!$B$2,IF(X73="Away",-Assumptions!$B$2,0))</f>
        <v>-2.5</v>
      </c>
      <c r="AA73" s="2" t="n">
        <f aca="false">NORMDIST($B73-Y73+Z73,0,Assumptions!$B$3,TRUE())</f>
        <v>0.415858488890908</v>
      </c>
      <c r="AB73" s="2" t="s">
        <v>88</v>
      </c>
      <c r="AC73" s="2" t="s">
        <v>406</v>
      </c>
      <c r="AD73" s="2" t="n">
        <f aca="false">INDEX(Ratings!$B$2:$B$239,MATCH(AB73,Ratings!$A$2:$A$239,0))</f>
        <v>9.5</v>
      </c>
      <c r="AE73" s="2" t="n">
        <f aca="false">IF(AC73="Home",Assumptions!$B$2,IF(AC73="Away",-Assumptions!$B$2,0))</f>
        <v>2.5</v>
      </c>
      <c r="AF73" s="2" t="n">
        <f aca="false">NORMDIST($B73-AD73+AE73,0,Assumptions!$B$3,TRUE())</f>
        <v>0.301967544680181</v>
      </c>
      <c r="AG73" s="2" t="s">
        <v>116</v>
      </c>
      <c r="AH73" s="2" t="s">
        <v>406</v>
      </c>
      <c r="AI73" s="2" t="n">
        <f aca="false">INDEX(Ratings!$B$2:$B$239,MATCH(AG73,Ratings!$A$2:$A$239,0))</f>
        <v>3</v>
      </c>
      <c r="AJ73" s="2" t="n">
        <f aca="false">IF(AH73="Home",Assumptions!$B$2,IF(AH73="Away",-Assumptions!$B$2,0))</f>
        <v>2.5</v>
      </c>
      <c r="AK73" s="2" t="n">
        <f aca="false">NORMDIST($B73-AI73+AJ73,0,Assumptions!$B$3,TRUE())</f>
        <v>0.455213484871745</v>
      </c>
      <c r="AL73" s="2" t="s">
        <v>89</v>
      </c>
      <c r="AM73" s="2" t="s">
        <v>407</v>
      </c>
      <c r="AN73" s="2" t="n">
        <f aca="false">INDEX(Ratings!$B$2:$B$239,MATCH(AL73,Ratings!$A$2:$A$239,0))</f>
        <v>9.4</v>
      </c>
      <c r="AO73" s="2" t="n">
        <f aca="false">IF(AM73="Home",Assumptions!$B$2,IF(AM73="Away",-Assumptions!$B$2,0))</f>
        <v>-2.5</v>
      </c>
      <c r="AP73" s="2" t="n">
        <f aca="false">NORMDIST($B73-AN73+AO73,0,Assumptions!$B$3,TRUE())</f>
        <v>0.204685795347253</v>
      </c>
      <c r="AQ73" s="2" t="s">
        <v>65</v>
      </c>
      <c r="AR73" s="2" t="s">
        <v>407</v>
      </c>
      <c r="AS73" s="2" t="n">
        <f aca="false">INDEX(Ratings!$B$2:$B$239,MATCH(AQ73,Ratings!$A$2:$A$239,0))</f>
        <v>21.8</v>
      </c>
      <c r="AT73" s="2" t="n">
        <f aca="false">IF(AR73="Home",Assumptions!$B$2,IF(AR73="Away",-Assumptions!$B$2,0))</f>
        <v>-2.5</v>
      </c>
      <c r="AU73" s="2" t="n">
        <f aca="false">NORMDIST($B73-AS73+AT73,0,Assumptions!$B$3,TRUE())</f>
        <v>0.054799291699558</v>
      </c>
      <c r="AV73" s="2" t="s">
        <v>115</v>
      </c>
      <c r="AW73" s="2" t="s">
        <v>406</v>
      </c>
      <c r="AX73" s="2" t="n">
        <f aca="false">INDEX(Ratings!$B$2:$B$239,MATCH(AV73,Ratings!$A$2:$A$239,0))</f>
        <v>3.3</v>
      </c>
      <c r="AY73" s="2" t="n">
        <f aca="false">IF(AW73="Home",Assumptions!$B$2,IF(AW73="Away",-Assumptions!$B$2,0))</f>
        <v>2.5</v>
      </c>
      <c r="AZ73" s="2" t="n">
        <f aca="false">NORMDIST($B73-AX73+AY73,0,Assumptions!$B$3,TRUE())</f>
        <v>0.447788771872615</v>
      </c>
      <c r="BA73" s="2" t="s">
        <v>95</v>
      </c>
      <c r="BB73" s="2" t="s">
        <v>406</v>
      </c>
      <c r="BC73" s="2" t="n">
        <f aca="false">INDEX(Ratings!$B$2:$B$239,MATCH(BA73,Ratings!$A$2:$A$239,0))</f>
        <v>7.4</v>
      </c>
      <c r="BD73" s="2" t="n">
        <f aca="false">IF(BB73="Home",Assumptions!$B$2,IF(BB73="Away",-Assumptions!$B$2,0))</f>
        <v>2.5</v>
      </c>
      <c r="BE73" s="2" t="n">
        <f aca="false">NORMDIST($B73-BC73+BD73,0,Assumptions!$B$3,TRUE())</f>
        <v>0.349193042462858</v>
      </c>
      <c r="BF73" s="2" t="s">
        <v>87</v>
      </c>
      <c r="BG73" s="2" t="s">
        <v>407</v>
      </c>
      <c r="BH73" s="2" t="n">
        <f aca="false">INDEX(Ratings!$B$2:$B$239,MATCH(BF73,Ratings!$A$2:$A$239,0))</f>
        <v>9.8</v>
      </c>
      <c r="BI73" s="2" t="n">
        <f aca="false">IF(BG73="Home",Assumptions!$B$2,IF(BG73="Away",-Assumptions!$B$2,0))</f>
        <v>-2.5</v>
      </c>
      <c r="BJ73" s="2" t="n">
        <f aca="false">NORMDIST($B73-BH73+BI73,0,Assumptions!$B$3,TRUE())</f>
        <v>0.197662543122692</v>
      </c>
      <c r="BP73" s="2" t="n">
        <v>12</v>
      </c>
      <c r="BQ73" s="2" t="n">
        <f aca="false">G73+L73+Q73+V73+AA73+AF73+AK73+AP73+AU73+AZ73+BE73+BJ73</f>
        <v>4.89235386889607</v>
      </c>
    </row>
    <row r="74" customFormat="false" ht="15" hidden="false" customHeight="false" outlineLevel="0" collapsed="false">
      <c r="A74" s="2" t="s">
        <v>130</v>
      </c>
      <c r="B74" s="2" t="n">
        <f aca="false">INDEX(Ratings!$B$2:$B$239,MATCH($A74,Ratings!$A$2:$A$239,0))</f>
        <v>-1.4</v>
      </c>
      <c r="C74" s="2" t="s">
        <v>69</v>
      </c>
      <c r="D74" s="2" t="s">
        <v>407</v>
      </c>
      <c r="E74" s="2" t="n">
        <f aca="false">INDEX(Ratings!$B$2:$B$239,MATCH(C74,Ratings!$A$2:$A$239,0))</f>
        <v>17.7</v>
      </c>
      <c r="F74" s="2" t="n">
        <f aca="false">IF(D74="Home",Assumptions!$B$2,IF(D74="Away",-Assumptions!$B$2,0))</f>
        <v>-2.5</v>
      </c>
      <c r="G74" s="2" t="n">
        <f aca="false">NORMDIST($B74-E74+F74,0,Assumptions!$B$3,TRUE())</f>
        <v>0.088507991437402</v>
      </c>
      <c r="H74" s="2" t="s">
        <v>188</v>
      </c>
      <c r="I74" s="2" t="s">
        <v>406</v>
      </c>
      <c r="J74" s="2" t="n">
        <f aca="false">INDEX(Ratings!$B$2:$B$239,MATCH(H74,Ratings!$A$2:$A$239,0))</f>
        <v>-23.4</v>
      </c>
      <c r="K74" s="2" t="n">
        <f aca="false">IF(I74="Home",Assumptions!$B$2,IF(I74="Away",-Assumptions!$B$2,0))</f>
        <v>2.5</v>
      </c>
      <c r="L74" s="2" t="n">
        <f aca="false">NORMDIST($B74-J74+K74,0,Assumptions!$B$3,TRUE())</f>
        <v>0.937146191141748</v>
      </c>
      <c r="M74" s="2" t="s">
        <v>178</v>
      </c>
      <c r="N74" s="2" t="s">
        <v>407</v>
      </c>
      <c r="O74" s="2" t="n">
        <f aca="false">INDEX(Ratings!$B$2:$B$239,MATCH(M74,Ratings!$A$2:$A$239,0))</f>
        <v>-15.7</v>
      </c>
      <c r="P74" s="2" t="n">
        <f aca="false">IF(N74="Home",Assumptions!$B$2,IF(N74="Away",-Assumptions!$B$2,0))</f>
        <v>-2.5</v>
      </c>
      <c r="Q74" s="2" t="n">
        <f aca="false">NORMDIST($B74-O74+P74,0,Assumptions!$B$3,TRUE())</f>
        <v>0.769590828396427</v>
      </c>
      <c r="R74" s="2" t="s">
        <v>177</v>
      </c>
      <c r="S74" s="2" t="s">
        <v>406</v>
      </c>
      <c r="T74" s="2" t="n">
        <f aca="false">INDEX(Ratings!$B$2:$B$239,MATCH(R74,Ratings!$A$2:$A$239,0))</f>
        <v>-15.3</v>
      </c>
      <c r="U74" s="2" t="n">
        <f aca="false">IF(S74="Home",Assumptions!$B$2,IF(S74="Away",-Assumptions!$B$2,0))</f>
        <v>2.5</v>
      </c>
      <c r="V74" s="2" t="n">
        <f aca="false">NORMDIST($B74-T74+U74,0,Assumptions!$B$3,TRUE())</f>
        <v>0.84731840616689</v>
      </c>
      <c r="W74" s="2" t="s">
        <v>143</v>
      </c>
      <c r="X74" s="2" t="s">
        <v>407</v>
      </c>
      <c r="Y74" s="2" t="n">
        <f aca="false">INDEX(Ratings!$B$2:$B$239,MATCH(W74,Ratings!$A$2:$A$239,0))</f>
        <v>-4.3</v>
      </c>
      <c r="Z74" s="2" t="n">
        <f aca="false">IF(X74="Home",Assumptions!$B$2,IF(X74="Away",-Assumptions!$B$2,0))</f>
        <v>-2.5</v>
      </c>
      <c r="AA74" s="2" t="n">
        <f aca="false">NORMDIST($B74-Y74+Z74,0,Assumptions!$B$3,TRUE())</f>
        <v>0.509972518195238</v>
      </c>
      <c r="AB74" s="2" t="s">
        <v>106</v>
      </c>
      <c r="AC74" s="2" t="s">
        <v>406</v>
      </c>
      <c r="AD74" s="2" t="n">
        <f aca="false">INDEX(Ratings!$B$2:$B$239,MATCH(AB74,Ratings!$A$2:$A$239,0))</f>
        <v>5.1</v>
      </c>
      <c r="AE74" s="2" t="n">
        <f aca="false">IF(AC74="Home",Assumptions!$B$2,IF(AC74="Away",-Assumptions!$B$2,0))</f>
        <v>2.5</v>
      </c>
      <c r="AF74" s="2" t="n">
        <f aca="false">NORMDIST($B74-AD74+AE74,0,Assumptions!$B$3,TRUE())</f>
        <v>0.401293674317076</v>
      </c>
      <c r="AG74" s="2" t="s">
        <v>122</v>
      </c>
      <c r="AH74" s="2" t="s">
        <v>407</v>
      </c>
      <c r="AI74" s="2" t="n">
        <f aca="false">INDEX(Ratings!$B$2:$B$239,MATCH(AG74,Ratings!$A$2:$A$239,0))</f>
        <v>0.7</v>
      </c>
      <c r="AJ74" s="2" t="n">
        <f aca="false">IF(AH74="Home",Assumptions!$B$2,IF(AH74="Away",-Assumptions!$B$2,0))</f>
        <v>-2.5</v>
      </c>
      <c r="AK74" s="2" t="n">
        <f aca="false">NORMDIST($B74-AI74+AJ74,0,Assumptions!$B$3,TRUE())</f>
        <v>0.386864750968727</v>
      </c>
      <c r="AL74" s="2" t="s">
        <v>146</v>
      </c>
      <c r="AM74" s="2" t="s">
        <v>406</v>
      </c>
      <c r="AN74" s="2" t="n">
        <f aca="false">INDEX(Ratings!$B$2:$B$239,MATCH(AL74,Ratings!$A$2:$A$239,0))</f>
        <v>-5.6</v>
      </c>
      <c r="AO74" s="2" t="n">
        <f aca="false">IF(AM74="Home",Assumptions!$B$2,IF(AM74="Away",-Assumptions!$B$2,0))</f>
        <v>2.5</v>
      </c>
      <c r="AP74" s="2" t="n">
        <f aca="false">NORMDIST($B74-AN74+AO74,0,Assumptions!$B$3,TRUE())</f>
        <v>0.662300575057129</v>
      </c>
      <c r="AQ74" s="2" t="s">
        <v>153</v>
      </c>
      <c r="AR74" s="2" t="s">
        <v>407</v>
      </c>
      <c r="AS74" s="2" t="n">
        <f aca="false">INDEX(Ratings!$B$2:$B$239,MATCH(AQ74,Ratings!$A$2:$A$239,0))</f>
        <v>-7.9</v>
      </c>
      <c r="AT74" s="2" t="n">
        <f aca="false">IF(AR74="Home",Assumptions!$B$2,IF(AR74="Away",-Assumptions!$B$2,0))</f>
        <v>-2.5</v>
      </c>
      <c r="AU74" s="2" t="n">
        <f aca="false">NORMDIST($B74-AS74+AT74,0,Assumptions!$B$3,TRUE())</f>
        <v>0.598706325682924</v>
      </c>
      <c r="AV74" s="2" t="s">
        <v>134</v>
      </c>
      <c r="AW74" s="2" t="s">
        <v>407</v>
      </c>
      <c r="AX74" s="2" t="n">
        <f aca="false">INDEX(Ratings!$B$2:$B$239,MATCH(AV74,Ratings!$A$2:$A$239,0))</f>
        <v>-2.1</v>
      </c>
      <c r="AY74" s="2" t="n">
        <f aca="false">IF(AW74="Home",Assumptions!$B$2,IF(AW74="Away",-Assumptions!$B$2,0))</f>
        <v>-2.5</v>
      </c>
      <c r="AZ74" s="2" t="n">
        <f aca="false">NORMDIST($B74-AX74+AY74,0,Assumptions!$B$3,TRUE())</f>
        <v>0.455213484871745</v>
      </c>
      <c r="BA74" s="2" t="s">
        <v>164</v>
      </c>
      <c r="BB74" s="2" t="s">
        <v>406</v>
      </c>
      <c r="BC74" s="2" t="n">
        <f aca="false">INDEX(Ratings!$B$2:$B$239,MATCH(BA74,Ratings!$A$2:$A$239,0))</f>
        <v>-11.6</v>
      </c>
      <c r="BD74" s="2" t="n">
        <f aca="false">IF(BB74="Home",Assumptions!$B$2,IF(BB74="Away",-Assumptions!$B$2,0))</f>
        <v>2.5</v>
      </c>
      <c r="BE74" s="2" t="n">
        <f aca="false">NORMDIST($B74-BC74+BD74,0,Assumptions!$B$3,TRUE())</f>
        <v>0.786329507059644</v>
      </c>
      <c r="BF74" s="2" t="s">
        <v>122</v>
      </c>
      <c r="BG74" s="2" t="s">
        <v>406</v>
      </c>
      <c r="BH74" s="2" t="n">
        <f aca="false">INDEX(Ratings!$B$2:$B$239,MATCH(BF74,Ratings!$A$2:$A$239,0))</f>
        <v>0.7</v>
      </c>
      <c r="BI74" s="2" t="n">
        <f aca="false">IF(BG74="Home",Assumptions!$B$2,IF(BG74="Away",-Assumptions!$B$2,0))</f>
        <v>2.5</v>
      </c>
      <c r="BJ74" s="2" t="n">
        <f aca="false">NORMDIST($B74-BH74+BI74,0,Assumptions!$B$3,TRUE())</f>
        <v>0.509972518195238</v>
      </c>
      <c r="BP74" s="2" t="n">
        <v>12</v>
      </c>
      <c r="BQ74" s="2" t="n">
        <f aca="false">G74+L74+Q74+V74+AA74+AF74+AK74+AP74+AU74+AZ74+BE74+BJ74</f>
        <v>6.95321677149019</v>
      </c>
    </row>
    <row r="75" customFormat="false" ht="15" hidden="false" customHeight="false" outlineLevel="0" collapsed="false">
      <c r="A75" s="2" t="s">
        <v>131</v>
      </c>
      <c r="B75" s="2" t="n">
        <f aca="false">INDEX(Ratings!$B$2:$B$239,MATCH($A75,Ratings!$A$2:$A$239,0))</f>
        <v>-1.7</v>
      </c>
      <c r="C75" s="2" t="s">
        <v>172</v>
      </c>
      <c r="D75" s="2" t="s">
        <v>406</v>
      </c>
      <c r="E75" s="2" t="n">
        <f aca="false">INDEX(Ratings!$B$2:$B$239,MATCH(C75,Ratings!$A$2:$A$239,0))</f>
        <v>-14.5</v>
      </c>
      <c r="F75" s="2" t="n">
        <f aca="false">IF(D75="Home",Assumptions!$B$2,IF(D75="Away",-Assumptions!$B$2,0))</f>
        <v>2.5</v>
      </c>
      <c r="G75" s="2" t="n">
        <f aca="false">NORMDIST($B75-E75+F75,0,Assumptions!$B$3,TRUE())</f>
        <v>0.83052702783228</v>
      </c>
      <c r="H75" s="2" t="s">
        <v>138</v>
      </c>
      <c r="I75" s="2" t="s">
        <v>407</v>
      </c>
      <c r="J75" s="2" t="n">
        <f aca="false">INDEX(Ratings!$B$2:$B$239,MATCH(H75,Ratings!$A$2:$A$239,0))</f>
        <v>-2.4</v>
      </c>
      <c r="K75" s="2" t="n">
        <f aca="false">IF(I75="Home",Assumptions!$B$2,IF(I75="Away",-Assumptions!$B$2,0))</f>
        <v>-2.5</v>
      </c>
      <c r="L75" s="2" t="n">
        <f aca="false">NORMDIST($B75-J75+K75,0,Assumptions!$B$3,TRUE())</f>
        <v>0.455213484871745</v>
      </c>
      <c r="M75" s="2" t="s">
        <v>254</v>
      </c>
      <c r="N75" s="2" t="s">
        <v>406</v>
      </c>
      <c r="O75" s="2" t="n">
        <f aca="false">INDEX(Ratings!$B$2:$B$239,MATCH(M75,Ratings!$A$2:$A$239,0))</f>
        <v>-44</v>
      </c>
      <c r="P75" s="2" t="n">
        <f aca="false">IF(N75="Home",Assumptions!$B$2,IF(N75="Away",-Assumptions!$B$2,0))</f>
        <v>2.5</v>
      </c>
      <c r="Q75" s="2" t="n">
        <f aca="false">NORMDIST($B75-O75+P75,0,Assumptions!$B$3,TRUE())</f>
        <v>0.997444869669572</v>
      </c>
      <c r="R75" s="2" t="s">
        <v>175</v>
      </c>
      <c r="S75" s="2" t="s">
        <v>407</v>
      </c>
      <c r="T75" s="2" t="n">
        <f aca="false">INDEX(Ratings!$B$2:$B$239,MATCH(R75,Ratings!$A$2:$A$239,0))</f>
        <v>-15</v>
      </c>
      <c r="U75" s="2" t="n">
        <f aca="false">IF(S75="Home",Assumptions!$B$2,IF(S75="Away",-Assumptions!$B$2,0))</f>
        <v>-2.5</v>
      </c>
      <c r="V75" s="2" t="n">
        <f aca="false">NORMDIST($B75-T75+U75,0,Assumptions!$B$3,TRUE())</f>
        <v>0.750162117528223</v>
      </c>
      <c r="W75" s="2" t="s">
        <v>157</v>
      </c>
      <c r="X75" s="2" t="s">
        <v>406</v>
      </c>
      <c r="Y75" s="2" t="n">
        <f aca="false">INDEX(Ratings!$B$2:$B$239,MATCH(W75,Ratings!$A$2:$A$239,0))</f>
        <v>-9.1</v>
      </c>
      <c r="Z75" s="2" t="n">
        <f aca="false">IF(X75="Home",Assumptions!$B$2,IF(X75="Away",-Assumptions!$B$2,0))</f>
        <v>2.5</v>
      </c>
      <c r="AA75" s="2" t="n">
        <f aca="false">NORMDIST($B75-Y75+Z75,0,Assumptions!$B$3,TRUE())</f>
        <v>0.731959467197592</v>
      </c>
      <c r="AB75" s="2" t="s">
        <v>128</v>
      </c>
      <c r="AC75" s="2" t="s">
        <v>407</v>
      </c>
      <c r="AD75" s="2" t="n">
        <f aca="false">INDEX(Ratings!$B$2:$B$239,MATCH(AB75,Ratings!$A$2:$A$239,0))</f>
        <v>-1.1</v>
      </c>
      <c r="AE75" s="2" t="n">
        <f aca="false">IF(AC75="Home",Assumptions!$B$2,IF(AC75="Away",-Assumptions!$B$2,0))</f>
        <v>-2.5</v>
      </c>
      <c r="AF75" s="2" t="n">
        <f aca="false">NORMDIST($B75-AD75+AE75,0,Assumptions!$B$3,TRUE())</f>
        <v>0.423185819619029</v>
      </c>
      <c r="AG75" s="2" t="s">
        <v>186</v>
      </c>
      <c r="AH75" s="2" t="s">
        <v>406</v>
      </c>
      <c r="AI75" s="2" t="n">
        <f aca="false">INDEX(Ratings!$B$2:$B$239,MATCH(AG75,Ratings!$A$2:$A$239,0))</f>
        <v>-22.4</v>
      </c>
      <c r="AJ75" s="2" t="n">
        <f aca="false">IF(AH75="Home",Assumptions!$B$2,IF(AH75="Away",-Assumptions!$B$2,0))</f>
        <v>2.5</v>
      </c>
      <c r="AK75" s="2" t="n">
        <f aca="false">NORMDIST($B75-AI75+AJ75,0,Assumptions!$B$3,TRUE())</f>
        <v>0.926470740390352</v>
      </c>
      <c r="AL75" s="2" t="s">
        <v>181</v>
      </c>
      <c r="AM75" s="2" t="s">
        <v>406</v>
      </c>
      <c r="AN75" s="2" t="n">
        <f aca="false">INDEX(Ratings!$B$2:$B$239,MATCH(AL75,Ratings!$A$2:$A$239,0))</f>
        <v>-17.5</v>
      </c>
      <c r="AO75" s="2" t="n">
        <f aca="false">IF(AM75="Home",Assumptions!$B$2,IF(AM75="Away",-Assumptions!$B$2,0))</f>
        <v>2.5</v>
      </c>
      <c r="AP75" s="2" t="n">
        <f aca="false">NORMDIST($B75-AN75+AO75,0,Assumptions!$B$3,TRUE())</f>
        <v>0.873636334484589</v>
      </c>
      <c r="AQ75" s="2" t="s">
        <v>137</v>
      </c>
      <c r="AR75" s="2" t="s">
        <v>407</v>
      </c>
      <c r="AS75" s="2" t="n">
        <f aca="false">INDEX(Ratings!$B$2:$B$239,MATCH(AQ75,Ratings!$A$2:$A$239,0))</f>
        <v>-2.3</v>
      </c>
      <c r="AT75" s="2" t="n">
        <f aca="false">IF(AR75="Home",Assumptions!$B$2,IF(AR75="Away",-Assumptions!$B$2,0))</f>
        <v>-2.5</v>
      </c>
      <c r="AU75" s="2" t="n">
        <f aca="false">NORMDIST($B75-AS75+AT75,0,Assumptions!$B$3,TRUE())</f>
        <v>0.452736711249588</v>
      </c>
      <c r="AV75" s="2" t="s">
        <v>124</v>
      </c>
      <c r="AW75" s="2" t="s">
        <v>406</v>
      </c>
      <c r="AX75" s="2" t="n">
        <f aca="false">INDEX(Ratings!$B$2:$B$239,MATCH(AV75,Ratings!$A$2:$A$239,0))</f>
        <v>0.3</v>
      </c>
      <c r="AY75" s="2" t="n">
        <f aca="false">IF(AW75="Home",Assumptions!$B$2,IF(AW75="Away",-Assumptions!$B$2,0))</f>
        <v>2.5</v>
      </c>
      <c r="AZ75" s="2" t="n">
        <f aca="false">NORMDIST($B75-AX75+AY75,0,Assumptions!$B$3,TRUE())</f>
        <v>0.512464917434377</v>
      </c>
      <c r="BA75" s="2" t="s">
        <v>148</v>
      </c>
      <c r="BB75" s="2" t="s">
        <v>407</v>
      </c>
      <c r="BC75" s="2" t="n">
        <f aca="false">INDEX(Ratings!$B$2:$B$239,MATCH(BA75,Ratings!$A$2:$A$239,0))</f>
        <v>-6.1</v>
      </c>
      <c r="BD75" s="2" t="n">
        <f aca="false">IF(BB75="Home",Assumptions!$B$2,IF(BB75="Away",-Assumptions!$B$2,0))</f>
        <v>-2.5</v>
      </c>
      <c r="BE75" s="2" t="n">
        <f aca="false">NORMDIST($B75-BC75+BD75,0,Assumptions!$B$3,TRUE())</f>
        <v>0.547263288750412</v>
      </c>
      <c r="BF75" s="2" t="s">
        <v>144</v>
      </c>
      <c r="BG75" s="2" t="s">
        <v>406</v>
      </c>
      <c r="BH75" s="2" t="n">
        <f aca="false">INDEX(Ratings!$B$2:$B$239,MATCH(BF75,Ratings!$A$2:$A$239,0))</f>
        <v>-4.3</v>
      </c>
      <c r="BI75" s="2" t="n">
        <f aca="false">IF(BG75="Home",Assumptions!$B$2,IF(BG75="Away",-Assumptions!$B$2,0))</f>
        <v>2.5</v>
      </c>
      <c r="BJ75" s="2" t="n">
        <f aca="false">NORMDIST($B75-BH75+BI75,0,Assumptions!$B$3,TRUE())</f>
        <v>0.625041951918781</v>
      </c>
      <c r="BP75" s="2" t="n">
        <v>12</v>
      </c>
      <c r="BQ75" s="2" t="n">
        <f aca="false">G75+L75+Q75+V75+AA75+AF75+AK75+AP75+AU75+AZ75+BE75+BJ75</f>
        <v>8.12610673094654</v>
      </c>
    </row>
    <row r="76" customFormat="false" ht="15" hidden="false" customHeight="false" outlineLevel="0" collapsed="false">
      <c r="A76" s="2" t="s">
        <v>132</v>
      </c>
      <c r="B76" s="2" t="n">
        <f aca="false">INDEX(Ratings!$B$2:$B$239,MATCH($A76,Ratings!$A$2:$A$239,0))</f>
        <v>-1.8</v>
      </c>
      <c r="C76" s="2" t="s">
        <v>152</v>
      </c>
      <c r="D76" s="2" t="s">
        <v>406</v>
      </c>
      <c r="E76" s="2" t="n">
        <f aca="false">INDEX(Ratings!$B$2:$B$239,MATCH(C76,Ratings!$A$2:$A$239,0))</f>
        <v>-7.8</v>
      </c>
      <c r="F76" s="2" t="n">
        <f aca="false">IF(D76="Home",Assumptions!$B$2,IF(D76="Away",-Assumptions!$B$2,0))</f>
        <v>2.5</v>
      </c>
      <c r="G76" s="2" t="n">
        <f aca="false">NORMDIST($B76-E76+F76,0,Assumptions!$B$3,TRUE())</f>
        <v>0.702377225633592</v>
      </c>
      <c r="H76" s="2" t="s">
        <v>263</v>
      </c>
      <c r="I76" s="2" t="s">
        <v>406</v>
      </c>
      <c r="J76" s="2" t="n">
        <f aca="false">INDEX(Ratings!$B$2:$B$239,MATCH(H76,Ratings!$A$2:$A$239,0))</f>
        <v>-44</v>
      </c>
      <c r="K76" s="2" t="n">
        <f aca="false">IF(I76="Home",Assumptions!$B$2,IF(I76="Away",-Assumptions!$B$2,0))</f>
        <v>2.5</v>
      </c>
      <c r="L76" s="2" t="n">
        <f aca="false">NORMDIST($B76-J76+K76,0,Assumptions!$B$3,TRUE())</f>
        <v>0.997394963011058</v>
      </c>
      <c r="M76" s="2" t="s">
        <v>141</v>
      </c>
      <c r="N76" s="2" t="s">
        <v>407</v>
      </c>
      <c r="O76" s="2" t="n">
        <f aca="false">INDEX(Ratings!$B$2:$B$239,MATCH(M76,Ratings!$A$2:$A$239,0))</f>
        <v>-3.2</v>
      </c>
      <c r="P76" s="2" t="n">
        <f aca="false">IF(N76="Home",Assumptions!$B$2,IF(N76="Away",-Assumptions!$B$2,0))</f>
        <v>-2.5</v>
      </c>
      <c r="Q76" s="2" t="n">
        <f aca="false">NORMDIST($B76-O76+P76,0,Assumptions!$B$3,TRUE())</f>
        <v>0.472594309039532</v>
      </c>
      <c r="R76" s="2" t="s">
        <v>188</v>
      </c>
      <c r="S76" s="2" t="s">
        <v>407</v>
      </c>
      <c r="T76" s="2" t="n">
        <f aca="false">INDEX(Ratings!$B$2:$B$239,MATCH(R76,Ratings!$A$2:$A$239,0))</f>
        <v>-23.4</v>
      </c>
      <c r="U76" s="2" t="n">
        <f aca="false">IF(S76="Home",Assumptions!$B$2,IF(S76="Away",-Assumptions!$B$2,0))</f>
        <v>-2.5</v>
      </c>
      <c r="V76" s="2" t="n">
        <f aca="false">NORMDIST($B76-T76+U76,0,Assumptions!$B$3,TRUE())</f>
        <v>0.883712112245511</v>
      </c>
      <c r="W76" s="2" t="s">
        <v>161</v>
      </c>
      <c r="X76" s="2" t="s">
        <v>406</v>
      </c>
      <c r="Y76" s="2" t="n">
        <f aca="false">INDEX(Ratings!$B$2:$B$239,MATCH(W76,Ratings!$A$2:$A$239,0))</f>
        <v>-10.8</v>
      </c>
      <c r="Z76" s="2" t="n">
        <f aca="false">IF(X76="Home",Assumptions!$B$2,IF(X76="Away",-Assumptions!$B$2,0))</f>
        <v>2.5</v>
      </c>
      <c r="AA76" s="2" t="n">
        <f aca="false">NORMDIST($B76-Y76+Z76,0,Assumptions!$B$3,TRUE())</f>
        <v>0.763852515027146</v>
      </c>
      <c r="AB76" s="2" t="s">
        <v>112</v>
      </c>
      <c r="AC76" s="2" t="s">
        <v>407</v>
      </c>
      <c r="AD76" s="2" t="n">
        <f aca="false">INDEX(Ratings!$B$2:$B$239,MATCH(AB76,Ratings!$A$2:$A$239,0))</f>
        <v>3.6</v>
      </c>
      <c r="AE76" s="2" t="n">
        <f aca="false">IF(AC76="Home",Assumptions!$B$2,IF(AC76="Away",-Assumptions!$B$2,0))</f>
        <v>-2.5</v>
      </c>
      <c r="AF76" s="2" t="n">
        <f aca="false">NORMDIST($B76-AD76+AE76,0,Assumptions!$B$3,TRUE())</f>
        <v>0.310741374381306</v>
      </c>
      <c r="AG76" s="2" t="s">
        <v>165</v>
      </c>
      <c r="AH76" s="2" t="s">
        <v>406</v>
      </c>
      <c r="AI76" s="2" t="n">
        <f aca="false">INDEX(Ratings!$B$2:$B$239,MATCH(AG76,Ratings!$A$2:$A$239,0))</f>
        <v>-11.7</v>
      </c>
      <c r="AJ76" s="2" t="n">
        <f aca="false">IF(AH76="Home",Assumptions!$B$2,IF(AH76="Away",-Assumptions!$B$2,0))</f>
        <v>2.5</v>
      </c>
      <c r="AK76" s="2" t="n">
        <f aca="false">NORMDIST($B76-AI76+AJ76,0,Assumptions!$B$3,TRUE())</f>
        <v>0.780830170206623</v>
      </c>
      <c r="AL76" s="2" t="s">
        <v>125</v>
      </c>
      <c r="AM76" s="2" t="s">
        <v>407</v>
      </c>
      <c r="AN76" s="2" t="n">
        <f aca="false">INDEX(Ratings!$B$2:$B$239,MATCH(AL76,Ratings!$A$2:$A$239,0))</f>
        <v>0</v>
      </c>
      <c r="AO76" s="2" t="n">
        <f aca="false">IF(AM76="Home",Assumptions!$B$2,IF(AM76="Away",-Assumptions!$B$2,0))</f>
        <v>-2.5</v>
      </c>
      <c r="AP76" s="2" t="n">
        <f aca="false">NORMDIST($B76-AN76+AO76,0,Assumptions!$B$3,TRUE())</f>
        <v>0.394061036152246</v>
      </c>
      <c r="AQ76" s="2" t="s">
        <v>184</v>
      </c>
      <c r="AR76" s="2" t="s">
        <v>406</v>
      </c>
      <c r="AS76" s="2" t="n">
        <f aca="false">INDEX(Ratings!$B$2:$B$239,MATCH(AQ76,Ratings!$A$2:$A$239,0))</f>
        <v>-19.3</v>
      </c>
      <c r="AT76" s="2" t="n">
        <f aca="false">IF(AR76="Home",Assumptions!$B$2,IF(AR76="Away",-Assumptions!$B$2,0))</f>
        <v>2.5</v>
      </c>
      <c r="AU76" s="2" t="n">
        <f aca="false">NORMDIST($B76-AS76+AT76,0,Assumptions!$B$3,TRUE())</f>
        <v>0.894350226333145</v>
      </c>
      <c r="AV76" s="2" t="s">
        <v>140</v>
      </c>
      <c r="AW76" s="2" t="s">
        <v>407</v>
      </c>
      <c r="AX76" s="2" t="n">
        <f aca="false">INDEX(Ratings!$B$2:$B$239,MATCH(AV76,Ratings!$A$2:$A$239,0))</f>
        <v>-2.6</v>
      </c>
      <c r="AY76" s="2" t="n">
        <f aca="false">IF(AW76="Home",Assumptions!$B$2,IF(AW76="Away",-Assumptions!$B$2,0))</f>
        <v>-2.5</v>
      </c>
      <c r="AZ76" s="2" t="n">
        <f aca="false">NORMDIST($B76-AX76+AY76,0,Assumptions!$B$3,TRUE())</f>
        <v>0.457692000582065</v>
      </c>
      <c r="BA76" s="2" t="s">
        <v>180</v>
      </c>
      <c r="BB76" s="2" t="s">
        <v>406</v>
      </c>
      <c r="BC76" s="2" t="n">
        <f aca="false">INDEX(Ratings!$B$2:$B$239,MATCH(BA76,Ratings!$A$2:$A$239,0))</f>
        <v>-17.2</v>
      </c>
      <c r="BD76" s="2" t="n">
        <f aca="false">IF(BB76="Home",Assumptions!$B$2,IF(BB76="Away",-Assumptions!$B$2,0))</f>
        <v>2.5</v>
      </c>
      <c r="BE76" s="2" t="n">
        <f aca="false">NORMDIST($B76-BC76+BD76,0,Assumptions!$B$3,TRUE())</f>
        <v>0.868376596070694</v>
      </c>
      <c r="BF76" s="2" t="s">
        <v>178</v>
      </c>
      <c r="BG76" s="2" t="s">
        <v>407</v>
      </c>
      <c r="BH76" s="2" t="n">
        <f aca="false">INDEX(Ratings!$B$2:$B$239,MATCH(BF76,Ratings!$A$2:$A$239,0))</f>
        <v>-15.7</v>
      </c>
      <c r="BI76" s="2" t="n">
        <f aca="false">IF(BG76="Home",Assumptions!$B$2,IF(BG76="Away",-Assumptions!$B$2,0))</f>
        <v>-2.5</v>
      </c>
      <c r="BJ76" s="2" t="n">
        <f aca="false">NORMDIST($B76-BH76+BI76,0,Assumptions!$B$3,TRUE())</f>
        <v>0.761922394276321</v>
      </c>
      <c r="BP76" s="2" t="n">
        <v>12</v>
      </c>
      <c r="BQ76" s="2" t="n">
        <f aca="false">G76+L76+Q76+V76+AA76+AF76+AK76+AP76+AU76+AZ76+BE76+BJ76</f>
        <v>8.28790492295924</v>
      </c>
    </row>
    <row r="77" customFormat="false" ht="15" hidden="false" customHeight="false" outlineLevel="0" collapsed="false">
      <c r="A77" s="2" t="s">
        <v>133</v>
      </c>
      <c r="B77" s="2" t="n">
        <f aca="false">INDEX(Ratings!$B$2:$B$239,MATCH($A77,Ratings!$A$2:$A$239,0))</f>
        <v>-1.9</v>
      </c>
      <c r="C77" s="2" t="s">
        <v>291</v>
      </c>
      <c r="D77" s="2" t="s">
        <v>406</v>
      </c>
      <c r="E77" s="2" t="n">
        <f aca="false">INDEX(Ratings!$B$2:$B$239,MATCH(C77,Ratings!$A$2:$A$239,0))</f>
        <v>-26</v>
      </c>
      <c r="F77" s="2" t="n">
        <f aca="false">IF(D77="Home",Assumptions!$B$2,IF(D77="Away",-Assumptions!$B$2,0))</f>
        <v>2.5</v>
      </c>
      <c r="G77" s="2" t="n">
        <f aca="false">NORMDIST($B77-E77+F77,0,Assumptions!$B$3,TRUE())</f>
        <v>0.951793718322495</v>
      </c>
      <c r="H77" s="2" t="s">
        <v>117</v>
      </c>
      <c r="I77" s="2" t="s">
        <v>406</v>
      </c>
      <c r="J77" s="2" t="n">
        <f aca="false">INDEX(Ratings!$B$2:$B$239,MATCH(H77,Ratings!$A$2:$A$239,0))</f>
        <v>3</v>
      </c>
      <c r="K77" s="2" t="n">
        <f aca="false">IF(I77="Home",Assumptions!$B$2,IF(I77="Away",-Assumptions!$B$2,0))</f>
        <v>2.5</v>
      </c>
      <c r="L77" s="2" t="n">
        <f aca="false">NORMDIST($B77-J77+K77,0,Assumptions!$B$3,TRUE())</f>
        <v>0.440382307629758</v>
      </c>
      <c r="M77" s="2" t="s">
        <v>98</v>
      </c>
      <c r="N77" s="2" t="s">
        <v>407</v>
      </c>
      <c r="O77" s="2" t="n">
        <f aca="false">INDEX(Ratings!$B$2:$B$239,MATCH(M77,Ratings!$A$2:$A$239,0))</f>
        <v>6.2</v>
      </c>
      <c r="P77" s="2" t="n">
        <f aca="false">IF(N77="Home",Assumptions!$B$2,IF(N77="Away",-Assumptions!$B$2,0))</f>
        <v>-2.5</v>
      </c>
      <c r="Q77" s="2" t="n">
        <f aca="false">NORMDIST($B77-O77+P77,0,Assumptions!$B$3,TRUE())</f>
        <v>0.253825417414222</v>
      </c>
      <c r="R77" s="2" t="s">
        <v>167</v>
      </c>
      <c r="S77" s="2" t="s">
        <v>407</v>
      </c>
      <c r="T77" s="2" t="n">
        <f aca="false">INDEX(Ratings!$B$2:$B$239,MATCH(R77,Ratings!$A$2:$A$239,0))</f>
        <v>-11.9</v>
      </c>
      <c r="U77" s="2" t="n">
        <f aca="false">IF(S77="Home",Assumptions!$B$2,IF(S77="Away",-Assumptions!$B$2,0))</f>
        <v>-2.5</v>
      </c>
      <c r="V77" s="2" t="n">
        <f aca="false">NORMDIST($B77-T77+U77,0,Assumptions!$B$3,TRUE())</f>
        <v>0.680375828482882</v>
      </c>
      <c r="W77" s="2" t="s">
        <v>94</v>
      </c>
      <c r="X77" s="2" t="s">
        <v>407</v>
      </c>
      <c r="Y77" s="2" t="n">
        <f aca="false">INDEX(Ratings!$B$2:$B$239,MATCH(W77,Ratings!$A$2:$A$239,0))</f>
        <v>8.1</v>
      </c>
      <c r="Z77" s="2" t="n">
        <f aca="false">IF(X77="Home",Assumptions!$B$2,IF(X77="Away",-Assumptions!$B$2,0))</f>
        <v>-2.5</v>
      </c>
      <c r="AA77" s="2" t="n">
        <f aca="false">NORMDIST($B77-Y77+Z77,0,Assumptions!$B$3,TRUE())</f>
        <v>0.217327735678086</v>
      </c>
      <c r="AB77" s="2" t="s">
        <v>84</v>
      </c>
      <c r="AC77" s="2" t="s">
        <v>406</v>
      </c>
      <c r="AD77" s="2" t="n">
        <f aca="false">INDEX(Ratings!$B$2:$B$239,MATCH(AB77,Ratings!$A$2:$A$239,0))</f>
        <v>11.1</v>
      </c>
      <c r="AE77" s="2" t="n">
        <f aca="false">IF(AC77="Home",Assumptions!$B$2,IF(AC77="Away",-Assumptions!$B$2,0))</f>
        <v>2.5</v>
      </c>
      <c r="AF77" s="2" t="n">
        <f aca="false">NORMDIST($B77-AD77+AE77,0,Assumptions!$B$3,TRUE())</f>
        <v>0.255831641347934</v>
      </c>
      <c r="AG77" s="2" t="s">
        <v>113</v>
      </c>
      <c r="AH77" s="2" t="s">
        <v>407</v>
      </c>
      <c r="AI77" s="2" t="n">
        <f aca="false">INDEX(Ratings!$B$2:$B$239,MATCH(AG77,Ratings!$A$2:$A$239,0))</f>
        <v>3.5</v>
      </c>
      <c r="AJ77" s="2" t="n">
        <f aca="false">IF(AH77="Home",Assumptions!$B$2,IF(AH77="Away",-Assumptions!$B$2,0))</f>
        <v>-2.5</v>
      </c>
      <c r="AK77" s="2" t="n">
        <f aca="false">NORMDIST($B77-AI77+AJ77,0,Assumptions!$B$3,TRUE())</f>
        <v>0.310741374381306</v>
      </c>
      <c r="AL77" s="2" t="s">
        <v>82</v>
      </c>
      <c r="AM77" s="2" t="s">
        <v>406</v>
      </c>
      <c r="AN77" s="2" t="n">
        <f aca="false">INDEX(Ratings!$B$2:$B$239,MATCH(AL77,Ratings!$A$2:$A$239,0))</f>
        <v>12.1</v>
      </c>
      <c r="AO77" s="2" t="n">
        <f aca="false">IF(AM77="Home",Assumptions!$B$2,IF(AM77="Away",-Assumptions!$B$2,0))</f>
        <v>2.5</v>
      </c>
      <c r="AP77" s="2" t="n">
        <f aca="false">NORMDIST($B77-AN77+AO77,0,Assumptions!$B$3,TRUE())</f>
        <v>0.236147484972854</v>
      </c>
      <c r="AQ77" s="2" t="s">
        <v>80</v>
      </c>
      <c r="AR77" s="2" t="s">
        <v>406</v>
      </c>
      <c r="AS77" s="2" t="n">
        <f aca="false">INDEX(Ratings!$B$2:$B$239,MATCH(AQ77,Ratings!$A$2:$A$239,0))</f>
        <v>13.1</v>
      </c>
      <c r="AT77" s="2" t="n">
        <f aca="false">IF(AR77="Home",Assumptions!$B$2,IF(AR77="Away",-Assumptions!$B$2,0))</f>
        <v>2.5</v>
      </c>
      <c r="AU77" s="2" t="n">
        <f aca="false">NORMDIST($B77-AS77+AT77,0,Assumptions!$B$3,TRUE())</f>
        <v>0.217327735678086</v>
      </c>
      <c r="AV77" s="2" t="s">
        <v>100</v>
      </c>
      <c r="AW77" s="2" t="s">
        <v>407</v>
      </c>
      <c r="AX77" s="2" t="n">
        <f aca="false">INDEX(Ratings!$B$2:$B$239,MATCH(AV77,Ratings!$A$2:$A$239,0))</f>
        <v>5.7</v>
      </c>
      <c r="AY77" s="2" t="n">
        <f aca="false">IF(AW77="Home",Assumptions!$B$2,IF(AW77="Away",-Assumptions!$B$2,0))</f>
        <v>-2.5</v>
      </c>
      <c r="AZ77" s="2" t="n">
        <f aca="false">NORMDIST($B77-AX77+AY77,0,Assumptions!$B$3,TRUE())</f>
        <v>0.263938536969338</v>
      </c>
      <c r="BA77" s="2" t="s">
        <v>139</v>
      </c>
      <c r="BB77" s="2" t="s">
        <v>407</v>
      </c>
      <c r="BC77" s="2" t="n">
        <f aca="false">INDEX(Ratings!$B$2:$B$239,MATCH(BA77,Ratings!$A$2:$A$239,0))</f>
        <v>-2.5</v>
      </c>
      <c r="BD77" s="2" t="n">
        <f aca="false">IF(BB77="Home",Assumptions!$B$2,IF(BB77="Away",-Assumptions!$B$2,0))</f>
        <v>-2.5</v>
      </c>
      <c r="BE77" s="2" t="n">
        <f aca="false">NORMDIST($B77-BC77+BD77,0,Assumptions!$B$3,TRUE())</f>
        <v>0.452736711249588</v>
      </c>
      <c r="BF77" s="2" t="s">
        <v>60</v>
      </c>
      <c r="BG77" s="2" t="s">
        <v>406</v>
      </c>
      <c r="BH77" s="2" t="n">
        <f aca="false">INDEX(Ratings!$B$2:$B$239,MATCH(BF77,Ratings!$A$2:$A$239,0))</f>
        <v>26.5</v>
      </c>
      <c r="BI77" s="2" t="n">
        <f aca="false">IF(BG77="Home",Assumptions!$B$2,IF(BG77="Away",-Assumptions!$B$2,0))</f>
        <v>2.5</v>
      </c>
      <c r="BJ77" s="2" t="n">
        <f aca="false">NORMDIST($B77-BH77+BI77,0,Assumptions!$B$3,TRUE())</f>
        <v>0.0527505320407448</v>
      </c>
      <c r="BP77" s="2" t="n">
        <v>12</v>
      </c>
      <c r="BQ77" s="2" t="n">
        <f aca="false">G77+L77+Q77+V77+AA77+AF77+AK77+AP77+AU77+AZ77+BE77+BJ77</f>
        <v>4.33317902416729</v>
      </c>
    </row>
    <row r="78" customFormat="false" ht="15" hidden="false" customHeight="false" outlineLevel="0" collapsed="false">
      <c r="A78" s="2" t="s">
        <v>134</v>
      </c>
      <c r="B78" s="2" t="n">
        <f aca="false">INDEX(Ratings!$B$2:$B$239,MATCH($A78,Ratings!$A$2:$A$239,0))</f>
        <v>-2.1</v>
      </c>
      <c r="C78" s="2" t="s">
        <v>63</v>
      </c>
      <c r="D78" s="2" t="s">
        <v>407</v>
      </c>
      <c r="E78" s="2" t="n">
        <f aca="false">INDEX(Ratings!$B$2:$B$239,MATCH(C78,Ratings!$A$2:$A$239,0))</f>
        <v>22.8</v>
      </c>
      <c r="F78" s="2" t="n">
        <f aca="false">IF(D78="Home",Assumptions!$B$2,IF(D78="Away",-Assumptions!$B$2,0))</f>
        <v>-2.5</v>
      </c>
      <c r="G78" s="2" t="n">
        <f aca="false">NORMDIST($B78-E78+F78,0,Assumptions!$B$3,TRUE())</f>
        <v>0.0434022823057326</v>
      </c>
      <c r="H78" s="2" t="s">
        <v>128</v>
      </c>
      <c r="I78" s="2" t="s">
        <v>406</v>
      </c>
      <c r="J78" s="2" t="n">
        <f aca="false">INDEX(Ratings!$B$2:$B$239,MATCH(H78,Ratings!$A$2:$A$239,0))</f>
        <v>-1.1</v>
      </c>
      <c r="K78" s="2" t="n">
        <f aca="false">IF(I78="Home",Assumptions!$B$2,IF(I78="Away",-Assumptions!$B$2,0))</f>
        <v>2.5</v>
      </c>
      <c r="L78" s="2" t="n">
        <f aca="false">NORMDIST($B78-J78+K78,0,Assumptions!$B$3,TRUE())</f>
        <v>0.537346124555327</v>
      </c>
      <c r="M78" s="2" t="s">
        <v>162</v>
      </c>
      <c r="N78" s="2" t="s">
        <v>406</v>
      </c>
      <c r="O78" s="2" t="n">
        <f aca="false">INDEX(Ratings!$B$2:$B$239,MATCH(M78,Ratings!$A$2:$A$239,0))</f>
        <v>-11.6</v>
      </c>
      <c r="P78" s="2" t="n">
        <f aca="false">IF(N78="Home",Assumptions!$B$2,IF(N78="Away",-Assumptions!$B$2,0))</f>
        <v>2.5</v>
      </c>
      <c r="Q78" s="2" t="n">
        <f aca="false">NORMDIST($B78-O78+P78,0,Assumptions!$B$3,TRUE())</f>
        <v>0.773372647623132</v>
      </c>
      <c r="R78" s="2" t="s">
        <v>326</v>
      </c>
      <c r="S78" s="2" t="s">
        <v>406</v>
      </c>
      <c r="T78" s="2" t="n">
        <f aca="false">INDEX(Ratings!$B$2:$B$239,MATCH(R78,Ratings!$A$2:$A$239,0))</f>
        <v>-30</v>
      </c>
      <c r="U78" s="2" t="n">
        <f aca="false">IF(S78="Home",Assumptions!$B$2,IF(S78="Away",-Assumptions!$B$2,0))</f>
        <v>2.5</v>
      </c>
      <c r="V78" s="2" t="n">
        <f aca="false">NORMDIST($B78-T78+U78,0,Assumptions!$B$3,TRUE())</f>
        <v>0.971283440183998</v>
      </c>
      <c r="W78" s="2" t="s">
        <v>122</v>
      </c>
      <c r="X78" s="2" t="s">
        <v>407</v>
      </c>
      <c r="Y78" s="2" t="n">
        <f aca="false">INDEX(Ratings!$B$2:$B$239,MATCH(W78,Ratings!$A$2:$A$239,0))</f>
        <v>0.7</v>
      </c>
      <c r="Z78" s="2" t="n">
        <f aca="false">IF(X78="Home",Assumptions!$B$2,IF(X78="Away",-Assumptions!$B$2,0))</f>
        <v>-2.5</v>
      </c>
      <c r="AA78" s="2" t="n">
        <f aca="false">NORMDIST($B78-Y78+Z78,0,Assumptions!$B$3,TRUE())</f>
        <v>0.370227827724972</v>
      </c>
      <c r="AB78" s="2" t="s">
        <v>164</v>
      </c>
      <c r="AC78" s="2" t="s">
        <v>406</v>
      </c>
      <c r="AD78" s="2" t="n">
        <f aca="false">INDEX(Ratings!$B$2:$B$239,MATCH(AB78,Ratings!$A$2:$A$239,0))</f>
        <v>-11.6</v>
      </c>
      <c r="AE78" s="2" t="n">
        <f aca="false">IF(AC78="Home",Assumptions!$B$2,IF(AC78="Away",-Assumptions!$B$2,0))</f>
        <v>2.5</v>
      </c>
      <c r="AF78" s="2" t="n">
        <f aca="false">NORMDIST($B78-AD78+AE78,0,Assumptions!$B$3,TRUE())</f>
        <v>0.773372647623132</v>
      </c>
      <c r="AG78" s="2" t="s">
        <v>153</v>
      </c>
      <c r="AH78" s="2" t="s">
        <v>406</v>
      </c>
      <c r="AI78" s="2" t="n">
        <f aca="false">INDEX(Ratings!$B$2:$B$239,MATCH(AG78,Ratings!$A$2:$A$239,0))</f>
        <v>-7.9</v>
      </c>
      <c r="AJ78" s="2" t="n">
        <f aca="false">IF(AH78="Home",Assumptions!$B$2,IF(AH78="Away",-Assumptions!$B$2,0))</f>
        <v>2.5</v>
      </c>
      <c r="AK78" s="2" t="n">
        <f aca="false">NORMDIST($B78-AI78+AJ78,0,Assumptions!$B$3,TRUE())</f>
        <v>0.698032455319819</v>
      </c>
      <c r="AL78" s="2" t="s">
        <v>106</v>
      </c>
      <c r="AM78" s="2" t="s">
        <v>407</v>
      </c>
      <c r="AN78" s="2" t="n">
        <f aca="false">INDEX(Ratings!$B$2:$B$239,MATCH(AL78,Ratings!$A$2:$A$239,0))</f>
        <v>5.1</v>
      </c>
      <c r="AO78" s="2" t="n">
        <f aca="false">IF(AM78="Home",Assumptions!$B$2,IF(AM78="Away",-Assumptions!$B$2,0))</f>
        <v>-2.5</v>
      </c>
      <c r="AP78" s="2" t="n">
        <f aca="false">NORMDIST($B78-AN78+AO78,0,Assumptions!$B$3,TRUE())</f>
        <v>0.272174377601955</v>
      </c>
      <c r="AQ78" s="2" t="s">
        <v>146</v>
      </c>
      <c r="AR78" s="2" t="s">
        <v>407</v>
      </c>
      <c r="AS78" s="2" t="n">
        <f aca="false">INDEX(Ratings!$B$2:$B$239,MATCH(AQ78,Ratings!$A$2:$A$239,0))</f>
        <v>-5.6</v>
      </c>
      <c r="AT78" s="2" t="n">
        <f aca="false">IF(AR78="Home",Assumptions!$B$2,IF(AR78="Away",-Assumptions!$B$2,0))</f>
        <v>-2.5</v>
      </c>
      <c r="AU78" s="2" t="n">
        <f aca="false">NORMDIST($B78-AS78+AT78,0,Assumptions!$B$3,TRUE())</f>
        <v>0.524917669029247</v>
      </c>
      <c r="AV78" s="2" t="s">
        <v>130</v>
      </c>
      <c r="AW78" s="2" t="s">
        <v>406</v>
      </c>
      <c r="AX78" s="2" t="n">
        <f aca="false">INDEX(Ratings!$B$2:$B$239,MATCH(AV78,Ratings!$A$2:$A$239,0))</f>
        <v>-1.4</v>
      </c>
      <c r="AY78" s="2" t="n">
        <f aca="false">IF(AW78="Home",Assumptions!$B$2,IF(AW78="Away",-Assumptions!$B$2,0))</f>
        <v>2.5</v>
      </c>
      <c r="AZ78" s="2" t="n">
        <f aca="false">NORMDIST($B78-AX78+AY78,0,Assumptions!$B$3,TRUE())</f>
        <v>0.544786515128255</v>
      </c>
      <c r="BA78" s="2" t="s">
        <v>143</v>
      </c>
      <c r="BB78" s="2" t="s">
        <v>406</v>
      </c>
      <c r="BC78" s="2" t="n">
        <f aca="false">INDEX(Ratings!$B$2:$B$239,MATCH(BA78,Ratings!$A$2:$A$239,0))</f>
        <v>-4.3</v>
      </c>
      <c r="BD78" s="2" t="n">
        <f aca="false">IF(BB78="Home",Assumptions!$B$2,IF(BB78="Away",-Assumptions!$B$2,0))</f>
        <v>2.5</v>
      </c>
      <c r="BE78" s="2" t="n">
        <f aca="false">NORMDIST($B78-BC78+BD78,0,Assumptions!$B$3,TRUE())</f>
        <v>0.615525527791213</v>
      </c>
      <c r="BF78" s="2" t="s">
        <v>164</v>
      </c>
      <c r="BG78" s="2" t="s">
        <v>407</v>
      </c>
      <c r="BH78" s="2" t="n">
        <f aca="false">INDEX(Ratings!$B$2:$B$239,MATCH(BF78,Ratings!$A$2:$A$239,0))</f>
        <v>-11.6</v>
      </c>
      <c r="BI78" s="2" t="n">
        <f aca="false">IF(BG78="Home",Assumptions!$B$2,IF(BG78="Away",-Assumptions!$B$2,0))</f>
        <v>-2.5</v>
      </c>
      <c r="BJ78" s="2" t="n">
        <f aca="false">NORMDIST($B78-BH78+BI78,0,Assumptions!$B$3,TRUE())</f>
        <v>0.669125611959121</v>
      </c>
      <c r="BP78" s="2" t="n">
        <v>12</v>
      </c>
      <c r="BQ78" s="2" t="n">
        <f aca="false">G78+L78+Q78+V78+AA78+AF78+AK78+AP78+AU78+AZ78+BE78+BJ78</f>
        <v>6.7935671268459</v>
      </c>
    </row>
    <row r="79" customFormat="false" ht="15" hidden="false" customHeight="false" outlineLevel="0" collapsed="false">
      <c r="A79" s="2" t="s">
        <v>135</v>
      </c>
      <c r="B79" s="2" t="n">
        <f aca="false">INDEX(Ratings!$B$2:$B$239,MATCH($A79,Ratings!$A$2:$A$239,0))</f>
        <v>-2.2</v>
      </c>
      <c r="C79" s="2" t="s">
        <v>274</v>
      </c>
      <c r="D79" s="2" t="s">
        <v>406</v>
      </c>
      <c r="E79" s="2" t="n">
        <f aca="false">INDEX(Ratings!$B$2:$B$239,MATCH(C79,Ratings!$A$2:$A$239,0))</f>
        <v>-19</v>
      </c>
      <c r="F79" s="2" t="n">
        <f aca="false">IF(D79="Home",Assumptions!$B$2,IF(D79="Away",-Assumptions!$B$2,0))</f>
        <v>2.5</v>
      </c>
      <c r="G79" s="2" t="n">
        <f aca="false">NORMDIST($B79-E79+F79,0,Assumptions!$B$3,TRUE())</f>
        <v>0.886139444885968</v>
      </c>
      <c r="H79" s="2" t="s">
        <v>114</v>
      </c>
      <c r="I79" s="2" t="s">
        <v>406</v>
      </c>
      <c r="J79" s="2" t="n">
        <f aca="false">INDEX(Ratings!$B$2:$B$239,MATCH(H79,Ratings!$A$2:$A$239,0))</f>
        <v>3.4</v>
      </c>
      <c r="K79" s="2" t="n">
        <f aca="false">IF(I79="Home",Assumptions!$B$2,IF(I79="Away",-Assumptions!$B$2,0))</f>
        <v>2.5</v>
      </c>
      <c r="L79" s="2" t="n">
        <f aca="false">NORMDIST($B79-J79+K79,0,Assumptions!$B$3,TRUE())</f>
        <v>0.423185819619029</v>
      </c>
      <c r="M79" s="2" t="s">
        <v>103</v>
      </c>
      <c r="N79" s="2" t="s">
        <v>407</v>
      </c>
      <c r="O79" s="2" t="n">
        <f aca="false">INDEX(Ratings!$B$2:$B$239,MATCH(M79,Ratings!$A$2:$A$239,0))</f>
        <v>5.4</v>
      </c>
      <c r="P79" s="2" t="n">
        <f aca="false">IF(N79="Home",Assumptions!$B$2,IF(N79="Away",-Assumptions!$B$2,0))</f>
        <v>-2.5</v>
      </c>
      <c r="Q79" s="2" t="n">
        <f aca="false">NORMDIST($B79-O79+P79,0,Assumptions!$B$3,TRUE())</f>
        <v>0.263938536969338</v>
      </c>
      <c r="R79" s="2" t="s">
        <v>60</v>
      </c>
      <c r="S79" s="2" t="s">
        <v>406</v>
      </c>
      <c r="T79" s="2" t="n">
        <f aca="false">INDEX(Ratings!$B$2:$B$239,MATCH(R79,Ratings!$A$2:$A$239,0))</f>
        <v>26.5</v>
      </c>
      <c r="U79" s="2" t="n">
        <f aca="false">IF(S79="Home",Assumptions!$B$2,IF(S79="Away",-Assumptions!$B$2,0))</f>
        <v>2.5</v>
      </c>
      <c r="V79" s="2" t="n">
        <f aca="false">NORMDIST($B79-T79+U79,0,Assumptions!$B$3,TRUE())</f>
        <v>0.0507630194703814</v>
      </c>
      <c r="W79" s="2" t="s">
        <v>85</v>
      </c>
      <c r="X79" s="2" t="s">
        <v>407</v>
      </c>
      <c r="Y79" s="2" t="n">
        <f aca="false">INDEX(Ratings!$B$2:$B$239,MATCH(W79,Ratings!$A$2:$A$239,0))</f>
        <v>10.4</v>
      </c>
      <c r="Z79" s="2" t="n">
        <f aca="false">IF(X79="Home",Assumptions!$B$2,IF(X79="Away",-Assumptions!$B$2,0))</f>
        <v>-2.5</v>
      </c>
      <c r="AA79" s="2" t="n">
        <f aca="false">NORMDIST($B79-Y79+Z79,0,Assumptions!$B$3,TRUE())</f>
        <v>0.172648708357671</v>
      </c>
      <c r="AB79" s="2" t="s">
        <v>97</v>
      </c>
      <c r="AC79" s="2" t="s">
        <v>406</v>
      </c>
      <c r="AD79" s="2" t="n">
        <f aca="false">INDEX(Ratings!$B$2:$B$239,MATCH(AB79,Ratings!$A$2:$A$239,0))</f>
        <v>6.2</v>
      </c>
      <c r="AE79" s="2" t="n">
        <f aca="false">IF(AC79="Home",Assumptions!$B$2,IF(AC79="Away",-Assumptions!$B$2,0))</f>
        <v>2.5</v>
      </c>
      <c r="AF79" s="2" t="n">
        <f aca="false">NORMDIST($B79-AD79+AE79,0,Assumptions!$B$3,TRUE())</f>
        <v>0.356157038183677</v>
      </c>
      <c r="AG79" s="2" t="s">
        <v>75</v>
      </c>
      <c r="AH79" s="2" t="s">
        <v>406</v>
      </c>
      <c r="AI79" s="2" t="n">
        <f aca="false">INDEX(Ratings!$B$2:$B$239,MATCH(AG79,Ratings!$A$2:$A$239,0))</f>
        <v>15.8</v>
      </c>
      <c r="AJ79" s="2" t="n">
        <f aca="false">IF(AH79="Home",Assumptions!$B$2,IF(AH79="Away",-Assumptions!$B$2,0))</f>
        <v>2.5</v>
      </c>
      <c r="AK79" s="2" t="n">
        <f aca="false">NORMDIST($B79-AI79+AJ79,0,Assumptions!$B$3,TRUE())</f>
        <v>0.166334969492118</v>
      </c>
      <c r="AL79" s="2" t="s">
        <v>74</v>
      </c>
      <c r="AM79" s="2" t="s">
        <v>407</v>
      </c>
      <c r="AN79" s="2" t="n">
        <f aca="false">INDEX(Ratings!$B$2:$B$239,MATCH(AL79,Ratings!$A$2:$A$239,0))</f>
        <v>16.2</v>
      </c>
      <c r="AO79" s="2" t="n">
        <f aca="false">IF(AM79="Home",Assumptions!$B$2,IF(AM79="Away",-Assumptions!$B$2,0))</f>
        <v>-2.5</v>
      </c>
      <c r="AP79" s="2" t="n">
        <f aca="false">NORMDIST($B79-AN79+AO79,0,Assumptions!$B$3,TRUE())</f>
        <v>0.0957337772110986</v>
      </c>
      <c r="AQ79" s="2" t="s">
        <v>105</v>
      </c>
      <c r="AR79" s="2" t="s">
        <v>406</v>
      </c>
      <c r="AS79" s="2" t="n">
        <f aca="false">INDEX(Ratings!$B$2:$B$239,MATCH(AQ79,Ratings!$A$2:$A$239,0))</f>
        <v>5.2</v>
      </c>
      <c r="AT79" s="2" t="n">
        <f aca="false">IF(AR79="Home",Assumptions!$B$2,IF(AR79="Away",-Assumptions!$B$2,0))</f>
        <v>2.5</v>
      </c>
      <c r="AU79" s="2" t="n">
        <f aca="false">NORMDIST($B79-AS79+AT79,0,Assumptions!$B$3,TRUE())</f>
        <v>0.379707152759433</v>
      </c>
      <c r="AV79" s="2" t="s">
        <v>79</v>
      </c>
      <c r="AW79" s="2" t="s">
        <v>407</v>
      </c>
      <c r="AX79" s="2" t="n">
        <f aca="false">INDEX(Ratings!$B$2:$B$239,MATCH(AV79,Ratings!$A$2:$A$239,0))</f>
        <v>14.6</v>
      </c>
      <c r="AY79" s="2" t="n">
        <f aca="false">IF(AW79="Home",Assumptions!$B$2,IF(AW79="Away",-Assumptions!$B$2,0))</f>
        <v>-2.5</v>
      </c>
      <c r="AZ79" s="2" t="n">
        <f aca="false">NORMDIST($B79-AX79+AY79,0,Assumptions!$B$3,TRUE())</f>
        <v>0.113860555114032</v>
      </c>
      <c r="BA79" s="2" t="s">
        <v>110</v>
      </c>
      <c r="BB79" s="2" t="s">
        <v>406</v>
      </c>
      <c r="BC79" s="2" t="n">
        <f aca="false">INDEX(Ratings!$B$2:$B$239,MATCH(BA79,Ratings!$A$2:$A$239,0))</f>
        <v>3.8</v>
      </c>
      <c r="BD79" s="2" t="n">
        <f aca="false">IF(BB79="Home",Assumptions!$B$2,IF(BB79="Away",-Assumptions!$B$2,0))</f>
        <v>2.5</v>
      </c>
      <c r="BE79" s="2" t="n">
        <f aca="false">NORMDIST($B79-BC79+BD79,0,Assumptions!$B$3,TRUE())</f>
        <v>0.413422398858449</v>
      </c>
      <c r="BF79" s="2" t="s">
        <v>62</v>
      </c>
      <c r="BG79" s="2" t="s">
        <v>407</v>
      </c>
      <c r="BH79" s="2" t="n">
        <f aca="false">INDEX(Ratings!$B$2:$B$239,MATCH(BF79,Ratings!$A$2:$A$239,0))</f>
        <v>25.8</v>
      </c>
      <c r="BI79" s="2" t="n">
        <f aca="false">IF(BG79="Home",Assumptions!$B$2,IF(BG79="Away",-Assumptions!$B$2,0))</f>
        <v>-2.5</v>
      </c>
      <c r="BJ79" s="2" t="n">
        <f aca="false">NORMDIST($B79-BH79+BI79,0,Assumptions!$B$3,TRUE())</f>
        <v>0.0283088889719244</v>
      </c>
      <c r="BP79" s="2" t="n">
        <v>12</v>
      </c>
      <c r="BQ79" s="2" t="n">
        <f aca="false">G79+L79+Q79+V79+AA79+AF79+AK79+AP79+AU79+AZ79+BE79+BJ79</f>
        <v>3.35020030989312</v>
      </c>
    </row>
    <row r="80" customFormat="false" ht="15" hidden="false" customHeight="false" outlineLevel="0" collapsed="false">
      <c r="A80" s="2" t="s">
        <v>136</v>
      </c>
      <c r="B80" s="2" t="n">
        <f aca="false">INDEX(Ratings!$B$2:$B$239,MATCH($A80,Ratings!$A$2:$A$239,0))</f>
        <v>-2.3</v>
      </c>
      <c r="C80" s="2" t="s">
        <v>140</v>
      </c>
      <c r="D80" s="2" t="s">
        <v>406</v>
      </c>
      <c r="E80" s="2" t="n">
        <f aca="false">INDEX(Ratings!$B$2:$B$239,MATCH(C80,Ratings!$A$2:$A$239,0))</f>
        <v>-2.6</v>
      </c>
      <c r="F80" s="2" t="n">
        <f aca="false">IF(D80="Home",Assumptions!$B$2,IF(D80="Away",-Assumptions!$B$2,0))</f>
        <v>2.5</v>
      </c>
      <c r="G80" s="2" t="n">
        <f aca="false">NORMDIST($B80-E80+F80,0,Assumptions!$B$3,TRUE())</f>
        <v>0.569460183207674</v>
      </c>
      <c r="H80" s="2" t="s">
        <v>64</v>
      </c>
      <c r="I80" s="2" t="s">
        <v>406</v>
      </c>
      <c r="J80" s="2" t="n">
        <f aca="false">INDEX(Ratings!$B$2:$B$239,MATCH(H80,Ratings!$A$2:$A$239,0))</f>
        <v>22</v>
      </c>
      <c r="K80" s="2" t="n">
        <f aca="false">IF(I80="Home",Assumptions!$B$2,IF(I80="Away",-Assumptions!$B$2,0))</f>
        <v>2.5</v>
      </c>
      <c r="L80" s="2" t="n">
        <f aca="false">NORMDIST($B80-J80+K80,0,Assumptions!$B$3,TRUE())</f>
        <v>0.0865200720760435</v>
      </c>
      <c r="M80" s="2" t="s">
        <v>102</v>
      </c>
      <c r="N80" s="2" t="s">
        <v>407</v>
      </c>
      <c r="O80" s="2" t="n">
        <f aca="false">INDEX(Ratings!$B$2:$B$239,MATCH(M80,Ratings!$A$2:$A$239,0))</f>
        <v>5.6</v>
      </c>
      <c r="P80" s="2" t="n">
        <f aca="false">IF(N80="Home",Assumptions!$B$2,IF(N80="Away",-Assumptions!$B$2,0))</f>
        <v>-2.5</v>
      </c>
      <c r="Q80" s="2" t="n">
        <f aca="false">NORMDIST($B80-O80+P80,0,Assumptions!$B$3,TRUE())</f>
        <v>0.257846110805865</v>
      </c>
      <c r="R80" s="2" t="s">
        <v>99</v>
      </c>
      <c r="S80" s="2" t="s">
        <v>406</v>
      </c>
      <c r="T80" s="2" t="n">
        <f aca="false">INDEX(Ratings!$B$2:$B$239,MATCH(R80,Ratings!$A$2:$A$239,0))</f>
        <v>5.9</v>
      </c>
      <c r="U80" s="2" t="n">
        <f aca="false">IF(S80="Home",Assumptions!$B$2,IF(S80="Away",-Assumptions!$B$2,0))</f>
        <v>2.5</v>
      </c>
      <c r="V80" s="2" t="n">
        <f aca="false">NORMDIST($B80-T80+U80,0,Assumptions!$B$3,TRUE())</f>
        <v>0.360826675149783</v>
      </c>
      <c r="W80" s="2" t="s">
        <v>114</v>
      </c>
      <c r="X80" s="2" t="s">
        <v>407</v>
      </c>
      <c r="Y80" s="2" t="n">
        <f aca="false">INDEX(Ratings!$B$2:$B$239,MATCH(W80,Ratings!$A$2:$A$239,0))</f>
        <v>3.4</v>
      </c>
      <c r="Z80" s="2" t="n">
        <f aca="false">IF(X80="Home",Assumptions!$B$2,IF(X80="Away",-Assumptions!$B$2,0))</f>
        <v>-2.5</v>
      </c>
      <c r="AA80" s="2" t="n">
        <f aca="false">NORMDIST($B80-Y80+Z80,0,Assumptions!$B$3,TRUE())</f>
        <v>0.30415056015288</v>
      </c>
      <c r="AB80" s="2" t="s">
        <v>60</v>
      </c>
      <c r="AC80" s="2" t="s">
        <v>407</v>
      </c>
      <c r="AD80" s="2" t="n">
        <f aca="false">INDEX(Ratings!$B$2:$B$239,MATCH(AB80,Ratings!$A$2:$A$239,0))</f>
        <v>26.5</v>
      </c>
      <c r="AE80" s="2" t="n">
        <f aca="false">IF(AC80="Home",Assumptions!$B$2,IF(AC80="Away",-Assumptions!$B$2,0))</f>
        <v>-2.5</v>
      </c>
      <c r="AF80" s="2" t="n">
        <f aca="false">NORMDIST($B80-AD80+AE80,0,Assumptions!$B$3,TRUE())</f>
        <v>0.0252178555390899</v>
      </c>
      <c r="AG80" s="2" t="s">
        <v>261</v>
      </c>
      <c r="AH80" s="2" t="s">
        <v>406</v>
      </c>
      <c r="AI80" s="2" t="n">
        <f aca="false">INDEX(Ratings!$B$2:$B$239,MATCH(AG80,Ratings!$A$2:$A$239,0))</f>
        <v>-26</v>
      </c>
      <c r="AJ80" s="2" t="n">
        <f aca="false">IF(AH80="Home",Assumptions!$B$2,IF(AH80="Away",-Assumptions!$B$2,0))</f>
        <v>2.5</v>
      </c>
      <c r="AK80" s="2" t="n">
        <f aca="false">NORMDIST($B80-AI80+AJ80,0,Assumptions!$B$3,TRUE())</f>
        <v>0.949236980529619</v>
      </c>
      <c r="AL80" s="2" t="s">
        <v>100</v>
      </c>
      <c r="AM80" s="2" t="s">
        <v>406</v>
      </c>
      <c r="AN80" s="2" t="n">
        <f aca="false">INDEX(Ratings!$B$2:$B$239,MATCH(AL80,Ratings!$A$2:$A$239,0))</f>
        <v>5.7</v>
      </c>
      <c r="AO80" s="2" t="n">
        <f aca="false">IF(AM80="Home",Assumptions!$B$2,IF(AM80="Away",-Assumptions!$B$2,0))</f>
        <v>2.5</v>
      </c>
      <c r="AP80" s="2" t="n">
        <f aca="false">NORMDIST($B80-AN80+AO80,0,Assumptions!$B$3,TRUE())</f>
        <v>0.365517152690043</v>
      </c>
      <c r="AQ80" s="2" t="s">
        <v>84</v>
      </c>
      <c r="AR80" s="2" t="s">
        <v>407</v>
      </c>
      <c r="AS80" s="2" t="n">
        <f aca="false">INDEX(Ratings!$B$2:$B$239,MATCH(AQ80,Ratings!$A$2:$A$239,0))</f>
        <v>11.1</v>
      </c>
      <c r="AT80" s="2" t="n">
        <f aca="false">IF(AR80="Home",Assumptions!$B$2,IF(AR80="Away",-Assumptions!$B$2,0))</f>
        <v>-2.5</v>
      </c>
      <c r="AU80" s="2" t="n">
        <f aca="false">NORMDIST($B80-AS80+AT80,0,Assumptions!$B$3,TRUE())</f>
        <v>0.160172296919609</v>
      </c>
      <c r="AV80" s="2" t="s">
        <v>93</v>
      </c>
      <c r="AW80" s="2" t="s">
        <v>407</v>
      </c>
      <c r="AX80" s="2" t="n">
        <f aca="false">INDEX(Ratings!$B$2:$B$239,MATCH(AV80,Ratings!$A$2:$A$239,0))</f>
        <v>8.6</v>
      </c>
      <c r="AY80" s="2" t="n">
        <f aca="false">IF(AW80="Home",Assumptions!$B$2,IF(AW80="Away",-Assumptions!$B$2,0))</f>
        <v>-2.5</v>
      </c>
      <c r="AZ80" s="2" t="n">
        <f aca="false">NORMDIST($B80-AX80+AY80,0,Assumptions!$B$3,TRUE())</f>
        <v>0.201155788474242</v>
      </c>
      <c r="BA80" s="2" t="s">
        <v>117</v>
      </c>
      <c r="BB80" s="2" t="s">
        <v>407</v>
      </c>
      <c r="BC80" s="2" t="n">
        <f aca="false">INDEX(Ratings!$B$2:$B$239,MATCH(BA80,Ratings!$A$2:$A$239,0))</f>
        <v>3</v>
      </c>
      <c r="BD80" s="2" t="n">
        <f aca="false">IF(BB80="Home",Assumptions!$B$2,IF(BB80="Away",-Assumptions!$B$2,0))</f>
        <v>-2.5</v>
      </c>
      <c r="BE80" s="2" t="n">
        <f aca="false">NORMDIST($B80-BC80+BD80,0,Assumptions!$B$3,TRUE())</f>
        <v>0.312952021417887</v>
      </c>
      <c r="BF80" s="2" t="s">
        <v>82</v>
      </c>
      <c r="BG80" s="2" t="s">
        <v>406</v>
      </c>
      <c r="BH80" s="2" t="n">
        <f aca="false">INDEX(Ratings!$B$2:$B$239,MATCH(BF80,Ratings!$A$2:$A$239,0))</f>
        <v>12.1</v>
      </c>
      <c r="BI80" s="2" t="n">
        <f aca="false">IF(BG80="Home",Assumptions!$B$2,IF(BG80="Away",-Assumptions!$B$2,0))</f>
        <v>2.5</v>
      </c>
      <c r="BJ80" s="2" t="n">
        <f aca="false">NORMDIST($B80-BH80+BI80,0,Assumptions!$B$3,TRUE())</f>
        <v>0.228513867124863</v>
      </c>
      <c r="BP80" s="2" t="n">
        <v>12</v>
      </c>
      <c r="BQ80" s="2" t="n">
        <f aca="false">G80+L80+Q80+V80+AA80+AF80+AK80+AP80+AU80+AZ80+BE80+BJ80</f>
        <v>3.8215695640876</v>
      </c>
    </row>
    <row r="81" customFormat="false" ht="15" hidden="false" customHeight="false" outlineLevel="0" collapsed="false">
      <c r="A81" s="2" t="s">
        <v>137</v>
      </c>
      <c r="B81" s="2" t="n">
        <f aca="false">INDEX(Ratings!$B$2:$B$239,MATCH($A81,Ratings!$A$2:$A$239,0))</f>
        <v>-2.3</v>
      </c>
      <c r="C81" s="2" t="s">
        <v>70</v>
      </c>
      <c r="D81" s="2" t="s">
        <v>407</v>
      </c>
      <c r="E81" s="2" t="n">
        <f aca="false">INDEX(Ratings!$B$2:$B$239,MATCH(C81,Ratings!$A$2:$A$239,0))</f>
        <v>17.6</v>
      </c>
      <c r="F81" s="2" t="n">
        <f aca="false">IF(D81="Home",Assumptions!$B$2,IF(D81="Away",-Assumptions!$B$2,0))</f>
        <v>-2.5</v>
      </c>
      <c r="G81" s="2" t="n">
        <f aca="false">NORMDIST($B81-E81+F81,0,Assumptions!$B$3,TRUE())</f>
        <v>0.080756659233771</v>
      </c>
      <c r="H81" s="2" t="s">
        <v>169</v>
      </c>
      <c r="I81" s="2" t="s">
        <v>406</v>
      </c>
      <c r="J81" s="2" t="n">
        <f aca="false">INDEX(Ratings!$B$2:$B$239,MATCH(H81,Ratings!$A$2:$A$239,0))</f>
        <v>-12.7</v>
      </c>
      <c r="K81" s="2" t="n">
        <f aca="false">IF(I81="Home",Assumptions!$B$2,IF(I81="Away",-Assumptions!$B$2,0))</f>
        <v>2.5</v>
      </c>
      <c r="L81" s="2" t="n">
        <f aca="false">NORMDIST($B81-J81+K81,0,Assumptions!$B$3,TRUE())</f>
        <v>0.789950642982085</v>
      </c>
      <c r="M81" s="2" t="s">
        <v>150</v>
      </c>
      <c r="N81" s="2" t="s">
        <v>407</v>
      </c>
      <c r="O81" s="2" t="n">
        <f aca="false">INDEX(Ratings!$B$2:$B$239,MATCH(M81,Ratings!$A$2:$A$239,0))</f>
        <v>-6.9</v>
      </c>
      <c r="P81" s="2" t="n">
        <f aca="false">IF(N81="Home",Assumptions!$B$2,IF(N81="Away",-Assumptions!$B$2,0))</f>
        <v>-2.5</v>
      </c>
      <c r="Q81" s="2" t="n">
        <f aca="false">NORMDIST($B81-O81+P81,0,Assumptions!$B$3,TRUE())</f>
        <v>0.552211228127385</v>
      </c>
      <c r="R81" s="2" t="s">
        <v>290</v>
      </c>
      <c r="S81" s="2" t="s">
        <v>406</v>
      </c>
      <c r="T81" s="2" t="n">
        <f aca="false">INDEX(Ratings!$B$2:$B$239,MATCH(R81,Ratings!$A$2:$A$239,0))</f>
        <v>-39</v>
      </c>
      <c r="U81" s="2" t="n">
        <f aca="false">IF(S81="Home",Assumptions!$B$2,IF(S81="Away",-Assumptions!$B$2,0))</f>
        <v>2.5</v>
      </c>
      <c r="V81" s="2" t="n">
        <f aca="false">NORMDIST($B81-T81+U81,0,Assumptions!$B$3,TRUE())</f>
        <v>0.992857189264729</v>
      </c>
      <c r="W81" s="2" t="s">
        <v>177</v>
      </c>
      <c r="X81" s="2" t="s">
        <v>406</v>
      </c>
      <c r="Y81" s="2" t="n">
        <f aca="false">INDEX(Ratings!$B$2:$B$239,MATCH(W81,Ratings!$A$2:$A$239,0))</f>
        <v>-15.3</v>
      </c>
      <c r="Z81" s="2" t="n">
        <f aca="false">IF(X81="Home",Assumptions!$B$2,IF(X81="Away",-Assumptions!$B$2,0))</f>
        <v>2.5</v>
      </c>
      <c r="AA81" s="2" t="n">
        <f aca="false">NORMDIST($B81-Y81+Z81,0,Assumptions!$B$3,TRUE())</f>
        <v>0.833665030507882</v>
      </c>
      <c r="AB81" s="2" t="s">
        <v>181</v>
      </c>
      <c r="AC81" s="2" t="s">
        <v>407</v>
      </c>
      <c r="AD81" s="2" t="n">
        <f aca="false">INDEX(Ratings!$B$2:$B$239,MATCH(AB81,Ratings!$A$2:$A$239,0))</f>
        <v>-17.5</v>
      </c>
      <c r="AE81" s="2" t="n">
        <f aca="false">IF(AC81="Home",Assumptions!$B$2,IF(AC81="Away",-Assumptions!$B$2,0))</f>
        <v>-2.5</v>
      </c>
      <c r="AF81" s="2" t="n">
        <f aca="false">NORMDIST($B81-AD81+AE81,0,Assumptions!$B$3,TRUE())</f>
        <v>0.786329507059644</v>
      </c>
      <c r="AG81" s="2" t="s">
        <v>124</v>
      </c>
      <c r="AH81" s="2" t="s">
        <v>407</v>
      </c>
      <c r="AI81" s="2" t="n">
        <f aca="false">INDEX(Ratings!$B$2:$B$239,MATCH(AG81,Ratings!$A$2:$A$239,0))</f>
        <v>0.3</v>
      </c>
      <c r="AJ81" s="2" t="n">
        <f aca="false">IF(AH81="Home",Assumptions!$B$2,IF(AH81="Away",-Assumptions!$B$2,0))</f>
        <v>-2.5</v>
      </c>
      <c r="AK81" s="2" t="n">
        <f aca="false">NORMDIST($B81-AI81+AJ81,0,Assumptions!$B$3,TRUE())</f>
        <v>0.374958048081219</v>
      </c>
      <c r="AL81" s="2" t="s">
        <v>157</v>
      </c>
      <c r="AM81" s="2" t="s">
        <v>406</v>
      </c>
      <c r="AN81" s="2" t="n">
        <f aca="false">INDEX(Ratings!$B$2:$B$239,MATCH(AL81,Ratings!$A$2:$A$239,0))</f>
        <v>-9.1</v>
      </c>
      <c r="AO81" s="2" t="n">
        <f aca="false">IF(AM81="Home",Assumptions!$B$2,IF(AM81="Away",-Assumptions!$B$2,0))</f>
        <v>2.5</v>
      </c>
      <c r="AP81" s="2" t="n">
        <f aca="false">NORMDIST($B81-AN81+AO81,0,Assumptions!$B$3,TRUE())</f>
        <v>0.719464013173769</v>
      </c>
      <c r="AQ81" s="2" t="s">
        <v>131</v>
      </c>
      <c r="AR81" s="2" t="s">
        <v>406</v>
      </c>
      <c r="AS81" s="2" t="n">
        <f aca="false">INDEX(Ratings!$B$2:$B$239,MATCH(AQ81,Ratings!$A$2:$A$239,0))</f>
        <v>-1.7</v>
      </c>
      <c r="AT81" s="2" t="n">
        <f aca="false">IF(AR81="Home",Assumptions!$B$2,IF(AR81="Away",-Assumptions!$B$2,0))</f>
        <v>2.5</v>
      </c>
      <c r="AU81" s="2" t="n">
        <f aca="false">NORMDIST($B81-AS81+AT81,0,Assumptions!$B$3,TRUE())</f>
        <v>0.547263288750412</v>
      </c>
      <c r="AV81" s="2" t="s">
        <v>189</v>
      </c>
      <c r="AW81" s="2" t="s">
        <v>407</v>
      </c>
      <c r="AX81" s="2" t="n">
        <f aca="false">INDEX(Ratings!$B$2:$B$239,MATCH(AV81,Ratings!$A$2:$A$239,0))</f>
        <v>-24.1</v>
      </c>
      <c r="AY81" s="2" t="n">
        <f aca="false">IF(AW81="Home",Assumptions!$B$2,IF(AW81="Away",-Assumptions!$B$2,0))</f>
        <v>-2.5</v>
      </c>
      <c r="AZ81" s="2" t="n">
        <f aca="false">NORMDIST($B81-AX81+AY81,0,Assumptions!$B$3,TRUE())</f>
        <v>0.886139444885968</v>
      </c>
      <c r="BA81" s="2" t="s">
        <v>138</v>
      </c>
      <c r="BB81" s="2" t="s">
        <v>407</v>
      </c>
      <c r="BC81" s="2" t="n">
        <f aca="false">INDEX(Ratings!$B$2:$B$239,MATCH(BA81,Ratings!$A$2:$A$239,0))</f>
        <v>-2.4</v>
      </c>
      <c r="BD81" s="2" t="n">
        <f aca="false">IF(BB81="Home",Assumptions!$B$2,IF(BB81="Away",-Assumptions!$B$2,0))</f>
        <v>-2.5</v>
      </c>
      <c r="BE81" s="2" t="n">
        <f aca="false">NORMDIST($B81-BC81+BD81,0,Assumptions!$B$3,TRUE())</f>
        <v>0.440382307629758</v>
      </c>
      <c r="BF81" s="2" t="s">
        <v>148</v>
      </c>
      <c r="BG81" s="2" t="s">
        <v>406</v>
      </c>
      <c r="BH81" s="2" t="n">
        <f aca="false">INDEX(Ratings!$B$2:$B$239,MATCH(BF81,Ratings!$A$2:$A$239,0))</f>
        <v>-6.1</v>
      </c>
      <c r="BI81" s="2" t="n">
        <f aca="false">IF(BG81="Home",Assumptions!$B$2,IF(BG81="Away",-Assumptions!$B$2,0))</f>
        <v>2.5</v>
      </c>
      <c r="BJ81" s="2" t="n">
        <f aca="false">NORMDIST($B81-BH81+BI81,0,Assumptions!$B$3,TRUE())</f>
        <v>0.653117188736853</v>
      </c>
      <c r="BP81" s="2" t="n">
        <v>12</v>
      </c>
      <c r="BQ81" s="2" t="n">
        <f aca="false">G81+L81+Q81+V81+AA81+AF81+AK81+AP81+AU81+AZ81+BE81+BJ81</f>
        <v>7.65709454843347</v>
      </c>
    </row>
    <row r="82" customFormat="false" ht="15" hidden="false" customHeight="false" outlineLevel="0" collapsed="false">
      <c r="A82" s="2" t="s">
        <v>138</v>
      </c>
      <c r="B82" s="2" t="n">
        <f aca="false">INDEX(Ratings!$B$2:$B$239,MATCH($A82,Ratings!$A$2:$A$239,0))</f>
        <v>-2.4</v>
      </c>
      <c r="C82" s="2" t="s">
        <v>245</v>
      </c>
      <c r="D82" s="2" t="s">
        <v>406</v>
      </c>
      <c r="E82" s="2" t="n">
        <f aca="false">INDEX(Ratings!$B$2:$B$239,MATCH(C82,Ratings!$A$2:$A$239,0))</f>
        <v>-26</v>
      </c>
      <c r="F82" s="2" t="n">
        <f aca="false">IF(D82="Home",Assumptions!$B$2,IF(D82="Away",-Assumptions!$B$2,0))</f>
        <v>2.5</v>
      </c>
      <c r="G82" s="2" t="n">
        <f aca="false">NORMDIST($B82-E82+F82,0,Assumptions!$B$3,TRUE())</f>
        <v>0.948581210535182</v>
      </c>
      <c r="H82" s="2" t="s">
        <v>131</v>
      </c>
      <c r="I82" s="2" t="s">
        <v>406</v>
      </c>
      <c r="J82" s="2" t="n">
        <f aca="false">INDEX(Ratings!$B$2:$B$239,MATCH(H82,Ratings!$A$2:$A$239,0))</f>
        <v>-1.7</v>
      </c>
      <c r="K82" s="2" t="n">
        <f aca="false">IF(I82="Home",Assumptions!$B$2,IF(I82="Away",-Assumptions!$B$2,0))</f>
        <v>2.5</v>
      </c>
      <c r="L82" s="2" t="n">
        <f aca="false">NORMDIST($B82-J82+K82,0,Assumptions!$B$3,TRUE())</f>
        <v>0.544786515128255</v>
      </c>
      <c r="M82" s="2" t="s">
        <v>157</v>
      </c>
      <c r="N82" s="2" t="s">
        <v>407</v>
      </c>
      <c r="O82" s="2" t="n">
        <f aca="false">INDEX(Ratings!$B$2:$B$239,MATCH(M82,Ratings!$A$2:$A$239,0))</f>
        <v>-9.1</v>
      </c>
      <c r="P82" s="2" t="n">
        <f aca="false">IF(N82="Home",Assumptions!$B$2,IF(N82="Away",-Assumptions!$B$2,0))</f>
        <v>-2.5</v>
      </c>
      <c r="Q82" s="2" t="n">
        <f aca="false">NORMDIST($B82-O82+P82,0,Assumptions!$B$3,TRUE())</f>
        <v>0.603532007320995</v>
      </c>
      <c r="R82" s="2" t="s">
        <v>156</v>
      </c>
      <c r="S82" s="2" t="s">
        <v>407</v>
      </c>
      <c r="T82" s="2" t="n">
        <f aca="false">INDEX(Ratings!$B$2:$B$239,MATCH(R82,Ratings!$A$2:$A$239,0))</f>
        <v>-9.1</v>
      </c>
      <c r="U82" s="2" t="n">
        <f aca="false">IF(S82="Home",Assumptions!$B$2,IF(S82="Away",-Assumptions!$B$2,0))</f>
        <v>-2.5</v>
      </c>
      <c r="V82" s="2" t="n">
        <f aca="false">NORMDIST($B82-T82+U82,0,Assumptions!$B$3,TRUE())</f>
        <v>0.603532007320995</v>
      </c>
      <c r="W82" s="2" t="s">
        <v>144</v>
      </c>
      <c r="X82" s="2" t="s">
        <v>406</v>
      </c>
      <c r="Y82" s="2" t="n">
        <f aca="false">INDEX(Ratings!$B$2:$B$239,MATCH(W82,Ratings!$A$2:$A$239,0))</f>
        <v>-4.3</v>
      </c>
      <c r="Z82" s="2" t="n">
        <f aca="false">IF(X82="Home",Assumptions!$B$2,IF(X82="Away",-Assumptions!$B$2,0))</f>
        <v>2.5</v>
      </c>
      <c r="AA82" s="2" t="n">
        <f aca="false">NORMDIST($B82-Y82+Z82,0,Assumptions!$B$3,TRUE())</f>
        <v>0.608341880846395</v>
      </c>
      <c r="AB82" s="2" t="s">
        <v>148</v>
      </c>
      <c r="AC82" s="2" t="s">
        <v>406</v>
      </c>
      <c r="AD82" s="2" t="n">
        <f aca="false">INDEX(Ratings!$B$2:$B$239,MATCH(AB82,Ratings!$A$2:$A$239,0))</f>
        <v>-6.1</v>
      </c>
      <c r="AE82" s="2" t="n">
        <f aca="false">IF(AC82="Home",Assumptions!$B$2,IF(AC82="Away",-Assumptions!$B$2,0))</f>
        <v>2.5</v>
      </c>
      <c r="AF82" s="2" t="n">
        <f aca="false">NORMDIST($B82-AD82+AE82,0,Assumptions!$B$3,TRUE())</f>
        <v>0.650806957537142</v>
      </c>
      <c r="AG82" s="2" t="s">
        <v>149</v>
      </c>
      <c r="AH82" s="2" t="s">
        <v>407</v>
      </c>
      <c r="AI82" s="2" t="n">
        <f aca="false">INDEX(Ratings!$B$2:$B$239,MATCH(AG82,Ratings!$A$2:$A$239,0))</f>
        <v>-6.1</v>
      </c>
      <c r="AJ82" s="2" t="n">
        <f aca="false">IF(AH82="Home",Assumptions!$B$2,IF(AH82="Away",-Assumptions!$B$2,0))</f>
        <v>-2.5</v>
      </c>
      <c r="AK82" s="2" t="n">
        <f aca="false">NORMDIST($B82-AI82+AJ82,0,Assumptions!$B$3,TRUE())</f>
        <v>0.529892644052895</v>
      </c>
      <c r="AL82" s="2" t="s">
        <v>124</v>
      </c>
      <c r="AM82" s="2" t="s">
        <v>407</v>
      </c>
      <c r="AN82" s="2" t="n">
        <f aca="false">INDEX(Ratings!$B$2:$B$239,MATCH(AL82,Ratings!$A$2:$A$239,0))</f>
        <v>0.3</v>
      </c>
      <c r="AO82" s="2" t="n">
        <f aca="false">IF(AM82="Home",Assumptions!$B$2,IF(AM82="Away",-Assumptions!$B$2,0))</f>
        <v>-2.5</v>
      </c>
      <c r="AP82" s="2" t="n">
        <f aca="false">NORMDIST($B82-AN82+AO82,0,Assumptions!$B$3,TRUE())</f>
        <v>0.372590535846716</v>
      </c>
      <c r="AQ82" s="2" t="s">
        <v>141</v>
      </c>
      <c r="AR82" s="2" t="s">
        <v>406</v>
      </c>
      <c r="AS82" s="2" t="n">
        <f aca="false">INDEX(Ratings!$B$2:$B$239,MATCH(AQ82,Ratings!$A$2:$A$239,0))</f>
        <v>-3.2</v>
      </c>
      <c r="AT82" s="2" t="n">
        <f aca="false">IF(AR82="Home",Assumptions!$B$2,IF(AR82="Away",-Assumptions!$B$2,0))</f>
        <v>2.5</v>
      </c>
      <c r="AU82" s="2" t="n">
        <f aca="false">NORMDIST($B82-AS82+AT82,0,Assumptions!$B$3,TRUE())</f>
        <v>0.581702183505625</v>
      </c>
      <c r="AV82" s="2" t="s">
        <v>137</v>
      </c>
      <c r="AW82" s="2" t="s">
        <v>406</v>
      </c>
      <c r="AX82" s="2" t="n">
        <f aca="false">INDEX(Ratings!$B$2:$B$239,MATCH(AV82,Ratings!$A$2:$A$239,0))</f>
        <v>-2.3</v>
      </c>
      <c r="AY82" s="2" t="n">
        <f aca="false">IF(AW82="Home",Assumptions!$B$2,IF(AW82="Away",-Assumptions!$B$2,0))</f>
        <v>2.5</v>
      </c>
      <c r="AZ82" s="2" t="n">
        <f aca="false">NORMDIST($B82-AX82+AY82,0,Assumptions!$B$3,TRUE())</f>
        <v>0.559617692370243</v>
      </c>
      <c r="BA82" s="2" t="s">
        <v>177</v>
      </c>
      <c r="BB82" s="2" t="s">
        <v>407</v>
      </c>
      <c r="BC82" s="2" t="n">
        <f aca="false">INDEX(Ratings!$B$2:$B$239,MATCH(BA82,Ratings!$A$2:$A$239,0))</f>
        <v>-15.3</v>
      </c>
      <c r="BD82" s="2" t="n">
        <f aca="false">IF(BB82="Home",Assumptions!$B$2,IF(BB82="Away",-Assumptions!$B$2,0))</f>
        <v>-2.5</v>
      </c>
      <c r="BE82" s="2" t="n">
        <f aca="false">NORMDIST($B82-BC82+BD82,0,Assumptions!$B$3,TRUE())</f>
        <v>0.742153889194135</v>
      </c>
      <c r="BF82" s="2" t="s">
        <v>121</v>
      </c>
      <c r="BG82" s="2" t="s">
        <v>408</v>
      </c>
      <c r="BH82" s="2" t="n">
        <f aca="false">INDEX(Ratings!$B$2:$B$239,MATCH(BF82,Ratings!$A$2:$A$239,0))</f>
        <v>1.2</v>
      </c>
      <c r="BI82" s="2" t="n">
        <f aca="false">IF(BG82="Home",Assumptions!$B$2,IF(BG82="Away",-Assumptions!$B$2,0))</f>
        <v>0</v>
      </c>
      <c r="BJ82" s="2" t="n">
        <f aca="false">NORMDIST($B82-BH82+BI82,0,Assumptions!$B$3,TRUE())</f>
        <v>0.41098963713127</v>
      </c>
      <c r="BP82" s="2" t="n">
        <v>12</v>
      </c>
      <c r="BQ82" s="2" t="n">
        <f aca="false">G82+L82+Q82+V82+AA82+AF82+AK82+AP82+AU82+AZ82+BE82+BJ82</f>
        <v>7.15652716078985</v>
      </c>
    </row>
    <row r="83" customFormat="false" ht="15" hidden="false" customHeight="false" outlineLevel="0" collapsed="false">
      <c r="A83" s="2" t="s">
        <v>139</v>
      </c>
      <c r="B83" s="2" t="n">
        <f aca="false">INDEX(Ratings!$B$2:$B$239,MATCH($A83,Ratings!$A$2:$A$239,0))</f>
        <v>-2.5</v>
      </c>
      <c r="C83" s="2" t="s">
        <v>116</v>
      </c>
      <c r="D83" s="2" t="s">
        <v>407</v>
      </c>
      <c r="E83" s="2" t="n">
        <f aca="false">INDEX(Ratings!$B$2:$B$239,MATCH(C83,Ratings!$A$2:$A$239,0))</f>
        <v>3</v>
      </c>
      <c r="F83" s="2" t="n">
        <f aca="false">IF(D83="Home",Assumptions!$B$2,IF(D83="Away",-Assumptions!$B$2,0))</f>
        <v>-2.5</v>
      </c>
      <c r="G83" s="2" t="n">
        <f aca="false">NORMDIST($B83-E83+F83,0,Assumptions!$B$3,TRUE())</f>
        <v>0.308537538725987</v>
      </c>
      <c r="H83" s="2" t="s">
        <v>118</v>
      </c>
      <c r="I83" s="2" t="s">
        <v>406</v>
      </c>
      <c r="J83" s="2" t="n">
        <f aca="false">INDEX(Ratings!$B$2:$B$239,MATCH(H83,Ratings!$A$2:$A$239,0))</f>
        <v>2.7</v>
      </c>
      <c r="K83" s="2" t="n">
        <f aca="false">IF(I83="Home",Assumptions!$B$2,IF(I83="Away",-Assumptions!$B$2,0))</f>
        <v>2.5</v>
      </c>
      <c r="L83" s="2" t="n">
        <f aca="false">NORMDIST($B83-J83+K83,0,Assumptions!$B$3,TRUE())</f>
        <v>0.432996644193328</v>
      </c>
      <c r="M83" s="2" t="s">
        <v>280</v>
      </c>
      <c r="N83" s="2" t="s">
        <v>406</v>
      </c>
      <c r="O83" s="2" t="n">
        <f aca="false">INDEX(Ratings!$B$2:$B$239,MATCH(M83,Ratings!$A$2:$A$239,0))</f>
        <v>-26</v>
      </c>
      <c r="P83" s="2" t="n">
        <f aca="false">IF(N83="Home",Assumptions!$B$2,IF(N83="Away",-Assumptions!$B$2,0))</f>
        <v>2.5</v>
      </c>
      <c r="Q83" s="2" t="n">
        <f aca="false">NORMDIST($B83-O83+P83,0,Assumptions!$B$3,TRUE())</f>
        <v>0.947918720584781</v>
      </c>
      <c r="R83" s="2" t="s">
        <v>93</v>
      </c>
      <c r="S83" s="2" t="s">
        <v>406</v>
      </c>
      <c r="T83" s="2" t="n">
        <f aca="false">INDEX(Ratings!$B$2:$B$239,MATCH(R83,Ratings!$A$2:$A$239,0))</f>
        <v>8.6</v>
      </c>
      <c r="U83" s="2" t="n">
        <f aca="false">IF(S83="Home",Assumptions!$B$2,IF(S83="Away",-Assumptions!$B$2,0))</f>
        <v>2.5</v>
      </c>
      <c r="V83" s="2" t="n">
        <f aca="false">NORMDIST($B83-T83+U83,0,Assumptions!$B$3,TRUE())</f>
        <v>0.295461142462736</v>
      </c>
      <c r="W83" s="2" t="s">
        <v>82</v>
      </c>
      <c r="X83" s="2" t="s">
        <v>407</v>
      </c>
      <c r="Y83" s="2" t="n">
        <f aca="false">INDEX(Ratings!$B$2:$B$239,MATCH(W83,Ratings!$A$2:$A$239,0))</f>
        <v>12.1</v>
      </c>
      <c r="Z83" s="2" t="n">
        <f aca="false">IF(X83="Home",Assumptions!$B$2,IF(X83="Away",-Assumptions!$B$2,0))</f>
        <v>-2.5</v>
      </c>
      <c r="AA83" s="2" t="n">
        <f aca="false">NORMDIST($B83-Y83+Z83,0,Assumptions!$B$3,TRUE())</f>
        <v>0.142591167421656</v>
      </c>
      <c r="AB83" s="2" t="s">
        <v>98</v>
      </c>
      <c r="AC83" s="2" t="s">
        <v>406</v>
      </c>
      <c r="AD83" s="2" t="n">
        <f aca="false">INDEX(Ratings!$B$2:$B$239,MATCH(AB83,Ratings!$A$2:$A$239,0))</f>
        <v>6.2</v>
      </c>
      <c r="AE83" s="2" t="n">
        <f aca="false">IF(AC83="Home",Assumptions!$B$2,IF(AC83="Away",-Assumptions!$B$2,0))</f>
        <v>2.5</v>
      </c>
      <c r="AF83" s="2" t="n">
        <f aca="false">NORMDIST($B83-AD83+AE83,0,Assumptions!$B$3,TRUE())</f>
        <v>0.349193042462858</v>
      </c>
      <c r="AG83" s="2" t="s">
        <v>99</v>
      </c>
      <c r="AH83" s="2" t="s">
        <v>407</v>
      </c>
      <c r="AI83" s="2" t="n">
        <f aca="false">INDEX(Ratings!$B$2:$B$239,MATCH(AG83,Ratings!$A$2:$A$239,0))</f>
        <v>5.9</v>
      </c>
      <c r="AJ83" s="2" t="n">
        <f aca="false">IF(AH83="Home",Assumptions!$B$2,IF(AH83="Away",-Assumptions!$B$2,0))</f>
        <v>-2.5</v>
      </c>
      <c r="AK83" s="2" t="n">
        <f aca="false">NORMDIST($B83-AI83+AJ83,0,Assumptions!$B$3,TRUE())</f>
        <v>0.247856657564262</v>
      </c>
      <c r="AL83" s="2" t="s">
        <v>102</v>
      </c>
      <c r="AM83" s="2" t="s">
        <v>407</v>
      </c>
      <c r="AN83" s="2" t="n">
        <f aca="false">INDEX(Ratings!$B$2:$B$239,MATCH(AL83,Ratings!$A$2:$A$239,0))</f>
        <v>5.6</v>
      </c>
      <c r="AO83" s="2" t="n">
        <f aca="false">IF(AM83="Home",Assumptions!$B$2,IF(AM83="Away",-Assumptions!$B$2,0))</f>
        <v>-2.5</v>
      </c>
      <c r="AP83" s="2" t="n">
        <f aca="false">NORMDIST($B83-AN83+AO83,0,Assumptions!$B$3,TRUE())</f>
        <v>0.253825417414222</v>
      </c>
      <c r="AQ83" s="2" t="s">
        <v>92</v>
      </c>
      <c r="AR83" s="2" t="s">
        <v>406</v>
      </c>
      <c r="AS83" s="2" t="n">
        <f aca="false">INDEX(Ratings!$B$2:$B$239,MATCH(AQ83,Ratings!$A$2:$A$239,0))</f>
        <v>9.1</v>
      </c>
      <c r="AT83" s="2" t="n">
        <f aca="false">IF(AR83="Home",Assumptions!$B$2,IF(AR83="Away",-Assumptions!$B$2,0))</f>
        <v>2.5</v>
      </c>
      <c r="AU83" s="2" t="n">
        <f aca="false">NORMDIST($B83-AS83+AT83,0,Assumptions!$B$3,TRUE())</f>
        <v>0.284762905379547</v>
      </c>
      <c r="AV83" s="2" t="s">
        <v>60</v>
      </c>
      <c r="AW83" s="2" t="s">
        <v>407</v>
      </c>
      <c r="AX83" s="2" t="n">
        <f aca="false">INDEX(Ratings!$B$2:$B$239,MATCH(AV83,Ratings!$A$2:$A$239,0))</f>
        <v>26.5</v>
      </c>
      <c r="AY83" s="2" t="n">
        <f aca="false">IF(AW83="Home",Assumptions!$B$2,IF(AW83="Away",-Assumptions!$B$2,0))</f>
        <v>-2.5</v>
      </c>
      <c r="AZ83" s="2" t="n">
        <f aca="false">NORMDIST($B83-AX83+AY83,0,Assumptions!$B$3,TRUE())</f>
        <v>0.0244909032642333</v>
      </c>
      <c r="BA83" s="2" t="s">
        <v>133</v>
      </c>
      <c r="BB83" s="2" t="s">
        <v>406</v>
      </c>
      <c r="BC83" s="2" t="n">
        <f aca="false">INDEX(Ratings!$B$2:$B$239,MATCH(BA83,Ratings!$A$2:$A$239,0))</f>
        <v>-1.9</v>
      </c>
      <c r="BD83" s="2" t="n">
        <f aca="false">IF(BB83="Home",Assumptions!$B$2,IF(BB83="Away",-Assumptions!$B$2,0))</f>
        <v>2.5</v>
      </c>
      <c r="BE83" s="2" t="n">
        <f aca="false">NORMDIST($B83-BC83+BD83,0,Assumptions!$B$3,TRUE())</f>
        <v>0.547263288750412</v>
      </c>
      <c r="BF83" s="2" t="s">
        <v>64</v>
      </c>
      <c r="BG83" s="2" t="s">
        <v>407</v>
      </c>
      <c r="BH83" s="2" t="n">
        <f aca="false">INDEX(Ratings!$B$2:$B$239,MATCH(BF83,Ratings!$A$2:$A$239,0))</f>
        <v>22</v>
      </c>
      <c r="BI83" s="2" t="n">
        <f aca="false">IF(BG83="Home",Assumptions!$B$2,IF(BG83="Away",-Assumptions!$B$2,0))</f>
        <v>-2.5</v>
      </c>
      <c r="BJ83" s="2" t="n">
        <f aca="false">NORMDIST($B83-BH83+BI83,0,Assumptions!$B$3,TRUE())</f>
        <v>0.0457536249617411</v>
      </c>
      <c r="BP83" s="2" t="n">
        <v>12</v>
      </c>
      <c r="BQ83" s="2" t="n">
        <f aca="false">G83+L83+Q83+V83+AA83+AF83+AK83+AP83+AU83+AZ83+BE83+BJ83</f>
        <v>3.88065105318576</v>
      </c>
    </row>
    <row r="84" customFormat="false" ht="15" hidden="false" customHeight="false" outlineLevel="0" collapsed="false">
      <c r="A84" s="2" t="s">
        <v>140</v>
      </c>
      <c r="B84" s="2" t="n">
        <f aca="false">INDEX(Ratings!$B$2:$B$239,MATCH($A84,Ratings!$A$2:$A$239,0))</f>
        <v>-2.6</v>
      </c>
      <c r="C84" s="2" t="s">
        <v>136</v>
      </c>
      <c r="D84" s="2" t="s">
        <v>407</v>
      </c>
      <c r="E84" s="2" t="n">
        <f aca="false">INDEX(Ratings!$B$2:$B$239,MATCH(C84,Ratings!$A$2:$A$239,0))</f>
        <v>-2.3</v>
      </c>
      <c r="F84" s="2" t="n">
        <f aca="false">IF(D84="Home",Assumptions!$B$2,IF(D84="Away",-Assumptions!$B$2,0))</f>
        <v>-2.5</v>
      </c>
      <c r="G84" s="2" t="n">
        <f aca="false">NORMDIST($B84-E84+F84,0,Assumptions!$B$3,TRUE())</f>
        <v>0.430539816792326</v>
      </c>
      <c r="H84" s="2" t="s">
        <v>112</v>
      </c>
      <c r="I84" s="2" t="s">
        <v>406</v>
      </c>
      <c r="J84" s="2" t="n">
        <f aca="false">INDEX(Ratings!$B$2:$B$239,MATCH(H84,Ratings!$A$2:$A$239,0))</f>
        <v>3.6</v>
      </c>
      <c r="K84" s="2" t="n">
        <f aca="false">IF(I84="Home",Assumptions!$B$2,IF(I84="Away",-Assumptions!$B$2,0))</f>
        <v>2.5</v>
      </c>
      <c r="L84" s="2" t="n">
        <f aca="false">NORMDIST($B84-J84+K84,0,Assumptions!$B$3,TRUE())</f>
        <v>0.408560294059836</v>
      </c>
      <c r="M84" s="2" t="s">
        <v>182</v>
      </c>
      <c r="N84" s="2" t="s">
        <v>406</v>
      </c>
      <c r="O84" s="2" t="n">
        <f aca="false">INDEX(Ratings!$B$2:$B$239,MATCH(M84,Ratings!$A$2:$A$239,0))</f>
        <v>-18.5</v>
      </c>
      <c r="P84" s="2" t="n">
        <f aca="false">IF(N84="Home",Assumptions!$B$2,IF(N84="Away",-Assumptions!$B$2,0))</f>
        <v>2.5</v>
      </c>
      <c r="Q84" s="2" t="n">
        <f aca="false">NORMDIST($B84-O84+P84,0,Assumptions!$B$3,TRUE())</f>
        <v>0.87492806436285</v>
      </c>
      <c r="R84" s="2" t="s">
        <v>161</v>
      </c>
      <c r="S84" s="2" t="s">
        <v>407</v>
      </c>
      <c r="T84" s="2" t="n">
        <f aca="false">INDEX(Ratings!$B$2:$B$239,MATCH(R84,Ratings!$A$2:$A$239,0))</f>
        <v>-10.8</v>
      </c>
      <c r="U84" s="2" t="n">
        <f aca="false">IF(S84="Home",Assumptions!$B$2,IF(S84="Away",-Assumptions!$B$2,0))</f>
        <v>-2.5</v>
      </c>
      <c r="V84" s="2" t="n">
        <f aca="false">NORMDIST($B84-T84+U84,0,Assumptions!$B$3,TRUE())</f>
        <v>0.639173324850217</v>
      </c>
      <c r="W84" s="2" t="s">
        <v>178</v>
      </c>
      <c r="X84" s="2" t="s">
        <v>406</v>
      </c>
      <c r="Y84" s="2" t="n">
        <f aca="false">INDEX(Ratings!$B$2:$B$239,MATCH(W84,Ratings!$A$2:$A$239,0))</f>
        <v>-15.7</v>
      </c>
      <c r="Z84" s="2" t="n">
        <f aca="false">IF(X84="Home",Assumptions!$B$2,IF(X84="Away",-Assumptions!$B$2,0))</f>
        <v>2.5</v>
      </c>
      <c r="AA84" s="2" t="n">
        <f aca="false">NORMDIST($B84-Y84+Z84,0,Assumptions!$B$3,TRUE())</f>
        <v>0.83521987001969</v>
      </c>
      <c r="AB84" s="2" t="s">
        <v>108</v>
      </c>
      <c r="AC84" s="2" t="s">
        <v>407</v>
      </c>
      <c r="AD84" s="2" t="n">
        <f aca="false">INDEX(Ratings!$B$2:$B$239,MATCH(AB84,Ratings!$A$2:$A$239,0))</f>
        <v>4.9</v>
      </c>
      <c r="AE84" s="2" t="n">
        <f aca="false">IF(AC84="Home",Assumptions!$B$2,IF(AC84="Away",-Assumptions!$B$2,0))</f>
        <v>-2.5</v>
      </c>
      <c r="AF84" s="2" t="n">
        <f aca="false">NORMDIST($B84-AD84+AE84,0,Assumptions!$B$3,TRUE())</f>
        <v>0.265985529048701</v>
      </c>
      <c r="AG84" s="2" t="s">
        <v>125</v>
      </c>
      <c r="AH84" s="2" t="s">
        <v>406</v>
      </c>
      <c r="AI84" s="2" t="n">
        <f aca="false">INDEX(Ratings!$B$2:$B$239,MATCH(AG84,Ratings!$A$2:$A$239,0))</f>
        <v>0</v>
      </c>
      <c r="AJ84" s="2" t="n">
        <f aca="false">IF(AH84="Home",Assumptions!$B$2,IF(AH84="Away",-Assumptions!$B$2,0))</f>
        <v>2.5</v>
      </c>
      <c r="AK84" s="2" t="n">
        <f aca="false">NORMDIST($B84-AI84+AJ84,0,Assumptions!$B$3,TRUE())</f>
        <v>0.497506626980399</v>
      </c>
      <c r="AL84" s="2" t="s">
        <v>180</v>
      </c>
      <c r="AM84" s="2" t="s">
        <v>407</v>
      </c>
      <c r="AN84" s="2" t="n">
        <f aca="false">INDEX(Ratings!$B$2:$B$239,MATCH(AL84,Ratings!$A$2:$A$239,0))</f>
        <v>-17.2</v>
      </c>
      <c r="AO84" s="2" t="n">
        <f aca="false">IF(AM84="Home",Assumptions!$B$2,IF(AM84="Away",-Assumptions!$B$2,0))</f>
        <v>-2.5</v>
      </c>
      <c r="AP84" s="2" t="n">
        <f aca="false">NORMDIST($B84-AN84+AO84,0,Assumptions!$B$3,TRUE())</f>
        <v>0.77525034005542</v>
      </c>
      <c r="AQ84" s="2" t="s">
        <v>184</v>
      </c>
      <c r="AR84" s="2" t="s">
        <v>407</v>
      </c>
      <c r="AS84" s="2" t="n">
        <f aca="false">INDEX(Ratings!$B$2:$B$239,MATCH(AQ84,Ratings!$A$2:$A$239,0))</f>
        <v>-19.3</v>
      </c>
      <c r="AT84" s="2" t="n">
        <f aca="false">IF(AR84="Home",Assumptions!$B$2,IF(AR84="Away",-Assumptions!$B$2,0))</f>
        <v>-2.5</v>
      </c>
      <c r="AU84" s="2" t="n">
        <f aca="false">NORMDIST($B84-AS84+AT84,0,Assumptions!$B$3,TRUE())</f>
        <v>0.812595116901775</v>
      </c>
      <c r="AV84" s="2" t="s">
        <v>132</v>
      </c>
      <c r="AW84" s="2" t="s">
        <v>406</v>
      </c>
      <c r="AX84" s="2" t="n">
        <f aca="false">INDEX(Ratings!$B$2:$B$239,MATCH(AV84,Ratings!$A$2:$A$239,0))</f>
        <v>-1.8</v>
      </c>
      <c r="AY84" s="2" t="n">
        <f aca="false">IF(AW84="Home",Assumptions!$B$2,IF(AW84="Away",-Assumptions!$B$2,0))</f>
        <v>2.5</v>
      </c>
      <c r="AZ84" s="2" t="n">
        <f aca="false">NORMDIST($B84-AX84+AY84,0,Assumptions!$B$3,TRUE())</f>
        <v>0.542307999417935</v>
      </c>
      <c r="BA84" s="2" t="s">
        <v>165</v>
      </c>
      <c r="BB84" s="2" t="s">
        <v>407</v>
      </c>
      <c r="BC84" s="2" t="n">
        <f aca="false">INDEX(Ratings!$B$2:$B$239,MATCH(BA84,Ratings!$A$2:$A$239,0))</f>
        <v>-11.7</v>
      </c>
      <c r="BD84" s="2" t="n">
        <f aca="false">IF(BB84="Home",Assumptions!$B$2,IF(BB84="Away",-Assumptions!$B$2,0))</f>
        <v>-2.5</v>
      </c>
      <c r="BE84" s="2" t="n">
        <f aca="false">NORMDIST($B84-BC84+BD84,0,Assumptions!$B$3,TRUE())</f>
        <v>0.660013509650861</v>
      </c>
      <c r="BF84" s="2" t="s">
        <v>188</v>
      </c>
      <c r="BG84" s="2" t="s">
        <v>406</v>
      </c>
      <c r="BH84" s="2" t="n">
        <f aca="false">INDEX(Ratings!$B$2:$B$239,MATCH(BF84,Ratings!$A$2:$A$239,0))</f>
        <v>-23.4</v>
      </c>
      <c r="BI84" s="2" t="n">
        <f aca="false">IF(BG84="Home",Assumptions!$B$2,IF(BG84="Away",-Assumptions!$B$2,0))</f>
        <v>2.5</v>
      </c>
      <c r="BJ84" s="2" t="n">
        <f aca="false">NORMDIST($B84-BH84+BI84,0,Assumptions!$B$3,TRUE())</f>
        <v>0.927338238979873</v>
      </c>
      <c r="BP84" s="2" t="n">
        <v>12</v>
      </c>
      <c r="BQ84" s="2" t="n">
        <f aca="false">G84+L84+Q84+V84+AA84+AF84+AK84+AP84+AU84+AZ84+BE84+BJ84</f>
        <v>7.66941873111988</v>
      </c>
    </row>
    <row r="85" customFormat="false" ht="15" hidden="false" customHeight="false" outlineLevel="0" collapsed="false">
      <c r="A85" s="2" t="s">
        <v>141</v>
      </c>
      <c r="B85" s="2" t="n">
        <f aca="false">INDEX(Ratings!$B$2:$B$239,MATCH($A85,Ratings!$A$2:$A$239,0))</f>
        <v>-3.2</v>
      </c>
      <c r="C85" s="2" t="s">
        <v>255</v>
      </c>
      <c r="D85" s="2" t="s">
        <v>406</v>
      </c>
      <c r="E85" s="2" t="n">
        <f aca="false">INDEX(Ratings!$B$2:$B$239,MATCH(C85,Ratings!$A$2:$A$239,0))</f>
        <v>-44</v>
      </c>
      <c r="F85" s="2" t="n">
        <f aca="false">IF(D85="Home",Assumptions!$B$2,IF(D85="Away",-Assumptions!$B$2,0))</f>
        <v>2.5</v>
      </c>
      <c r="G85" s="2" t="n">
        <f aca="false">NORMDIST($B85-E85+F85,0,Assumptions!$B$3,TRUE())</f>
        <v>0.996597610157543</v>
      </c>
      <c r="H85" s="2" t="s">
        <v>132</v>
      </c>
      <c r="I85" s="2" t="s">
        <v>406</v>
      </c>
      <c r="J85" s="2" t="n">
        <f aca="false">INDEX(Ratings!$B$2:$B$239,MATCH(H85,Ratings!$A$2:$A$239,0))</f>
        <v>-1.8</v>
      </c>
      <c r="K85" s="2" t="n">
        <f aca="false">IF(I85="Home",Assumptions!$B$2,IF(I85="Away",-Assumptions!$B$2,0))</f>
        <v>2.5</v>
      </c>
      <c r="L85" s="2" t="n">
        <f aca="false">NORMDIST($B85-J85+K85,0,Assumptions!$B$3,TRUE())</f>
        <v>0.527405690960468</v>
      </c>
      <c r="M85" s="2" t="s">
        <v>165</v>
      </c>
      <c r="N85" s="2" t="s">
        <v>407</v>
      </c>
      <c r="O85" s="2" t="n">
        <f aca="false">INDEX(Ratings!$B$2:$B$239,MATCH(M85,Ratings!$A$2:$A$239,0))</f>
        <v>-11.7</v>
      </c>
      <c r="P85" s="2" t="n">
        <f aca="false">IF(N85="Home",Assumptions!$B$2,IF(N85="Away",-Assumptions!$B$2,0))</f>
        <v>-2.5</v>
      </c>
      <c r="Q85" s="2" t="n">
        <f aca="false">NORMDIST($B85-O85+P85,0,Assumptions!$B$3,TRUE())</f>
        <v>0.646169766672724</v>
      </c>
      <c r="R85" s="2" t="s">
        <v>121</v>
      </c>
      <c r="S85" s="2" t="s">
        <v>406</v>
      </c>
      <c r="T85" s="2" t="n">
        <f aca="false">INDEX(Ratings!$B$2:$B$239,MATCH(R85,Ratings!$A$2:$A$239,0))</f>
        <v>1.2</v>
      </c>
      <c r="U85" s="2" t="n">
        <f aca="false">IF(S85="Home",Assumptions!$B$2,IF(S85="Away",-Assumptions!$B$2,0))</f>
        <v>2.5</v>
      </c>
      <c r="V85" s="2" t="n">
        <f aca="false">NORMDIST($B85-T85+U85,0,Assumptions!$B$3,TRUE())</f>
        <v>0.452736711249588</v>
      </c>
      <c r="W85" s="2" t="s">
        <v>180</v>
      </c>
      <c r="X85" s="2" t="s">
        <v>407</v>
      </c>
      <c r="Y85" s="2" t="n">
        <f aca="false">INDEX(Ratings!$B$2:$B$239,MATCH(W85,Ratings!$A$2:$A$239,0))</f>
        <v>-17.2</v>
      </c>
      <c r="Z85" s="2" t="n">
        <f aca="false">IF(X85="Home",Assumptions!$B$2,IF(X85="Away",-Assumptions!$B$2,0))</f>
        <v>-2.5</v>
      </c>
      <c r="AA85" s="2" t="n">
        <f aca="false">NORMDIST($B85-Y85+Z85,0,Assumptions!$B$3,TRUE())</f>
        <v>0.763852515027146</v>
      </c>
      <c r="AB85" s="2" t="s">
        <v>112</v>
      </c>
      <c r="AC85" s="2" t="s">
        <v>406</v>
      </c>
      <c r="AD85" s="2" t="n">
        <f aca="false">INDEX(Ratings!$B$2:$B$239,MATCH(AB85,Ratings!$A$2:$A$239,0))</f>
        <v>3.6</v>
      </c>
      <c r="AE85" s="2" t="n">
        <f aca="false">IF(AC85="Home",Assumptions!$B$2,IF(AC85="Away",-Assumptions!$B$2,0))</f>
        <v>2.5</v>
      </c>
      <c r="AF85" s="2" t="n">
        <f aca="false">NORMDIST($B85-AD85+AE85,0,Assumptions!$B$3,TRUE())</f>
        <v>0.394061036152246</v>
      </c>
      <c r="AG85" s="2" t="s">
        <v>161</v>
      </c>
      <c r="AH85" s="2" t="s">
        <v>407</v>
      </c>
      <c r="AI85" s="2" t="n">
        <f aca="false">INDEX(Ratings!$B$2:$B$239,MATCH(AG85,Ratings!$A$2:$A$239,0))</f>
        <v>-10.8</v>
      </c>
      <c r="AJ85" s="2" t="n">
        <f aca="false">IF(AH85="Home",Assumptions!$B$2,IF(AH85="Away",-Assumptions!$B$2,0))</f>
        <v>-2.5</v>
      </c>
      <c r="AK85" s="2" t="n">
        <f aca="false">NORMDIST($B85-AI85+AJ85,0,Assumptions!$B$3,TRUE())</f>
        <v>0.625041951918781</v>
      </c>
      <c r="AL85" s="2" t="s">
        <v>167</v>
      </c>
      <c r="AM85" s="2" t="s">
        <v>406</v>
      </c>
      <c r="AN85" s="2" t="n">
        <f aca="false">INDEX(Ratings!$B$2:$B$239,MATCH(AL85,Ratings!$A$2:$A$239,0))</f>
        <v>-11.9</v>
      </c>
      <c r="AO85" s="2" t="n">
        <f aca="false">IF(AM85="Home",Assumptions!$B$2,IF(AM85="Away",-Assumptions!$B$2,0))</f>
        <v>2.5</v>
      </c>
      <c r="AP85" s="2" t="n">
        <f aca="false">NORMDIST($B85-AN85+AO85,0,Assumptions!$B$3,TRUE())</f>
        <v>0.758036347776927</v>
      </c>
      <c r="AQ85" s="2" t="s">
        <v>138</v>
      </c>
      <c r="AR85" s="2" t="s">
        <v>407</v>
      </c>
      <c r="AS85" s="2" t="n">
        <f aca="false">INDEX(Ratings!$B$2:$B$239,MATCH(AQ85,Ratings!$A$2:$A$239,0))</f>
        <v>-2.4</v>
      </c>
      <c r="AT85" s="2" t="n">
        <f aca="false">IF(AR85="Home",Assumptions!$B$2,IF(AR85="Away",-Assumptions!$B$2,0))</f>
        <v>-2.5</v>
      </c>
      <c r="AU85" s="2" t="n">
        <f aca="false">NORMDIST($B85-AS85+AT85,0,Assumptions!$B$3,TRUE())</f>
        <v>0.418297816494375</v>
      </c>
      <c r="AV85" s="2" t="s">
        <v>178</v>
      </c>
      <c r="AW85" s="2" t="s">
        <v>406</v>
      </c>
      <c r="AX85" s="2" t="n">
        <f aca="false">INDEX(Ratings!$B$2:$B$239,MATCH(AV85,Ratings!$A$2:$A$239,0))</f>
        <v>-15.7</v>
      </c>
      <c r="AY85" s="2" t="n">
        <f aca="false">IF(AW85="Home",Assumptions!$B$2,IF(AW85="Away",-Assumptions!$B$2,0))</f>
        <v>2.5</v>
      </c>
      <c r="AZ85" s="2" t="n">
        <f aca="false">NORMDIST($B85-AX85+AY85,0,Assumptions!$B$3,TRUE())</f>
        <v>0.825749288119458</v>
      </c>
      <c r="BA85" s="2" t="s">
        <v>184</v>
      </c>
      <c r="BB85" s="2" t="s">
        <v>406</v>
      </c>
      <c r="BC85" s="2" t="n">
        <f aca="false">INDEX(Ratings!$B$2:$B$239,MATCH(BA85,Ratings!$A$2:$A$239,0))</f>
        <v>-19.3</v>
      </c>
      <c r="BD85" s="2" t="n">
        <f aca="false">IF(BB85="Home",Assumptions!$B$2,IF(BB85="Away",-Assumptions!$B$2,0))</f>
        <v>2.5</v>
      </c>
      <c r="BE85" s="2" t="n">
        <f aca="false">NORMDIST($B85-BC85+BD85,0,Assumptions!$B$3,TRUE())</f>
        <v>0.877483787656951</v>
      </c>
      <c r="BF85" s="2" t="s">
        <v>125</v>
      </c>
      <c r="BG85" s="2" t="s">
        <v>407</v>
      </c>
      <c r="BH85" s="2" t="n">
        <f aca="false">INDEX(Ratings!$B$2:$B$239,MATCH(BF85,Ratings!$A$2:$A$239,0))</f>
        <v>0</v>
      </c>
      <c r="BI85" s="2" t="n">
        <f aca="false">IF(BG85="Home",Assumptions!$B$2,IF(BG85="Away",-Assumptions!$B$2,0))</f>
        <v>-2.5</v>
      </c>
      <c r="BJ85" s="2" t="n">
        <f aca="false">NORMDIST($B85-BH85+BI85,0,Assumptions!$B$3,TRUE())</f>
        <v>0.360826675149783</v>
      </c>
      <c r="BP85" s="2" t="n">
        <v>12</v>
      </c>
      <c r="BQ85" s="2" t="n">
        <f aca="false">G85+L85+Q85+V85+AA85+AF85+AK85+AP85+AU85+AZ85+BE85+BJ85</f>
        <v>7.64625919733599</v>
      </c>
    </row>
    <row r="86" customFormat="false" ht="15" hidden="false" customHeight="false" outlineLevel="0" collapsed="false">
      <c r="A86" s="2" t="s">
        <v>142</v>
      </c>
      <c r="B86" s="2" t="n">
        <f aca="false">INDEX(Ratings!$B$2:$B$239,MATCH($A86,Ratings!$A$2:$A$239,0))</f>
        <v>-4</v>
      </c>
      <c r="C86" s="2" t="s">
        <v>98</v>
      </c>
      <c r="D86" s="2" t="s">
        <v>407</v>
      </c>
      <c r="E86" s="2" t="n">
        <f aca="false">INDEX(Ratings!$B$2:$B$239,MATCH(C86,Ratings!$A$2:$A$239,0))</f>
        <v>6.2</v>
      </c>
      <c r="F86" s="2" t="n">
        <f aca="false">IF(D86="Home",Assumptions!$B$2,IF(D86="Away",-Assumptions!$B$2,0))</f>
        <v>-2.5</v>
      </c>
      <c r="G86" s="2" t="n">
        <f aca="false">NORMDIST($B86-E86+F86,0,Assumptions!$B$3,TRUE())</f>
        <v>0.213670492940356</v>
      </c>
      <c r="H86" s="2" t="s">
        <v>269</v>
      </c>
      <c r="I86" s="2" t="s">
        <v>406</v>
      </c>
      <c r="J86" s="2" t="n">
        <f aca="false">INDEX(Ratings!$B$2:$B$239,MATCH(H86,Ratings!$A$2:$A$239,0))</f>
        <v>-39</v>
      </c>
      <c r="K86" s="2" t="n">
        <f aca="false">IF(I86="Home",Assumptions!$B$2,IF(I86="Away",-Assumptions!$B$2,0))</f>
        <v>2.5</v>
      </c>
      <c r="L86" s="2" t="n">
        <f aca="false">NORMDIST($B86-J86+K86,0,Assumptions!$B$3,TRUE())</f>
        <v>0.990454518463614</v>
      </c>
      <c r="M86" s="2" t="s">
        <v>116</v>
      </c>
      <c r="N86" s="2" t="s">
        <v>408</v>
      </c>
      <c r="O86" s="2" t="n">
        <f aca="false">INDEX(Ratings!$B$2:$B$239,MATCH(M86,Ratings!$A$2:$A$239,0))</f>
        <v>3</v>
      </c>
      <c r="P86" s="2" t="n">
        <f aca="false">IF(N86="Home",Assumptions!$B$2,IF(N86="Away",-Assumptions!$B$2,0))</f>
        <v>0</v>
      </c>
      <c r="Q86" s="2" t="n">
        <f aca="false">NORMDIST($B86-O86+P86,0,Assumptions!$B$3,TRUE())</f>
        <v>0.330874388040879</v>
      </c>
      <c r="R86" s="2" t="s">
        <v>167</v>
      </c>
      <c r="S86" s="2" t="s">
        <v>406</v>
      </c>
      <c r="T86" s="2" t="n">
        <f aca="false">INDEX(Ratings!$B$2:$B$239,MATCH(R86,Ratings!$A$2:$A$239,0))</f>
        <v>-11.9</v>
      </c>
      <c r="U86" s="2" t="n">
        <f aca="false">IF(S86="Home",Assumptions!$B$2,IF(S86="Away",-Assumptions!$B$2,0))</f>
        <v>2.5</v>
      </c>
      <c r="V86" s="2" t="n">
        <f aca="false">NORMDIST($B86-T86+U86,0,Assumptions!$B$3,TRUE())</f>
        <v>0.742153889194135</v>
      </c>
      <c r="W86" s="2" t="s">
        <v>175</v>
      </c>
      <c r="X86" s="2" t="s">
        <v>406</v>
      </c>
      <c r="Y86" s="2" t="n">
        <f aca="false">INDEX(Ratings!$B$2:$B$239,MATCH(W86,Ratings!$A$2:$A$239,0))</f>
        <v>-15</v>
      </c>
      <c r="Z86" s="2" t="n">
        <f aca="false">IF(X86="Home",Assumptions!$B$2,IF(X86="Away",-Assumptions!$B$2,0))</f>
        <v>2.5</v>
      </c>
      <c r="AA86" s="2" t="n">
        <f aca="false">NORMDIST($B86-Y86+Z86,0,Assumptions!$B$3,TRUE())</f>
        <v>0.800595439528627</v>
      </c>
      <c r="AB86" s="2" t="s">
        <v>195</v>
      </c>
      <c r="AC86" s="2" t="s">
        <v>407</v>
      </c>
      <c r="AD86" s="2" t="n">
        <f aca="false">INDEX(Ratings!$B$2:$B$239,MATCH(AB86,Ratings!$A$2:$A$239,0))</f>
        <v>-32.9</v>
      </c>
      <c r="AE86" s="2" t="n">
        <f aca="false">IF(AC86="Home",Assumptions!$B$2,IF(AC86="Away",-Assumptions!$B$2,0))</f>
        <v>-2.5</v>
      </c>
      <c r="AF86" s="2" t="n">
        <f aca="false">NORMDIST($B86-AD86+AE86,0,Assumptions!$B$3,TRUE())</f>
        <v>0.950528531966352</v>
      </c>
      <c r="AG86" s="2" t="s">
        <v>187</v>
      </c>
      <c r="AH86" s="2" t="s">
        <v>406</v>
      </c>
      <c r="AI86" s="2" t="n">
        <f aca="false">INDEX(Ratings!$B$2:$B$239,MATCH(AG86,Ratings!$A$2:$A$239,0))</f>
        <v>-22.9</v>
      </c>
      <c r="AJ86" s="2" t="n">
        <f aca="false">IF(AH86="Home",Assumptions!$B$2,IF(AH86="Away",-Assumptions!$B$2,0))</f>
        <v>2.5</v>
      </c>
      <c r="AK86" s="2" t="n">
        <f aca="false">NORMDIST($B86-AI86+AJ86,0,Assumptions!$B$3,TRUE())</f>
        <v>0.909470258861824</v>
      </c>
      <c r="AL86" s="2" t="s">
        <v>176</v>
      </c>
      <c r="AM86" s="2" t="s">
        <v>407</v>
      </c>
      <c r="AN86" s="2" t="n">
        <f aca="false">INDEX(Ratings!$B$2:$B$239,MATCH(AL86,Ratings!$A$2:$A$239,0))</f>
        <v>-15.1</v>
      </c>
      <c r="AO86" s="2" t="n">
        <f aca="false">IF(AM86="Home",Assumptions!$B$2,IF(AM86="Away",-Assumptions!$B$2,0))</f>
        <v>-2.5</v>
      </c>
      <c r="AP86" s="2" t="n">
        <f aca="false">NORMDIST($B86-AN86+AO86,0,Assumptions!$B$3,TRUE())</f>
        <v>0.704538857537264</v>
      </c>
      <c r="AQ86" s="2" t="s">
        <v>168</v>
      </c>
      <c r="AR86" s="2" t="s">
        <v>406</v>
      </c>
      <c r="AS86" s="2" t="n">
        <f aca="false">INDEX(Ratings!$B$2:$B$239,MATCH(AQ86,Ratings!$A$2:$A$239,0))</f>
        <v>-12.7</v>
      </c>
      <c r="AT86" s="2" t="n">
        <f aca="false">IF(AR86="Home",Assumptions!$B$2,IF(AR86="Away",-Assumptions!$B$2,0))</f>
        <v>2.5</v>
      </c>
      <c r="AU86" s="2" t="n">
        <f aca="false">NORMDIST($B86-AS86+AT86,0,Assumptions!$B$3,TRUE())</f>
        <v>0.758036347776927</v>
      </c>
      <c r="AV86" s="2" t="s">
        <v>166</v>
      </c>
      <c r="AW86" s="2" t="s">
        <v>406</v>
      </c>
      <c r="AX86" s="2" t="n">
        <f aca="false">INDEX(Ratings!$B$2:$B$239,MATCH(AV86,Ratings!$A$2:$A$239,0))</f>
        <v>-11.8</v>
      </c>
      <c r="AY86" s="2" t="n">
        <f aca="false">IF(AW86="Home",Assumptions!$B$2,IF(AW86="Away",-Assumptions!$B$2,0))</f>
        <v>2.5</v>
      </c>
      <c r="AZ86" s="2" t="n">
        <f aca="false">NORMDIST($B86-AX86+AY86,0,Assumptions!$B$3,TRUE())</f>
        <v>0.740131219334939</v>
      </c>
      <c r="BA86" s="2" t="s">
        <v>186</v>
      </c>
      <c r="BB86" s="2" t="s">
        <v>407</v>
      </c>
      <c r="BC86" s="2" t="n">
        <f aca="false">INDEX(Ratings!$B$2:$B$239,MATCH(BA86,Ratings!$A$2:$A$239,0))</f>
        <v>-22.4</v>
      </c>
      <c r="BD86" s="2" t="n">
        <f aca="false">IF(BB86="Home",Assumptions!$B$2,IF(BB86="Away",-Assumptions!$B$2,0))</f>
        <v>-2.5</v>
      </c>
      <c r="BE86" s="2" t="n">
        <f aca="false">NORMDIST($B86-BC86+BD86,0,Assumptions!$B$3,TRUE())</f>
        <v>0.839827703080392</v>
      </c>
      <c r="BF86" s="2" t="s">
        <v>147</v>
      </c>
      <c r="BG86" s="2" t="s">
        <v>407</v>
      </c>
      <c r="BH86" s="2" t="n">
        <f aca="false">INDEX(Ratings!$B$2:$B$239,MATCH(BF86,Ratings!$A$2:$A$239,0))</f>
        <v>-6</v>
      </c>
      <c r="BI86" s="2" t="n">
        <f aca="false">IF(BG86="Home",Assumptions!$B$2,IF(BG86="Away",-Assumptions!$B$2,0))</f>
        <v>-2.5</v>
      </c>
      <c r="BJ86" s="2" t="n">
        <f aca="false">NORMDIST($B86-BH86+BI86,0,Assumptions!$B$3,TRUE())</f>
        <v>0.487535082565623</v>
      </c>
      <c r="BP86" s="2" t="n">
        <v>12</v>
      </c>
      <c r="BQ86" s="2" t="n">
        <f aca="false">G86+L86+Q86+V86+AA86+AF86+AK86+AP86+AU86+AZ86+BE86+BJ86</f>
        <v>8.46781672929093</v>
      </c>
    </row>
    <row r="87" customFormat="false" ht="15" hidden="false" customHeight="false" outlineLevel="0" collapsed="false">
      <c r="A87" s="2" t="s">
        <v>143</v>
      </c>
      <c r="B87" s="2" t="n">
        <f aca="false">INDEX(Ratings!$B$2:$B$239,MATCH($A87,Ratings!$A$2:$A$239,0))</f>
        <v>-4.3</v>
      </c>
      <c r="C87" s="2" t="s">
        <v>75</v>
      </c>
      <c r="D87" s="2" t="s">
        <v>407</v>
      </c>
      <c r="E87" s="2" t="n">
        <f aca="false">INDEX(Ratings!$B$2:$B$239,MATCH(C87,Ratings!$A$2:$A$239,0))</f>
        <v>15.8</v>
      </c>
      <c r="F87" s="2" t="n">
        <f aca="false">IF(D87="Home",Assumptions!$B$2,IF(D87="Away",-Assumptions!$B$2,0))</f>
        <v>-2.5</v>
      </c>
      <c r="G87" s="2" t="n">
        <f aca="false">NORMDIST($B87-E87+F87,0,Assumptions!$B$3,TRUE())</f>
        <v>0.0789013953451527</v>
      </c>
      <c r="H87" s="2" t="s">
        <v>91</v>
      </c>
      <c r="I87" s="2" t="s">
        <v>407</v>
      </c>
      <c r="J87" s="2" t="n">
        <f aca="false">INDEX(Ratings!$B$2:$B$239,MATCH(H87,Ratings!$A$2:$A$239,0))</f>
        <v>9.2</v>
      </c>
      <c r="K87" s="2" t="n">
        <f aca="false">IF(I87="Home",Assumptions!$B$2,IF(I87="Away",-Assumptions!$B$2,0))</f>
        <v>-2.5</v>
      </c>
      <c r="L87" s="2" t="n">
        <f aca="false">NORMDIST($B87-J87+K87,0,Assumptions!$B$3,TRUE())</f>
        <v>0.158655253931457</v>
      </c>
      <c r="M87" s="2" t="s">
        <v>255</v>
      </c>
      <c r="N87" s="2" t="s">
        <v>406</v>
      </c>
      <c r="O87" s="2" t="n">
        <f aca="false">INDEX(Ratings!$B$2:$B$239,MATCH(M87,Ratings!$A$2:$A$239,0))</f>
        <v>-44</v>
      </c>
      <c r="P87" s="2" t="n">
        <f aca="false">IF(N87="Home",Assumptions!$B$2,IF(N87="Away",-Assumptions!$B$2,0))</f>
        <v>2.5</v>
      </c>
      <c r="Q87" s="2" t="n">
        <f aca="false">NORMDIST($B87-O87+P87,0,Assumptions!$B$3,TRUE())</f>
        <v>0.995824018722635</v>
      </c>
      <c r="R87" s="2" t="s">
        <v>88</v>
      </c>
      <c r="S87" s="2" t="s">
        <v>406</v>
      </c>
      <c r="T87" s="2" t="n">
        <f aca="false">INDEX(Ratings!$B$2:$B$239,MATCH(R87,Ratings!$A$2:$A$239,0))</f>
        <v>9.5</v>
      </c>
      <c r="U87" s="2" t="n">
        <f aca="false">IF(S87="Home",Assumptions!$B$2,IF(S87="Away",-Assumptions!$B$2,0))</f>
        <v>2.5</v>
      </c>
      <c r="V87" s="2" t="n">
        <f aca="false">NORMDIST($B87-T87+U87,0,Assumptions!$B$3,TRUE())</f>
        <v>0.240016340681267</v>
      </c>
      <c r="W87" s="2" t="s">
        <v>130</v>
      </c>
      <c r="X87" s="2" t="s">
        <v>406</v>
      </c>
      <c r="Y87" s="2" t="n">
        <f aca="false">INDEX(Ratings!$B$2:$B$239,MATCH(W87,Ratings!$A$2:$A$239,0))</f>
        <v>-1.4</v>
      </c>
      <c r="Z87" s="2" t="n">
        <f aca="false">IF(X87="Home",Assumptions!$B$2,IF(X87="Away",-Assumptions!$B$2,0))</f>
        <v>2.5</v>
      </c>
      <c r="AA87" s="2" t="n">
        <f aca="false">NORMDIST($B87-Y87+Z87,0,Assumptions!$B$3,TRUE())</f>
        <v>0.490027481804762</v>
      </c>
      <c r="AB87" s="2" t="s">
        <v>153</v>
      </c>
      <c r="AC87" s="2" t="s">
        <v>407</v>
      </c>
      <c r="AD87" s="2" t="n">
        <f aca="false">INDEX(Ratings!$B$2:$B$239,MATCH(AB87,Ratings!$A$2:$A$239,0))</f>
        <v>-7.9</v>
      </c>
      <c r="AE87" s="2" t="n">
        <f aca="false">IF(AC87="Home",Assumptions!$B$2,IF(AC87="Away",-Assumptions!$B$2,0))</f>
        <v>-2.5</v>
      </c>
      <c r="AF87" s="2" t="n">
        <f aca="false">NORMDIST($B87-AD87+AE87,0,Assumptions!$B$3,TRUE())</f>
        <v>0.527405690960468</v>
      </c>
      <c r="AG87" s="2" t="s">
        <v>146</v>
      </c>
      <c r="AH87" s="2" t="s">
        <v>407</v>
      </c>
      <c r="AI87" s="2" t="n">
        <f aca="false">INDEX(Ratings!$B$2:$B$239,MATCH(AG87,Ratings!$A$2:$A$239,0))</f>
        <v>-5.6</v>
      </c>
      <c r="AJ87" s="2" t="n">
        <f aca="false">IF(AH87="Home",Assumptions!$B$2,IF(AH87="Away",-Assumptions!$B$2,0))</f>
        <v>-2.5</v>
      </c>
      <c r="AK87" s="2" t="n">
        <f aca="false">NORMDIST($B87-AI87+AJ87,0,Assumptions!$B$3,TRUE())</f>
        <v>0.470107355947105</v>
      </c>
      <c r="AL87" s="2" t="s">
        <v>106</v>
      </c>
      <c r="AM87" s="2" t="s">
        <v>406</v>
      </c>
      <c r="AN87" s="2" t="n">
        <f aca="false">INDEX(Ratings!$B$2:$B$239,MATCH(AL87,Ratings!$A$2:$A$239,0))</f>
        <v>5.1</v>
      </c>
      <c r="AO87" s="2" t="n">
        <f aca="false">IF(AM87="Home",Assumptions!$B$2,IF(AM87="Away",-Assumptions!$B$2,0))</f>
        <v>2.5</v>
      </c>
      <c r="AP87" s="2" t="n">
        <f aca="false">NORMDIST($B87-AN87+AO87,0,Assumptions!$B$3,TRUE())</f>
        <v>0.333143300876488</v>
      </c>
      <c r="AQ87" s="2" t="s">
        <v>122</v>
      </c>
      <c r="AR87" s="2" t="s">
        <v>407</v>
      </c>
      <c r="AS87" s="2" t="n">
        <f aca="false">INDEX(Ratings!$B$2:$B$239,MATCH(AQ87,Ratings!$A$2:$A$239,0))</f>
        <v>0.7</v>
      </c>
      <c r="AT87" s="2" t="n">
        <f aca="false">IF(AR87="Home",Assumptions!$B$2,IF(AR87="Away",-Assumptions!$B$2,0))</f>
        <v>-2.5</v>
      </c>
      <c r="AU87" s="2" t="n">
        <f aca="false">NORMDIST($B87-AS87+AT87,0,Assumptions!$B$3,TRUE())</f>
        <v>0.319624171517118</v>
      </c>
      <c r="AV87" s="2" t="s">
        <v>164</v>
      </c>
      <c r="AW87" s="2" t="s">
        <v>406</v>
      </c>
      <c r="AX87" s="2" t="n">
        <f aca="false">INDEX(Ratings!$B$2:$B$239,MATCH(AV87,Ratings!$A$2:$A$239,0))</f>
        <v>-11.6</v>
      </c>
      <c r="AY87" s="2" t="n">
        <f aca="false">IF(AW87="Home",Assumptions!$B$2,IF(AW87="Away",-Assumptions!$B$2,0))</f>
        <v>2.5</v>
      </c>
      <c r="AZ87" s="2" t="n">
        <f aca="false">NORMDIST($B87-AX87+AY87,0,Assumptions!$B$3,TRUE())</f>
        <v>0.729896500998765</v>
      </c>
      <c r="BA87" s="2" t="s">
        <v>134</v>
      </c>
      <c r="BB87" s="2" t="s">
        <v>407</v>
      </c>
      <c r="BC87" s="2" t="n">
        <f aca="false">INDEX(Ratings!$B$2:$B$239,MATCH(BA87,Ratings!$A$2:$A$239,0))</f>
        <v>-2.1</v>
      </c>
      <c r="BD87" s="2" t="n">
        <f aca="false">IF(BB87="Home",Assumptions!$B$2,IF(BB87="Away",-Assumptions!$B$2,0))</f>
        <v>-2.5</v>
      </c>
      <c r="BE87" s="2" t="n">
        <f aca="false">NORMDIST($B87-BC87+BD87,0,Assumptions!$B$3,TRUE())</f>
        <v>0.384474472208787</v>
      </c>
      <c r="BF87" s="2" t="s">
        <v>146</v>
      </c>
      <c r="BG87" s="2" t="s">
        <v>406</v>
      </c>
      <c r="BH87" s="2" t="n">
        <f aca="false">INDEX(Ratings!$B$2:$B$239,MATCH(BF87,Ratings!$A$2:$A$239,0))</f>
        <v>-5.6</v>
      </c>
      <c r="BI87" s="2" t="n">
        <f aca="false">IF(BG87="Home",Assumptions!$B$2,IF(BG87="Away",-Assumptions!$B$2,0))</f>
        <v>2.5</v>
      </c>
      <c r="BJ87" s="2" t="n">
        <f aca="false">NORMDIST($B87-BH87+BI87,0,Assumptions!$B$3,TRUE())</f>
        <v>0.593865540399242</v>
      </c>
      <c r="BP87" s="2" t="n">
        <v>12</v>
      </c>
      <c r="BQ87" s="2" t="n">
        <f aca="false">G87+L87+Q87+V87+AA87+AF87+AK87+AP87+AU87+AZ87+BE87+BJ87</f>
        <v>5.32194152339325</v>
      </c>
    </row>
    <row r="88" customFormat="false" ht="15" hidden="false" customHeight="false" outlineLevel="0" collapsed="false">
      <c r="A88" s="2" t="s">
        <v>144</v>
      </c>
      <c r="B88" s="2" t="n">
        <f aca="false">INDEX(Ratings!$B$2:$B$239,MATCH($A88,Ratings!$A$2:$A$239,0))</f>
        <v>-4.3</v>
      </c>
      <c r="C88" s="2" t="s">
        <v>102</v>
      </c>
      <c r="D88" s="2" t="s">
        <v>407</v>
      </c>
      <c r="E88" s="2" t="n">
        <f aca="false">INDEX(Ratings!$B$2:$B$239,MATCH(C88,Ratings!$A$2:$A$239,0))</f>
        <v>5.6</v>
      </c>
      <c r="F88" s="2" t="n">
        <f aca="false">IF(D88="Home",Assumptions!$B$2,IF(D88="Away",-Assumptions!$B$2,0))</f>
        <v>-2.5</v>
      </c>
      <c r="G88" s="2" t="n">
        <f aca="false">NORMDIST($B88-E88+F88,0,Assumptions!$B$3,TRUE())</f>
        <v>0.219169829793377</v>
      </c>
      <c r="H88" s="2" t="s">
        <v>173</v>
      </c>
      <c r="I88" s="2" t="s">
        <v>406</v>
      </c>
      <c r="J88" s="2" t="n">
        <f aca="false">INDEX(Ratings!$B$2:$B$239,MATCH(H88,Ratings!$A$2:$A$239,0))</f>
        <v>-14.6</v>
      </c>
      <c r="K88" s="2" t="n">
        <f aca="false">IF(I88="Home",Assumptions!$B$2,IF(I88="Away",-Assumptions!$B$2,0))</f>
        <v>2.5</v>
      </c>
      <c r="L88" s="2" t="n">
        <f aca="false">NORMDIST($B88-J88+K88,0,Assumptions!$B$3,TRUE())</f>
        <v>0.788144601416603</v>
      </c>
      <c r="M88" s="2" t="s">
        <v>91</v>
      </c>
      <c r="N88" s="2" t="s">
        <v>407</v>
      </c>
      <c r="O88" s="2" t="n">
        <f aca="false">INDEX(Ratings!$B$2:$B$239,MATCH(M88,Ratings!$A$2:$A$239,0))</f>
        <v>9.2</v>
      </c>
      <c r="P88" s="2" t="n">
        <f aca="false">IF(N88="Home",Assumptions!$B$2,IF(N88="Away",-Assumptions!$B$2,0))</f>
        <v>-2.5</v>
      </c>
      <c r="Q88" s="2" t="n">
        <f aca="false">NORMDIST($B88-O88+P88,0,Assumptions!$B$3,TRUE())</f>
        <v>0.158655253931457</v>
      </c>
      <c r="R88" s="2" t="s">
        <v>185</v>
      </c>
      <c r="S88" s="2" t="s">
        <v>406</v>
      </c>
      <c r="T88" s="2" t="n">
        <f aca="false">INDEX(Ratings!$B$2:$B$239,MATCH(R88,Ratings!$A$2:$A$239,0))</f>
        <v>-20.7</v>
      </c>
      <c r="U88" s="2" t="n">
        <f aca="false">IF(S88="Home",Assumptions!$B$2,IF(S88="Away",-Assumptions!$B$2,0))</f>
        <v>2.5</v>
      </c>
      <c r="V88" s="2" t="n">
        <f aca="false">NORMDIST($B88-T88+U88,0,Assumptions!$B$3,TRUE())</f>
        <v>0.881248288142535</v>
      </c>
      <c r="W88" s="2" t="s">
        <v>138</v>
      </c>
      <c r="X88" s="2" t="s">
        <v>407</v>
      </c>
      <c r="Y88" s="2" t="n">
        <f aca="false">INDEX(Ratings!$B$2:$B$239,MATCH(W88,Ratings!$A$2:$A$239,0))</f>
        <v>-2.4</v>
      </c>
      <c r="Z88" s="2" t="n">
        <f aca="false">IF(X88="Home",Assumptions!$B$2,IF(X88="Away",-Assumptions!$B$2,0))</f>
        <v>-2.5</v>
      </c>
      <c r="AA88" s="2" t="n">
        <f aca="false">NORMDIST($B88-Y88+Z88,0,Assumptions!$B$3,TRUE())</f>
        <v>0.391658119153605</v>
      </c>
      <c r="AB88" s="2" t="s">
        <v>124</v>
      </c>
      <c r="AC88" s="2" t="s">
        <v>406</v>
      </c>
      <c r="AD88" s="2" t="n">
        <f aca="false">INDEX(Ratings!$B$2:$B$239,MATCH(AB88,Ratings!$A$2:$A$239,0))</f>
        <v>0.3</v>
      </c>
      <c r="AE88" s="2" t="n">
        <f aca="false">IF(AC88="Home",Assumptions!$B$2,IF(AC88="Away",-Assumptions!$B$2,0))</f>
        <v>2.5</v>
      </c>
      <c r="AF88" s="2" t="n">
        <f aca="false">NORMDIST($B88-AD88+AE88,0,Assumptions!$B$3,TRUE())</f>
        <v>0.447788771872615</v>
      </c>
      <c r="AG88" s="2" t="s">
        <v>128</v>
      </c>
      <c r="AH88" s="2" t="s">
        <v>406</v>
      </c>
      <c r="AI88" s="2" t="n">
        <f aca="false">INDEX(Ratings!$B$2:$B$239,MATCH(AG88,Ratings!$A$2:$A$239,0))</f>
        <v>-1.1</v>
      </c>
      <c r="AJ88" s="2" t="n">
        <f aca="false">IF(AH88="Home",Assumptions!$B$2,IF(AH88="Away",-Assumptions!$B$2,0))</f>
        <v>2.5</v>
      </c>
      <c r="AK88" s="2" t="n">
        <f aca="false">NORMDIST($B88-AI88+AJ88,0,Assumptions!$B$3,TRUE())</f>
        <v>0.48255184155421</v>
      </c>
      <c r="AL88" s="2" t="s">
        <v>189</v>
      </c>
      <c r="AM88" s="2" t="s">
        <v>407</v>
      </c>
      <c r="AN88" s="2" t="n">
        <f aca="false">INDEX(Ratings!$B$2:$B$239,MATCH(AL88,Ratings!$A$2:$A$239,0))</f>
        <v>-24.1</v>
      </c>
      <c r="AO88" s="2" t="n">
        <f aca="false">IF(AM88="Home",Assumptions!$B$2,IF(AM88="Away",-Assumptions!$B$2,0))</f>
        <v>-2.5</v>
      </c>
      <c r="AP88" s="2" t="n">
        <f aca="false">NORMDIST($B88-AN88+AO88,0,Assumptions!$B$3,TRUE())</f>
        <v>0.860207038932886</v>
      </c>
      <c r="AQ88" s="2" t="s">
        <v>149</v>
      </c>
      <c r="AR88" s="2" t="s">
        <v>406</v>
      </c>
      <c r="AS88" s="2" t="n">
        <f aca="false">INDEX(Ratings!$B$2:$B$239,MATCH(AQ88,Ratings!$A$2:$A$239,0))</f>
        <v>-6.1</v>
      </c>
      <c r="AT88" s="2" t="n">
        <f aca="false">IF(AR88="Home",Assumptions!$B$2,IF(AR88="Away",-Assumptions!$B$2,0))</f>
        <v>2.5</v>
      </c>
      <c r="AU88" s="2" t="n">
        <f aca="false">NORMDIST($B88-AS88+AT88,0,Assumptions!$B$3,TRUE())</f>
        <v>0.605938963847754</v>
      </c>
      <c r="AV88" s="2" t="s">
        <v>177</v>
      </c>
      <c r="AW88" s="2" t="s">
        <v>407</v>
      </c>
      <c r="AX88" s="2" t="n">
        <f aca="false">INDEX(Ratings!$B$2:$B$239,MATCH(AV88,Ratings!$A$2:$A$239,0))</f>
        <v>-15.3</v>
      </c>
      <c r="AY88" s="2" t="n">
        <f aca="false">IF(AW88="Home",Assumptions!$B$2,IF(AW88="Away",-Assumptions!$B$2,0))</f>
        <v>-2.5</v>
      </c>
      <c r="AZ88" s="2" t="n">
        <f aca="false">NORMDIST($B88-AX88+AY88,0,Assumptions!$B$3,TRUE())</f>
        <v>0.702377225633592</v>
      </c>
      <c r="BA88" s="2" t="s">
        <v>162</v>
      </c>
      <c r="BB88" s="2" t="s">
        <v>406</v>
      </c>
      <c r="BC88" s="2" t="n">
        <f aca="false">INDEX(Ratings!$B$2:$B$239,MATCH(BA88,Ratings!$A$2:$A$239,0))</f>
        <v>-11.6</v>
      </c>
      <c r="BD88" s="2" t="n">
        <f aca="false">IF(BB88="Home",Assumptions!$B$2,IF(BB88="Away",-Assumptions!$B$2,0))</f>
        <v>2.5</v>
      </c>
      <c r="BE88" s="2" t="n">
        <f aca="false">NORMDIST($B88-BC88+BD88,0,Assumptions!$B$3,TRUE())</f>
        <v>0.729896500998765</v>
      </c>
      <c r="BF88" s="2" t="s">
        <v>131</v>
      </c>
      <c r="BG88" s="2" t="s">
        <v>407</v>
      </c>
      <c r="BH88" s="2" t="n">
        <f aca="false">INDEX(Ratings!$B$2:$B$239,MATCH(BF88,Ratings!$A$2:$A$239,0))</f>
        <v>-1.7</v>
      </c>
      <c r="BI88" s="2" t="n">
        <f aca="false">IF(BG88="Home",Assumptions!$B$2,IF(BG88="Away",-Assumptions!$B$2,0))</f>
        <v>-2.5</v>
      </c>
      <c r="BJ88" s="2" t="n">
        <f aca="false">NORMDIST($B88-BH88+BI88,0,Assumptions!$B$3,TRUE())</f>
        <v>0.374958048081219</v>
      </c>
      <c r="BP88" s="2" t="n">
        <v>12</v>
      </c>
      <c r="BQ88" s="2" t="n">
        <f aca="false">G88+L88+Q88+V88+AA88+AF88+AK88+AP88+AU88+AZ88+BE88+BJ88</f>
        <v>6.64259448335862</v>
      </c>
    </row>
    <row r="89" customFormat="false" ht="15" hidden="false" customHeight="false" outlineLevel="0" collapsed="false">
      <c r="A89" s="2" t="s">
        <v>145</v>
      </c>
      <c r="B89" s="2" t="n">
        <f aca="false">INDEX(Ratings!$B$2:$B$239,MATCH($A89,Ratings!$A$2:$A$239,0))</f>
        <v>-5.3</v>
      </c>
      <c r="C89" s="2" t="s">
        <v>127</v>
      </c>
      <c r="D89" s="2" t="s">
        <v>407</v>
      </c>
      <c r="E89" s="2" t="n">
        <f aca="false">INDEX(Ratings!$B$2:$B$239,MATCH(C89,Ratings!$A$2:$A$239,0))</f>
        <v>-0.9</v>
      </c>
      <c r="F89" s="2" t="n">
        <f aca="false">IF(D89="Home",Assumptions!$B$2,IF(D89="Away",-Assumptions!$B$2,0))</f>
        <v>-2.5</v>
      </c>
      <c r="G89" s="2" t="n">
        <f aca="false">NORMDIST($B89-E89+F89,0,Assumptions!$B$3,TRUE())</f>
        <v>0.333143300876488</v>
      </c>
      <c r="H89" s="2" t="s">
        <v>265</v>
      </c>
      <c r="I89" s="2" t="s">
        <v>406</v>
      </c>
      <c r="J89" s="2" t="n">
        <f aca="false">INDEX(Ratings!$B$2:$B$239,MATCH(H89,Ratings!$A$2:$A$239,0))</f>
        <v>-34</v>
      </c>
      <c r="K89" s="2" t="n">
        <f aca="false">IF(I89="Home",Assumptions!$B$2,IF(I89="Away",-Assumptions!$B$2,0))</f>
        <v>2.5</v>
      </c>
      <c r="L89" s="2" t="n">
        <f aca="false">NORMDIST($B89-J89+K89,0,Assumptions!$B$3,TRUE())</f>
        <v>0.974411940478361</v>
      </c>
      <c r="M89" s="2" t="s">
        <v>190</v>
      </c>
      <c r="N89" s="2" t="s">
        <v>406</v>
      </c>
      <c r="O89" s="2" t="n">
        <f aca="false">INDEX(Ratings!$B$2:$B$239,MATCH(M89,Ratings!$A$2:$A$239,0))</f>
        <v>-25.1</v>
      </c>
      <c r="P89" s="2" t="n">
        <f aca="false">IF(N89="Home",Assumptions!$B$2,IF(N89="Away",-Assumptions!$B$2,0))</f>
        <v>2.5</v>
      </c>
      <c r="Q89" s="2" t="n">
        <f aca="false">NORMDIST($B89-O89+P89,0,Assumptions!$B$3,TRUE())</f>
        <v>0.918303444160807</v>
      </c>
      <c r="R89" s="2" t="s">
        <v>174</v>
      </c>
      <c r="S89" s="2" t="s">
        <v>407</v>
      </c>
      <c r="T89" s="2" t="n">
        <f aca="false">INDEX(Ratings!$B$2:$B$239,MATCH(R89,Ratings!$A$2:$A$239,0))</f>
        <v>-14.7</v>
      </c>
      <c r="U89" s="2" t="n">
        <f aca="false">IF(S89="Home",Assumptions!$B$2,IF(S89="Away",-Assumptions!$B$2,0))</f>
        <v>-2.5</v>
      </c>
      <c r="V89" s="2" t="n">
        <f aca="false">NORMDIST($B89-T89+U89,0,Assumptions!$B$3,TRUE())</f>
        <v>0.666856699123512</v>
      </c>
      <c r="W89" s="2" t="s">
        <v>170</v>
      </c>
      <c r="X89" s="2" t="s">
        <v>407</v>
      </c>
      <c r="Y89" s="2" t="n">
        <f aca="false">INDEX(Ratings!$B$2:$B$239,MATCH(W89,Ratings!$A$2:$A$239,0))</f>
        <v>-12.9</v>
      </c>
      <c r="Z89" s="2" t="n">
        <f aca="false">IF(X89="Home",Assumptions!$B$2,IF(X89="Away",-Assumptions!$B$2,0))</f>
        <v>-2.5</v>
      </c>
      <c r="AA89" s="2" t="n">
        <f aca="false">NORMDIST($B89-Y89+Z89,0,Assumptions!$B$3,TRUE())</f>
        <v>0.625041951918781</v>
      </c>
      <c r="AB89" s="2" t="s">
        <v>191</v>
      </c>
      <c r="AC89" s="2" t="s">
        <v>406</v>
      </c>
      <c r="AD89" s="2" t="n">
        <f aca="false">INDEX(Ratings!$B$2:$B$239,MATCH(AB89,Ratings!$A$2:$A$239,0))</f>
        <v>-26</v>
      </c>
      <c r="AE89" s="2" t="n">
        <f aca="false">IF(AC89="Home",Assumptions!$B$2,IF(AC89="Away",-Assumptions!$B$2,0))</f>
        <v>2.5</v>
      </c>
      <c r="AF89" s="2" t="n">
        <f aca="false">NORMDIST($B89-AD89+AE89,0,Assumptions!$B$3,TRUE())</f>
        <v>0.926470740390352</v>
      </c>
      <c r="AG89" s="2" t="s">
        <v>171</v>
      </c>
      <c r="AH89" s="2" t="s">
        <v>407</v>
      </c>
      <c r="AI89" s="2" t="n">
        <f aca="false">INDEX(Ratings!$B$2:$B$239,MATCH(AG89,Ratings!$A$2:$A$239,0))</f>
        <v>-12.9</v>
      </c>
      <c r="AJ89" s="2" t="n">
        <f aca="false">IF(AH89="Home",Assumptions!$B$2,IF(AH89="Away",-Assumptions!$B$2,0))</f>
        <v>-2.5</v>
      </c>
      <c r="AK89" s="2" t="n">
        <f aca="false">NORMDIST($B89-AI89+AJ89,0,Assumptions!$B$3,TRUE())</f>
        <v>0.625041951918781</v>
      </c>
      <c r="AL89" s="2" t="s">
        <v>172</v>
      </c>
      <c r="AM89" s="2" t="s">
        <v>406</v>
      </c>
      <c r="AN89" s="2" t="n">
        <f aca="false">INDEX(Ratings!$B$2:$B$239,MATCH(AL89,Ratings!$A$2:$A$239,0))</f>
        <v>-14.5</v>
      </c>
      <c r="AO89" s="2" t="n">
        <f aca="false">IF(AM89="Home",Assumptions!$B$2,IF(AM89="Away",-Assumptions!$B$2,0))</f>
        <v>2.5</v>
      </c>
      <c r="AP89" s="2" t="n">
        <f aca="false">NORMDIST($B89-AN89+AO89,0,Assumptions!$B$3,TRUE())</f>
        <v>0.767686767612093</v>
      </c>
      <c r="AQ89" s="2" t="s">
        <v>182</v>
      </c>
      <c r="AR89" s="2" t="s">
        <v>407</v>
      </c>
      <c r="AS89" s="2" t="n">
        <f aca="false">INDEX(Ratings!$B$2:$B$239,MATCH(AQ89,Ratings!$A$2:$A$239,0))</f>
        <v>-18.5</v>
      </c>
      <c r="AT89" s="2" t="n">
        <f aca="false">IF(AR89="Home",Assumptions!$B$2,IF(AR89="Away",-Assumptions!$B$2,0))</f>
        <v>-2.5</v>
      </c>
      <c r="AU89" s="2" t="n">
        <f aca="false">NORMDIST($B89-AS89+AT89,0,Assumptions!$B$3,TRUE())</f>
        <v>0.74817251669986</v>
      </c>
      <c r="AV89" s="2" t="s">
        <v>192</v>
      </c>
      <c r="AW89" s="2" t="s">
        <v>406</v>
      </c>
      <c r="AX89" s="2" t="n">
        <f aca="false">INDEX(Ratings!$B$2:$B$239,MATCH(AV89,Ratings!$A$2:$A$239,0))</f>
        <v>-26.5</v>
      </c>
      <c r="AY89" s="2" t="n">
        <f aca="false">IF(AW89="Home",Assumptions!$B$2,IF(AW89="Away",-Assumptions!$B$2,0))</f>
        <v>2.5</v>
      </c>
      <c r="AZ89" s="2" t="n">
        <f aca="false">NORMDIST($B89-AX89+AY89,0,Assumptions!$B$3,TRUE())</f>
        <v>0.930730016563759</v>
      </c>
      <c r="BA89" s="2" t="s">
        <v>151</v>
      </c>
      <c r="BB89" s="2" t="s">
        <v>406</v>
      </c>
      <c r="BC89" s="2" t="n">
        <f aca="false">INDEX(Ratings!$B$2:$B$239,MATCH(BA89,Ratings!$A$2:$A$239,0))</f>
        <v>-7.3</v>
      </c>
      <c r="BD89" s="2" t="n">
        <f aca="false">IF(BB89="Home",Assumptions!$B$2,IF(BB89="Away",-Assumptions!$B$2,0))</f>
        <v>2.5</v>
      </c>
      <c r="BE89" s="2" t="n">
        <f aca="false">NORMDIST($B89-BC89+BD89,0,Assumptions!$B$3,TRUE())</f>
        <v>0.610740671392063</v>
      </c>
      <c r="BF89" s="2" t="s">
        <v>183</v>
      </c>
      <c r="BG89" s="2" t="s">
        <v>407</v>
      </c>
      <c r="BH89" s="2" t="n">
        <f aca="false">INDEX(Ratings!$B$2:$B$239,MATCH(BF89,Ratings!$A$2:$A$239,0))</f>
        <v>-19.1</v>
      </c>
      <c r="BI89" s="2" t="n">
        <f aca="false">IF(BG89="Home",Assumptions!$B$2,IF(BG89="Away",-Assumptions!$B$2,0))</f>
        <v>-2.5</v>
      </c>
      <c r="BJ89" s="2" t="n">
        <f aca="false">NORMDIST($B89-BH89+BI89,0,Assumptions!$B$3,TRUE())</f>
        <v>0.759983659318733</v>
      </c>
      <c r="BP89" s="2" t="n">
        <v>12</v>
      </c>
      <c r="BQ89" s="2" t="n">
        <f aca="false">G89+L89+Q89+V89+AA89+AF89+AK89+AP89+AU89+AZ89+BE89+BJ89</f>
        <v>8.88658366045359</v>
      </c>
    </row>
    <row r="90" customFormat="false" ht="15" hidden="false" customHeight="false" outlineLevel="0" collapsed="false">
      <c r="A90" s="2" t="s">
        <v>146</v>
      </c>
      <c r="B90" s="2" t="n">
        <f aca="false">INDEX(Ratings!$B$2:$B$239,MATCH($A90,Ratings!$A$2:$A$239,0))</f>
        <v>-5.6</v>
      </c>
      <c r="C90" s="2" t="s">
        <v>95</v>
      </c>
      <c r="D90" s="2" t="s">
        <v>407</v>
      </c>
      <c r="E90" s="2" t="n">
        <f aca="false">INDEX(Ratings!$B$2:$B$239,MATCH(C90,Ratings!$A$2:$A$239,0))</f>
        <v>7.4</v>
      </c>
      <c r="F90" s="2" t="n">
        <f aca="false">IF(D90="Home",Assumptions!$B$2,IF(D90="Away",-Assumptions!$B$2,0))</f>
        <v>-2.5</v>
      </c>
      <c r="G90" s="2" t="n">
        <f aca="false">NORMDIST($B90-E90+F90,0,Assumptions!$B$3,TRUE())</f>
        <v>0.166334969492118</v>
      </c>
      <c r="H90" s="2" t="s">
        <v>65</v>
      </c>
      <c r="I90" s="2" t="s">
        <v>406</v>
      </c>
      <c r="J90" s="2" t="n">
        <f aca="false">INDEX(Ratings!$B$2:$B$239,MATCH(H90,Ratings!$A$2:$A$239,0))</f>
        <v>21.8</v>
      </c>
      <c r="K90" s="2" t="n">
        <f aca="false">IF(I90="Home",Assumptions!$B$2,IF(I90="Away",-Assumptions!$B$2,0))</f>
        <v>2.5</v>
      </c>
      <c r="L90" s="2" t="n">
        <f aca="false">NORMDIST($B90-J90+K90,0,Assumptions!$B$3,TRUE())</f>
        <v>0.0598243279770142</v>
      </c>
      <c r="M90" s="2" t="s">
        <v>286</v>
      </c>
      <c r="N90" s="2" t="s">
        <v>406</v>
      </c>
      <c r="O90" s="2" t="n">
        <f aca="false">INDEX(Ratings!$B$2:$B$239,MATCH(M90,Ratings!$A$2:$A$239,0))</f>
        <v>-15</v>
      </c>
      <c r="P90" s="2" t="n">
        <f aca="false">IF(N90="Home",Assumptions!$B$2,IF(N90="Away",-Assumptions!$B$2,0))</f>
        <v>2.5</v>
      </c>
      <c r="Q90" s="2" t="n">
        <f aca="false">NORMDIST($B90-O90+P90,0,Assumptions!$B$3,TRUE())</f>
        <v>0.771486132875137</v>
      </c>
      <c r="R90" s="2" t="s">
        <v>184</v>
      </c>
      <c r="S90" s="2" t="s">
        <v>407</v>
      </c>
      <c r="T90" s="2" t="n">
        <f aca="false">INDEX(Ratings!$B$2:$B$239,MATCH(R90,Ratings!$A$2:$A$239,0))</f>
        <v>-19.3</v>
      </c>
      <c r="U90" s="2" t="n">
        <f aca="false">IF(S90="Home",Assumptions!$B$2,IF(S90="Away",-Assumptions!$B$2,0))</f>
        <v>-2.5</v>
      </c>
      <c r="V90" s="2" t="n">
        <f aca="false">NORMDIST($B90-T90+U90,0,Assumptions!$B$3,TRUE())</f>
        <v>0.758036347776927</v>
      </c>
      <c r="W90" s="2" t="s">
        <v>164</v>
      </c>
      <c r="X90" s="2" t="s">
        <v>407</v>
      </c>
      <c r="Y90" s="2" t="n">
        <f aca="false">INDEX(Ratings!$B$2:$B$239,MATCH(W90,Ratings!$A$2:$A$239,0))</f>
        <v>-11.6</v>
      </c>
      <c r="Z90" s="2" t="n">
        <f aca="false">IF(X90="Home",Assumptions!$B$2,IF(X90="Away",-Assumptions!$B$2,0))</f>
        <v>-2.5</v>
      </c>
      <c r="AA90" s="2" t="n">
        <f aca="false">NORMDIST($B90-Y90+Z90,0,Assumptions!$B$3,TRUE())</f>
        <v>0.586577601141551</v>
      </c>
      <c r="AB90" s="2" t="s">
        <v>122</v>
      </c>
      <c r="AC90" s="2" t="s">
        <v>406</v>
      </c>
      <c r="AD90" s="2" t="n">
        <f aca="false">INDEX(Ratings!$B$2:$B$239,MATCH(AB90,Ratings!$A$2:$A$239,0))</f>
        <v>0.7</v>
      </c>
      <c r="AE90" s="2" t="n">
        <f aca="false">IF(AC90="Home",Assumptions!$B$2,IF(AC90="Away",-Assumptions!$B$2,0))</f>
        <v>2.5</v>
      </c>
      <c r="AF90" s="2" t="n">
        <f aca="false">NORMDIST($B90-AD90+AE90,0,Assumptions!$B$3,TRUE())</f>
        <v>0.406134459600758</v>
      </c>
      <c r="AG90" s="2" t="s">
        <v>143</v>
      </c>
      <c r="AH90" s="2" t="s">
        <v>406</v>
      </c>
      <c r="AI90" s="2" t="n">
        <f aca="false">INDEX(Ratings!$B$2:$B$239,MATCH(AG90,Ratings!$A$2:$A$239,0))</f>
        <v>-4.3</v>
      </c>
      <c r="AJ90" s="2" t="n">
        <f aca="false">IF(AH90="Home",Assumptions!$B$2,IF(AH90="Away",-Assumptions!$B$2,0))</f>
        <v>2.5</v>
      </c>
      <c r="AK90" s="2" t="n">
        <f aca="false">NORMDIST($B90-AI90+AJ90,0,Assumptions!$B$3,TRUE())</f>
        <v>0.529892644052895</v>
      </c>
      <c r="AL90" s="2" t="s">
        <v>130</v>
      </c>
      <c r="AM90" s="2" t="s">
        <v>407</v>
      </c>
      <c r="AN90" s="2" t="n">
        <f aca="false">INDEX(Ratings!$B$2:$B$239,MATCH(AL90,Ratings!$A$2:$A$239,0))</f>
        <v>-1.4</v>
      </c>
      <c r="AO90" s="2" t="n">
        <f aca="false">IF(AM90="Home",Assumptions!$B$2,IF(AM90="Away",-Assumptions!$B$2,0))</f>
        <v>-2.5</v>
      </c>
      <c r="AP90" s="2" t="n">
        <f aca="false">NORMDIST($B90-AN90+AO90,0,Assumptions!$B$3,TRUE())</f>
        <v>0.337699424942871</v>
      </c>
      <c r="AQ90" s="2" t="s">
        <v>134</v>
      </c>
      <c r="AR90" s="2" t="s">
        <v>406</v>
      </c>
      <c r="AS90" s="2" t="n">
        <f aca="false">INDEX(Ratings!$B$2:$B$239,MATCH(AQ90,Ratings!$A$2:$A$239,0))</f>
        <v>-2.1</v>
      </c>
      <c r="AT90" s="2" t="n">
        <f aca="false">IF(AR90="Home",Assumptions!$B$2,IF(AR90="Away",-Assumptions!$B$2,0))</f>
        <v>2.5</v>
      </c>
      <c r="AU90" s="2" t="n">
        <f aca="false">NORMDIST($B90-AS90+AT90,0,Assumptions!$B$3,TRUE())</f>
        <v>0.475082330970753</v>
      </c>
      <c r="AV90" s="2" t="s">
        <v>106</v>
      </c>
      <c r="AW90" s="2" t="s">
        <v>407</v>
      </c>
      <c r="AX90" s="2" t="n">
        <f aca="false">INDEX(Ratings!$B$2:$B$239,MATCH(AV90,Ratings!$A$2:$A$239,0))</f>
        <v>5.1</v>
      </c>
      <c r="AY90" s="2" t="n">
        <f aca="false">IF(AW90="Home",Assumptions!$B$2,IF(AW90="Away",-Assumptions!$B$2,0))</f>
        <v>-2.5</v>
      </c>
      <c r="AZ90" s="2" t="n">
        <f aca="false">NORMDIST($B90-AX90+AY90,0,Assumptions!$B$3,TRUE())</f>
        <v>0.204685795347253</v>
      </c>
      <c r="BA90" s="2" t="s">
        <v>153</v>
      </c>
      <c r="BB90" s="2" t="s">
        <v>406</v>
      </c>
      <c r="BC90" s="2" t="n">
        <f aca="false">INDEX(Ratings!$B$2:$B$239,MATCH(BA90,Ratings!$A$2:$A$239,0))</f>
        <v>-7.9</v>
      </c>
      <c r="BD90" s="2" t="n">
        <f aca="false">IF(BB90="Home",Assumptions!$B$2,IF(BB90="Away",-Assumptions!$B$2,0))</f>
        <v>2.5</v>
      </c>
      <c r="BE90" s="2" t="n">
        <f aca="false">NORMDIST($B90-BC90+BD90,0,Assumptions!$B$3,TRUE())</f>
        <v>0.617911422188953</v>
      </c>
      <c r="BF90" s="2" t="s">
        <v>143</v>
      </c>
      <c r="BG90" s="2" t="s">
        <v>407</v>
      </c>
      <c r="BH90" s="2" t="n">
        <f aca="false">INDEX(Ratings!$B$2:$B$239,MATCH(BF90,Ratings!$A$2:$A$239,0))</f>
        <v>-4.3</v>
      </c>
      <c r="BI90" s="2" t="n">
        <f aca="false">IF(BG90="Home",Assumptions!$B$2,IF(BG90="Away",-Assumptions!$B$2,0))</f>
        <v>-2.5</v>
      </c>
      <c r="BJ90" s="2" t="n">
        <f aca="false">NORMDIST($B90-BH90+BI90,0,Assumptions!$B$3,TRUE())</f>
        <v>0.406134459600758</v>
      </c>
      <c r="BP90" s="2" t="n">
        <v>12</v>
      </c>
      <c r="BQ90" s="2" t="n">
        <f aca="false">G90+L90+Q90+V90+AA90+AF90+AK90+AP90+AU90+AZ90+BE90+BJ90</f>
        <v>5.31979991596699</v>
      </c>
    </row>
    <row r="91" customFormat="false" ht="15" hidden="false" customHeight="false" outlineLevel="0" collapsed="false">
      <c r="A91" s="2" t="s">
        <v>147</v>
      </c>
      <c r="B91" s="2" t="n">
        <f aca="false">INDEX(Ratings!$B$2:$B$239,MATCH($A91,Ratings!$A$2:$A$239,0))</f>
        <v>-6</v>
      </c>
      <c r="C91" s="2" t="s">
        <v>72</v>
      </c>
      <c r="D91" s="2" t="s">
        <v>407</v>
      </c>
      <c r="E91" s="2" t="n">
        <f aca="false">INDEX(Ratings!$B$2:$B$239,MATCH(C91,Ratings!$A$2:$A$239,0))</f>
        <v>17</v>
      </c>
      <c r="F91" s="2" t="n">
        <f aca="false">IF(D91="Home",Assumptions!$B$2,IF(D91="Away",-Assumptions!$B$2,0))</f>
        <v>-2.5</v>
      </c>
      <c r="G91" s="2" t="n">
        <f aca="false">NORMDIST($B91-E91+F91,0,Assumptions!$B$3,TRUE())</f>
        <v>0.0554960202282457</v>
      </c>
      <c r="H91" s="2" t="s">
        <v>285</v>
      </c>
      <c r="I91" s="2" t="s">
        <v>406</v>
      </c>
      <c r="J91" s="2" t="n">
        <f aca="false">INDEX(Ratings!$B$2:$B$239,MATCH(H91,Ratings!$A$2:$A$239,0))</f>
        <v>-22</v>
      </c>
      <c r="K91" s="2" t="n">
        <f aca="false">IF(I91="Home",Assumptions!$B$2,IF(I91="Away",-Assumptions!$B$2,0))</f>
        <v>2.5</v>
      </c>
      <c r="L91" s="2" t="n">
        <f aca="false">NORMDIST($B91-J91+K91,0,Assumptions!$B$3,TRUE())</f>
        <v>0.876210543248306</v>
      </c>
      <c r="M91" s="2" t="s">
        <v>177</v>
      </c>
      <c r="N91" s="2" t="s">
        <v>407</v>
      </c>
      <c r="O91" s="2" t="n">
        <f aca="false">INDEX(Ratings!$B$2:$B$239,MATCH(M91,Ratings!$A$2:$A$239,0))</f>
        <v>-15.3</v>
      </c>
      <c r="P91" s="2" t="n">
        <f aca="false">IF(N91="Home",Assumptions!$B$2,IF(N91="Away",-Assumptions!$B$2,0))</f>
        <v>-2.5</v>
      </c>
      <c r="Q91" s="2" t="n">
        <f aca="false">NORMDIST($B91-O91+P91,0,Assumptions!$B$3,TRUE())</f>
        <v>0.664581662629831</v>
      </c>
      <c r="R91" s="2" t="s">
        <v>106</v>
      </c>
      <c r="S91" s="2" t="s">
        <v>406</v>
      </c>
      <c r="T91" s="2" t="n">
        <f aca="false">INDEX(Ratings!$B$2:$B$239,MATCH(R91,Ratings!$A$2:$A$239,0))</f>
        <v>5.1</v>
      </c>
      <c r="U91" s="2" t="n">
        <f aca="false">IF(S91="Home",Assumptions!$B$2,IF(S91="Away",-Assumptions!$B$2,0))</f>
        <v>2.5</v>
      </c>
      <c r="V91" s="2" t="n">
        <f aca="false">NORMDIST($B91-T91+U91,0,Assumptions!$B$3,TRUE())</f>
        <v>0.295461142462736</v>
      </c>
      <c r="W91" s="2" t="s">
        <v>168</v>
      </c>
      <c r="X91" s="2" t="s">
        <v>407</v>
      </c>
      <c r="Y91" s="2" t="n">
        <f aca="false">INDEX(Ratings!$B$2:$B$239,MATCH(W91,Ratings!$A$2:$A$239,0))</f>
        <v>-12.7</v>
      </c>
      <c r="Z91" s="2" t="n">
        <f aca="false">IF(X91="Home",Assumptions!$B$2,IF(X91="Away",-Assumptions!$B$2,0))</f>
        <v>-2.5</v>
      </c>
      <c r="AA91" s="2" t="n">
        <f aca="false">NORMDIST($B91-Y91+Z91,0,Assumptions!$B$3,TRUE())</f>
        <v>0.603532007320995</v>
      </c>
      <c r="AB91" s="2" t="s">
        <v>186</v>
      </c>
      <c r="AC91" s="2" t="s">
        <v>406</v>
      </c>
      <c r="AD91" s="2" t="n">
        <f aca="false">INDEX(Ratings!$B$2:$B$239,MATCH(AB91,Ratings!$A$2:$A$239,0))</f>
        <v>-22.4</v>
      </c>
      <c r="AE91" s="2" t="n">
        <f aca="false">IF(AC91="Home",Assumptions!$B$2,IF(AC91="Away",-Assumptions!$B$2,0))</f>
        <v>2.5</v>
      </c>
      <c r="AF91" s="2" t="n">
        <f aca="false">NORMDIST($B91-AD91+AE91,0,Assumptions!$B$3,TRUE())</f>
        <v>0.881248288142535</v>
      </c>
      <c r="AG91" s="2" t="s">
        <v>176</v>
      </c>
      <c r="AH91" s="2" t="s">
        <v>407</v>
      </c>
      <c r="AI91" s="2" t="n">
        <f aca="false">INDEX(Ratings!$B$2:$B$239,MATCH(AG91,Ratings!$A$2:$A$239,0))</f>
        <v>-15.1</v>
      </c>
      <c r="AJ91" s="2" t="n">
        <f aca="false">IF(AH91="Home",Assumptions!$B$2,IF(AH91="Away",-Assumptions!$B$2,0))</f>
        <v>-2.5</v>
      </c>
      <c r="AK91" s="2" t="n">
        <f aca="false">NORMDIST($B91-AI91+AJ91,0,Assumptions!$B$3,TRUE())</f>
        <v>0.660013509650861</v>
      </c>
      <c r="AL91" s="2" t="s">
        <v>158</v>
      </c>
      <c r="AM91" s="2" t="s">
        <v>407</v>
      </c>
      <c r="AN91" s="2" t="n">
        <f aca="false">INDEX(Ratings!$B$2:$B$239,MATCH(AL91,Ratings!$A$2:$A$239,0))</f>
        <v>-9.1</v>
      </c>
      <c r="AO91" s="2" t="n">
        <f aca="false">IF(AM91="Home",Assumptions!$B$2,IF(AM91="Away",-Assumptions!$B$2,0))</f>
        <v>-2.5</v>
      </c>
      <c r="AP91" s="2" t="n">
        <f aca="false">NORMDIST($B91-AN91+AO91,0,Assumptions!$B$3,TRUE())</f>
        <v>0.51495682992591</v>
      </c>
      <c r="AQ91" s="2" t="s">
        <v>175</v>
      </c>
      <c r="AR91" s="2" t="s">
        <v>406</v>
      </c>
      <c r="AS91" s="2" t="n">
        <f aca="false">INDEX(Ratings!$B$2:$B$239,MATCH(AQ91,Ratings!$A$2:$A$239,0))</f>
        <v>-15</v>
      </c>
      <c r="AT91" s="2" t="n">
        <f aca="false">IF(AR91="Home",Assumptions!$B$2,IF(AR91="Away",-Assumptions!$B$2,0))</f>
        <v>2.5</v>
      </c>
      <c r="AU91" s="2" t="n">
        <f aca="false">NORMDIST($B91-AS91+AT91,0,Assumptions!$B$3,TRUE())</f>
        <v>0.763852515027146</v>
      </c>
      <c r="AV91" s="2" t="s">
        <v>187</v>
      </c>
      <c r="AW91" s="2" t="s">
        <v>407</v>
      </c>
      <c r="AX91" s="2" t="n">
        <f aca="false">INDEX(Ratings!$B$2:$B$239,MATCH(AV91,Ratings!$A$2:$A$239,0))</f>
        <v>-22.9</v>
      </c>
      <c r="AY91" s="2" t="n">
        <f aca="false">IF(AW91="Home",Assumptions!$B$2,IF(AW91="Away",-Assumptions!$B$2,0))</f>
        <v>-2.5</v>
      </c>
      <c r="AZ91" s="2" t="n">
        <f aca="false">NORMDIST($B91-AX91+AY91,0,Assumptions!$B$3,TRUE())</f>
        <v>0.815939874653241</v>
      </c>
      <c r="BA91" s="2" t="s">
        <v>179</v>
      </c>
      <c r="BB91" s="2" t="s">
        <v>406</v>
      </c>
      <c r="BC91" s="2" t="n">
        <f aca="false">INDEX(Ratings!$B$2:$B$239,MATCH(BA91,Ratings!$A$2:$A$239,0))</f>
        <v>-16.1</v>
      </c>
      <c r="BD91" s="2" t="n">
        <f aca="false">IF(BB91="Home",Assumptions!$B$2,IF(BB91="Away",-Assumptions!$B$2,0))</f>
        <v>2.5</v>
      </c>
      <c r="BE91" s="2" t="n">
        <f aca="false">NORMDIST($B91-BC91+BD91,0,Assumptions!$B$3,TRUE())</f>
        <v>0.784505385789946</v>
      </c>
      <c r="BF91" s="2" t="s">
        <v>142</v>
      </c>
      <c r="BG91" s="2" t="s">
        <v>406</v>
      </c>
      <c r="BH91" s="2" t="n">
        <f aca="false">INDEX(Ratings!$B$2:$B$239,MATCH(BF91,Ratings!$A$2:$A$239,0))</f>
        <v>-4</v>
      </c>
      <c r="BI91" s="2" t="n">
        <f aca="false">IF(BG91="Home",Assumptions!$B$2,IF(BG91="Away",-Assumptions!$B$2,0))</f>
        <v>2.5</v>
      </c>
      <c r="BJ91" s="2" t="n">
        <f aca="false">NORMDIST($B91-BH91+BI91,0,Assumptions!$B$3,TRUE())</f>
        <v>0.512464917434377</v>
      </c>
      <c r="BP91" s="2" t="n">
        <v>12</v>
      </c>
      <c r="BQ91" s="2" t="n">
        <f aca="false">G91+L91+Q91+V91+AA91+AF91+AK91+AP91+AU91+AZ91+BE91+BJ91</f>
        <v>7.42826269651413</v>
      </c>
    </row>
    <row r="92" customFormat="false" ht="15" hidden="false" customHeight="false" outlineLevel="0" collapsed="false">
      <c r="A92" s="2" t="s">
        <v>148</v>
      </c>
      <c r="B92" s="2" t="n">
        <f aca="false">INDEX(Ratings!$B$2:$B$239,MATCH($A92,Ratings!$A$2:$A$239,0))</f>
        <v>-6.1</v>
      </c>
      <c r="C92" s="2" t="s">
        <v>77</v>
      </c>
      <c r="D92" s="2" t="s">
        <v>407</v>
      </c>
      <c r="E92" s="2" t="n">
        <f aca="false">INDEX(Ratings!$B$2:$B$239,MATCH(C92,Ratings!$A$2:$A$239,0))</f>
        <v>15.2</v>
      </c>
      <c r="F92" s="2" t="n">
        <f aca="false">IF(D92="Home",Assumptions!$B$2,IF(D92="Away",-Assumptions!$B$2,0))</f>
        <v>-2.5</v>
      </c>
      <c r="G92" s="2" t="n">
        <f aca="false">NORMDIST($B92-E92+F92,0,Assumptions!$B$3,TRUE())</f>
        <v>0.0684414016087538</v>
      </c>
      <c r="H92" s="2" t="s">
        <v>121</v>
      </c>
      <c r="I92" s="2" t="s">
        <v>406</v>
      </c>
      <c r="J92" s="2" t="n">
        <f aca="false">INDEX(Ratings!$B$2:$B$239,MATCH(H92,Ratings!$A$2:$A$239,0))</f>
        <v>1.2</v>
      </c>
      <c r="K92" s="2" t="n">
        <f aca="false">IF(I92="Home",Assumptions!$B$2,IF(I92="Away",-Assumptions!$B$2,0))</f>
        <v>2.5</v>
      </c>
      <c r="L92" s="2" t="n">
        <f aca="false">NORMDIST($B92-J92+K92,0,Assumptions!$B$3,TRUE())</f>
        <v>0.382088577811047</v>
      </c>
      <c r="M92" s="2" t="s">
        <v>172</v>
      </c>
      <c r="N92" s="2" t="s">
        <v>406</v>
      </c>
      <c r="O92" s="2" t="n">
        <f aca="false">INDEX(Ratings!$B$2:$B$239,MATCH(M92,Ratings!$A$2:$A$239,0))</f>
        <v>-14.5</v>
      </c>
      <c r="P92" s="2" t="n">
        <f aca="false">IF(N92="Home",Assumptions!$B$2,IF(N92="Away",-Assumptions!$B$2,0))</f>
        <v>2.5</v>
      </c>
      <c r="Q92" s="2" t="n">
        <f aca="false">NORMDIST($B92-O92+P92,0,Assumptions!$B$3,TRUE())</f>
        <v>0.752143342435738</v>
      </c>
      <c r="R92" s="2" t="s">
        <v>193</v>
      </c>
      <c r="S92" s="2" t="s">
        <v>407</v>
      </c>
      <c r="T92" s="2" t="n">
        <f aca="false">INDEX(Ratings!$B$2:$B$239,MATCH(R92,Ratings!$A$2:$A$239,0))</f>
        <v>-28.9</v>
      </c>
      <c r="U92" s="2" t="n">
        <f aca="false">IF(S92="Home",Assumptions!$B$2,IF(S92="Away",-Assumptions!$B$2,0))</f>
        <v>-2.5</v>
      </c>
      <c r="V92" s="2" t="n">
        <f aca="false">NORMDIST($B92-T92+U92,0,Assumptions!$B$3,TRUE())</f>
        <v>0.897734878378435</v>
      </c>
      <c r="W92" s="2" t="s">
        <v>320</v>
      </c>
      <c r="X92" s="2" t="s">
        <v>406</v>
      </c>
      <c r="Y92" s="2" t="n">
        <f aca="false">INDEX(Ratings!$B$2:$B$239,MATCH(W92,Ratings!$A$2:$A$239,0))</f>
        <v>-42</v>
      </c>
      <c r="Z92" s="2" t="n">
        <f aca="false">IF(X92="Home",Assumptions!$B$2,IF(X92="Away",-Assumptions!$B$2,0))</f>
        <v>2.5</v>
      </c>
      <c r="AA92" s="2" t="n">
        <f aca="false">NORMDIST($B92-Y92+Z92,0,Assumptions!$B$3,TRUE())</f>
        <v>0.991802464075404</v>
      </c>
      <c r="AB92" s="2" t="s">
        <v>138</v>
      </c>
      <c r="AC92" s="2" t="s">
        <v>407</v>
      </c>
      <c r="AD92" s="2" t="n">
        <f aca="false">INDEX(Ratings!$B$2:$B$239,MATCH(AB92,Ratings!$A$2:$A$239,0))</f>
        <v>-2.4</v>
      </c>
      <c r="AE92" s="2" t="n">
        <f aca="false">IF(AC92="Home",Assumptions!$B$2,IF(AC92="Away",-Assumptions!$B$2,0))</f>
        <v>-2.5</v>
      </c>
      <c r="AF92" s="2" t="n">
        <f aca="false">NORMDIST($B92-AD92+AE92,0,Assumptions!$B$3,TRUE())</f>
        <v>0.349193042462858</v>
      </c>
      <c r="AG92" s="2" t="s">
        <v>177</v>
      </c>
      <c r="AH92" s="2" t="s">
        <v>406</v>
      </c>
      <c r="AI92" s="2" t="n">
        <f aca="false">INDEX(Ratings!$B$2:$B$239,MATCH(AG92,Ratings!$A$2:$A$239,0))</f>
        <v>-15.3</v>
      </c>
      <c r="AJ92" s="2" t="n">
        <f aca="false">IF(AH92="Home",Assumptions!$B$2,IF(AH92="Away",-Assumptions!$B$2,0))</f>
        <v>2.5</v>
      </c>
      <c r="AK92" s="2" t="n">
        <f aca="false">NORMDIST($B92-AI92+AJ92,0,Assumptions!$B$3,TRUE())</f>
        <v>0.767686767612093</v>
      </c>
      <c r="AL92" s="2" t="s">
        <v>162</v>
      </c>
      <c r="AM92" s="2" t="s">
        <v>407</v>
      </c>
      <c r="AN92" s="2" t="n">
        <f aca="false">INDEX(Ratings!$B$2:$B$239,MATCH(AL92,Ratings!$A$2:$A$239,0))</f>
        <v>-11.6</v>
      </c>
      <c r="AO92" s="2" t="n">
        <f aca="false">IF(AM92="Home",Assumptions!$B$2,IF(AM92="Away",-Assumptions!$B$2,0))</f>
        <v>-2.5</v>
      </c>
      <c r="AP92" s="2" t="n">
        <f aca="false">NORMDIST($B92-AN92+AO92,0,Assumptions!$B$3,TRUE())</f>
        <v>0.574365688155897</v>
      </c>
      <c r="AQ92" s="2" t="s">
        <v>128</v>
      </c>
      <c r="AR92" s="2" t="s">
        <v>406</v>
      </c>
      <c r="AS92" s="2" t="n">
        <f aca="false">INDEX(Ratings!$B$2:$B$239,MATCH(AQ92,Ratings!$A$2:$A$239,0))</f>
        <v>-1.1</v>
      </c>
      <c r="AT92" s="2" t="n">
        <f aca="false">IF(AR92="Home",Assumptions!$B$2,IF(AR92="Away",-Assumptions!$B$2,0))</f>
        <v>2.5</v>
      </c>
      <c r="AU92" s="2" t="n">
        <f aca="false">NORMDIST($B92-AS92+AT92,0,Assumptions!$B$3,TRUE())</f>
        <v>0.437917983191705</v>
      </c>
      <c r="AV92" s="2" t="s">
        <v>149</v>
      </c>
      <c r="AW92" s="2" t="s">
        <v>407</v>
      </c>
      <c r="AX92" s="2" t="n">
        <f aca="false">INDEX(Ratings!$B$2:$B$239,MATCH(AV92,Ratings!$A$2:$A$239,0))</f>
        <v>-6.1</v>
      </c>
      <c r="AY92" s="2" t="n">
        <f aca="false">IF(AW92="Home",Assumptions!$B$2,IF(AW92="Away",-Assumptions!$B$2,0))</f>
        <v>-2.5</v>
      </c>
      <c r="AZ92" s="2" t="n">
        <f aca="false">NORMDIST($B92-AX92+AY92,0,Assumptions!$B$3,TRUE())</f>
        <v>0.437917983191705</v>
      </c>
      <c r="BA92" s="2" t="s">
        <v>131</v>
      </c>
      <c r="BB92" s="2" t="s">
        <v>406</v>
      </c>
      <c r="BC92" s="2" t="n">
        <f aca="false">INDEX(Ratings!$B$2:$B$239,MATCH(BA92,Ratings!$A$2:$A$239,0))</f>
        <v>-1.7</v>
      </c>
      <c r="BD92" s="2" t="n">
        <f aca="false">IF(BB92="Home",Assumptions!$B$2,IF(BB92="Away",-Assumptions!$B$2,0))</f>
        <v>2.5</v>
      </c>
      <c r="BE92" s="2" t="n">
        <f aca="false">NORMDIST($B92-BC92+BD92,0,Assumptions!$B$3,TRUE())</f>
        <v>0.452736711249588</v>
      </c>
      <c r="BF92" s="2" t="s">
        <v>137</v>
      </c>
      <c r="BG92" s="2" t="s">
        <v>407</v>
      </c>
      <c r="BH92" s="2" t="n">
        <f aca="false">INDEX(Ratings!$B$2:$B$239,MATCH(BF92,Ratings!$A$2:$A$239,0))</f>
        <v>-2.3</v>
      </c>
      <c r="BI92" s="2" t="n">
        <f aca="false">IF(BG92="Home",Assumptions!$B$2,IF(BG92="Away",-Assumptions!$B$2,0))</f>
        <v>-2.5</v>
      </c>
      <c r="BJ92" s="2" t="n">
        <f aca="false">NORMDIST($B92-BH92+BI92,0,Assumptions!$B$3,TRUE())</f>
        <v>0.346882811263147</v>
      </c>
      <c r="BP92" s="2" t="n">
        <v>12</v>
      </c>
      <c r="BQ92" s="2" t="n">
        <f aca="false">G92+L92+Q92+V92+AA92+AF92+AK92+AP92+AU92+AZ92+BE92+BJ92</f>
        <v>6.45891165143637</v>
      </c>
    </row>
    <row r="93" customFormat="false" ht="15" hidden="false" customHeight="false" outlineLevel="0" collapsed="false">
      <c r="A93" s="2" t="s">
        <v>149</v>
      </c>
      <c r="B93" s="2" t="n">
        <f aca="false">INDEX(Ratings!$B$2:$B$239,MATCH($A93,Ratings!$A$2:$A$239,0))</f>
        <v>-6.1</v>
      </c>
      <c r="C93" s="2" t="s">
        <v>96</v>
      </c>
      <c r="D93" s="2" t="s">
        <v>406</v>
      </c>
      <c r="E93" s="2" t="n">
        <f aca="false">INDEX(Ratings!$B$2:$B$239,MATCH(C93,Ratings!$A$2:$A$239,0))</f>
        <v>6.9</v>
      </c>
      <c r="F93" s="2" t="n">
        <f aca="false">IF(D93="Home",Assumptions!$B$2,IF(D93="Away",-Assumptions!$B$2,0))</f>
        <v>2.5</v>
      </c>
      <c r="G93" s="2" t="n">
        <f aca="false">NORMDIST($B93-E93+F93,0,Assumptions!$B$3,TRUE())</f>
        <v>0.255831641347934</v>
      </c>
      <c r="H93" s="2" t="s">
        <v>191</v>
      </c>
      <c r="I93" s="2" t="s">
        <v>407</v>
      </c>
      <c r="J93" s="2" t="n">
        <f aca="false">INDEX(Ratings!$B$2:$B$239,MATCH(H93,Ratings!$A$2:$A$239,0))</f>
        <v>-26</v>
      </c>
      <c r="K93" s="2" t="n">
        <f aca="false">IF(I93="Home",Assumptions!$B$2,IF(I93="Away",-Assumptions!$B$2,0))</f>
        <v>-2.5</v>
      </c>
      <c r="L93" s="2" t="n">
        <f aca="false">NORMDIST($B93-J93+K93,0,Assumptions!$B$3,TRUE())</f>
        <v>0.861592050714903</v>
      </c>
      <c r="M93" s="2" t="s">
        <v>257</v>
      </c>
      <c r="N93" s="2" t="s">
        <v>406</v>
      </c>
      <c r="O93" s="2" t="n">
        <f aca="false">INDEX(Ratings!$B$2:$B$239,MATCH(M93,Ratings!$A$2:$A$239,0))</f>
        <v>-39</v>
      </c>
      <c r="P93" s="2" t="n">
        <f aca="false">IF(N93="Home",Assumptions!$B$2,IF(N93="Away",-Assumptions!$B$2,0))</f>
        <v>2.5</v>
      </c>
      <c r="Q93" s="2" t="n">
        <f aca="false">NORMDIST($B93-O93+P93,0,Assumptions!$B$3,TRUE())</f>
        <v>0.986533931898365</v>
      </c>
      <c r="R93" s="2" t="s">
        <v>101</v>
      </c>
      <c r="S93" s="2" t="s">
        <v>407</v>
      </c>
      <c r="T93" s="2" t="n">
        <f aca="false">INDEX(Ratings!$B$2:$B$239,MATCH(R93,Ratings!$A$2:$A$239,0))</f>
        <v>5.6</v>
      </c>
      <c r="U93" s="2" t="n">
        <f aca="false">IF(S93="Home",Assumptions!$B$2,IF(S93="Away",-Assumptions!$B$2,0))</f>
        <v>-2.5</v>
      </c>
      <c r="V93" s="2" t="n">
        <f aca="false">NORMDIST($B93-T93+U93,0,Assumptions!$B$3,TRUE())</f>
        <v>0.187404883098225</v>
      </c>
      <c r="W93" s="2" t="s">
        <v>162</v>
      </c>
      <c r="X93" s="2" t="s">
        <v>406</v>
      </c>
      <c r="Y93" s="2" t="n">
        <f aca="false">INDEX(Ratings!$B$2:$B$239,MATCH(W93,Ratings!$A$2:$A$239,0))</f>
        <v>-11.6</v>
      </c>
      <c r="Z93" s="2" t="n">
        <f aca="false">IF(X93="Home",Assumptions!$B$2,IF(X93="Away",-Assumptions!$B$2,0))</f>
        <v>2.5</v>
      </c>
      <c r="AA93" s="2" t="n">
        <f aca="false">NORMDIST($B93-Y93+Z93,0,Assumptions!$B$3,TRUE())</f>
        <v>0.691462461274013</v>
      </c>
      <c r="AB93" s="2" t="s">
        <v>121</v>
      </c>
      <c r="AC93" s="2" t="s">
        <v>407</v>
      </c>
      <c r="AD93" s="2" t="n">
        <f aca="false">INDEX(Ratings!$B$2:$B$239,MATCH(AB93,Ratings!$A$2:$A$239,0))</f>
        <v>1.2</v>
      </c>
      <c r="AE93" s="2" t="n">
        <f aca="false">IF(AC93="Home",Assumptions!$B$2,IF(AC93="Away",-Assumptions!$B$2,0))</f>
        <v>-2.5</v>
      </c>
      <c r="AF93" s="2" t="n">
        <f aca="false">NORMDIST($B93-AD93+AE93,0,Assumptions!$B$3,TRUE())</f>
        <v>0.270103499001235</v>
      </c>
      <c r="AG93" s="2" t="s">
        <v>177</v>
      </c>
      <c r="AH93" s="2" t="s">
        <v>407</v>
      </c>
      <c r="AI93" s="2" t="n">
        <f aca="false">INDEX(Ratings!$B$2:$B$239,MATCH(AG93,Ratings!$A$2:$A$239,0))</f>
        <v>-15.3</v>
      </c>
      <c r="AJ93" s="2" t="n">
        <f aca="false">IF(AH93="Home",Assumptions!$B$2,IF(AH93="Away",-Assumptions!$B$2,0))</f>
        <v>-2.5</v>
      </c>
      <c r="AK93" s="2" t="n">
        <f aca="false">NORMDIST($B93-AI93+AJ93,0,Assumptions!$B$3,TRUE())</f>
        <v>0.662300575057129</v>
      </c>
      <c r="AL93" s="2" t="s">
        <v>138</v>
      </c>
      <c r="AM93" s="2" t="s">
        <v>406</v>
      </c>
      <c r="AN93" s="2" t="n">
        <f aca="false">INDEX(Ratings!$B$2:$B$239,MATCH(AL93,Ratings!$A$2:$A$239,0))</f>
        <v>-2.4</v>
      </c>
      <c r="AO93" s="2" t="n">
        <f aca="false">IF(AM93="Home",Assumptions!$B$2,IF(AM93="Away",-Assumptions!$B$2,0))</f>
        <v>2.5</v>
      </c>
      <c r="AP93" s="2" t="n">
        <f aca="false">NORMDIST($B93-AN93+AO93,0,Assumptions!$B$3,TRUE())</f>
        <v>0.470107355947105</v>
      </c>
      <c r="AQ93" s="2" t="s">
        <v>144</v>
      </c>
      <c r="AR93" s="2" t="s">
        <v>407</v>
      </c>
      <c r="AS93" s="2" t="n">
        <f aca="false">INDEX(Ratings!$B$2:$B$239,MATCH(AQ93,Ratings!$A$2:$A$239,0))</f>
        <v>-4.3</v>
      </c>
      <c r="AT93" s="2" t="n">
        <f aca="false">IF(AR93="Home",Assumptions!$B$2,IF(AR93="Away",-Assumptions!$B$2,0))</f>
        <v>-2.5</v>
      </c>
      <c r="AU93" s="2" t="n">
        <f aca="false">NORMDIST($B93-AS93+AT93,0,Assumptions!$B$3,TRUE())</f>
        <v>0.394061036152246</v>
      </c>
      <c r="AV93" s="2" t="s">
        <v>148</v>
      </c>
      <c r="AW93" s="2" t="s">
        <v>406</v>
      </c>
      <c r="AX93" s="2" t="n">
        <f aca="false">INDEX(Ratings!$B$2:$B$239,MATCH(AV93,Ratings!$A$2:$A$239,0))</f>
        <v>-6.1</v>
      </c>
      <c r="AY93" s="2" t="n">
        <f aca="false">IF(AW93="Home",Assumptions!$B$2,IF(AW93="Away",-Assumptions!$B$2,0))</f>
        <v>2.5</v>
      </c>
      <c r="AZ93" s="2" t="n">
        <f aca="false">NORMDIST($B93-AX93+AY93,0,Assumptions!$B$3,TRUE())</f>
        <v>0.562082016808295</v>
      </c>
      <c r="BA93" s="2" t="s">
        <v>189</v>
      </c>
      <c r="BB93" s="2" t="s">
        <v>406</v>
      </c>
      <c r="BC93" s="2" t="n">
        <f aca="false">INDEX(Ratings!$B$2:$B$239,MATCH(BA93,Ratings!$A$2:$A$239,0))</f>
        <v>-24.1</v>
      </c>
      <c r="BD93" s="2" t="n">
        <f aca="false">IF(BB93="Home",Assumptions!$B$2,IF(BB93="Away",-Assumptions!$B$2,0))</f>
        <v>2.5</v>
      </c>
      <c r="BE93" s="2" t="n">
        <f aca="false">NORMDIST($B93-BC93+BD93,0,Assumptions!$B$3,TRUE())</f>
        <v>0.899947065522574</v>
      </c>
      <c r="BF93" s="2" t="s">
        <v>128</v>
      </c>
      <c r="BG93" s="2" t="s">
        <v>407</v>
      </c>
      <c r="BH93" s="2" t="n">
        <f aca="false">INDEX(Ratings!$B$2:$B$239,MATCH(BF93,Ratings!$A$2:$A$239,0))</f>
        <v>-1.1</v>
      </c>
      <c r="BI93" s="2" t="n">
        <f aca="false">IF(BG93="Home",Assumptions!$B$2,IF(BG93="Away",-Assumptions!$B$2,0))</f>
        <v>-2.5</v>
      </c>
      <c r="BJ93" s="2" t="n">
        <f aca="false">NORMDIST($B93-BH93+BI93,0,Assumptions!$B$3,TRUE())</f>
        <v>0.319624171517118</v>
      </c>
      <c r="BP93" s="2" t="n">
        <v>12</v>
      </c>
      <c r="BQ93" s="2" t="n">
        <f aca="false">G93+L93+Q93+V93+AA93+AF93+AK93+AP93+AU93+AZ93+BE93+BJ93</f>
        <v>6.56105068833914</v>
      </c>
    </row>
    <row r="94" customFormat="false" ht="15" hidden="false" customHeight="false" outlineLevel="0" collapsed="false">
      <c r="A94" s="2" t="s">
        <v>150</v>
      </c>
      <c r="B94" s="2" t="n">
        <f aca="false">INDEX(Ratings!$B$2:$B$239,MATCH($A94,Ratings!$A$2:$A$239,0))</f>
        <v>-6.9</v>
      </c>
      <c r="C94" s="2" t="s">
        <v>293</v>
      </c>
      <c r="D94" s="2" t="s">
        <v>406</v>
      </c>
      <c r="E94" s="2" t="n">
        <f aca="false">INDEX(Ratings!$B$2:$B$239,MATCH(C94,Ratings!$A$2:$A$239,0))</f>
        <v>-39</v>
      </c>
      <c r="F94" s="2" t="n">
        <f aca="false">IF(D94="Home",Assumptions!$B$2,IF(D94="Away",-Assumptions!$B$2,0))</f>
        <v>2.5</v>
      </c>
      <c r="G94" s="2" t="n">
        <f aca="false">NORMDIST($B94-E94+F94,0,Assumptions!$B$3,TRUE())</f>
        <v>0.984710171454427</v>
      </c>
      <c r="H94" s="2" t="s">
        <v>93</v>
      </c>
      <c r="I94" s="2" t="s">
        <v>407</v>
      </c>
      <c r="J94" s="2" t="n">
        <f aca="false">INDEX(Ratings!$B$2:$B$239,MATCH(H94,Ratings!$A$2:$A$239,0))</f>
        <v>8.6</v>
      </c>
      <c r="K94" s="2" t="n">
        <f aca="false">IF(I94="Home",Assumptions!$B$2,IF(I94="Away",-Assumptions!$B$2,0))</f>
        <v>-2.5</v>
      </c>
      <c r="L94" s="2" t="n">
        <f aca="false">NORMDIST($B94-J94+K94,0,Assumptions!$B$3,TRUE())</f>
        <v>0.130294517136809</v>
      </c>
      <c r="M94" s="2" t="s">
        <v>137</v>
      </c>
      <c r="N94" s="2" t="s">
        <v>406</v>
      </c>
      <c r="O94" s="2" t="n">
        <f aca="false">INDEX(Ratings!$B$2:$B$239,MATCH(M94,Ratings!$A$2:$A$239,0))</f>
        <v>-2.3</v>
      </c>
      <c r="P94" s="2" t="n">
        <f aca="false">IF(N94="Home",Assumptions!$B$2,IF(N94="Away",-Assumptions!$B$2,0))</f>
        <v>2.5</v>
      </c>
      <c r="Q94" s="2" t="n">
        <f aca="false">NORMDIST($B94-O94+P94,0,Assumptions!$B$3,TRUE())</f>
        <v>0.447788771872615</v>
      </c>
      <c r="R94" s="2" t="s">
        <v>127</v>
      </c>
      <c r="S94" s="2" t="s">
        <v>406</v>
      </c>
      <c r="T94" s="2" t="n">
        <f aca="false">INDEX(Ratings!$B$2:$B$239,MATCH(R94,Ratings!$A$2:$A$239,0))</f>
        <v>-0.9</v>
      </c>
      <c r="U94" s="2" t="n">
        <f aca="false">IF(S94="Home",Assumptions!$B$2,IF(S94="Away",-Assumptions!$B$2,0))</f>
        <v>2.5</v>
      </c>
      <c r="V94" s="2" t="n">
        <f aca="false">NORMDIST($B94-T94+U94,0,Assumptions!$B$3,TRUE())</f>
        <v>0.413422398858449</v>
      </c>
      <c r="W94" s="2" t="s">
        <v>194</v>
      </c>
      <c r="X94" s="2" t="s">
        <v>407</v>
      </c>
      <c r="Y94" s="2" t="n">
        <f aca="false">INDEX(Ratings!$B$2:$B$239,MATCH(W94,Ratings!$A$2:$A$239,0))</f>
        <v>-29.3</v>
      </c>
      <c r="Z94" s="2" t="n">
        <f aca="false">IF(X94="Home",Assumptions!$B$2,IF(X94="Away",-Assumptions!$B$2,0))</f>
        <v>-2.5</v>
      </c>
      <c r="AA94" s="2" t="n">
        <f aca="false">NORMDIST($B94-Y94+Z94,0,Assumptions!$B$3,TRUE())</f>
        <v>0.893204206183695</v>
      </c>
      <c r="AB94" s="2" t="s">
        <v>169</v>
      </c>
      <c r="AC94" s="2" t="s">
        <v>407</v>
      </c>
      <c r="AD94" s="2" t="n">
        <f aca="false">INDEX(Ratings!$B$2:$B$239,MATCH(AB94,Ratings!$A$2:$A$239,0))</f>
        <v>-12.7</v>
      </c>
      <c r="AE94" s="2" t="n">
        <f aca="false">IF(AC94="Home",Assumptions!$B$2,IF(AC94="Away",-Assumptions!$B$2,0))</f>
        <v>-2.5</v>
      </c>
      <c r="AF94" s="2" t="n">
        <f aca="false">NORMDIST($B94-AD94+AE94,0,Assumptions!$B$3,TRUE())</f>
        <v>0.581702183505625</v>
      </c>
      <c r="AG94" s="2" t="s">
        <v>160</v>
      </c>
      <c r="AH94" s="2" t="s">
        <v>406</v>
      </c>
      <c r="AI94" s="2" t="n">
        <f aca="false">INDEX(Ratings!$B$2:$B$239,MATCH(AG94,Ratings!$A$2:$A$239,0))</f>
        <v>-10.8</v>
      </c>
      <c r="AJ94" s="2" t="n">
        <f aca="false">IF(AH94="Home",Assumptions!$B$2,IF(AH94="Away",-Assumptions!$B$2,0))</f>
        <v>2.5</v>
      </c>
      <c r="AK94" s="2" t="n">
        <f aca="false">NORMDIST($B94-AI94+AJ94,0,Assumptions!$B$3,TRUE())</f>
        <v>0.655421741610324</v>
      </c>
      <c r="AL94" s="2" t="s">
        <v>156</v>
      </c>
      <c r="AM94" s="2" t="s">
        <v>407</v>
      </c>
      <c r="AN94" s="2" t="n">
        <f aca="false">INDEX(Ratings!$B$2:$B$239,MATCH(AL94,Ratings!$A$2:$A$239,0))</f>
        <v>-9.1</v>
      </c>
      <c r="AO94" s="2" t="n">
        <f aca="false">IF(AM94="Home",Assumptions!$B$2,IF(AM94="Away",-Assumptions!$B$2,0))</f>
        <v>-2.5</v>
      </c>
      <c r="AP94" s="2" t="n">
        <f aca="false">NORMDIST($B94-AN94+AO94,0,Assumptions!$B$3,TRUE())</f>
        <v>0.492520270510441</v>
      </c>
      <c r="AQ94" s="2" t="s">
        <v>155</v>
      </c>
      <c r="AR94" s="2" t="s">
        <v>406</v>
      </c>
      <c r="AS94" s="2" t="n">
        <f aca="false">INDEX(Ratings!$B$2:$B$239,MATCH(AQ94,Ratings!$A$2:$A$239,0))</f>
        <v>-8.2</v>
      </c>
      <c r="AT94" s="2" t="n">
        <f aca="false">IF(AR94="Home",Assumptions!$B$2,IF(AR94="Away",-Assumptions!$B$2,0))</f>
        <v>2.5</v>
      </c>
      <c r="AU94" s="2" t="n">
        <f aca="false">NORMDIST($B94-AS94+AT94,0,Assumptions!$B$3,TRUE())</f>
        <v>0.593865540399242</v>
      </c>
      <c r="AV94" s="2" t="s">
        <v>174</v>
      </c>
      <c r="AW94" s="2" t="s">
        <v>407</v>
      </c>
      <c r="AX94" s="2" t="n">
        <f aca="false">INDEX(Ratings!$B$2:$B$239,MATCH(AV94,Ratings!$A$2:$A$239,0))</f>
        <v>-14.7</v>
      </c>
      <c r="AY94" s="2" t="n">
        <f aca="false">IF(AW94="Home",Assumptions!$B$2,IF(AW94="Away",-Assumptions!$B$2,0))</f>
        <v>-2.5</v>
      </c>
      <c r="AZ94" s="2" t="n">
        <f aca="false">NORMDIST($B94-AX94+AY94,0,Assumptions!$B$3,TRUE())</f>
        <v>0.629772172275028</v>
      </c>
      <c r="BA94" s="2" t="s">
        <v>167</v>
      </c>
      <c r="BB94" s="2" t="s">
        <v>407</v>
      </c>
      <c r="BC94" s="2" t="n">
        <f aca="false">INDEX(Ratings!$B$2:$B$239,MATCH(BA94,Ratings!$A$2:$A$239,0))</f>
        <v>-11.9</v>
      </c>
      <c r="BD94" s="2" t="n">
        <f aca="false">IF(BB94="Home",Assumptions!$B$2,IF(BB94="Away",-Assumptions!$B$2,0))</f>
        <v>-2.5</v>
      </c>
      <c r="BE94" s="2" t="n">
        <f aca="false">NORMDIST($B94-BC94+BD94,0,Assumptions!$B$3,TRUE())</f>
        <v>0.562082016808295</v>
      </c>
      <c r="BF94" s="2" t="s">
        <v>185</v>
      </c>
      <c r="BG94" s="2" t="s">
        <v>406</v>
      </c>
      <c r="BH94" s="2" t="n">
        <f aca="false">INDEX(Ratings!$B$2:$B$239,MATCH(BF94,Ratings!$A$2:$A$239,0))</f>
        <v>-20.7</v>
      </c>
      <c r="BI94" s="2" t="n">
        <f aca="false">IF(BG94="Home",Assumptions!$B$2,IF(BG94="Away",-Assumptions!$B$2,0))</f>
        <v>2.5</v>
      </c>
      <c r="BJ94" s="2" t="n">
        <f aca="false">NORMDIST($B94-BH94+BI94,0,Assumptions!$B$3,TRUE())</f>
        <v>0.845839165719646</v>
      </c>
      <c r="BP94" s="2" t="n">
        <v>12</v>
      </c>
      <c r="BQ94" s="2" t="n">
        <f aca="false">G94+L94+Q94+V94+AA94+AF94+AK94+AP94+AU94+AZ94+BE94+BJ94</f>
        <v>7.2306231563346</v>
      </c>
    </row>
    <row r="95" customFormat="false" ht="15" hidden="false" customHeight="false" outlineLevel="0" collapsed="false">
      <c r="A95" s="2" t="s">
        <v>151</v>
      </c>
      <c r="B95" s="2" t="n">
        <f aca="false">INDEX(Ratings!$B$2:$B$239,MATCH($A95,Ratings!$A$2:$A$239,0))</f>
        <v>-7.3</v>
      </c>
      <c r="C95" s="2" t="s">
        <v>165</v>
      </c>
      <c r="D95" s="2" t="s">
        <v>407</v>
      </c>
      <c r="E95" s="2" t="n">
        <f aca="false">INDEX(Ratings!$B$2:$B$239,MATCH(C95,Ratings!$A$2:$A$239,0))</f>
        <v>-11.7</v>
      </c>
      <c r="F95" s="2" t="n">
        <f aca="false">IF(D95="Home",Assumptions!$B$2,IF(D95="Away",-Assumptions!$B$2,0))</f>
        <v>-2.5</v>
      </c>
      <c r="G95" s="2" t="n">
        <f aca="false">NORMDIST($B95-E95+F95,0,Assumptions!$B$3,TRUE())</f>
        <v>0.547263288750412</v>
      </c>
      <c r="H95" s="2" t="s">
        <v>61</v>
      </c>
      <c r="I95" s="2" t="s">
        <v>407</v>
      </c>
      <c r="J95" s="2" t="n">
        <f aca="false">INDEX(Ratings!$B$2:$B$239,MATCH(H95,Ratings!$A$2:$A$239,0))</f>
        <v>26.4</v>
      </c>
      <c r="K95" s="2" t="n">
        <f aca="false">IF(I95="Home",Assumptions!$B$2,IF(I95="Away",-Assumptions!$B$2,0))</f>
        <v>-2.5</v>
      </c>
      <c r="L95" s="2" t="n">
        <f aca="false">NORMDIST($B95-J95+K95,0,Assumptions!$B$3,TRUE())</f>
        <v>0.0118332644193267</v>
      </c>
      <c r="M95" s="2" t="s">
        <v>62</v>
      </c>
      <c r="N95" s="2" t="s">
        <v>407</v>
      </c>
      <c r="O95" s="2" t="n">
        <f aca="false">INDEX(Ratings!$B$2:$B$239,MATCH(M95,Ratings!$A$2:$A$239,0))</f>
        <v>25.8</v>
      </c>
      <c r="P95" s="2" t="n">
        <f aca="false">IF(N95="Home",Assumptions!$B$2,IF(N95="Away",-Assumptions!$B$2,0))</f>
        <v>-2.5</v>
      </c>
      <c r="Q95" s="2" t="n">
        <f aca="false">NORMDIST($B95-O95+P95,0,Assumptions!$B$3,TRUE())</f>
        <v>0.0130406190735396</v>
      </c>
      <c r="R95" s="2" t="s">
        <v>283</v>
      </c>
      <c r="S95" s="2" t="s">
        <v>406</v>
      </c>
      <c r="T95" s="2" t="n">
        <f aca="false">INDEX(Ratings!$B$2:$B$239,MATCH(R95,Ratings!$A$2:$A$239,0))</f>
        <v>-56</v>
      </c>
      <c r="U95" s="2" t="n">
        <f aca="false">IF(S95="Home",Assumptions!$B$2,IF(S95="Away",-Assumptions!$B$2,0))</f>
        <v>2.5</v>
      </c>
      <c r="V95" s="2" t="n">
        <f aca="false">NORMDIST($B95-T95+U95,0,Assumptions!$B$3,TRUE())</f>
        <v>0.999312862062084</v>
      </c>
      <c r="W95" s="2" t="s">
        <v>182</v>
      </c>
      <c r="X95" s="2" t="s">
        <v>407</v>
      </c>
      <c r="Y95" s="2" t="n">
        <f aca="false">INDEX(Ratings!$B$2:$B$239,MATCH(W95,Ratings!$A$2:$A$239,0))</f>
        <v>-18.5</v>
      </c>
      <c r="Z95" s="2" t="n">
        <f aca="false">IF(X95="Home",Assumptions!$B$2,IF(X95="Away",-Assumptions!$B$2,0))</f>
        <v>-2.5</v>
      </c>
      <c r="AA95" s="2" t="n">
        <f aca="false">NORMDIST($B95-Y95+Z95,0,Assumptions!$B$3,TRUE())</f>
        <v>0.706693239916112</v>
      </c>
      <c r="AB95" s="2" t="s">
        <v>183</v>
      </c>
      <c r="AC95" s="2" t="s">
        <v>406</v>
      </c>
      <c r="AD95" s="2" t="n">
        <f aca="false">INDEX(Ratings!$B$2:$B$239,MATCH(AB95,Ratings!$A$2:$A$239,0))</f>
        <v>-19.1</v>
      </c>
      <c r="AE95" s="2" t="n">
        <f aca="false">IF(AC95="Home",Assumptions!$B$2,IF(AC95="Away",-Assumptions!$B$2,0))</f>
        <v>2.5</v>
      </c>
      <c r="AF95" s="2" t="n">
        <f aca="false">NORMDIST($B95-AD95+AE95,0,Assumptions!$B$3,TRUE())</f>
        <v>0.814272166652096</v>
      </c>
      <c r="AG95" s="2" t="s">
        <v>191</v>
      </c>
      <c r="AH95" s="2" t="s">
        <v>407</v>
      </c>
      <c r="AI95" s="2" t="n">
        <f aca="false">INDEX(Ratings!$B$2:$B$239,MATCH(AG95,Ratings!$A$2:$A$239,0))</f>
        <v>-26</v>
      </c>
      <c r="AJ95" s="2" t="n">
        <f aca="false">IF(AH95="Home",Assumptions!$B$2,IF(AH95="Away",-Assumptions!$B$2,0))</f>
        <v>-2.5</v>
      </c>
      <c r="AK95" s="2" t="n">
        <f aca="false">NORMDIST($B95-AI95+AJ95,0,Assumptions!$B$3,TRUE())</f>
        <v>0.844350476653232</v>
      </c>
      <c r="AL95" s="2" t="s">
        <v>170</v>
      </c>
      <c r="AM95" s="2" t="s">
        <v>406</v>
      </c>
      <c r="AN95" s="2" t="n">
        <f aca="false">INDEX(Ratings!$B$2:$B$239,MATCH(AL95,Ratings!$A$2:$A$239,0))</f>
        <v>-12.9</v>
      </c>
      <c r="AO95" s="2" t="n">
        <f aca="false">IF(AM95="Home",Assumptions!$B$2,IF(AM95="Away",-Assumptions!$B$2,0))</f>
        <v>2.5</v>
      </c>
      <c r="AP95" s="2" t="n">
        <f aca="false">NORMDIST($B95-AN95+AO95,0,Assumptions!$B$3,TRUE())</f>
        <v>0.693659420714973</v>
      </c>
      <c r="AQ95" s="2" t="s">
        <v>192</v>
      </c>
      <c r="AR95" s="2" t="s">
        <v>407</v>
      </c>
      <c r="AS95" s="2" t="n">
        <f aca="false">INDEX(Ratings!$B$2:$B$239,MATCH(AQ95,Ratings!$A$2:$A$239,0))</f>
        <v>-26.5</v>
      </c>
      <c r="AT95" s="2" t="n">
        <f aca="false">IF(AR95="Home",Assumptions!$B$2,IF(AR95="Away",-Assumptions!$B$2,0))</f>
        <v>-2.5</v>
      </c>
      <c r="AU95" s="2" t="n">
        <f aca="false">NORMDIST($B95-AS95+AT95,0,Assumptions!$B$3,TRUE())</f>
        <v>0.851699464935375</v>
      </c>
      <c r="AV95" s="2" t="s">
        <v>152</v>
      </c>
      <c r="AW95" s="2" t="s">
        <v>406</v>
      </c>
      <c r="AX95" s="2" t="n">
        <f aca="false">INDEX(Ratings!$B$2:$B$239,MATCH(AV95,Ratings!$A$2:$A$239,0))</f>
        <v>-7.8</v>
      </c>
      <c r="AY95" s="2" t="n">
        <f aca="false">IF(AW95="Home",Assumptions!$B$2,IF(AW95="Away",-Assumptions!$B$2,0))</f>
        <v>2.5</v>
      </c>
      <c r="AZ95" s="2" t="n">
        <f aca="false">NORMDIST($B95-AX95+AY95,0,Assumptions!$B$3,TRUE())</f>
        <v>0.574365688155897</v>
      </c>
      <c r="BA95" s="2" t="s">
        <v>145</v>
      </c>
      <c r="BB95" s="2" t="s">
        <v>407</v>
      </c>
      <c r="BC95" s="2" t="n">
        <f aca="false">INDEX(Ratings!$B$2:$B$239,MATCH(BA95,Ratings!$A$2:$A$239,0))</f>
        <v>-5.3</v>
      </c>
      <c r="BD95" s="2" t="n">
        <f aca="false">IF(BB95="Home",Assumptions!$B$2,IF(BB95="Away",-Assumptions!$B$2,0))</f>
        <v>-2.5</v>
      </c>
      <c r="BE95" s="2" t="n">
        <f aca="false">NORMDIST($B95-BC95+BD95,0,Assumptions!$B$3,TRUE())</f>
        <v>0.389259328607937</v>
      </c>
      <c r="BF95" s="2" t="s">
        <v>171</v>
      </c>
      <c r="BG95" s="2" t="s">
        <v>406</v>
      </c>
      <c r="BH95" s="2" t="n">
        <f aca="false">INDEX(Ratings!$B$2:$B$239,MATCH(BF95,Ratings!$A$2:$A$239,0))</f>
        <v>-12.9</v>
      </c>
      <c r="BI95" s="2" t="n">
        <f aca="false">IF(BG95="Home",Assumptions!$B$2,IF(BG95="Away",-Assumptions!$B$2,0))</f>
        <v>2.5</v>
      </c>
      <c r="BJ95" s="2" t="n">
        <f aca="false">NORMDIST($B95-BH95+BI95,0,Assumptions!$B$3,TRUE())</f>
        <v>0.693659420714973</v>
      </c>
      <c r="BP95" s="2" t="n">
        <v>12</v>
      </c>
      <c r="BQ95" s="2" t="n">
        <f aca="false">G95+L95+Q95+V95+AA95+AF95+AK95+AP95+AU95+AZ95+BE95+BJ95</f>
        <v>7.13940924065596</v>
      </c>
    </row>
    <row r="96" customFormat="false" ht="15" hidden="false" customHeight="false" outlineLevel="0" collapsed="false">
      <c r="A96" s="2" t="s">
        <v>152</v>
      </c>
      <c r="B96" s="2" t="n">
        <f aca="false">INDEX(Ratings!$B$2:$B$239,MATCH($A96,Ratings!$A$2:$A$239,0))</f>
        <v>-7.8</v>
      </c>
      <c r="C96" s="2" t="s">
        <v>132</v>
      </c>
      <c r="D96" s="2" t="s">
        <v>407</v>
      </c>
      <c r="E96" s="2" t="n">
        <f aca="false">INDEX(Ratings!$B$2:$B$239,MATCH(C96,Ratings!$A$2:$A$239,0))</f>
        <v>-1.8</v>
      </c>
      <c r="F96" s="2" t="n">
        <f aca="false">IF(D96="Home",Assumptions!$B$2,IF(D96="Away",-Assumptions!$B$2,0))</f>
        <v>-2.5</v>
      </c>
      <c r="G96" s="2" t="n">
        <f aca="false">NORMDIST($B96-E96+F96,0,Assumptions!$B$3,TRUE())</f>
        <v>0.297622774366408</v>
      </c>
      <c r="H96" s="2" t="s">
        <v>259</v>
      </c>
      <c r="I96" s="2" t="s">
        <v>406</v>
      </c>
      <c r="J96" s="2" t="n">
        <f aca="false">INDEX(Ratings!$B$2:$B$239,MATCH(H96,Ratings!$A$2:$A$239,0))</f>
        <v>-33</v>
      </c>
      <c r="K96" s="2" t="n">
        <f aca="false">IF(I96="Home",Assumptions!$B$2,IF(I96="Away",-Assumptions!$B$2,0))</f>
        <v>2.5</v>
      </c>
      <c r="L96" s="2" t="n">
        <f aca="false">NORMDIST($B96-J96+K96,0,Assumptions!$B$3,TRUE())</f>
        <v>0.958296407485094</v>
      </c>
      <c r="M96" s="2" t="s">
        <v>166</v>
      </c>
      <c r="N96" s="2" t="s">
        <v>407</v>
      </c>
      <c r="O96" s="2" t="n">
        <f aca="false">INDEX(Ratings!$B$2:$B$239,MATCH(M96,Ratings!$A$2:$A$239,0))</f>
        <v>-11.8</v>
      </c>
      <c r="P96" s="2" t="n">
        <f aca="false">IF(N96="Home",Assumptions!$B$2,IF(N96="Away",-Assumptions!$B$2,0))</f>
        <v>-2.5</v>
      </c>
      <c r="Q96" s="2" t="n">
        <f aca="false">NORMDIST($B96-O96+P96,0,Assumptions!$B$3,TRUE())</f>
        <v>0.537346124555327</v>
      </c>
      <c r="R96" s="2" t="s">
        <v>160</v>
      </c>
      <c r="S96" s="2" t="s">
        <v>406</v>
      </c>
      <c r="T96" s="2" t="n">
        <f aca="false">INDEX(Ratings!$B$2:$B$239,MATCH(R96,Ratings!$A$2:$A$239,0))</f>
        <v>-10.8</v>
      </c>
      <c r="U96" s="2" t="n">
        <f aca="false">IF(S96="Home",Assumptions!$B$2,IF(S96="Away",-Assumptions!$B$2,0))</f>
        <v>2.5</v>
      </c>
      <c r="V96" s="2" t="n">
        <f aca="false">NORMDIST($B96-T96+U96,0,Assumptions!$B$3,TRUE())</f>
        <v>0.634482847309957</v>
      </c>
      <c r="W96" s="2" t="s">
        <v>192</v>
      </c>
      <c r="X96" s="2" t="s">
        <v>406</v>
      </c>
      <c r="Y96" s="2" t="n">
        <f aca="false">INDEX(Ratings!$B$2:$B$239,MATCH(W96,Ratings!$A$2:$A$239,0))</f>
        <v>-26.5</v>
      </c>
      <c r="Z96" s="2" t="n">
        <f aca="false">IF(X96="Home",Assumptions!$B$2,IF(X96="Away",-Assumptions!$B$2,0))</f>
        <v>2.5</v>
      </c>
      <c r="AA96" s="2" t="n">
        <f aca="false">NORMDIST($B96-Y96+Z96,0,Assumptions!$B$3,TRUE())</f>
        <v>0.907414424343205</v>
      </c>
      <c r="AB96" s="2" t="s">
        <v>171</v>
      </c>
      <c r="AC96" s="2" t="s">
        <v>407</v>
      </c>
      <c r="AD96" s="2" t="n">
        <f aca="false">INDEX(Ratings!$B$2:$B$239,MATCH(AB96,Ratings!$A$2:$A$239,0))</f>
        <v>-12.9</v>
      </c>
      <c r="AE96" s="2" t="n">
        <f aca="false">IF(AC96="Home",Assumptions!$B$2,IF(AC96="Away",-Assumptions!$B$2,0))</f>
        <v>-2.5</v>
      </c>
      <c r="AF96" s="2" t="n">
        <f aca="false">NORMDIST($B96-AD96+AE96,0,Assumptions!$B$3,TRUE())</f>
        <v>0.564543935862038</v>
      </c>
      <c r="AG96" s="2" t="s">
        <v>172</v>
      </c>
      <c r="AH96" s="2" t="s">
        <v>406</v>
      </c>
      <c r="AI96" s="2" t="n">
        <f aca="false">INDEX(Ratings!$B$2:$B$239,MATCH(AG96,Ratings!$A$2:$A$239,0))</f>
        <v>-14.5</v>
      </c>
      <c r="AJ96" s="2" t="n">
        <f aca="false">IF(AH96="Home",Assumptions!$B$2,IF(AH96="Away",-Assumptions!$B$2,0))</f>
        <v>2.5</v>
      </c>
      <c r="AK96" s="2" t="n">
        <f aca="false">NORMDIST($B96-AI96+AJ96,0,Assumptions!$B$3,TRUE())</f>
        <v>0.717354351502799</v>
      </c>
      <c r="AL96" s="2" t="s">
        <v>182</v>
      </c>
      <c r="AM96" s="2" t="s">
        <v>407</v>
      </c>
      <c r="AN96" s="2" t="n">
        <f aca="false">INDEX(Ratings!$B$2:$B$239,MATCH(AL96,Ratings!$A$2:$A$239,0))</f>
        <v>-18.5</v>
      </c>
      <c r="AO96" s="2" t="n">
        <f aca="false">IF(AM96="Home",Assumptions!$B$2,IF(AM96="Away",-Assumptions!$B$2,0))</f>
        <v>-2.5</v>
      </c>
      <c r="AP96" s="2" t="n">
        <f aca="false">NORMDIST($B96-AN96+AO96,0,Assumptions!$B$3,TRUE())</f>
        <v>0.69584943984712</v>
      </c>
      <c r="AQ96" s="2" t="s">
        <v>191</v>
      </c>
      <c r="AR96" s="2" t="s">
        <v>406</v>
      </c>
      <c r="AS96" s="2" t="n">
        <f aca="false">INDEX(Ratings!$B$2:$B$239,MATCH(AQ96,Ratings!$A$2:$A$239,0))</f>
        <v>-26</v>
      </c>
      <c r="AT96" s="2" t="n">
        <f aca="false">IF(AR96="Home",Assumptions!$B$2,IF(AR96="Away",-Assumptions!$B$2,0))</f>
        <v>2.5</v>
      </c>
      <c r="AU96" s="2" t="n">
        <f aca="false">NORMDIST($B96-AS96+AT96,0,Assumptions!$B$3,TRUE())</f>
        <v>0.902124105765672</v>
      </c>
      <c r="AV96" s="2" t="s">
        <v>151</v>
      </c>
      <c r="AW96" s="2" t="s">
        <v>407</v>
      </c>
      <c r="AX96" s="2" t="n">
        <f aca="false">INDEX(Ratings!$B$2:$B$239,MATCH(AV96,Ratings!$A$2:$A$239,0))</f>
        <v>-7.3</v>
      </c>
      <c r="AY96" s="2" t="n">
        <f aca="false">IF(AW96="Home",Assumptions!$B$2,IF(AW96="Away",-Assumptions!$B$2,0))</f>
        <v>-2.5</v>
      </c>
      <c r="AZ96" s="2" t="n">
        <f aca="false">NORMDIST($B96-AX96+AY96,0,Assumptions!$B$3,TRUE())</f>
        <v>0.425634311844103</v>
      </c>
      <c r="BA96" s="2" t="s">
        <v>183</v>
      </c>
      <c r="BB96" s="2" t="s">
        <v>406</v>
      </c>
      <c r="BC96" s="2" t="n">
        <f aca="false">INDEX(Ratings!$B$2:$B$239,MATCH(BA96,Ratings!$A$2:$A$239,0))</f>
        <v>-19.1</v>
      </c>
      <c r="BD96" s="2" t="n">
        <f aca="false">IF(BB96="Home",Assumptions!$B$2,IF(BB96="Away",-Assumptions!$B$2,0))</f>
        <v>2.5</v>
      </c>
      <c r="BE96" s="2" t="n">
        <f aca="false">NORMDIST($B96-BC96+BD96,0,Assumptions!$B$3,TRUE())</f>
        <v>0.805793783456004</v>
      </c>
      <c r="BF96" s="2" t="s">
        <v>170</v>
      </c>
      <c r="BG96" s="2" t="s">
        <v>407</v>
      </c>
      <c r="BH96" s="2" t="n">
        <f aca="false">INDEX(Ratings!$B$2:$B$239,MATCH(BF96,Ratings!$A$2:$A$239,0))</f>
        <v>-12.9</v>
      </c>
      <c r="BI96" s="2" t="n">
        <f aca="false">IF(BG96="Home",Assumptions!$B$2,IF(BG96="Away",-Assumptions!$B$2,0))</f>
        <v>-2.5</v>
      </c>
      <c r="BJ96" s="2" t="n">
        <f aca="false">NORMDIST($B96-BH96+BI96,0,Assumptions!$B$3,TRUE())</f>
        <v>0.564543935862038</v>
      </c>
      <c r="BP96" s="2" t="n">
        <v>12</v>
      </c>
      <c r="BQ96" s="2" t="n">
        <f aca="false">G96+L96+Q96+V96+AA96+AF96+AK96+AP96+AU96+AZ96+BE96+BJ96</f>
        <v>8.01100644219977</v>
      </c>
    </row>
    <row r="97" customFormat="false" ht="15" hidden="false" customHeight="false" outlineLevel="0" collapsed="false">
      <c r="A97" s="2" t="s">
        <v>153</v>
      </c>
      <c r="B97" s="2" t="n">
        <f aca="false">INDEX(Ratings!$B$2:$B$239,MATCH($A97,Ratings!$A$2:$A$239,0))</f>
        <v>-7.9</v>
      </c>
      <c r="C97" s="2" t="s">
        <v>272</v>
      </c>
      <c r="D97" s="2" t="s">
        <v>406</v>
      </c>
      <c r="E97" s="2" t="n">
        <f aca="false">INDEX(Ratings!$B$2:$B$239,MATCH(C97,Ratings!$A$2:$A$239,0))</f>
        <v>-23</v>
      </c>
      <c r="F97" s="2" t="n">
        <f aca="false">IF(D97="Home",Assumptions!$B$2,IF(D97="Away",-Assumptions!$B$2,0))</f>
        <v>2.5</v>
      </c>
      <c r="G97" s="2" t="n">
        <f aca="false">NORMDIST($B97-E97+F97,0,Assumptions!$B$3,TRUE())</f>
        <v>0.864333939053617</v>
      </c>
      <c r="H97" s="2" t="s">
        <v>75</v>
      </c>
      <c r="I97" s="2" t="s">
        <v>407</v>
      </c>
      <c r="J97" s="2" t="n">
        <f aca="false">INDEX(Ratings!$B$2:$B$239,MATCH(H97,Ratings!$A$2:$A$239,0))</f>
        <v>15.8</v>
      </c>
      <c r="K97" s="2" t="n">
        <f aca="false">IF(I97="Home",Assumptions!$B$2,IF(I97="Away",-Assumptions!$B$2,0))</f>
        <v>-2.5</v>
      </c>
      <c r="L97" s="2" t="n">
        <f aca="false">NORMDIST($B97-J97+K97,0,Assumptions!$B$3,TRUE())</f>
        <v>0.0507630194703814</v>
      </c>
      <c r="M97" s="2" t="s">
        <v>87</v>
      </c>
      <c r="N97" s="2" t="s">
        <v>407</v>
      </c>
      <c r="O97" s="2" t="n">
        <f aca="false">INDEX(Ratings!$B$2:$B$239,MATCH(M97,Ratings!$A$2:$A$239,0))</f>
        <v>9.8</v>
      </c>
      <c r="P97" s="2" t="n">
        <f aca="false">IF(N97="Home",Assumptions!$B$2,IF(N97="Away",-Assumptions!$B$2,0))</f>
        <v>-2.5</v>
      </c>
      <c r="Q97" s="2" t="n">
        <f aca="false">NORMDIST($B97-O97+P97,0,Assumptions!$B$3,TRUE())</f>
        <v>0.103384463148161</v>
      </c>
      <c r="R97" s="2" t="s">
        <v>154</v>
      </c>
      <c r="S97" s="2" t="s">
        <v>406</v>
      </c>
      <c r="T97" s="2" t="n">
        <f aca="false">INDEX(Ratings!$B$2:$B$239,MATCH(R97,Ratings!$A$2:$A$239,0))</f>
        <v>-8</v>
      </c>
      <c r="U97" s="2" t="n">
        <f aca="false">IF(S97="Home",Assumptions!$B$2,IF(S97="Away",-Assumptions!$B$2,0))</f>
        <v>2.5</v>
      </c>
      <c r="V97" s="2" t="n">
        <f aca="false">NORMDIST($B97-T97+U97,0,Assumptions!$B$3,TRUE())</f>
        <v>0.564543935862038</v>
      </c>
      <c r="W97" s="2" t="s">
        <v>106</v>
      </c>
      <c r="X97" s="2" t="s">
        <v>407</v>
      </c>
      <c r="Y97" s="2" t="n">
        <f aca="false">INDEX(Ratings!$B$2:$B$239,MATCH(W97,Ratings!$A$2:$A$239,0))</f>
        <v>5.1</v>
      </c>
      <c r="Z97" s="2" t="n">
        <f aca="false">IF(X97="Home",Assumptions!$B$2,IF(X97="Away",-Assumptions!$B$2,0))</f>
        <v>-2.5</v>
      </c>
      <c r="AA97" s="2" t="n">
        <f aca="false">NORMDIST($B97-Y97+Z97,0,Assumptions!$B$3,TRUE())</f>
        <v>0.166334969492118</v>
      </c>
      <c r="AB97" s="2" t="s">
        <v>143</v>
      </c>
      <c r="AC97" s="2" t="s">
        <v>406</v>
      </c>
      <c r="AD97" s="2" t="n">
        <f aca="false">INDEX(Ratings!$B$2:$B$239,MATCH(AB97,Ratings!$A$2:$A$239,0))</f>
        <v>-4.3</v>
      </c>
      <c r="AE97" s="2" t="n">
        <f aca="false">IF(AC97="Home",Assumptions!$B$2,IF(AC97="Away",-Assumptions!$B$2,0))</f>
        <v>2.5</v>
      </c>
      <c r="AF97" s="2" t="n">
        <f aca="false">NORMDIST($B97-AD97+AE97,0,Assumptions!$B$3,TRUE())</f>
        <v>0.472594309039532</v>
      </c>
      <c r="AG97" s="2" t="s">
        <v>134</v>
      </c>
      <c r="AH97" s="2" t="s">
        <v>407</v>
      </c>
      <c r="AI97" s="2" t="n">
        <f aca="false">INDEX(Ratings!$B$2:$B$239,MATCH(AG97,Ratings!$A$2:$A$239,0))</f>
        <v>-2.1</v>
      </c>
      <c r="AJ97" s="2" t="n">
        <f aca="false">IF(AH97="Home",Assumptions!$B$2,IF(AH97="Away",-Assumptions!$B$2,0))</f>
        <v>-2.5</v>
      </c>
      <c r="AK97" s="2" t="n">
        <f aca="false">NORMDIST($B97-AI97+AJ97,0,Assumptions!$B$3,TRUE())</f>
        <v>0.301967544680181</v>
      </c>
      <c r="AL97" s="2" t="s">
        <v>164</v>
      </c>
      <c r="AM97" s="2" t="s">
        <v>406</v>
      </c>
      <c r="AN97" s="2" t="n">
        <f aca="false">INDEX(Ratings!$B$2:$B$239,MATCH(AL97,Ratings!$A$2:$A$239,0))</f>
        <v>-11.6</v>
      </c>
      <c r="AO97" s="2" t="n">
        <f aca="false">IF(AM97="Home",Assumptions!$B$2,IF(AM97="Away",-Assumptions!$B$2,0))</f>
        <v>2.5</v>
      </c>
      <c r="AP97" s="2" t="n">
        <f aca="false">NORMDIST($B97-AN97+AO97,0,Assumptions!$B$3,TRUE())</f>
        <v>0.650806957537142</v>
      </c>
      <c r="AQ97" s="2" t="s">
        <v>130</v>
      </c>
      <c r="AR97" s="2" t="s">
        <v>406</v>
      </c>
      <c r="AS97" s="2" t="n">
        <f aca="false">INDEX(Ratings!$B$2:$B$239,MATCH(AQ97,Ratings!$A$2:$A$239,0))</f>
        <v>-1.4</v>
      </c>
      <c r="AT97" s="2" t="n">
        <f aca="false">IF(AR97="Home",Assumptions!$B$2,IF(AR97="Away",-Assumptions!$B$2,0))</f>
        <v>2.5</v>
      </c>
      <c r="AU97" s="2" t="n">
        <f aca="false">NORMDIST($B97-AS97+AT97,0,Assumptions!$B$3,TRUE())</f>
        <v>0.401293674317076</v>
      </c>
      <c r="AV97" s="2" t="s">
        <v>122</v>
      </c>
      <c r="AW97" s="2" t="s">
        <v>407</v>
      </c>
      <c r="AX97" s="2" t="n">
        <f aca="false">INDEX(Ratings!$B$2:$B$239,MATCH(AV97,Ratings!$A$2:$A$239,0))</f>
        <v>0.7</v>
      </c>
      <c r="AY97" s="2" t="n">
        <f aca="false">IF(AW97="Home",Assumptions!$B$2,IF(AW97="Away",-Assumptions!$B$2,0))</f>
        <v>-2.5</v>
      </c>
      <c r="AZ97" s="2" t="n">
        <f aca="false">NORMDIST($B97-AX97+AY97,0,Assumptions!$B$3,TRUE())</f>
        <v>0.243919501888608</v>
      </c>
      <c r="BA97" s="2" t="s">
        <v>146</v>
      </c>
      <c r="BB97" s="2" t="s">
        <v>407</v>
      </c>
      <c r="BC97" s="2" t="n">
        <f aca="false">INDEX(Ratings!$B$2:$B$239,MATCH(BA97,Ratings!$A$2:$A$239,0))</f>
        <v>-5.6</v>
      </c>
      <c r="BD97" s="2" t="n">
        <f aca="false">IF(BB97="Home",Assumptions!$B$2,IF(BB97="Away",-Assumptions!$B$2,0))</f>
        <v>-2.5</v>
      </c>
      <c r="BE97" s="2" t="n">
        <f aca="false">NORMDIST($B97-BC97+BD97,0,Assumptions!$B$3,TRUE())</f>
        <v>0.382088577811047</v>
      </c>
      <c r="BF97" s="2" t="s">
        <v>106</v>
      </c>
      <c r="BG97" s="2" t="s">
        <v>406</v>
      </c>
      <c r="BH97" s="2" t="n">
        <f aca="false">INDEX(Ratings!$B$2:$B$239,MATCH(BF97,Ratings!$A$2:$A$239,0))</f>
        <v>5.1</v>
      </c>
      <c r="BI97" s="2" t="n">
        <f aca="false">IF(BG97="Home",Assumptions!$B$2,IF(BG97="Away",-Assumptions!$B$2,0))</f>
        <v>2.5</v>
      </c>
      <c r="BJ97" s="2" t="n">
        <f aca="false">NORMDIST($B97-BH97+BI97,0,Assumptions!$B$3,TRUE())</f>
        <v>0.255831641347934</v>
      </c>
      <c r="BP97" s="2" t="n">
        <v>12</v>
      </c>
      <c r="BQ97" s="2" t="n">
        <f aca="false">G97+L97+Q97+V97+AA97+AF97+AK97+AP97+AU97+AZ97+BE97+BJ97</f>
        <v>4.45786253364784</v>
      </c>
    </row>
    <row r="98" customFormat="false" ht="15" hidden="false" customHeight="false" outlineLevel="0" collapsed="false">
      <c r="A98" s="2" t="s">
        <v>154</v>
      </c>
      <c r="B98" s="2" t="n">
        <f aca="false">INDEX(Ratings!$B$2:$B$239,MATCH($A98,Ratings!$A$2:$A$239,0))</f>
        <v>-8</v>
      </c>
      <c r="C98" s="2" t="s">
        <v>191</v>
      </c>
      <c r="D98" s="2" t="s">
        <v>406</v>
      </c>
      <c r="E98" s="2" t="n">
        <f aca="false">INDEX(Ratings!$B$2:$B$239,MATCH(C98,Ratings!$A$2:$A$239,0))</f>
        <v>-26</v>
      </c>
      <c r="F98" s="2" t="n">
        <f aca="false">IF(D98="Home",Assumptions!$B$2,IF(D98="Away",-Assumptions!$B$2,0))</f>
        <v>2.5</v>
      </c>
      <c r="G98" s="2" t="n">
        <f aca="false">NORMDIST($B98-E98+F98,0,Assumptions!$B$3,TRUE())</f>
        <v>0.899947065522574</v>
      </c>
      <c r="H98" s="2" t="s">
        <v>241</v>
      </c>
      <c r="I98" s="2" t="s">
        <v>406</v>
      </c>
      <c r="J98" s="2" t="n">
        <f aca="false">INDEX(Ratings!$B$2:$B$239,MATCH(H98,Ratings!$A$2:$A$239,0))</f>
        <v>-42</v>
      </c>
      <c r="K98" s="2" t="n">
        <f aca="false">IF(I98="Home",Assumptions!$B$2,IF(I98="Away",-Assumptions!$B$2,0))</f>
        <v>2.5</v>
      </c>
      <c r="L98" s="2" t="n">
        <f aca="false">NORMDIST($B98-J98+K98,0,Assumptions!$B$3,TRUE())</f>
        <v>0.98873317121079</v>
      </c>
      <c r="M98" s="2" t="s">
        <v>76</v>
      </c>
      <c r="N98" s="2" t="s">
        <v>407</v>
      </c>
      <c r="O98" s="2" t="n">
        <f aca="false">INDEX(Ratings!$B$2:$B$239,MATCH(M98,Ratings!$A$2:$A$239,0))</f>
        <v>15.4</v>
      </c>
      <c r="P98" s="2" t="n">
        <f aca="false">IF(N98="Home",Assumptions!$B$2,IF(N98="Away",-Assumptions!$B$2,0))</f>
        <v>-2.5</v>
      </c>
      <c r="Q98" s="2" t="n">
        <f aca="false">NORMDIST($B98-O98+P98,0,Assumptions!$B$3,TRUE())</f>
        <v>0.0527505320407448</v>
      </c>
      <c r="R98" s="2" t="s">
        <v>153</v>
      </c>
      <c r="S98" s="2" t="s">
        <v>407</v>
      </c>
      <c r="T98" s="2" t="n">
        <f aca="false">INDEX(Ratings!$B$2:$B$239,MATCH(R98,Ratings!$A$2:$A$239,0))</f>
        <v>-7.9</v>
      </c>
      <c r="U98" s="2" t="n">
        <f aca="false">IF(S98="Home",Assumptions!$B$2,IF(S98="Away",-Assumptions!$B$2,0))</f>
        <v>-2.5</v>
      </c>
      <c r="V98" s="2" t="n">
        <f aca="false">NORMDIST($B98-T98+U98,0,Assumptions!$B$3,TRUE())</f>
        <v>0.435456064137962</v>
      </c>
      <c r="W98" s="2" t="s">
        <v>185</v>
      </c>
      <c r="X98" s="2" t="s">
        <v>406</v>
      </c>
      <c r="Y98" s="2" t="n">
        <f aca="false">INDEX(Ratings!$B$2:$B$239,MATCH(W98,Ratings!$A$2:$A$239,0))</f>
        <v>-20.7</v>
      </c>
      <c r="Z98" s="2" t="n">
        <f aca="false">IF(X98="Home",Assumptions!$B$2,IF(X98="Away",-Assumptions!$B$2,0))</f>
        <v>2.5</v>
      </c>
      <c r="AA98" s="2" t="n">
        <f aca="false">NORMDIST($B98-Y98+Z98,0,Assumptions!$B$3,TRUE())</f>
        <v>0.828943873691518</v>
      </c>
      <c r="AB98" s="2" t="s">
        <v>159</v>
      </c>
      <c r="AC98" s="2" t="s">
        <v>407</v>
      </c>
      <c r="AD98" s="2" t="n">
        <f aca="false">INDEX(Ratings!$B$2:$B$239,MATCH(AB98,Ratings!$A$2:$A$239,0))</f>
        <v>-10.6</v>
      </c>
      <c r="AE98" s="2" t="n">
        <f aca="false">IF(AC98="Home",Assumptions!$B$2,IF(AC98="Away",-Assumptions!$B$2,0))</f>
        <v>-2.5</v>
      </c>
      <c r="AF98" s="2" t="n">
        <f aca="false">NORMDIST($B98-AD98+AE98,0,Assumptions!$B$3,TRUE())</f>
        <v>0.502493373019601</v>
      </c>
      <c r="AG98" s="2" t="s">
        <v>193</v>
      </c>
      <c r="AH98" s="2" t="s">
        <v>406</v>
      </c>
      <c r="AI98" s="2" t="n">
        <f aca="false">INDEX(Ratings!$B$2:$B$239,MATCH(AG98,Ratings!$A$2:$A$239,0))</f>
        <v>-28.9</v>
      </c>
      <c r="AJ98" s="2" t="n">
        <f aca="false">IF(AH98="Home",Assumptions!$B$2,IF(AH98="Away",-Assumptions!$B$2,0))</f>
        <v>2.5</v>
      </c>
      <c r="AK98" s="2" t="n">
        <f aca="false">NORMDIST($B98-AI98+AJ98,0,Assumptions!$B$3,TRUE())</f>
        <v>0.928197877824584</v>
      </c>
      <c r="AL98" s="2" t="s">
        <v>127</v>
      </c>
      <c r="AM98" s="2" t="s">
        <v>407</v>
      </c>
      <c r="AN98" s="2" t="n">
        <f aca="false">INDEX(Ratings!$B$2:$B$239,MATCH(AL98,Ratings!$A$2:$A$239,0))</f>
        <v>-0.9</v>
      </c>
      <c r="AO98" s="2" t="n">
        <f aca="false">IF(AM98="Home",Assumptions!$B$2,IF(AM98="Away",-Assumptions!$B$2,0))</f>
        <v>-2.5</v>
      </c>
      <c r="AP98" s="2" t="n">
        <f aca="false">NORMDIST($B98-AN98+AO98,0,Assumptions!$B$3,TRUE())</f>
        <v>0.274253117750074</v>
      </c>
      <c r="AQ98" s="2" t="s">
        <v>156</v>
      </c>
      <c r="AR98" s="2" t="s">
        <v>406</v>
      </c>
      <c r="AS98" s="2" t="n">
        <f aca="false">INDEX(Ratings!$B$2:$B$239,MATCH(AQ98,Ratings!$A$2:$A$239,0))</f>
        <v>-9.1</v>
      </c>
      <c r="AT98" s="2" t="n">
        <f aca="false">IF(AR98="Home",Assumptions!$B$2,IF(AR98="Away",-Assumptions!$B$2,0))</f>
        <v>2.5</v>
      </c>
      <c r="AU98" s="2" t="n">
        <f aca="false">NORMDIST($B98-AS98+AT98,0,Assumptions!$B$3,TRUE())</f>
        <v>0.58901036286873</v>
      </c>
      <c r="AV98" s="2" t="s">
        <v>173</v>
      </c>
      <c r="AW98" s="2" t="s">
        <v>407</v>
      </c>
      <c r="AX98" s="2" t="n">
        <f aca="false">INDEX(Ratings!$B$2:$B$239,MATCH(AV98,Ratings!$A$2:$A$239,0))</f>
        <v>-14.6</v>
      </c>
      <c r="AY98" s="2" t="n">
        <f aca="false">IF(AW98="Home",Assumptions!$B$2,IF(AW98="Away",-Assumptions!$B$2,0))</f>
        <v>-2.5</v>
      </c>
      <c r="AZ98" s="2" t="n">
        <f aca="false">NORMDIST($B98-AX98+AY98,0,Assumptions!$B$3,TRUE())</f>
        <v>0.601121098652944</v>
      </c>
      <c r="BA98" s="2" t="s">
        <v>160</v>
      </c>
      <c r="BB98" s="2" t="s">
        <v>406</v>
      </c>
      <c r="BC98" s="2" t="n">
        <f aca="false">INDEX(Ratings!$B$2:$B$239,MATCH(BA98,Ratings!$A$2:$A$239,0))</f>
        <v>-10.8</v>
      </c>
      <c r="BD98" s="2" t="n">
        <f aca="false">IF(BB98="Home",Assumptions!$B$2,IF(BB98="Away",-Assumptions!$B$2,0))</f>
        <v>2.5</v>
      </c>
      <c r="BE98" s="2" t="n">
        <f aca="false">NORMDIST($B98-BC98+BD98,0,Assumptions!$B$3,TRUE())</f>
        <v>0.629772172275028</v>
      </c>
      <c r="BF98" s="2" t="s">
        <v>163</v>
      </c>
      <c r="BG98" s="2" t="s">
        <v>407</v>
      </c>
      <c r="BH98" s="2" t="n">
        <f aca="false">INDEX(Ratings!$B$2:$B$239,MATCH(BF98,Ratings!$A$2:$A$239,0))</f>
        <v>-11.6</v>
      </c>
      <c r="BI98" s="2" t="n">
        <f aca="false">IF(BG98="Home",Assumptions!$B$2,IF(BG98="Away",-Assumptions!$B$2,0))</f>
        <v>-2.5</v>
      </c>
      <c r="BJ98" s="2" t="n">
        <f aca="false">NORMDIST($B98-BH98+BI98,0,Assumptions!$B$3,TRUE())</f>
        <v>0.527405690960468</v>
      </c>
      <c r="BP98" s="2" t="n">
        <v>12</v>
      </c>
      <c r="BQ98" s="2" t="n">
        <f aca="false">G98+L98+Q98+V98+AA98+AF98+AK98+AP98+AU98+AZ98+BE98+BJ98</f>
        <v>7.25808439995502</v>
      </c>
    </row>
    <row r="99" customFormat="false" ht="15" hidden="false" customHeight="false" outlineLevel="0" collapsed="false">
      <c r="A99" s="2" t="s">
        <v>155</v>
      </c>
      <c r="B99" s="2" t="n">
        <f aca="false">INDEX(Ratings!$B$2:$B$239,MATCH($A99,Ratings!$A$2:$A$239,0))</f>
        <v>-8.2</v>
      </c>
      <c r="C99" s="2" t="s">
        <v>74</v>
      </c>
      <c r="D99" s="2" t="s">
        <v>407</v>
      </c>
      <c r="E99" s="2" t="n">
        <f aca="false">INDEX(Ratings!$B$2:$B$239,MATCH(C99,Ratings!$A$2:$A$239,0))</f>
        <v>16.2</v>
      </c>
      <c r="F99" s="2" t="n">
        <f aca="false">IF(D99="Home",Assumptions!$B$2,IF(D99="Away",-Assumptions!$B$2,0))</f>
        <v>-2.5</v>
      </c>
      <c r="G99" s="2" t="n">
        <f aca="false">NORMDIST($B99-E99+F99,0,Assumptions!$B$3,TRUE())</f>
        <v>0.0463571826523206</v>
      </c>
      <c r="H99" s="2" t="s">
        <v>192</v>
      </c>
      <c r="I99" s="2" t="s">
        <v>406</v>
      </c>
      <c r="J99" s="2" t="n">
        <f aca="false">INDEX(Ratings!$B$2:$B$239,MATCH(H99,Ratings!$A$2:$A$239,0))</f>
        <v>-26.5</v>
      </c>
      <c r="K99" s="2" t="n">
        <f aca="false">IF(I99="Home",Assumptions!$B$2,IF(I99="Away",-Assumptions!$B$2,0))</f>
        <v>2.5</v>
      </c>
      <c r="L99" s="2" t="n">
        <f aca="false">NORMDIST($B99-J99+K99,0,Assumptions!$B$3,TRUE())</f>
        <v>0.90319951541439</v>
      </c>
      <c r="M99" s="2" t="s">
        <v>183</v>
      </c>
      <c r="N99" s="2" t="s">
        <v>407</v>
      </c>
      <c r="O99" s="2" t="n">
        <f aca="false">INDEX(Ratings!$B$2:$B$239,MATCH(M99,Ratings!$A$2:$A$239,0))</f>
        <v>-19.1</v>
      </c>
      <c r="P99" s="2" t="n">
        <f aca="false">IF(N99="Home",Assumptions!$B$2,IF(N99="Away",-Assumptions!$B$2,0))</f>
        <v>-2.5</v>
      </c>
      <c r="Q99" s="2" t="n">
        <f aca="false">NORMDIST($B99-O99+P99,0,Assumptions!$B$3,TRUE())</f>
        <v>0.700208404531304</v>
      </c>
      <c r="R99" s="2" t="s">
        <v>265</v>
      </c>
      <c r="S99" s="2" t="s">
        <v>406</v>
      </c>
      <c r="T99" s="2" t="n">
        <f aca="false">INDEX(Ratings!$B$2:$B$239,MATCH(R99,Ratings!$A$2:$A$239,0))</f>
        <v>-34</v>
      </c>
      <c r="U99" s="2" t="n">
        <f aca="false">IF(S99="Home",Assumptions!$B$2,IF(S99="Away",-Assumptions!$B$2,0))</f>
        <v>2.5</v>
      </c>
      <c r="V99" s="2" t="n">
        <f aca="false">NORMDIST($B99-T99+U99,0,Assumptions!$B$3,TRUE())</f>
        <v>0.961532197917867</v>
      </c>
      <c r="W99" s="2" t="s">
        <v>127</v>
      </c>
      <c r="X99" s="2" t="s">
        <v>407</v>
      </c>
      <c r="Y99" s="2" t="n">
        <f aca="false">INDEX(Ratings!$B$2:$B$239,MATCH(W99,Ratings!$A$2:$A$239,0))</f>
        <v>-0.9</v>
      </c>
      <c r="Z99" s="2" t="n">
        <f aca="false">IF(X99="Home",Assumptions!$B$2,IF(X99="Away",-Assumptions!$B$2,0))</f>
        <v>-2.5</v>
      </c>
      <c r="AA99" s="2" t="n">
        <f aca="false">NORMDIST($B99-Y99+Z99,0,Assumptions!$B$3,TRUE())</f>
        <v>0.270103499001235</v>
      </c>
      <c r="AB99" s="2" t="s">
        <v>174</v>
      </c>
      <c r="AC99" s="2" t="s">
        <v>406</v>
      </c>
      <c r="AD99" s="2" t="n">
        <f aca="false">INDEX(Ratings!$B$2:$B$239,MATCH(AB99,Ratings!$A$2:$A$239,0))</f>
        <v>-14.7</v>
      </c>
      <c r="AE99" s="2" t="n">
        <f aca="false">IF(AC99="Home",Assumptions!$B$2,IF(AC99="Away",-Assumptions!$B$2,0))</f>
        <v>2.5</v>
      </c>
      <c r="AF99" s="2" t="n">
        <f aca="false">NORMDIST($B99-AD99+AE99,0,Assumptions!$B$3,TRUE())</f>
        <v>0.713112298183635</v>
      </c>
      <c r="AG99" s="2" t="s">
        <v>173</v>
      </c>
      <c r="AH99" s="2" t="s">
        <v>406</v>
      </c>
      <c r="AI99" s="2" t="n">
        <f aca="false">INDEX(Ratings!$B$2:$B$239,MATCH(AG99,Ratings!$A$2:$A$239,0))</f>
        <v>-14.6</v>
      </c>
      <c r="AJ99" s="2" t="n">
        <f aca="false">IF(AH99="Home",Assumptions!$B$2,IF(AH99="Away",-Assumptions!$B$2,0))</f>
        <v>2.5</v>
      </c>
      <c r="AK99" s="2" t="n">
        <f aca="false">NORMDIST($B99-AI99+AJ99,0,Assumptions!$B$3,TRUE())</f>
        <v>0.710980018637507</v>
      </c>
      <c r="AL99" s="2" t="s">
        <v>150</v>
      </c>
      <c r="AM99" s="2" t="s">
        <v>407</v>
      </c>
      <c r="AN99" s="2" t="n">
        <f aca="false">INDEX(Ratings!$B$2:$B$239,MATCH(AL99,Ratings!$A$2:$A$239,0))</f>
        <v>-6.9</v>
      </c>
      <c r="AO99" s="2" t="n">
        <f aca="false">IF(AM99="Home",Assumptions!$B$2,IF(AM99="Away",-Assumptions!$B$2,0))</f>
        <v>-2.5</v>
      </c>
      <c r="AP99" s="2" t="n">
        <f aca="false">NORMDIST($B99-AN99+AO99,0,Assumptions!$B$3,TRUE())</f>
        <v>0.406134459600758</v>
      </c>
      <c r="AQ99" s="2" t="s">
        <v>160</v>
      </c>
      <c r="AR99" s="2" t="s">
        <v>407</v>
      </c>
      <c r="AS99" s="2" t="n">
        <f aca="false">INDEX(Ratings!$B$2:$B$239,MATCH(AQ99,Ratings!$A$2:$A$239,0))</f>
        <v>-10.8</v>
      </c>
      <c r="AT99" s="2" t="n">
        <f aca="false">IF(AR99="Home",Assumptions!$B$2,IF(AR99="Away",-Assumptions!$B$2,0))</f>
        <v>-2.5</v>
      </c>
      <c r="AU99" s="2" t="n">
        <f aca="false">NORMDIST($B99-AS99+AT99,0,Assumptions!$B$3,TRUE())</f>
        <v>0.502493373019601</v>
      </c>
      <c r="AV99" s="2" t="s">
        <v>169</v>
      </c>
      <c r="AW99" s="2" t="s">
        <v>406</v>
      </c>
      <c r="AX99" s="2" t="n">
        <f aca="false">INDEX(Ratings!$B$2:$B$239,MATCH(AV99,Ratings!$A$2:$A$239,0))</f>
        <v>-12.7</v>
      </c>
      <c r="AY99" s="2" t="n">
        <f aca="false">IF(AW99="Home",Assumptions!$B$2,IF(AW99="Away",-Assumptions!$B$2,0))</f>
        <v>2.5</v>
      </c>
      <c r="AZ99" s="2" t="n">
        <f aca="false">NORMDIST($B99-AX99+AY99,0,Assumptions!$B$3,TRUE())</f>
        <v>0.669125611959121</v>
      </c>
      <c r="BA99" s="2" t="s">
        <v>194</v>
      </c>
      <c r="BB99" s="2" t="s">
        <v>406</v>
      </c>
      <c r="BC99" s="2" t="n">
        <f aca="false">INDEX(Ratings!$B$2:$B$239,MATCH(BA99,Ratings!$A$2:$A$239,0))</f>
        <v>-29.3</v>
      </c>
      <c r="BD99" s="2" t="n">
        <f aca="false">IF(BB99="Home",Assumptions!$B$2,IF(BB99="Away",-Assumptions!$B$2,0))</f>
        <v>2.5</v>
      </c>
      <c r="BE99" s="2" t="n">
        <f aca="false">NORMDIST($B99-BC99+BD99,0,Assumptions!$B$3,TRUE())</f>
        <v>0.929893728288777</v>
      </c>
      <c r="BF99" s="2" t="s">
        <v>193</v>
      </c>
      <c r="BG99" s="2" t="s">
        <v>407</v>
      </c>
      <c r="BH99" s="2" t="n">
        <f aca="false">INDEX(Ratings!$B$2:$B$239,MATCH(BF99,Ratings!$A$2:$A$239,0))</f>
        <v>-28.9</v>
      </c>
      <c r="BI99" s="2" t="n">
        <f aca="false">IF(BG99="Home",Assumptions!$B$2,IF(BG99="Away",-Assumptions!$B$2,0))</f>
        <v>-2.5</v>
      </c>
      <c r="BJ99" s="2" t="n">
        <f aca="false">NORMDIST($B99-BH99+BI99,0,Assumptions!$B$3,TRUE())</f>
        <v>0.872335337703716</v>
      </c>
      <c r="BP99" s="2" t="n">
        <v>12</v>
      </c>
      <c r="BQ99" s="2" t="n">
        <f aca="false">G99+L99+Q99+V99+AA99+AF99+AK99+AP99+AU99+AZ99+BE99+BJ99</f>
        <v>7.68547562691023</v>
      </c>
    </row>
    <row r="100" customFormat="false" ht="15" hidden="false" customHeight="false" outlineLevel="0" collapsed="false">
      <c r="A100" s="2" t="s">
        <v>156</v>
      </c>
      <c r="B100" s="2" t="n">
        <f aca="false">INDEX(Ratings!$B$2:$B$239,MATCH($A100,Ratings!$A$2:$A$239,0))</f>
        <v>-9.1</v>
      </c>
      <c r="C100" s="2" t="s">
        <v>300</v>
      </c>
      <c r="D100" s="2" t="s">
        <v>406</v>
      </c>
      <c r="E100" s="2" t="n">
        <f aca="false">INDEX(Ratings!$B$2:$B$239,MATCH(C100,Ratings!$A$2:$A$239,0))</f>
        <v>-39</v>
      </c>
      <c r="F100" s="2" t="n">
        <f aca="false">IF(D100="Home",Assumptions!$B$2,IF(D100="Away",-Assumptions!$B$2,0))</f>
        <v>2.5</v>
      </c>
      <c r="G100" s="2" t="n">
        <f aca="false">NORMDIST($B100-E100+F100,0,Assumptions!$B$3,TRUE())</f>
        <v>0.978566317885847</v>
      </c>
      <c r="H100" s="2" t="s">
        <v>67</v>
      </c>
      <c r="I100" s="2" t="s">
        <v>407</v>
      </c>
      <c r="J100" s="2" t="n">
        <f aca="false">INDEX(Ratings!$B$2:$B$239,MATCH(H100,Ratings!$A$2:$A$239,0))</f>
        <v>20.4</v>
      </c>
      <c r="K100" s="2" t="n">
        <f aca="false">IF(I100="Home",Assumptions!$B$2,IF(I100="Away",-Assumptions!$B$2,0))</f>
        <v>-2.5</v>
      </c>
      <c r="L100" s="2" t="n">
        <f aca="false">NORMDIST($B100-J100+K100,0,Assumptions!$B$3,TRUE())</f>
        <v>0.0227501319481792</v>
      </c>
      <c r="M100" s="2" t="s">
        <v>111</v>
      </c>
      <c r="N100" s="2" t="s">
        <v>407</v>
      </c>
      <c r="O100" s="2" t="n">
        <f aca="false">INDEX(Ratings!$B$2:$B$239,MATCH(M100,Ratings!$A$2:$A$239,0))</f>
        <v>3.8</v>
      </c>
      <c r="P100" s="2" t="n">
        <f aca="false">IF(N100="Home",Assumptions!$B$2,IF(N100="Away",-Assumptions!$B$2,0))</f>
        <v>-2.5</v>
      </c>
      <c r="Q100" s="2" t="n">
        <f aca="false">NORMDIST($B100-O100+P100,0,Assumptions!$B$3,TRUE())</f>
        <v>0.167899251597676</v>
      </c>
      <c r="R100" s="2" t="s">
        <v>138</v>
      </c>
      <c r="S100" s="2" t="s">
        <v>406</v>
      </c>
      <c r="T100" s="2" t="n">
        <f aca="false">INDEX(Ratings!$B$2:$B$239,MATCH(R100,Ratings!$A$2:$A$239,0))</f>
        <v>-2.4</v>
      </c>
      <c r="U100" s="2" t="n">
        <f aca="false">IF(S100="Home",Assumptions!$B$2,IF(S100="Away",-Assumptions!$B$2,0))</f>
        <v>2.5</v>
      </c>
      <c r="V100" s="2" t="n">
        <f aca="false">NORMDIST($B100-T100+U100,0,Assumptions!$B$3,TRUE())</f>
        <v>0.396467992679005</v>
      </c>
      <c r="W100" s="2" t="s">
        <v>159</v>
      </c>
      <c r="X100" s="2" t="s">
        <v>406</v>
      </c>
      <c r="Y100" s="2" t="n">
        <f aca="false">INDEX(Ratings!$B$2:$B$239,MATCH(W100,Ratings!$A$2:$A$239,0))</f>
        <v>-10.6</v>
      </c>
      <c r="Z100" s="2" t="n">
        <f aca="false">IF(X100="Home",Assumptions!$B$2,IF(X100="Away",-Assumptions!$B$2,0))</f>
        <v>2.5</v>
      </c>
      <c r="AA100" s="2" t="n">
        <f aca="false">NORMDIST($B100-Y100+Z100,0,Assumptions!$B$3,TRUE())</f>
        <v>0.598706325682924</v>
      </c>
      <c r="AB100" s="2" t="s">
        <v>193</v>
      </c>
      <c r="AC100" s="2" t="s">
        <v>407</v>
      </c>
      <c r="AD100" s="2" t="n">
        <f aca="false">INDEX(Ratings!$B$2:$B$239,MATCH(AB100,Ratings!$A$2:$A$239,0))</f>
        <v>-28.9</v>
      </c>
      <c r="AE100" s="2" t="n">
        <f aca="false">IF(AC100="Home",Assumptions!$B$2,IF(AC100="Away",-Assumptions!$B$2,0))</f>
        <v>-2.5</v>
      </c>
      <c r="AF100" s="2" t="n">
        <f aca="false">NORMDIST($B100-AD100+AE100,0,Assumptions!$B$3,TRUE())</f>
        <v>0.860207038932886</v>
      </c>
      <c r="AG100" s="2" t="s">
        <v>150</v>
      </c>
      <c r="AH100" s="2" t="s">
        <v>406</v>
      </c>
      <c r="AI100" s="2" t="n">
        <f aca="false">INDEX(Ratings!$B$2:$B$239,MATCH(AG100,Ratings!$A$2:$A$239,0))</f>
        <v>-6.9</v>
      </c>
      <c r="AJ100" s="2" t="n">
        <f aca="false">IF(AH100="Home",Assumptions!$B$2,IF(AH100="Away",-Assumptions!$B$2,0))</f>
        <v>2.5</v>
      </c>
      <c r="AK100" s="2" t="n">
        <f aca="false">NORMDIST($B100-AI100+AJ100,0,Assumptions!$B$3,TRUE())</f>
        <v>0.507479729489559</v>
      </c>
      <c r="AL100" s="2" t="s">
        <v>173</v>
      </c>
      <c r="AM100" s="2" t="s">
        <v>407</v>
      </c>
      <c r="AN100" s="2" t="n">
        <f aca="false">INDEX(Ratings!$B$2:$B$239,MATCH(AL100,Ratings!$A$2:$A$239,0))</f>
        <v>-14.6</v>
      </c>
      <c r="AO100" s="2" t="n">
        <f aca="false">IF(AM100="Home",Assumptions!$B$2,IF(AM100="Away",-Assumptions!$B$2,0))</f>
        <v>-2.5</v>
      </c>
      <c r="AP100" s="2" t="n">
        <f aca="false">NORMDIST($B100-AN100+AO100,0,Assumptions!$B$3,TRUE())</f>
        <v>0.574365688155897</v>
      </c>
      <c r="AQ100" s="2" t="s">
        <v>154</v>
      </c>
      <c r="AR100" s="2" t="s">
        <v>407</v>
      </c>
      <c r="AS100" s="2" t="n">
        <f aca="false">INDEX(Ratings!$B$2:$B$239,MATCH(AQ100,Ratings!$A$2:$A$239,0))</f>
        <v>-8</v>
      </c>
      <c r="AT100" s="2" t="n">
        <f aca="false">IF(AR100="Home",Assumptions!$B$2,IF(AR100="Away",-Assumptions!$B$2,0))</f>
        <v>-2.5</v>
      </c>
      <c r="AU100" s="2" t="n">
        <f aca="false">NORMDIST($B100-AS100+AT100,0,Assumptions!$B$3,TRUE())</f>
        <v>0.41098963713127</v>
      </c>
      <c r="AV100" s="2" t="s">
        <v>185</v>
      </c>
      <c r="AW100" s="2" t="s">
        <v>406</v>
      </c>
      <c r="AX100" s="2" t="n">
        <f aca="false">INDEX(Ratings!$B$2:$B$239,MATCH(AV100,Ratings!$A$2:$A$239,0))</f>
        <v>-20.7</v>
      </c>
      <c r="AY100" s="2" t="n">
        <f aca="false">IF(AW100="Home",Assumptions!$B$2,IF(AW100="Away",-Assumptions!$B$2,0))</f>
        <v>2.5</v>
      </c>
      <c r="AZ100" s="2" t="n">
        <f aca="false">NORMDIST($B100-AX100+AY100,0,Assumptions!$B$3,TRUE())</f>
        <v>0.810908738949218</v>
      </c>
      <c r="BA100" s="2" t="s">
        <v>163</v>
      </c>
      <c r="BB100" s="2" t="s">
        <v>406</v>
      </c>
      <c r="BC100" s="2" t="n">
        <f aca="false">INDEX(Ratings!$B$2:$B$239,MATCH(BA100,Ratings!$A$2:$A$239,0))</f>
        <v>-11.6</v>
      </c>
      <c r="BD100" s="2" t="n">
        <f aca="false">IF(BB100="Home",Assumptions!$B$2,IF(BB100="Away",-Assumptions!$B$2,0))</f>
        <v>2.5</v>
      </c>
      <c r="BE100" s="2" t="n">
        <f aca="false">NORMDIST($B100-BC100+BD100,0,Assumptions!$B$3,TRUE())</f>
        <v>0.622669718470157</v>
      </c>
      <c r="BF100" s="2" t="s">
        <v>160</v>
      </c>
      <c r="BG100" s="2" t="s">
        <v>407</v>
      </c>
      <c r="BH100" s="2" t="n">
        <f aca="false">INDEX(Ratings!$B$2:$B$239,MATCH(BF100,Ratings!$A$2:$A$239,0))</f>
        <v>-10.8</v>
      </c>
      <c r="BI100" s="2" t="n">
        <f aca="false">IF(BG100="Home",Assumptions!$B$2,IF(BG100="Away",-Assumptions!$B$2,0))</f>
        <v>-2.5</v>
      </c>
      <c r="BJ100" s="2" t="n">
        <f aca="false">NORMDIST($B100-BH100+BI100,0,Assumptions!$B$3,TRUE())</f>
        <v>0.480061194161628</v>
      </c>
      <c r="BP100" s="2" t="n">
        <v>12</v>
      </c>
      <c r="BQ100" s="2" t="n">
        <f aca="false">G100+L100+Q100+V100+AA100+AF100+AK100+AP100+AU100+AZ100+BE100+BJ100</f>
        <v>6.43107176508425</v>
      </c>
    </row>
    <row r="101" customFormat="false" ht="15" hidden="false" customHeight="false" outlineLevel="0" collapsed="false">
      <c r="A101" s="2" t="s">
        <v>157</v>
      </c>
      <c r="B101" s="2" t="n">
        <f aca="false">INDEX(Ratings!$B$2:$B$239,MATCH($A101,Ratings!$A$2:$A$239,0))</f>
        <v>-9.1</v>
      </c>
      <c r="C101" s="2" t="s">
        <v>303</v>
      </c>
      <c r="D101" s="2" t="s">
        <v>406</v>
      </c>
      <c r="E101" s="2" t="n">
        <f aca="false">INDEX(Ratings!$B$2:$B$239,MATCH(C101,Ratings!$A$2:$A$239,0))</f>
        <v>-22</v>
      </c>
      <c r="F101" s="2" t="n">
        <f aca="false">IF(D101="Home",Assumptions!$B$2,IF(D101="Away",-Assumptions!$B$2,0))</f>
        <v>2.5</v>
      </c>
      <c r="G101" s="2" t="n">
        <f aca="false">NORMDIST($B101-E101+F101,0,Assumptions!$B$3,TRUE())</f>
        <v>0.832100748402324</v>
      </c>
      <c r="H101" s="2" t="s">
        <v>74</v>
      </c>
      <c r="I101" s="2" t="s">
        <v>406</v>
      </c>
      <c r="J101" s="2" t="n">
        <f aca="false">INDEX(Ratings!$B$2:$B$239,MATCH(H101,Ratings!$A$2:$A$239,0))</f>
        <v>16.2</v>
      </c>
      <c r="K101" s="2" t="n">
        <f aca="false">IF(I101="Home",Assumptions!$B$2,IF(I101="Away",-Assumptions!$B$2,0))</f>
        <v>2.5</v>
      </c>
      <c r="L101" s="2" t="n">
        <f aca="false">NORMDIST($B101-J101+K101,0,Assumptions!$B$3,TRUE())</f>
        <v>0.0770786005520719</v>
      </c>
      <c r="M101" s="2" t="s">
        <v>158</v>
      </c>
      <c r="N101" s="2" t="s">
        <v>407</v>
      </c>
      <c r="O101" s="2" t="n">
        <f aca="false">INDEX(Ratings!$B$2:$B$239,MATCH(M101,Ratings!$A$2:$A$239,0))</f>
        <v>-9.1</v>
      </c>
      <c r="P101" s="2" t="n">
        <f aca="false">IF(N101="Home",Assumptions!$B$2,IF(N101="Away",-Assumptions!$B$2,0))</f>
        <v>-2.5</v>
      </c>
      <c r="Q101" s="2" t="n">
        <f aca="false">NORMDIST($B101-O101+P101,0,Assumptions!$B$3,TRUE())</f>
        <v>0.437917983191705</v>
      </c>
      <c r="R101" s="2" t="s">
        <v>138</v>
      </c>
      <c r="S101" s="2" t="s">
        <v>406</v>
      </c>
      <c r="T101" s="2" t="n">
        <f aca="false">INDEX(Ratings!$B$2:$B$239,MATCH(R101,Ratings!$A$2:$A$239,0))</f>
        <v>-2.4</v>
      </c>
      <c r="U101" s="2" t="n">
        <f aca="false">IF(S101="Home",Assumptions!$B$2,IF(S101="Away",-Assumptions!$B$2,0))</f>
        <v>2.5</v>
      </c>
      <c r="V101" s="2" t="n">
        <f aca="false">NORMDIST($B101-T101+U101,0,Assumptions!$B$3,TRUE())</f>
        <v>0.396467992679005</v>
      </c>
      <c r="W101" s="2" t="s">
        <v>131</v>
      </c>
      <c r="X101" s="2" t="s">
        <v>407</v>
      </c>
      <c r="Y101" s="2" t="n">
        <f aca="false">INDEX(Ratings!$B$2:$B$239,MATCH(W101,Ratings!$A$2:$A$239,0))</f>
        <v>-1.7</v>
      </c>
      <c r="Z101" s="2" t="n">
        <f aca="false">IF(X101="Home",Assumptions!$B$2,IF(X101="Away",-Assumptions!$B$2,0))</f>
        <v>-2.5</v>
      </c>
      <c r="AA101" s="2" t="n">
        <f aca="false">NORMDIST($B101-Y101+Z101,0,Assumptions!$B$3,TRUE())</f>
        <v>0.268040532802408</v>
      </c>
      <c r="AB101" s="2" t="s">
        <v>167</v>
      </c>
      <c r="AC101" s="2" t="s">
        <v>406</v>
      </c>
      <c r="AD101" s="2" t="n">
        <f aca="false">INDEX(Ratings!$B$2:$B$239,MATCH(AB101,Ratings!$A$2:$A$239,0))</f>
        <v>-11.9</v>
      </c>
      <c r="AE101" s="2" t="n">
        <f aca="false">IF(AC101="Home",Assumptions!$B$2,IF(AC101="Away",-Assumptions!$B$2,0))</f>
        <v>2.5</v>
      </c>
      <c r="AF101" s="2" t="n">
        <f aca="false">NORMDIST($B101-AD101+AE101,0,Assumptions!$B$3,TRUE())</f>
        <v>0.629772172275028</v>
      </c>
      <c r="AG101" s="2" t="s">
        <v>189</v>
      </c>
      <c r="AH101" s="2" t="s">
        <v>406</v>
      </c>
      <c r="AI101" s="2" t="n">
        <f aca="false">INDEX(Ratings!$B$2:$B$239,MATCH(AG101,Ratings!$A$2:$A$239,0))</f>
        <v>-24.1</v>
      </c>
      <c r="AJ101" s="2" t="n">
        <f aca="false">IF(AH101="Home",Assumptions!$B$2,IF(AH101="Away",-Assumptions!$B$2,0))</f>
        <v>2.5</v>
      </c>
      <c r="AK101" s="2" t="n">
        <f aca="false">NORMDIST($B101-AI101+AJ101,0,Assumptions!$B$3,TRUE())</f>
        <v>0.862967680695088</v>
      </c>
      <c r="AL101" s="2" t="s">
        <v>137</v>
      </c>
      <c r="AM101" s="2" t="s">
        <v>407</v>
      </c>
      <c r="AN101" s="2" t="n">
        <f aca="false">INDEX(Ratings!$B$2:$B$239,MATCH(AL101,Ratings!$A$2:$A$239,0))</f>
        <v>-2.3</v>
      </c>
      <c r="AO101" s="2" t="n">
        <f aca="false">IF(AM101="Home",Assumptions!$B$2,IF(AM101="Away",-Assumptions!$B$2,0))</f>
        <v>-2.5</v>
      </c>
      <c r="AP101" s="2" t="n">
        <f aca="false">NORMDIST($B101-AN101+AO101,0,Assumptions!$B$3,TRUE())</f>
        <v>0.280535986826232</v>
      </c>
      <c r="AQ101" s="2" t="s">
        <v>121</v>
      </c>
      <c r="AR101" s="2" t="s">
        <v>407</v>
      </c>
      <c r="AS101" s="2" t="n">
        <f aca="false">INDEX(Ratings!$B$2:$B$239,MATCH(AQ101,Ratings!$A$2:$A$239,0))</f>
        <v>1.2</v>
      </c>
      <c r="AT101" s="2" t="n">
        <f aca="false">IF(AR101="Home",Assumptions!$B$2,IF(AR101="Away",-Assumptions!$B$2,0))</f>
        <v>-2.5</v>
      </c>
      <c r="AU101" s="2" t="n">
        <f aca="false">NORMDIST($B101-AS101+AT101,0,Assumptions!$B$3,TRUE())</f>
        <v>0.211855398583397</v>
      </c>
      <c r="AV101" s="2" t="s">
        <v>181</v>
      </c>
      <c r="AW101" s="2" t="s">
        <v>406</v>
      </c>
      <c r="AX101" s="2" t="n">
        <f aca="false">INDEX(Ratings!$B$2:$B$239,MATCH(AV101,Ratings!$A$2:$A$239,0))</f>
        <v>-17.5</v>
      </c>
      <c r="AY101" s="2" t="n">
        <f aca="false">IF(AW101="Home",Assumptions!$B$2,IF(AW101="Away",-Assumptions!$B$2,0))</f>
        <v>2.5</v>
      </c>
      <c r="AZ101" s="2" t="n">
        <f aca="false">NORMDIST($B101-AX101+AY101,0,Assumptions!$B$3,TRUE())</f>
        <v>0.752143342435738</v>
      </c>
      <c r="BA101" s="2" t="s">
        <v>177</v>
      </c>
      <c r="BB101" s="2" t="s">
        <v>406</v>
      </c>
      <c r="BC101" s="2" t="n">
        <f aca="false">INDEX(Ratings!$B$2:$B$239,MATCH(BA101,Ratings!$A$2:$A$239,0))</f>
        <v>-15.3</v>
      </c>
      <c r="BD101" s="2" t="n">
        <f aca="false">IF(BB101="Home",Assumptions!$B$2,IF(BB101="Away",-Assumptions!$B$2,0))</f>
        <v>2.5</v>
      </c>
      <c r="BE101" s="2" t="n">
        <f aca="false">NORMDIST($B101-BC101+BD101,0,Assumptions!$B$3,TRUE())</f>
        <v>0.706693239916112</v>
      </c>
      <c r="BF101" s="2" t="s">
        <v>124</v>
      </c>
      <c r="BG101" s="2" t="s">
        <v>407</v>
      </c>
      <c r="BH101" s="2" t="n">
        <f aca="false">INDEX(Ratings!$B$2:$B$239,MATCH(BF101,Ratings!$A$2:$A$239,0))</f>
        <v>0.3</v>
      </c>
      <c r="BI101" s="2" t="n">
        <f aca="false">IF(BG101="Home",Assumptions!$B$2,IF(BG101="Away",-Assumptions!$B$2,0))</f>
        <v>-2.5</v>
      </c>
      <c r="BJ101" s="2" t="n">
        <f aca="false">NORMDIST($B101-BH101+BI101,0,Assumptions!$B$3,TRUE())</f>
        <v>0.228513867124863</v>
      </c>
      <c r="BP101" s="2" t="n">
        <v>12</v>
      </c>
      <c r="BQ101" s="2" t="n">
        <f aca="false">G101+L101+Q101+V101+AA101+AF101+AK101+AP101+AU101+AZ101+BE101+BJ101</f>
        <v>5.68408754548397</v>
      </c>
    </row>
    <row r="102" customFormat="false" ht="15" hidden="false" customHeight="false" outlineLevel="0" collapsed="false">
      <c r="A102" s="2" t="s">
        <v>158</v>
      </c>
      <c r="B102" s="2" t="n">
        <f aca="false">INDEX(Ratings!$B$2:$B$239,MATCH($A102,Ratings!$A$2:$A$239,0))</f>
        <v>-9.1</v>
      </c>
      <c r="C102" s="2" t="s">
        <v>119</v>
      </c>
      <c r="D102" s="2" t="s">
        <v>407</v>
      </c>
      <c r="E102" s="2" t="n">
        <f aca="false">INDEX(Ratings!$B$2:$B$239,MATCH(C102,Ratings!$A$2:$A$239,0))</f>
        <v>2.2</v>
      </c>
      <c r="F102" s="2" t="n">
        <f aca="false">IF(D102="Home",Assumptions!$B$2,IF(D102="Away",-Assumptions!$B$2,0))</f>
        <v>-2.5</v>
      </c>
      <c r="G102" s="2" t="n">
        <f aca="false">NORMDIST($B102-E102+F102,0,Assumptions!$B$3,TRUE())</f>
        <v>0.194206216543996</v>
      </c>
      <c r="H102" s="2" t="s">
        <v>247</v>
      </c>
      <c r="I102" s="2" t="s">
        <v>406</v>
      </c>
      <c r="J102" s="2" t="n">
        <f aca="false">INDEX(Ratings!$B$2:$B$239,MATCH(H102,Ratings!$A$2:$A$239,0))</f>
        <v>-49</v>
      </c>
      <c r="K102" s="2" t="n">
        <f aca="false">IF(I102="Home",Assumptions!$B$2,IF(I102="Away",-Assumptions!$B$2,0))</f>
        <v>2.5</v>
      </c>
      <c r="L102" s="2" t="n">
        <f aca="false">NORMDIST($B102-J102+K102,0,Assumptions!$B$3,TRUE())</f>
        <v>0.995975411457242</v>
      </c>
      <c r="M102" s="2" t="s">
        <v>157</v>
      </c>
      <c r="N102" s="2" t="s">
        <v>406</v>
      </c>
      <c r="O102" s="2" t="n">
        <f aca="false">INDEX(Ratings!$B$2:$B$239,MATCH(M102,Ratings!$A$2:$A$239,0))</f>
        <v>-9.1</v>
      </c>
      <c r="P102" s="2" t="n">
        <f aca="false">IF(N102="Home",Assumptions!$B$2,IF(N102="Away",-Assumptions!$B$2,0))</f>
        <v>2.5</v>
      </c>
      <c r="Q102" s="2" t="n">
        <f aca="false">NORMDIST($B102-O102+P102,0,Assumptions!$B$3,TRUE())</f>
        <v>0.562082016808295</v>
      </c>
      <c r="R102" s="2" t="s">
        <v>122</v>
      </c>
      <c r="S102" s="2" t="s">
        <v>406</v>
      </c>
      <c r="T102" s="2" t="n">
        <f aca="false">INDEX(Ratings!$B$2:$B$239,MATCH(R102,Ratings!$A$2:$A$239,0))</f>
        <v>0.7</v>
      </c>
      <c r="U102" s="2" t="n">
        <f aca="false">IF(S102="Home",Assumptions!$B$2,IF(S102="Away",-Assumptions!$B$2,0))</f>
        <v>2.5</v>
      </c>
      <c r="V102" s="2" t="n">
        <f aca="false">NORMDIST($B102-T102+U102,0,Assumptions!$B$3,TRUE())</f>
        <v>0.324105107136862</v>
      </c>
      <c r="W102" s="2" t="s">
        <v>190</v>
      </c>
      <c r="X102" s="2" t="s">
        <v>407</v>
      </c>
      <c r="Y102" s="2" t="n">
        <f aca="false">INDEX(Ratings!$B$2:$B$239,MATCH(W102,Ratings!$A$2:$A$239,0))</f>
        <v>-25.1</v>
      </c>
      <c r="Z102" s="2" t="n">
        <f aca="false">IF(X102="Home",Assumptions!$B$2,IF(X102="Away",-Assumptions!$B$2,0))</f>
        <v>-2.5</v>
      </c>
      <c r="AA102" s="2" t="n">
        <f aca="false">NORMDIST($B102-Y102+Z102,0,Assumptions!$B$3,TRUE())</f>
        <v>0.800595439528627</v>
      </c>
      <c r="AB102" s="2" t="s">
        <v>168</v>
      </c>
      <c r="AC102" s="2" t="s">
        <v>406</v>
      </c>
      <c r="AD102" s="2" t="n">
        <f aca="false">INDEX(Ratings!$B$2:$B$239,MATCH(AB102,Ratings!$A$2:$A$239,0))</f>
        <v>-12.7</v>
      </c>
      <c r="AE102" s="2" t="n">
        <f aca="false">IF(AC102="Home",Assumptions!$B$2,IF(AC102="Away",-Assumptions!$B$2,0))</f>
        <v>2.5</v>
      </c>
      <c r="AF102" s="2" t="n">
        <f aca="false">NORMDIST($B102-AD102+AE102,0,Assumptions!$B$3,TRUE())</f>
        <v>0.648491124483723</v>
      </c>
      <c r="AG102" s="2" t="s">
        <v>179</v>
      </c>
      <c r="AH102" s="2" t="s">
        <v>407</v>
      </c>
      <c r="AI102" s="2" t="n">
        <f aca="false">INDEX(Ratings!$B$2:$B$239,MATCH(AG102,Ratings!$A$2:$A$239,0))</f>
        <v>-16.1</v>
      </c>
      <c r="AJ102" s="2" t="n">
        <f aca="false">IF(AH102="Home",Assumptions!$B$2,IF(AH102="Away",-Assumptions!$B$2,0))</f>
        <v>-2.5</v>
      </c>
      <c r="AK102" s="2" t="n">
        <f aca="false">NORMDIST($B102-AI102+AJ102,0,Assumptions!$B$3,TRUE())</f>
        <v>0.610740671392063</v>
      </c>
      <c r="AL102" s="2" t="s">
        <v>147</v>
      </c>
      <c r="AM102" s="2" t="s">
        <v>406</v>
      </c>
      <c r="AN102" s="2" t="n">
        <f aca="false">INDEX(Ratings!$B$2:$B$239,MATCH(AL102,Ratings!$A$2:$A$239,0))</f>
        <v>-6</v>
      </c>
      <c r="AO102" s="2" t="n">
        <f aca="false">IF(AM102="Home",Assumptions!$B$2,IF(AM102="Away",-Assumptions!$B$2,0))</f>
        <v>2.5</v>
      </c>
      <c r="AP102" s="2" t="n">
        <f aca="false">NORMDIST($B102-AN102+AO102,0,Assumptions!$B$3,TRUE())</f>
        <v>0.48504317007409</v>
      </c>
      <c r="AQ102" s="2" t="s">
        <v>188</v>
      </c>
      <c r="AR102" s="2" t="s">
        <v>407</v>
      </c>
      <c r="AS102" s="2" t="n">
        <f aca="false">INDEX(Ratings!$B$2:$B$239,MATCH(AQ102,Ratings!$A$2:$A$239,0))</f>
        <v>-23.4</v>
      </c>
      <c r="AT102" s="2" t="n">
        <f aca="false">IF(AR102="Home",Assumptions!$B$2,IF(AR102="Away",-Assumptions!$B$2,0))</f>
        <v>-2.5</v>
      </c>
      <c r="AU102" s="2" t="n">
        <f aca="false">NORMDIST($B102-AS102+AT102,0,Assumptions!$B$3,TRUE())</f>
        <v>0.769590828396427</v>
      </c>
      <c r="AV102" s="2" t="s">
        <v>195</v>
      </c>
      <c r="AW102" s="2" t="s">
        <v>406</v>
      </c>
      <c r="AX102" s="2" t="n">
        <f aca="false">INDEX(Ratings!$B$2:$B$239,MATCH(AV102,Ratings!$A$2:$A$239,0))</f>
        <v>-32.9</v>
      </c>
      <c r="AY102" s="2" t="n">
        <f aca="false">IF(AW102="Home",Assumptions!$B$2,IF(AW102="Away",-Assumptions!$B$2,0))</f>
        <v>2.5</v>
      </c>
      <c r="AZ102" s="2" t="n">
        <f aca="false">NORMDIST($B102-AX102+AY102,0,Assumptions!$B$3,TRUE())</f>
        <v>0.949886073376253</v>
      </c>
      <c r="BA102" s="2" t="s">
        <v>175</v>
      </c>
      <c r="BB102" s="2" t="s">
        <v>406</v>
      </c>
      <c r="BC102" s="2" t="n">
        <f aca="false">INDEX(Ratings!$B$2:$B$239,MATCH(BA102,Ratings!$A$2:$A$239,0))</f>
        <v>-15</v>
      </c>
      <c r="BD102" s="2" t="n">
        <f aca="false">IF(BB102="Home",Assumptions!$B$2,IF(BB102="Away",-Assumptions!$B$2,0))</f>
        <v>2.5</v>
      </c>
      <c r="BE102" s="2" t="n">
        <f aca="false">NORMDIST($B102-BC102+BD102,0,Assumptions!$B$3,TRUE())</f>
        <v>0.700208404531304</v>
      </c>
      <c r="BF102" s="2" t="s">
        <v>166</v>
      </c>
      <c r="BG102" s="2" t="s">
        <v>407</v>
      </c>
      <c r="BH102" s="2" t="n">
        <f aca="false">INDEX(Ratings!$B$2:$B$239,MATCH(BF102,Ratings!$A$2:$A$239,0))</f>
        <v>-11.8</v>
      </c>
      <c r="BI102" s="2" t="n">
        <f aca="false">IF(BG102="Home",Assumptions!$B$2,IF(BG102="Away",-Assumptions!$B$2,0))</f>
        <v>-2.5</v>
      </c>
      <c r="BJ102" s="2" t="n">
        <f aca="false">NORMDIST($B102-BH102+BI102,0,Assumptions!$B$3,TRUE())</f>
        <v>0.504986648644038</v>
      </c>
      <c r="BP102" s="2" t="n">
        <v>12</v>
      </c>
      <c r="BQ102" s="2" t="n">
        <f aca="false">G102+L102+Q102+V102+AA102+AF102+AK102+AP102+AU102+AZ102+BE102+BJ102</f>
        <v>7.54591111237292</v>
      </c>
    </row>
    <row r="103" customFormat="false" ht="15" hidden="false" customHeight="false" outlineLevel="0" collapsed="false">
      <c r="A103" s="2" t="s">
        <v>159</v>
      </c>
      <c r="B103" s="2" t="n">
        <f aca="false">INDEX(Ratings!$B$2:$B$239,MATCH($A103,Ratings!$A$2:$A$239,0))</f>
        <v>-10.6</v>
      </c>
      <c r="C103" s="2" t="s">
        <v>277</v>
      </c>
      <c r="D103" s="2" t="s">
        <v>406</v>
      </c>
      <c r="E103" s="2" t="n">
        <f aca="false">INDEX(Ratings!$B$2:$B$239,MATCH(C103,Ratings!$A$2:$A$239,0))</f>
        <v>-39</v>
      </c>
      <c r="F103" s="2" t="n">
        <f aca="false">IF(D103="Home",Assumptions!$B$2,IF(D103="Away",-Assumptions!$B$2,0))</f>
        <v>2.5</v>
      </c>
      <c r="G103" s="2" t="n">
        <f aca="false">NORMDIST($B103-E103+F103,0,Assumptions!$B$3,TRUE())</f>
        <v>0.973273928296034</v>
      </c>
      <c r="H103" s="2" t="s">
        <v>69</v>
      </c>
      <c r="I103" s="2" t="s">
        <v>407</v>
      </c>
      <c r="J103" s="2" t="n">
        <f aca="false">INDEX(Ratings!$B$2:$B$239,MATCH(H103,Ratings!$A$2:$A$239,0))</f>
        <v>17.7</v>
      </c>
      <c r="K103" s="2" t="n">
        <f aca="false">IF(I103="Home",Assumptions!$B$2,IF(I103="Away",-Assumptions!$B$2,0))</f>
        <v>-2.5</v>
      </c>
      <c r="L103" s="2" t="n">
        <f aca="false">NORMDIST($B103-J103+K103,0,Assumptions!$B$3,TRUE())</f>
        <v>0.0271146791216497</v>
      </c>
      <c r="M103" s="2" t="s">
        <v>181</v>
      </c>
      <c r="N103" s="2" t="s">
        <v>406</v>
      </c>
      <c r="O103" s="2" t="n">
        <f aca="false">INDEX(Ratings!$B$2:$B$239,MATCH(M103,Ratings!$A$2:$A$239,0))</f>
        <v>-17.5</v>
      </c>
      <c r="P103" s="2" t="n">
        <f aca="false">IF(N103="Home",Assumptions!$B$2,IF(N103="Away",-Assumptions!$B$2,0))</f>
        <v>2.5</v>
      </c>
      <c r="Q103" s="2" t="n">
        <f aca="false">NORMDIST($B103-O103+P103,0,Assumptions!$B$3,TRUE())</f>
        <v>0.721566024768411</v>
      </c>
      <c r="R103" s="2" t="s">
        <v>189</v>
      </c>
      <c r="S103" s="2" t="s">
        <v>407</v>
      </c>
      <c r="T103" s="2" t="n">
        <f aca="false">INDEX(Ratings!$B$2:$B$239,MATCH(R103,Ratings!$A$2:$A$239,0))</f>
        <v>-24.1</v>
      </c>
      <c r="U103" s="2" t="n">
        <f aca="false">IF(S103="Home",Assumptions!$B$2,IF(S103="Away",-Assumptions!$B$2,0))</f>
        <v>-2.5</v>
      </c>
      <c r="V103" s="2" t="n">
        <f aca="false">NORMDIST($B103-T103+U103,0,Assumptions!$B$3,TRUE())</f>
        <v>0.754116149619739</v>
      </c>
      <c r="W103" s="2" t="s">
        <v>163</v>
      </c>
      <c r="X103" s="2" t="s">
        <v>406</v>
      </c>
      <c r="Y103" s="2" t="n">
        <f aca="false">INDEX(Ratings!$B$2:$B$239,MATCH(W103,Ratings!$A$2:$A$239,0))</f>
        <v>-11.6</v>
      </c>
      <c r="Z103" s="2" t="n">
        <f aca="false">IF(X103="Home",Assumptions!$B$2,IF(X103="Away",-Assumptions!$B$2,0))</f>
        <v>2.5</v>
      </c>
      <c r="AA103" s="2" t="n">
        <f aca="false">NORMDIST($B103-Y103+Z103,0,Assumptions!$B$3,TRUE())</f>
        <v>0.586577601141551</v>
      </c>
      <c r="AB103" s="2" t="s">
        <v>156</v>
      </c>
      <c r="AC103" s="2" t="s">
        <v>407</v>
      </c>
      <c r="AD103" s="2" t="n">
        <f aca="false">INDEX(Ratings!$B$2:$B$239,MATCH(AB103,Ratings!$A$2:$A$239,0))</f>
        <v>-9.1</v>
      </c>
      <c r="AE103" s="2" t="n">
        <f aca="false">IF(AC103="Home",Assumptions!$B$2,IF(AC103="Away",-Assumptions!$B$2,0))</f>
        <v>-2.5</v>
      </c>
      <c r="AF103" s="2" t="n">
        <f aca="false">NORMDIST($B103-AD103+AE103,0,Assumptions!$B$3,TRUE())</f>
        <v>0.401293674317076</v>
      </c>
      <c r="AG103" s="2" t="s">
        <v>154</v>
      </c>
      <c r="AH103" s="2" t="s">
        <v>406</v>
      </c>
      <c r="AI103" s="2" t="n">
        <f aca="false">INDEX(Ratings!$B$2:$B$239,MATCH(AG103,Ratings!$A$2:$A$239,0))</f>
        <v>-8</v>
      </c>
      <c r="AJ103" s="2" t="n">
        <f aca="false">IF(AH103="Home",Assumptions!$B$2,IF(AH103="Away",-Assumptions!$B$2,0))</f>
        <v>2.5</v>
      </c>
      <c r="AK103" s="2" t="n">
        <f aca="false">NORMDIST($B103-AI103+AJ103,0,Assumptions!$B$3,TRUE())</f>
        <v>0.497506626980399</v>
      </c>
      <c r="AL103" s="2" t="s">
        <v>185</v>
      </c>
      <c r="AM103" s="2" t="s">
        <v>407</v>
      </c>
      <c r="AN103" s="2" t="n">
        <f aca="false">INDEX(Ratings!$B$2:$B$239,MATCH(AL103,Ratings!$A$2:$A$239,0))</f>
        <v>-20.7</v>
      </c>
      <c r="AO103" s="2" t="n">
        <f aca="false">IF(AM103="Home",Assumptions!$B$2,IF(AM103="Away",-Assumptions!$B$2,0))</f>
        <v>-2.5</v>
      </c>
      <c r="AP103" s="2" t="n">
        <f aca="false">NORMDIST($B103-AN103+AO103,0,Assumptions!$B$3,TRUE())</f>
        <v>0.682606513358741</v>
      </c>
      <c r="AQ103" s="2" t="s">
        <v>173</v>
      </c>
      <c r="AR103" s="2" t="s">
        <v>406</v>
      </c>
      <c r="AS103" s="2" t="n">
        <f aca="false">INDEX(Ratings!$B$2:$B$239,MATCH(AQ103,Ratings!$A$2:$A$239,0))</f>
        <v>-14.6</v>
      </c>
      <c r="AT103" s="2" t="n">
        <f aca="false">IF(AR103="Home",Assumptions!$B$2,IF(AR103="Away",-Assumptions!$B$2,0))</f>
        <v>2.5</v>
      </c>
      <c r="AU103" s="2" t="n">
        <f aca="false">NORMDIST($B103-AS103+AT103,0,Assumptions!$B$3,TRUE())</f>
        <v>0.657720540316049</v>
      </c>
      <c r="AV103" s="2" t="s">
        <v>193</v>
      </c>
      <c r="AW103" s="2" t="s">
        <v>407</v>
      </c>
      <c r="AX103" s="2" t="n">
        <f aca="false">INDEX(Ratings!$B$2:$B$239,MATCH(AV103,Ratings!$A$2:$A$239,0))</f>
        <v>-28.9</v>
      </c>
      <c r="AY103" s="2" t="n">
        <f aca="false">IF(AW103="Home",Assumptions!$B$2,IF(AW103="Away",-Assumptions!$B$2,0))</f>
        <v>-2.5</v>
      </c>
      <c r="AZ103" s="2" t="n">
        <f aca="false">NORMDIST($B103-AX103+AY103,0,Assumptions!$B$3,TRUE())</f>
        <v>0.838301208542714</v>
      </c>
      <c r="BA103" s="2" t="s">
        <v>174</v>
      </c>
      <c r="BB103" s="2" t="s">
        <v>406</v>
      </c>
      <c r="BC103" s="2" t="n">
        <f aca="false">INDEX(Ratings!$B$2:$B$239,MATCH(BA103,Ratings!$A$2:$A$239,0))</f>
        <v>-14.7</v>
      </c>
      <c r="BD103" s="2" t="n">
        <f aca="false">IF(BB103="Home",Assumptions!$B$2,IF(BB103="Away",-Assumptions!$B$2,0))</f>
        <v>2.5</v>
      </c>
      <c r="BE103" s="2" t="n">
        <f aca="false">NORMDIST($B103-BC103+BD103,0,Assumptions!$B$3,TRUE())</f>
        <v>0.660013509650861</v>
      </c>
      <c r="BF103" s="2" t="s">
        <v>194</v>
      </c>
      <c r="BG103" s="2" t="s">
        <v>407</v>
      </c>
      <c r="BH103" s="2" t="n">
        <f aca="false">INDEX(Ratings!$B$2:$B$239,MATCH(BF103,Ratings!$A$2:$A$239,0))</f>
        <v>-29.3</v>
      </c>
      <c r="BI103" s="2" t="n">
        <f aca="false">IF(BG103="Home",Assumptions!$B$2,IF(BG103="Away",-Assumptions!$B$2,0))</f>
        <v>-2.5</v>
      </c>
      <c r="BJ103" s="2" t="n">
        <f aca="false">NORMDIST($B103-BH103+BI103,0,Assumptions!$B$3,TRUE())</f>
        <v>0.844350476653232</v>
      </c>
      <c r="BP103" s="2" t="n">
        <v>12</v>
      </c>
      <c r="BQ103" s="2" t="n">
        <f aca="false">G103+L103+Q103+V103+AA103+AF103+AK103+AP103+AU103+AZ103+BE103+BJ103</f>
        <v>7.64444093276646</v>
      </c>
    </row>
    <row r="104" customFormat="false" ht="15" hidden="false" customHeight="false" outlineLevel="0" collapsed="false">
      <c r="A104" s="2" t="s">
        <v>160</v>
      </c>
      <c r="B104" s="2" t="n">
        <f aca="false">INDEX(Ratings!$B$2:$B$239,MATCH($A104,Ratings!$A$2:$A$239,0))</f>
        <v>-10.8</v>
      </c>
      <c r="C104" s="2" t="s">
        <v>251</v>
      </c>
      <c r="D104" s="2" t="s">
        <v>406</v>
      </c>
      <c r="E104" s="2" t="n">
        <f aca="false">INDEX(Ratings!$B$2:$B$239,MATCH(C104,Ratings!$A$2:$A$239,0))</f>
        <v>-34</v>
      </c>
      <c r="F104" s="2" t="n">
        <f aca="false">IF(D104="Home",Assumptions!$B$2,IF(D104="Away",-Assumptions!$B$2,0))</f>
        <v>2.5</v>
      </c>
      <c r="G104" s="2" t="n">
        <f aca="false">NORMDIST($B104-E104+F104,0,Assumptions!$B$3,TRUE())</f>
        <v>0.945890504286892</v>
      </c>
      <c r="H104" s="2" t="s">
        <v>80</v>
      </c>
      <c r="I104" s="2" t="s">
        <v>407</v>
      </c>
      <c r="J104" s="2" t="n">
        <f aca="false">INDEX(Ratings!$B$2:$B$239,MATCH(H104,Ratings!$A$2:$A$239,0))</f>
        <v>13.1</v>
      </c>
      <c r="K104" s="2" t="n">
        <f aca="false">IF(I104="Home",Assumptions!$B$2,IF(I104="Away",-Assumptions!$B$2,0))</f>
        <v>-2.5</v>
      </c>
      <c r="L104" s="2" t="n">
        <f aca="false">NORMDIST($B104-J104+K104,0,Assumptions!$B$3,TRUE())</f>
        <v>0.0494714680336481</v>
      </c>
      <c r="M104" s="2" t="s">
        <v>152</v>
      </c>
      <c r="N104" s="2" t="s">
        <v>407</v>
      </c>
      <c r="O104" s="2" t="n">
        <f aca="false">INDEX(Ratings!$B$2:$B$239,MATCH(M104,Ratings!$A$2:$A$239,0))</f>
        <v>-7.8</v>
      </c>
      <c r="P104" s="2" t="n">
        <f aca="false">IF(N104="Home",Assumptions!$B$2,IF(N104="Away",-Assumptions!$B$2,0))</f>
        <v>-2.5</v>
      </c>
      <c r="Q104" s="2" t="n">
        <f aca="false">NORMDIST($B104-O104+P104,0,Assumptions!$B$3,TRUE())</f>
        <v>0.365517152690043</v>
      </c>
      <c r="R104" s="2" t="s">
        <v>95</v>
      </c>
      <c r="S104" s="2" t="s">
        <v>406</v>
      </c>
      <c r="T104" s="2" t="n">
        <f aca="false">INDEX(Ratings!$B$2:$B$239,MATCH(R104,Ratings!$A$2:$A$239,0))</f>
        <v>7.4</v>
      </c>
      <c r="U104" s="2" t="n">
        <f aca="false">IF(S104="Home",Assumptions!$B$2,IF(S104="Away",-Assumptions!$B$2,0))</f>
        <v>2.5</v>
      </c>
      <c r="V104" s="2" t="n">
        <f aca="false">NORMDIST($B104-T104+U104,0,Assumptions!$B$3,TRUE())</f>
        <v>0.163234736431131</v>
      </c>
      <c r="W104" s="2" t="s">
        <v>174</v>
      </c>
      <c r="X104" s="2" t="s">
        <v>407</v>
      </c>
      <c r="Y104" s="2" t="n">
        <f aca="false">INDEX(Ratings!$B$2:$B$239,MATCH(W104,Ratings!$A$2:$A$239,0))</f>
        <v>-14.7</v>
      </c>
      <c r="Z104" s="2" t="n">
        <f aca="false">IF(X104="Home",Assumptions!$B$2,IF(X104="Away",-Assumptions!$B$2,0))</f>
        <v>-2.5</v>
      </c>
      <c r="AA104" s="2" t="n">
        <f aca="false">NORMDIST($B104-Y104+Z104,0,Assumptions!$B$3,TRUE())</f>
        <v>0.534862957283715</v>
      </c>
      <c r="AB104" s="2" t="s">
        <v>127</v>
      </c>
      <c r="AC104" s="2" t="s">
        <v>406</v>
      </c>
      <c r="AD104" s="2" t="n">
        <f aca="false">INDEX(Ratings!$B$2:$B$239,MATCH(AB104,Ratings!$A$2:$A$239,0))</f>
        <v>-0.9</v>
      </c>
      <c r="AE104" s="2" t="n">
        <f aca="false">IF(AC104="Home",Assumptions!$B$2,IF(AC104="Away",-Assumptions!$B$2,0))</f>
        <v>2.5</v>
      </c>
      <c r="AF104" s="2" t="n">
        <f aca="false">NORMDIST($B104-AD104+AE104,0,Assumptions!$B$3,TRUE())</f>
        <v>0.321861401163654</v>
      </c>
      <c r="AG104" s="2" t="s">
        <v>150</v>
      </c>
      <c r="AH104" s="2" t="s">
        <v>407</v>
      </c>
      <c r="AI104" s="2" t="n">
        <f aca="false">INDEX(Ratings!$B$2:$B$239,MATCH(AG104,Ratings!$A$2:$A$239,0))</f>
        <v>-6.9</v>
      </c>
      <c r="AJ104" s="2" t="n">
        <f aca="false">IF(AH104="Home",Assumptions!$B$2,IF(AH104="Away",-Assumptions!$B$2,0))</f>
        <v>-2.5</v>
      </c>
      <c r="AK104" s="2" t="n">
        <f aca="false">NORMDIST($B104-AI104+AJ104,0,Assumptions!$B$3,TRUE())</f>
        <v>0.344578258389676</v>
      </c>
      <c r="AL104" s="2" t="s">
        <v>169</v>
      </c>
      <c r="AM104" s="2" t="s">
        <v>406</v>
      </c>
      <c r="AN104" s="2" t="n">
        <f aca="false">INDEX(Ratings!$B$2:$B$239,MATCH(AL104,Ratings!$A$2:$A$239,0))</f>
        <v>-12.7</v>
      </c>
      <c r="AO104" s="2" t="n">
        <f aca="false">IF(AM104="Home",Assumptions!$B$2,IF(AM104="Away",-Assumptions!$B$2,0))</f>
        <v>2.5</v>
      </c>
      <c r="AP104" s="2" t="n">
        <f aca="false">NORMDIST($B104-AN104+AO104,0,Assumptions!$B$3,TRUE())</f>
        <v>0.608341880846395</v>
      </c>
      <c r="AQ104" s="2" t="s">
        <v>155</v>
      </c>
      <c r="AR104" s="2" t="s">
        <v>406</v>
      </c>
      <c r="AS104" s="2" t="n">
        <f aca="false">INDEX(Ratings!$B$2:$B$239,MATCH(AQ104,Ratings!$A$2:$A$239,0))</f>
        <v>-8.2</v>
      </c>
      <c r="AT104" s="2" t="n">
        <f aca="false">IF(AR104="Home",Assumptions!$B$2,IF(AR104="Away",-Assumptions!$B$2,0))</f>
        <v>2.5</v>
      </c>
      <c r="AU104" s="2" t="n">
        <f aca="false">NORMDIST($B104-AS104+AT104,0,Assumptions!$B$3,TRUE())</f>
        <v>0.497506626980399</v>
      </c>
      <c r="AV104" s="2" t="s">
        <v>194</v>
      </c>
      <c r="AW104" s="2" t="s">
        <v>407</v>
      </c>
      <c r="AX104" s="2" t="n">
        <f aca="false">INDEX(Ratings!$B$2:$B$239,MATCH(AV104,Ratings!$A$2:$A$239,0))</f>
        <v>-29.3</v>
      </c>
      <c r="AY104" s="2" t="n">
        <f aca="false">IF(AW104="Home",Assumptions!$B$2,IF(AW104="Away",-Assumptions!$B$2,0))</f>
        <v>-2.5</v>
      </c>
      <c r="AZ104" s="2" t="n">
        <f aca="false">NORMDIST($B104-AX104+AY104,0,Assumptions!$B$3,TRUE())</f>
        <v>0.841344746068543</v>
      </c>
      <c r="BA104" s="2" t="s">
        <v>154</v>
      </c>
      <c r="BB104" s="2" t="s">
        <v>407</v>
      </c>
      <c r="BC104" s="2" t="n">
        <f aca="false">INDEX(Ratings!$B$2:$B$239,MATCH(BA104,Ratings!$A$2:$A$239,0))</f>
        <v>-8</v>
      </c>
      <c r="BD104" s="2" t="n">
        <f aca="false">IF(BB104="Home",Assumptions!$B$2,IF(BB104="Away",-Assumptions!$B$2,0))</f>
        <v>-2.5</v>
      </c>
      <c r="BE104" s="2" t="n">
        <f aca="false">NORMDIST($B104-BC104+BD104,0,Assumptions!$B$3,TRUE())</f>
        <v>0.370227827724972</v>
      </c>
      <c r="BF104" s="2" t="s">
        <v>156</v>
      </c>
      <c r="BG104" s="2" t="s">
        <v>406</v>
      </c>
      <c r="BH104" s="2" t="n">
        <f aca="false">INDEX(Ratings!$B$2:$B$239,MATCH(BF104,Ratings!$A$2:$A$239,0))</f>
        <v>-9.1</v>
      </c>
      <c r="BI104" s="2" t="n">
        <f aca="false">IF(BG104="Home",Assumptions!$B$2,IF(BG104="Away",-Assumptions!$B$2,0))</f>
        <v>2.5</v>
      </c>
      <c r="BJ104" s="2" t="n">
        <f aca="false">NORMDIST($B104-BH104+BI104,0,Assumptions!$B$3,TRUE())</f>
        <v>0.519938805838373</v>
      </c>
      <c r="BP104" s="2" t="n">
        <v>12</v>
      </c>
      <c r="BQ104" s="2" t="n">
        <f aca="false">G104+L104+Q104+V104+AA104+AF104+AK104+AP104+AU104+AZ104+BE104+BJ104</f>
        <v>5.56277636573744</v>
      </c>
    </row>
    <row r="105" customFormat="false" ht="15" hidden="false" customHeight="false" outlineLevel="0" collapsed="false">
      <c r="A105" s="2" t="s">
        <v>161</v>
      </c>
      <c r="B105" s="2" t="n">
        <f aca="false">INDEX(Ratings!$B$2:$B$239,MATCH($A105,Ratings!$A$2:$A$239,0))</f>
        <v>-10.8</v>
      </c>
      <c r="C105" s="2" t="s">
        <v>164</v>
      </c>
      <c r="D105" s="2" t="s">
        <v>407</v>
      </c>
      <c r="E105" s="2" t="n">
        <f aca="false">INDEX(Ratings!$B$2:$B$239,MATCH(C105,Ratings!$A$2:$A$239,0))</f>
        <v>-11.6</v>
      </c>
      <c r="F105" s="2" t="n">
        <f aca="false">IF(D105="Home",Assumptions!$B$2,IF(D105="Away",-Assumptions!$B$2,0))</f>
        <v>-2.5</v>
      </c>
      <c r="G105" s="2" t="n">
        <f aca="false">NORMDIST($B105-E105+F105,0,Assumptions!$B$3,TRUE())</f>
        <v>0.457692000582065</v>
      </c>
      <c r="H105" s="2" t="s">
        <v>298</v>
      </c>
      <c r="I105" s="2" t="s">
        <v>406</v>
      </c>
      <c r="J105" s="2" t="n">
        <f aca="false">INDEX(Ratings!$B$2:$B$239,MATCH(H105,Ratings!$A$2:$A$239,0))</f>
        <v>-23</v>
      </c>
      <c r="K105" s="2" t="n">
        <f aca="false">IF(I105="Home",Assumptions!$B$2,IF(I105="Away",-Assumptions!$B$2,0))</f>
        <v>2.5</v>
      </c>
      <c r="L105" s="2" t="n">
        <f aca="false">NORMDIST($B105-J105+K105,0,Assumptions!$B$3,TRUE())</f>
        <v>0.820886824722654</v>
      </c>
      <c r="M105" s="2" t="s">
        <v>176</v>
      </c>
      <c r="N105" s="2" t="s">
        <v>407</v>
      </c>
      <c r="O105" s="2" t="n">
        <f aca="false">INDEX(Ratings!$B$2:$B$239,MATCH(M105,Ratings!$A$2:$A$239,0))</f>
        <v>-15.1</v>
      </c>
      <c r="P105" s="2" t="n">
        <f aca="false">IF(N105="Home",Assumptions!$B$2,IF(N105="Away",-Assumptions!$B$2,0))</f>
        <v>-2.5</v>
      </c>
      <c r="Q105" s="2" t="n">
        <f aca="false">NORMDIST($B105-O105+P105,0,Assumptions!$B$3,TRUE())</f>
        <v>0.544786515128255</v>
      </c>
      <c r="R105" s="2" t="s">
        <v>140</v>
      </c>
      <c r="S105" s="2" t="s">
        <v>406</v>
      </c>
      <c r="T105" s="2" t="n">
        <f aca="false">INDEX(Ratings!$B$2:$B$239,MATCH(R105,Ratings!$A$2:$A$239,0))</f>
        <v>-2.6</v>
      </c>
      <c r="U105" s="2" t="n">
        <f aca="false">IF(S105="Home",Assumptions!$B$2,IF(S105="Away",-Assumptions!$B$2,0))</f>
        <v>2.5</v>
      </c>
      <c r="V105" s="2" t="n">
        <f aca="false">NORMDIST($B105-T105+U105,0,Assumptions!$B$3,TRUE())</f>
        <v>0.360826675149783</v>
      </c>
      <c r="W105" s="2" t="s">
        <v>132</v>
      </c>
      <c r="X105" s="2" t="s">
        <v>407</v>
      </c>
      <c r="Y105" s="2" t="n">
        <f aca="false">INDEX(Ratings!$B$2:$B$239,MATCH(W105,Ratings!$A$2:$A$239,0))</f>
        <v>-1.8</v>
      </c>
      <c r="Z105" s="2" t="n">
        <f aca="false">IF(X105="Home",Assumptions!$B$2,IF(X105="Away",-Assumptions!$B$2,0))</f>
        <v>-2.5</v>
      </c>
      <c r="AA105" s="2" t="n">
        <f aca="false">NORMDIST($B105-Y105+Z105,0,Assumptions!$B$3,TRUE())</f>
        <v>0.236147484972854</v>
      </c>
      <c r="AB105" s="2" t="s">
        <v>178</v>
      </c>
      <c r="AC105" s="2" t="s">
        <v>407</v>
      </c>
      <c r="AD105" s="2" t="n">
        <f aca="false">INDEX(Ratings!$B$2:$B$239,MATCH(AB105,Ratings!$A$2:$A$239,0))</f>
        <v>-15.7</v>
      </c>
      <c r="AE105" s="2" t="n">
        <f aca="false">IF(AC105="Home",Assumptions!$B$2,IF(AC105="Away",-Assumptions!$B$2,0))</f>
        <v>-2.5</v>
      </c>
      <c r="AF105" s="2" t="n">
        <f aca="false">NORMDIST($B105-AD105+AE105,0,Assumptions!$B$3,TRUE())</f>
        <v>0.559617692370243</v>
      </c>
      <c r="AG105" s="2" t="s">
        <v>180</v>
      </c>
      <c r="AH105" s="2" t="s">
        <v>406</v>
      </c>
      <c r="AI105" s="2" t="n">
        <f aca="false">INDEX(Ratings!$B$2:$B$239,MATCH(AG105,Ratings!$A$2:$A$239,0))</f>
        <v>-17.2</v>
      </c>
      <c r="AJ105" s="2" t="n">
        <f aca="false">IF(AH105="Home",Assumptions!$B$2,IF(AH105="Away",-Assumptions!$B$2,0))</f>
        <v>2.5</v>
      </c>
      <c r="AK105" s="2" t="n">
        <f aca="false">NORMDIST($B105-AI105+AJ105,0,Assumptions!$B$3,TRUE())</f>
        <v>0.710980018637507</v>
      </c>
      <c r="AL105" s="2" t="s">
        <v>141</v>
      </c>
      <c r="AM105" s="2" t="s">
        <v>406</v>
      </c>
      <c r="AN105" s="2" t="n">
        <f aca="false">INDEX(Ratings!$B$2:$B$239,MATCH(AL105,Ratings!$A$2:$A$239,0))</f>
        <v>-3.2</v>
      </c>
      <c r="AO105" s="2" t="n">
        <f aca="false">IF(AM105="Home",Assumptions!$B$2,IF(AM105="Away",-Assumptions!$B$2,0))</f>
        <v>2.5</v>
      </c>
      <c r="AP105" s="2" t="n">
        <f aca="false">NORMDIST($B105-AN105+AO105,0,Assumptions!$B$3,TRUE())</f>
        <v>0.374958048081219</v>
      </c>
      <c r="AQ105" s="2" t="s">
        <v>112</v>
      </c>
      <c r="AR105" s="2" t="s">
        <v>407</v>
      </c>
      <c r="AS105" s="2" t="n">
        <f aca="false">INDEX(Ratings!$B$2:$B$239,MATCH(AQ105,Ratings!$A$2:$A$239,0))</f>
        <v>3.6</v>
      </c>
      <c r="AT105" s="2" t="n">
        <f aca="false">IF(AR105="Home",Assumptions!$B$2,IF(AR105="Away",-Assumptions!$B$2,0))</f>
        <v>-2.5</v>
      </c>
      <c r="AU105" s="2" t="n">
        <f aca="false">NORMDIST($B105-AS105+AT105,0,Assumptions!$B$3,TRUE())</f>
        <v>0.145427006388604</v>
      </c>
      <c r="AV105" s="2" t="s">
        <v>184</v>
      </c>
      <c r="AW105" s="2" t="s">
        <v>407</v>
      </c>
      <c r="AX105" s="2" t="n">
        <f aca="false">INDEX(Ratings!$B$2:$B$239,MATCH(AV105,Ratings!$A$2:$A$239,0))</f>
        <v>-19.3</v>
      </c>
      <c r="AY105" s="2" t="n">
        <f aca="false">IF(AW105="Home",Assumptions!$B$2,IF(AW105="Away",-Assumptions!$B$2,0))</f>
        <v>-2.5</v>
      </c>
      <c r="AZ105" s="2" t="n">
        <f aca="false">NORMDIST($B105-AX105+AY105,0,Assumptions!$B$3,TRUE())</f>
        <v>0.646169766672724</v>
      </c>
      <c r="BA105" s="2" t="s">
        <v>125</v>
      </c>
      <c r="BB105" s="2" t="s">
        <v>406</v>
      </c>
      <c r="BC105" s="2" t="n">
        <f aca="false">INDEX(Ratings!$B$2:$B$239,MATCH(BA105,Ratings!$A$2:$A$239,0))</f>
        <v>0</v>
      </c>
      <c r="BD105" s="2" t="n">
        <f aca="false">IF(BB105="Home",Assumptions!$B$2,IF(BB105="Away",-Assumptions!$B$2,0))</f>
        <v>2.5</v>
      </c>
      <c r="BE105" s="2" t="n">
        <f aca="false">NORMDIST($B105-BC105+BD105,0,Assumptions!$B$3,TRUE())</f>
        <v>0.301967544680181</v>
      </c>
      <c r="BF105" s="2" t="s">
        <v>167</v>
      </c>
      <c r="BG105" s="2" t="s">
        <v>406</v>
      </c>
      <c r="BH105" s="2" t="n">
        <f aca="false">INDEX(Ratings!$B$2:$B$239,MATCH(BF105,Ratings!$A$2:$A$239,0))</f>
        <v>-11.9</v>
      </c>
      <c r="BI105" s="2" t="n">
        <f aca="false">IF(BG105="Home",Assumptions!$B$2,IF(BG105="Away",-Assumptions!$B$2,0))</f>
        <v>2.5</v>
      </c>
      <c r="BJ105" s="2" t="n">
        <f aca="false">NORMDIST($B105-BH105+BI105,0,Assumptions!$B$3,TRUE())</f>
        <v>0.58901036286873</v>
      </c>
      <c r="BP105" s="2" t="n">
        <v>12</v>
      </c>
      <c r="BQ105" s="2" t="n">
        <f aca="false">G105+L105+Q105+V105+AA105+AF105+AK105+AP105+AU105+AZ105+BE105+BJ105</f>
        <v>5.74846994025482</v>
      </c>
    </row>
    <row r="106" customFormat="false" ht="15" hidden="false" customHeight="false" outlineLevel="0" collapsed="false">
      <c r="A106" s="2" t="s">
        <v>162</v>
      </c>
      <c r="B106" s="2" t="n">
        <f aca="false">INDEX(Ratings!$B$2:$B$239,MATCH($A106,Ratings!$A$2:$A$239,0))</f>
        <v>-11.6</v>
      </c>
      <c r="C106" s="2" t="s">
        <v>62</v>
      </c>
      <c r="D106" s="2" t="s">
        <v>407</v>
      </c>
      <c r="E106" s="2" t="n">
        <f aca="false">INDEX(Ratings!$B$2:$B$239,MATCH(C106,Ratings!$A$2:$A$239,0))</f>
        <v>25.8</v>
      </c>
      <c r="F106" s="2" t="n">
        <f aca="false">IF(D106="Home",Assumptions!$B$2,IF(D106="Away",-Assumptions!$B$2,0))</f>
        <v>-2.5</v>
      </c>
      <c r="G106" s="2" t="n">
        <f aca="false">NORMDIST($B106-E106+F106,0,Assumptions!$B$3,TRUE())</f>
        <v>0.00632007683141841</v>
      </c>
      <c r="H106" s="2" t="s">
        <v>112</v>
      </c>
      <c r="I106" s="2" t="s">
        <v>406</v>
      </c>
      <c r="J106" s="2" t="n">
        <f aca="false">INDEX(Ratings!$B$2:$B$239,MATCH(H106,Ratings!$A$2:$A$239,0))</f>
        <v>3.6</v>
      </c>
      <c r="K106" s="2" t="n">
        <f aca="false">IF(I106="Home",Assumptions!$B$2,IF(I106="Away",-Assumptions!$B$2,0))</f>
        <v>2.5</v>
      </c>
      <c r="L106" s="2" t="n">
        <f aca="false">NORMDIST($B106-J106+K106,0,Assumptions!$B$3,TRUE())</f>
        <v>0.213670492940356</v>
      </c>
      <c r="M106" s="2" t="s">
        <v>134</v>
      </c>
      <c r="N106" s="2" t="s">
        <v>407</v>
      </c>
      <c r="O106" s="2" t="n">
        <f aca="false">INDEX(Ratings!$B$2:$B$239,MATCH(M106,Ratings!$A$2:$A$239,0))</f>
        <v>-2.1</v>
      </c>
      <c r="P106" s="2" t="n">
        <f aca="false">IF(N106="Home",Assumptions!$B$2,IF(N106="Away",-Assumptions!$B$2,0))</f>
        <v>-2.5</v>
      </c>
      <c r="Q106" s="2" t="n">
        <f aca="false">NORMDIST($B106-O106+P106,0,Assumptions!$B$3,TRUE())</f>
        <v>0.226627352376868</v>
      </c>
      <c r="R106" s="2" t="s">
        <v>267</v>
      </c>
      <c r="S106" s="2" t="s">
        <v>406</v>
      </c>
      <c r="T106" s="2" t="n">
        <f aca="false">INDEX(Ratings!$B$2:$B$239,MATCH(R106,Ratings!$A$2:$A$239,0))</f>
        <v>-34</v>
      </c>
      <c r="U106" s="2" t="n">
        <f aca="false">IF(S106="Home",Assumptions!$B$2,IF(S106="Away",-Assumptions!$B$2,0))</f>
        <v>2.5</v>
      </c>
      <c r="V106" s="2" t="n">
        <f aca="false">NORMDIST($B106-T106+U106,0,Assumptions!$B$3,TRUE())</f>
        <v>0.940175672022986</v>
      </c>
      <c r="W106" s="2" t="s">
        <v>149</v>
      </c>
      <c r="X106" s="2" t="s">
        <v>407</v>
      </c>
      <c r="Y106" s="2" t="n">
        <f aca="false">INDEX(Ratings!$B$2:$B$239,MATCH(W106,Ratings!$A$2:$A$239,0))</f>
        <v>-6.1</v>
      </c>
      <c r="Z106" s="2" t="n">
        <f aca="false">IF(X106="Home",Assumptions!$B$2,IF(X106="Away",-Assumptions!$B$2,0))</f>
        <v>-2.5</v>
      </c>
      <c r="AA106" s="2" t="n">
        <f aca="false">NORMDIST($B106-Y106+Z106,0,Assumptions!$B$3,TRUE())</f>
        <v>0.308537538725987</v>
      </c>
      <c r="AB106" s="2" t="s">
        <v>189</v>
      </c>
      <c r="AC106" s="2" t="s">
        <v>406</v>
      </c>
      <c r="AD106" s="2" t="n">
        <f aca="false">INDEX(Ratings!$B$2:$B$239,MATCH(AB106,Ratings!$A$2:$A$239,0))</f>
        <v>-24.1</v>
      </c>
      <c r="AE106" s="2" t="n">
        <f aca="false">IF(AC106="Home",Assumptions!$B$2,IF(AC106="Away",-Assumptions!$B$2,0))</f>
        <v>2.5</v>
      </c>
      <c r="AF106" s="2" t="n">
        <f aca="false">NORMDIST($B106-AD106+AE106,0,Assumptions!$B$3,TRUE())</f>
        <v>0.825749288119458</v>
      </c>
      <c r="AG106" s="2" t="s">
        <v>121</v>
      </c>
      <c r="AH106" s="2" t="s">
        <v>407</v>
      </c>
      <c r="AI106" s="2" t="n">
        <f aca="false">INDEX(Ratings!$B$2:$B$239,MATCH(AG106,Ratings!$A$2:$A$239,0))</f>
        <v>1.2</v>
      </c>
      <c r="AJ106" s="2" t="n">
        <f aca="false">IF(AH106="Home",Assumptions!$B$2,IF(AH106="Away",-Assumptions!$B$2,0))</f>
        <v>-2.5</v>
      </c>
      <c r="AK106" s="2" t="n">
        <f aca="false">NORMDIST($B106-AI106+AJ106,0,Assumptions!$B$3,TRUE())</f>
        <v>0.16947297216772</v>
      </c>
      <c r="AL106" s="2" t="s">
        <v>148</v>
      </c>
      <c r="AM106" s="2" t="s">
        <v>406</v>
      </c>
      <c r="AN106" s="2" t="n">
        <f aca="false">INDEX(Ratings!$B$2:$B$239,MATCH(AL106,Ratings!$A$2:$A$239,0))</f>
        <v>-6.1</v>
      </c>
      <c r="AO106" s="2" t="n">
        <f aca="false">IF(AM106="Home",Assumptions!$B$2,IF(AM106="Away",-Assumptions!$B$2,0))</f>
        <v>2.5</v>
      </c>
      <c r="AP106" s="2" t="n">
        <f aca="false">NORMDIST($B106-AN106+AO106,0,Assumptions!$B$3,TRUE())</f>
        <v>0.425634311844103</v>
      </c>
      <c r="AQ106" s="2" t="s">
        <v>177</v>
      </c>
      <c r="AR106" s="2" t="s">
        <v>406</v>
      </c>
      <c r="AS106" s="2" t="n">
        <f aca="false">INDEX(Ratings!$B$2:$B$239,MATCH(AQ106,Ratings!$A$2:$A$239,0))</f>
        <v>-15.3</v>
      </c>
      <c r="AT106" s="2" t="n">
        <f aca="false">IF(AR106="Home",Assumptions!$B$2,IF(AR106="Away",-Assumptions!$B$2,0))</f>
        <v>2.5</v>
      </c>
      <c r="AU106" s="2" t="n">
        <f aca="false">NORMDIST($B106-AS106+AT106,0,Assumptions!$B$3,TRUE())</f>
        <v>0.650806957537142</v>
      </c>
      <c r="AV106" s="2" t="s">
        <v>128</v>
      </c>
      <c r="AW106" s="2" t="s">
        <v>407</v>
      </c>
      <c r="AX106" s="2" t="n">
        <f aca="false">INDEX(Ratings!$B$2:$B$239,MATCH(AV106,Ratings!$A$2:$A$239,0))</f>
        <v>-1.1</v>
      </c>
      <c r="AY106" s="2" t="n">
        <f aca="false">IF(AW106="Home",Assumptions!$B$2,IF(AW106="Away",-Assumptions!$B$2,0))</f>
        <v>-2.5</v>
      </c>
      <c r="AZ106" s="2" t="n">
        <f aca="false">NORMDIST($B106-AX106+AY106,0,Assumptions!$B$3,TRUE())</f>
        <v>0.208252393288109</v>
      </c>
      <c r="BA106" s="2" t="s">
        <v>144</v>
      </c>
      <c r="BB106" s="2" t="s">
        <v>407</v>
      </c>
      <c r="BC106" s="2" t="n">
        <f aca="false">INDEX(Ratings!$B$2:$B$239,MATCH(BA106,Ratings!$A$2:$A$239,0))</f>
        <v>-4.3</v>
      </c>
      <c r="BD106" s="2" t="n">
        <f aca="false">IF(BB106="Home",Assumptions!$B$2,IF(BB106="Away",-Assumptions!$B$2,0))</f>
        <v>-2.5</v>
      </c>
      <c r="BE106" s="2" t="n">
        <f aca="false">NORMDIST($B106-BC106+BD106,0,Assumptions!$B$3,TRUE())</f>
        <v>0.270103499001235</v>
      </c>
      <c r="BF106" s="2" t="s">
        <v>181</v>
      </c>
      <c r="BG106" s="2" t="s">
        <v>406</v>
      </c>
      <c r="BH106" s="2" t="n">
        <f aca="false">INDEX(Ratings!$B$2:$B$239,MATCH(BF106,Ratings!$A$2:$A$239,0))</f>
        <v>-17.5</v>
      </c>
      <c r="BI106" s="2" t="n">
        <f aca="false">IF(BG106="Home",Assumptions!$B$2,IF(BG106="Away",-Assumptions!$B$2,0))</f>
        <v>2.5</v>
      </c>
      <c r="BJ106" s="2" t="n">
        <f aca="false">NORMDIST($B106-BH106+BI106,0,Assumptions!$B$3,TRUE())</f>
        <v>0.700208404531304</v>
      </c>
      <c r="BP106" s="2" t="n">
        <v>12</v>
      </c>
      <c r="BQ106" s="2" t="n">
        <f aca="false">G106+L106+Q106+V106+AA106+AF106+AK106+AP106+AU106+AZ106+BE106+BJ106</f>
        <v>4.94555895938669</v>
      </c>
    </row>
    <row r="107" customFormat="false" ht="15" hidden="false" customHeight="false" outlineLevel="0" collapsed="false">
      <c r="A107" s="2" t="s">
        <v>163</v>
      </c>
      <c r="B107" s="2" t="n">
        <f aca="false">INDEX(Ratings!$B$2:$B$239,MATCH($A107,Ratings!$A$2:$A$239,0))</f>
        <v>-11.6</v>
      </c>
      <c r="C107" s="2" t="s">
        <v>124</v>
      </c>
      <c r="D107" s="2" t="s">
        <v>407</v>
      </c>
      <c r="E107" s="2" t="n">
        <f aca="false">INDEX(Ratings!$B$2:$B$239,MATCH(C107,Ratings!$A$2:$A$239,0))</f>
        <v>0.3</v>
      </c>
      <c r="F107" s="2" t="n">
        <f aca="false">IF(D107="Home",Assumptions!$B$2,IF(D107="Away",-Assumptions!$B$2,0))</f>
        <v>-2.5</v>
      </c>
      <c r="G107" s="2" t="n">
        <f aca="false">NORMDIST($B107-E107+F107,0,Assumptions!$B$3,TRUE())</f>
        <v>0.184060125346759</v>
      </c>
      <c r="H107" s="2" t="s">
        <v>334</v>
      </c>
      <c r="I107" s="2" t="s">
        <v>406</v>
      </c>
      <c r="J107" s="2" t="n">
        <f aca="false">INDEX(Ratings!$B$2:$B$239,MATCH(H107,Ratings!$A$2:$A$239,0))</f>
        <v>-45</v>
      </c>
      <c r="K107" s="2" t="n">
        <f aca="false">IF(I107="Home",Assumptions!$B$2,IF(I107="Away",-Assumptions!$B$2,0))</f>
        <v>2.5</v>
      </c>
      <c r="L107" s="2" t="n">
        <f aca="false">NORMDIST($B107-J107+K107,0,Assumptions!$B$3,TRUE())</f>
        <v>0.987575754456027</v>
      </c>
      <c r="M107" s="2" t="s">
        <v>89</v>
      </c>
      <c r="N107" s="2" t="s">
        <v>407</v>
      </c>
      <c r="O107" s="2" t="n">
        <f aca="false">INDEX(Ratings!$B$2:$B$239,MATCH(M107,Ratings!$A$2:$A$239,0))</f>
        <v>9.4</v>
      </c>
      <c r="P107" s="2" t="n">
        <f aca="false">IF(N107="Home",Assumptions!$B$2,IF(N107="Away",-Assumptions!$B$2,0))</f>
        <v>-2.5</v>
      </c>
      <c r="Q107" s="2" t="n">
        <f aca="false">NORMDIST($B107-O107+P107,0,Assumptions!$B$3,TRUE())</f>
        <v>0.0709503051389903</v>
      </c>
      <c r="R107" s="2" t="s">
        <v>171</v>
      </c>
      <c r="S107" s="2" t="s">
        <v>406</v>
      </c>
      <c r="T107" s="2" t="n">
        <f aca="false">INDEX(Ratings!$B$2:$B$239,MATCH(R107,Ratings!$A$2:$A$239,0))</f>
        <v>-12.9</v>
      </c>
      <c r="U107" s="2" t="n">
        <f aca="false">IF(S107="Home",Assumptions!$B$2,IF(S107="Away",-Assumptions!$B$2,0))</f>
        <v>2.5</v>
      </c>
      <c r="V107" s="2" t="n">
        <f aca="false">NORMDIST($B107-T107+U107,0,Assumptions!$B$3,TRUE())</f>
        <v>0.593865540399242</v>
      </c>
      <c r="W107" s="2" t="s">
        <v>159</v>
      </c>
      <c r="X107" s="2" t="s">
        <v>407</v>
      </c>
      <c r="Y107" s="2" t="n">
        <f aca="false">INDEX(Ratings!$B$2:$B$239,MATCH(W107,Ratings!$A$2:$A$239,0))</f>
        <v>-10.6</v>
      </c>
      <c r="Z107" s="2" t="n">
        <f aca="false">IF(X107="Home",Assumptions!$B$2,IF(X107="Away",-Assumptions!$B$2,0))</f>
        <v>-2.5</v>
      </c>
      <c r="AA107" s="2" t="n">
        <f aca="false">NORMDIST($B107-Y107+Z107,0,Assumptions!$B$3,TRUE())</f>
        <v>0.413422398858449</v>
      </c>
      <c r="AB107" s="2" t="s">
        <v>173</v>
      </c>
      <c r="AC107" s="2" t="s">
        <v>406</v>
      </c>
      <c r="AD107" s="2" t="n">
        <f aca="false">INDEX(Ratings!$B$2:$B$239,MATCH(AB107,Ratings!$A$2:$A$239,0))</f>
        <v>-14.6</v>
      </c>
      <c r="AE107" s="2" t="n">
        <f aca="false">IF(AC107="Home",Assumptions!$B$2,IF(AC107="Away",-Assumptions!$B$2,0))</f>
        <v>2.5</v>
      </c>
      <c r="AF107" s="2" t="n">
        <f aca="false">NORMDIST($B107-AD107+AE107,0,Assumptions!$B$3,TRUE())</f>
        <v>0.634482847309957</v>
      </c>
      <c r="AG107" s="2" t="s">
        <v>185</v>
      </c>
      <c r="AH107" s="2" t="s">
        <v>407</v>
      </c>
      <c r="AI107" s="2" t="n">
        <f aca="false">INDEX(Ratings!$B$2:$B$239,MATCH(AG107,Ratings!$A$2:$A$239,0))</f>
        <v>-20.7</v>
      </c>
      <c r="AJ107" s="2" t="n">
        <f aca="false">IF(AH107="Home",Assumptions!$B$2,IF(AH107="Away",-Assumptions!$B$2,0))</f>
        <v>-2.5</v>
      </c>
      <c r="AK107" s="2" t="n">
        <f aca="false">NORMDIST($B107-AI107+AJ107,0,Assumptions!$B$3,TRUE())</f>
        <v>0.660013509650861</v>
      </c>
      <c r="AL107" s="2" t="s">
        <v>194</v>
      </c>
      <c r="AM107" s="2" t="s">
        <v>406</v>
      </c>
      <c r="AN107" s="2" t="n">
        <f aca="false">INDEX(Ratings!$B$2:$B$239,MATCH(AL107,Ratings!$A$2:$A$239,0))</f>
        <v>-29.3</v>
      </c>
      <c r="AO107" s="2" t="n">
        <f aca="false">IF(AM107="Home",Assumptions!$B$2,IF(AM107="Away",-Assumptions!$B$2,0))</f>
        <v>2.5</v>
      </c>
      <c r="AP107" s="2" t="n">
        <f aca="false">NORMDIST($B107-AN107+AO107,0,Assumptions!$B$3,TRUE())</f>
        <v>0.89661553685184</v>
      </c>
      <c r="AQ107" s="2" t="s">
        <v>193</v>
      </c>
      <c r="AR107" s="2" t="s">
        <v>406</v>
      </c>
      <c r="AS107" s="2" t="n">
        <f aca="false">INDEX(Ratings!$B$2:$B$239,MATCH(AQ107,Ratings!$A$2:$A$239,0))</f>
        <v>-28.9</v>
      </c>
      <c r="AT107" s="2" t="n">
        <f aca="false">IF(AR107="Home",Assumptions!$B$2,IF(AR107="Away",-Assumptions!$B$2,0))</f>
        <v>2.5</v>
      </c>
      <c r="AU107" s="2" t="n">
        <f aca="false">NORMDIST($B107-AS107+AT107,0,Assumptions!$B$3,TRUE())</f>
        <v>0.892049242832675</v>
      </c>
      <c r="AV107" s="2" t="s">
        <v>174</v>
      </c>
      <c r="AW107" s="2" t="s">
        <v>407</v>
      </c>
      <c r="AX107" s="2" t="n">
        <f aca="false">INDEX(Ratings!$B$2:$B$239,MATCH(AV107,Ratings!$A$2:$A$239,0))</f>
        <v>-14.7</v>
      </c>
      <c r="AY107" s="2" t="n">
        <f aca="false">IF(AW107="Home",Assumptions!$B$2,IF(AW107="Away",-Assumptions!$B$2,0))</f>
        <v>-2.5</v>
      </c>
      <c r="AZ107" s="2" t="n">
        <f aca="false">NORMDIST($B107-AX107+AY107,0,Assumptions!$B$3,TRUE())</f>
        <v>0.51495682992591</v>
      </c>
      <c r="BA107" s="2" t="s">
        <v>156</v>
      </c>
      <c r="BB107" s="2" t="s">
        <v>407</v>
      </c>
      <c r="BC107" s="2" t="n">
        <f aca="false">INDEX(Ratings!$B$2:$B$239,MATCH(BA107,Ratings!$A$2:$A$239,0))</f>
        <v>-9.1</v>
      </c>
      <c r="BD107" s="2" t="n">
        <f aca="false">IF(BB107="Home",Assumptions!$B$2,IF(BB107="Away",-Assumptions!$B$2,0))</f>
        <v>-2.5</v>
      </c>
      <c r="BE107" s="2" t="n">
        <f aca="false">NORMDIST($B107-BC107+BD107,0,Assumptions!$B$3,TRUE())</f>
        <v>0.377330281529843</v>
      </c>
      <c r="BF107" s="2" t="s">
        <v>154</v>
      </c>
      <c r="BG107" s="2" t="s">
        <v>406</v>
      </c>
      <c r="BH107" s="2" t="n">
        <f aca="false">INDEX(Ratings!$B$2:$B$239,MATCH(BF107,Ratings!$A$2:$A$239,0))</f>
        <v>-8</v>
      </c>
      <c r="BI107" s="2" t="n">
        <f aca="false">IF(BG107="Home",Assumptions!$B$2,IF(BG107="Away",-Assumptions!$B$2,0))</f>
        <v>2.5</v>
      </c>
      <c r="BJ107" s="2" t="n">
        <f aca="false">NORMDIST($B107-BH107+BI107,0,Assumptions!$B$3,TRUE())</f>
        <v>0.472594309039532</v>
      </c>
      <c r="BP107" s="2" t="n">
        <v>12</v>
      </c>
      <c r="BQ107" s="2" t="n">
        <f aca="false">G107+L107+Q107+V107+AA107+AF107+AK107+AP107+AU107+AZ107+BE107+BJ107</f>
        <v>6.69791668134009</v>
      </c>
    </row>
    <row r="108" customFormat="false" ht="15" hidden="false" customHeight="false" outlineLevel="0" collapsed="false">
      <c r="A108" s="2" t="s">
        <v>164</v>
      </c>
      <c r="B108" s="2" t="n">
        <f aca="false">INDEX(Ratings!$B$2:$B$239,MATCH($A108,Ratings!$A$2:$A$239,0))</f>
        <v>-11.6</v>
      </c>
      <c r="C108" s="2" t="s">
        <v>161</v>
      </c>
      <c r="D108" s="2" t="s">
        <v>406</v>
      </c>
      <c r="E108" s="2" t="n">
        <f aca="false">INDEX(Ratings!$B$2:$B$239,MATCH(C108,Ratings!$A$2:$A$239,0))</f>
        <v>-10.8</v>
      </c>
      <c r="F108" s="2" t="n">
        <f aca="false">IF(D108="Home",Assumptions!$B$2,IF(D108="Away",-Assumptions!$B$2,0))</f>
        <v>2.5</v>
      </c>
      <c r="G108" s="2" t="n">
        <f aca="false">NORMDIST($B108-E108+F108,0,Assumptions!$B$3,TRUE())</f>
        <v>0.542307999417935</v>
      </c>
      <c r="H108" s="2" t="s">
        <v>314</v>
      </c>
      <c r="I108" s="2" t="s">
        <v>406</v>
      </c>
      <c r="J108" s="2" t="n">
        <f aca="false">INDEX(Ratings!$B$2:$B$239,MATCH(H108,Ratings!$A$2:$A$239,0))</f>
        <v>-33</v>
      </c>
      <c r="K108" s="2" t="n">
        <f aca="false">IF(I108="Home",Assumptions!$B$2,IF(I108="Away",-Assumptions!$B$2,0))</f>
        <v>2.5</v>
      </c>
      <c r="L108" s="2" t="n">
        <f aca="false">NORMDIST($B108-J108+K108,0,Assumptions!$B$3,TRUE())</f>
        <v>0.932379512719134</v>
      </c>
      <c r="M108" s="2" t="s">
        <v>78</v>
      </c>
      <c r="N108" s="2" t="s">
        <v>406</v>
      </c>
      <c r="O108" s="2" t="n">
        <f aca="false">INDEX(Ratings!$B$2:$B$239,MATCH(M108,Ratings!$A$2:$A$239,0))</f>
        <v>14.9</v>
      </c>
      <c r="P108" s="2" t="n">
        <f aca="false">IF(N108="Home",Assumptions!$B$2,IF(N108="Away",-Assumptions!$B$2,0))</f>
        <v>2.5</v>
      </c>
      <c r="Q108" s="2" t="n">
        <f aca="false">NORMDIST($B108-O108+P108,0,Assumptions!$B$3,TRUE())</f>
        <v>0.066807201268858</v>
      </c>
      <c r="R108" s="2" t="s">
        <v>128</v>
      </c>
      <c r="S108" s="2" t="s">
        <v>407</v>
      </c>
      <c r="T108" s="2" t="n">
        <f aca="false">INDEX(Ratings!$B$2:$B$239,MATCH(R108,Ratings!$A$2:$A$239,0))</f>
        <v>-1.1</v>
      </c>
      <c r="U108" s="2" t="n">
        <f aca="false">IF(S108="Home",Assumptions!$B$2,IF(S108="Away",-Assumptions!$B$2,0))</f>
        <v>-2.5</v>
      </c>
      <c r="V108" s="2" t="n">
        <f aca="false">NORMDIST($B108-T108+U108,0,Assumptions!$B$3,TRUE())</f>
        <v>0.208252393288109</v>
      </c>
      <c r="W108" s="2" t="s">
        <v>146</v>
      </c>
      <c r="X108" s="2" t="s">
        <v>406</v>
      </c>
      <c r="Y108" s="2" t="n">
        <f aca="false">INDEX(Ratings!$B$2:$B$239,MATCH(W108,Ratings!$A$2:$A$239,0))</f>
        <v>-5.6</v>
      </c>
      <c r="Z108" s="2" t="n">
        <f aca="false">IF(X108="Home",Assumptions!$B$2,IF(X108="Away",-Assumptions!$B$2,0))</f>
        <v>2.5</v>
      </c>
      <c r="AA108" s="2" t="n">
        <f aca="false">NORMDIST($B108-Y108+Z108,0,Assumptions!$B$3,TRUE())</f>
        <v>0.413422398858449</v>
      </c>
      <c r="AB108" s="2" t="s">
        <v>134</v>
      </c>
      <c r="AC108" s="2" t="s">
        <v>407</v>
      </c>
      <c r="AD108" s="2" t="n">
        <f aca="false">INDEX(Ratings!$B$2:$B$239,MATCH(AB108,Ratings!$A$2:$A$239,0))</f>
        <v>-2.1</v>
      </c>
      <c r="AE108" s="2" t="n">
        <f aca="false">IF(AC108="Home",Assumptions!$B$2,IF(AC108="Away",-Assumptions!$B$2,0))</f>
        <v>-2.5</v>
      </c>
      <c r="AF108" s="2" t="n">
        <f aca="false">NORMDIST($B108-AD108+AE108,0,Assumptions!$B$3,TRUE())</f>
        <v>0.226627352376868</v>
      </c>
      <c r="AG108" s="2" t="s">
        <v>122</v>
      </c>
      <c r="AH108" s="2" t="s">
        <v>406</v>
      </c>
      <c r="AI108" s="2" t="n">
        <f aca="false">INDEX(Ratings!$B$2:$B$239,MATCH(AG108,Ratings!$A$2:$A$239,0))</f>
        <v>0.7</v>
      </c>
      <c r="AJ108" s="2" t="n">
        <f aca="false">IF(AH108="Home",Assumptions!$B$2,IF(AH108="Away",-Assumptions!$B$2,0))</f>
        <v>2.5</v>
      </c>
      <c r="AK108" s="2" t="n">
        <f aca="false">NORMDIST($B108-AI108+AJ108,0,Assumptions!$B$3,TRUE())</f>
        <v>0.270103499001235</v>
      </c>
      <c r="AL108" s="2" t="s">
        <v>153</v>
      </c>
      <c r="AM108" s="2" t="s">
        <v>407</v>
      </c>
      <c r="AN108" s="2" t="n">
        <f aca="false">INDEX(Ratings!$B$2:$B$239,MATCH(AL108,Ratings!$A$2:$A$239,0))</f>
        <v>-7.9</v>
      </c>
      <c r="AO108" s="2" t="n">
        <f aca="false">IF(AM108="Home",Assumptions!$B$2,IF(AM108="Away",-Assumptions!$B$2,0))</f>
        <v>-2.5</v>
      </c>
      <c r="AP108" s="2" t="n">
        <f aca="false">NORMDIST($B108-AN108+AO108,0,Assumptions!$B$3,TRUE())</f>
        <v>0.349193042462858</v>
      </c>
      <c r="AQ108" s="2" t="s">
        <v>106</v>
      </c>
      <c r="AR108" s="2" t="s">
        <v>406</v>
      </c>
      <c r="AS108" s="2" t="n">
        <f aca="false">INDEX(Ratings!$B$2:$B$239,MATCH(AQ108,Ratings!$A$2:$A$239,0))</f>
        <v>5.1</v>
      </c>
      <c r="AT108" s="2" t="n">
        <f aca="false">IF(AR108="Home",Assumptions!$B$2,IF(AR108="Away",-Assumptions!$B$2,0))</f>
        <v>2.5</v>
      </c>
      <c r="AU108" s="2" t="n">
        <f aca="false">NORMDIST($B108-AS108+AT108,0,Assumptions!$B$3,TRUE())</f>
        <v>0.187404883098225</v>
      </c>
      <c r="AV108" s="2" t="s">
        <v>143</v>
      </c>
      <c r="AW108" s="2" t="s">
        <v>407</v>
      </c>
      <c r="AX108" s="2" t="n">
        <f aca="false">INDEX(Ratings!$B$2:$B$239,MATCH(AV108,Ratings!$A$2:$A$239,0))</f>
        <v>-4.3</v>
      </c>
      <c r="AY108" s="2" t="n">
        <f aca="false">IF(AW108="Home",Assumptions!$B$2,IF(AW108="Away",-Assumptions!$B$2,0))</f>
        <v>-2.5</v>
      </c>
      <c r="AZ108" s="2" t="n">
        <f aca="false">NORMDIST($B108-AX108+AY108,0,Assumptions!$B$3,TRUE())</f>
        <v>0.270103499001235</v>
      </c>
      <c r="BA108" s="2" t="s">
        <v>130</v>
      </c>
      <c r="BB108" s="2" t="s">
        <v>407</v>
      </c>
      <c r="BC108" s="2" t="n">
        <f aca="false">INDEX(Ratings!$B$2:$B$239,MATCH(BA108,Ratings!$A$2:$A$239,0))</f>
        <v>-1.4</v>
      </c>
      <c r="BD108" s="2" t="n">
        <f aca="false">IF(BB108="Home",Assumptions!$B$2,IF(BB108="Away",-Assumptions!$B$2,0))</f>
        <v>-2.5</v>
      </c>
      <c r="BE108" s="2" t="n">
        <f aca="false">NORMDIST($B108-BC108+BD108,0,Assumptions!$B$3,TRUE())</f>
        <v>0.213670492940356</v>
      </c>
      <c r="BF108" s="2" t="s">
        <v>134</v>
      </c>
      <c r="BG108" s="2" t="s">
        <v>406</v>
      </c>
      <c r="BH108" s="2" t="n">
        <f aca="false">INDEX(Ratings!$B$2:$B$239,MATCH(BF108,Ratings!$A$2:$A$239,0))</f>
        <v>-2.1</v>
      </c>
      <c r="BI108" s="2" t="n">
        <f aca="false">IF(BG108="Home",Assumptions!$B$2,IF(BG108="Away",-Assumptions!$B$2,0))</f>
        <v>2.5</v>
      </c>
      <c r="BJ108" s="2" t="n">
        <f aca="false">NORMDIST($B108-BH108+BI108,0,Assumptions!$B$3,TRUE())</f>
        <v>0.330874388040879</v>
      </c>
      <c r="BP108" s="2" t="n">
        <v>12</v>
      </c>
      <c r="BQ108" s="2" t="n">
        <f aca="false">G108+L108+Q108+V108+AA108+AF108+AK108+AP108+AU108+AZ108+BE108+BJ108</f>
        <v>4.01114666247414</v>
      </c>
    </row>
    <row r="109" customFormat="false" ht="15" hidden="false" customHeight="false" outlineLevel="0" collapsed="false">
      <c r="A109" s="2" t="s">
        <v>165</v>
      </c>
      <c r="B109" s="2" t="n">
        <f aca="false">INDEX(Ratings!$B$2:$B$239,MATCH($A109,Ratings!$A$2:$A$239,0))</f>
        <v>-11.7</v>
      </c>
      <c r="C109" s="2" t="s">
        <v>151</v>
      </c>
      <c r="D109" s="2" t="s">
        <v>406</v>
      </c>
      <c r="E109" s="2" t="n">
        <f aca="false">INDEX(Ratings!$B$2:$B$239,MATCH(C109,Ratings!$A$2:$A$239,0))</f>
        <v>-7.3</v>
      </c>
      <c r="F109" s="2" t="n">
        <f aca="false">IF(D109="Home",Assumptions!$B$2,IF(D109="Away",-Assumptions!$B$2,0))</f>
        <v>2.5</v>
      </c>
      <c r="G109" s="2" t="n">
        <f aca="false">NORMDIST($B109-E109+F109,0,Assumptions!$B$3,TRUE())</f>
        <v>0.452736711249588</v>
      </c>
      <c r="H109" s="2" t="s">
        <v>287</v>
      </c>
      <c r="I109" s="2" t="s">
        <v>406</v>
      </c>
      <c r="J109" s="2" t="n">
        <f aca="false">INDEX(Ratings!$B$2:$B$239,MATCH(H109,Ratings!$A$2:$A$239,0))</f>
        <v>-15</v>
      </c>
      <c r="K109" s="2" t="n">
        <f aca="false">IF(I109="Home",Assumptions!$B$2,IF(I109="Away",-Assumptions!$B$2,0))</f>
        <v>2.5</v>
      </c>
      <c r="L109" s="2" t="n">
        <f aca="false">NORMDIST($B109-J109+K109,0,Assumptions!$B$3,TRUE())</f>
        <v>0.641510788235092</v>
      </c>
      <c r="M109" s="2" t="s">
        <v>192</v>
      </c>
      <c r="N109" s="2" t="s">
        <v>407</v>
      </c>
      <c r="O109" s="2" t="n">
        <f aca="false">INDEX(Ratings!$B$2:$B$239,MATCH(M109,Ratings!$A$2:$A$239,0))</f>
        <v>-26.5</v>
      </c>
      <c r="P109" s="2" t="n">
        <f aca="false">IF(N109="Home",Assumptions!$B$2,IF(N109="Away",-Assumptions!$B$2,0))</f>
        <v>-2.5</v>
      </c>
      <c r="Q109" s="2" t="n">
        <f aca="false">NORMDIST($B109-O109+P109,0,Assumptions!$B$3,TRUE())</f>
        <v>0.778979131832686</v>
      </c>
      <c r="R109" s="2" t="s">
        <v>141</v>
      </c>
      <c r="S109" s="2" t="s">
        <v>406</v>
      </c>
      <c r="T109" s="2" t="n">
        <f aca="false">INDEX(Ratings!$B$2:$B$239,MATCH(R109,Ratings!$A$2:$A$239,0))</f>
        <v>-3.2</v>
      </c>
      <c r="U109" s="2" t="n">
        <f aca="false">IF(S109="Home",Assumptions!$B$2,IF(S109="Away",-Assumptions!$B$2,0))</f>
        <v>2.5</v>
      </c>
      <c r="V109" s="2" t="n">
        <f aca="false">NORMDIST($B109-T109+U109,0,Assumptions!$B$3,TRUE())</f>
        <v>0.353830233327276</v>
      </c>
      <c r="W109" s="2" t="s">
        <v>184</v>
      </c>
      <c r="X109" s="2" t="s">
        <v>407</v>
      </c>
      <c r="Y109" s="2" t="n">
        <f aca="false">INDEX(Ratings!$B$2:$B$239,MATCH(W109,Ratings!$A$2:$A$239,0))</f>
        <v>-19.3</v>
      </c>
      <c r="Z109" s="2" t="n">
        <f aca="false">IF(X109="Home",Assumptions!$B$2,IF(X109="Away",-Assumptions!$B$2,0))</f>
        <v>-2.5</v>
      </c>
      <c r="AA109" s="2" t="n">
        <f aca="false">NORMDIST($B109-Y109+Z109,0,Assumptions!$B$3,TRUE())</f>
        <v>0.625041951918781</v>
      </c>
      <c r="AB109" s="2" t="s">
        <v>132</v>
      </c>
      <c r="AC109" s="2" t="s">
        <v>407</v>
      </c>
      <c r="AD109" s="2" t="n">
        <f aca="false">INDEX(Ratings!$B$2:$B$239,MATCH(AB109,Ratings!$A$2:$A$239,0))</f>
        <v>-1.8</v>
      </c>
      <c r="AE109" s="2" t="n">
        <f aca="false">IF(AC109="Home",Assumptions!$B$2,IF(AC109="Away",-Assumptions!$B$2,0))</f>
        <v>-2.5</v>
      </c>
      <c r="AF109" s="2" t="n">
        <f aca="false">NORMDIST($B109-AD109+AE109,0,Assumptions!$B$3,TRUE())</f>
        <v>0.219169829793377</v>
      </c>
      <c r="AG109" s="2" t="s">
        <v>178</v>
      </c>
      <c r="AH109" s="2" t="s">
        <v>406</v>
      </c>
      <c r="AI109" s="2" t="n">
        <f aca="false">INDEX(Ratings!$B$2:$B$239,MATCH(AG109,Ratings!$A$2:$A$239,0))</f>
        <v>-15.7</v>
      </c>
      <c r="AJ109" s="2" t="n">
        <f aca="false">IF(AH109="Home",Assumptions!$B$2,IF(AH109="Away",-Assumptions!$B$2,0))</f>
        <v>2.5</v>
      </c>
      <c r="AK109" s="2" t="n">
        <f aca="false">NORMDIST($B109-AI109+AJ109,0,Assumptions!$B$3,TRUE())</f>
        <v>0.657720540316049</v>
      </c>
      <c r="AL109" s="2" t="s">
        <v>103</v>
      </c>
      <c r="AM109" s="2" t="s">
        <v>407</v>
      </c>
      <c r="AN109" s="2" t="n">
        <f aca="false">INDEX(Ratings!$B$2:$B$239,MATCH(AL109,Ratings!$A$2:$A$239,0))</f>
        <v>5.4</v>
      </c>
      <c r="AO109" s="2" t="n">
        <f aca="false">IF(AM109="Home",Assumptions!$B$2,IF(AM109="Away",-Assumptions!$B$2,0))</f>
        <v>-2.5</v>
      </c>
      <c r="AP109" s="2" t="n">
        <f aca="false">NORMDIST($B109-AN109+AO109,0,Assumptions!$B$3,TRUE())</f>
        <v>0.110287610252851</v>
      </c>
      <c r="AQ109" s="2" t="s">
        <v>125</v>
      </c>
      <c r="AR109" s="2" t="s">
        <v>406</v>
      </c>
      <c r="AS109" s="2" t="n">
        <f aca="false">INDEX(Ratings!$B$2:$B$239,MATCH(AQ109,Ratings!$A$2:$A$239,0))</f>
        <v>0</v>
      </c>
      <c r="AT109" s="2" t="n">
        <f aca="false">IF(AR109="Home",Assumptions!$B$2,IF(AR109="Away",-Assumptions!$B$2,0))</f>
        <v>2.5</v>
      </c>
      <c r="AU109" s="2" t="n">
        <f aca="false">NORMDIST($B109-AS109+AT109,0,Assumptions!$B$3,TRUE())</f>
        <v>0.282645648497201</v>
      </c>
      <c r="AV109" s="2" t="s">
        <v>180</v>
      </c>
      <c r="AW109" s="2" t="s">
        <v>407</v>
      </c>
      <c r="AX109" s="2" t="n">
        <f aca="false">INDEX(Ratings!$B$2:$B$239,MATCH(AV109,Ratings!$A$2:$A$239,0))</f>
        <v>-17.2</v>
      </c>
      <c r="AY109" s="2" t="n">
        <f aca="false">IF(AW109="Home",Assumptions!$B$2,IF(AW109="Away",-Assumptions!$B$2,0))</f>
        <v>-2.5</v>
      </c>
      <c r="AZ109" s="2" t="n">
        <f aca="false">NORMDIST($B109-AX109+AY109,0,Assumptions!$B$3,TRUE())</f>
        <v>0.574365688155897</v>
      </c>
      <c r="BA109" s="2" t="s">
        <v>140</v>
      </c>
      <c r="BB109" s="2" t="s">
        <v>406</v>
      </c>
      <c r="BC109" s="2" t="n">
        <f aca="false">INDEX(Ratings!$B$2:$B$239,MATCH(BA109,Ratings!$A$2:$A$239,0))</f>
        <v>-2.6</v>
      </c>
      <c r="BD109" s="2" t="n">
        <f aca="false">IF(BB109="Home",Assumptions!$B$2,IF(BB109="Away",-Assumptions!$B$2,0))</f>
        <v>2.5</v>
      </c>
      <c r="BE109" s="2" t="n">
        <f aca="false">NORMDIST($B109-BC109+BD109,0,Assumptions!$B$3,TRUE())</f>
        <v>0.339986490349139</v>
      </c>
      <c r="BF109" s="2" t="s">
        <v>112</v>
      </c>
      <c r="BG109" s="2" t="s">
        <v>407</v>
      </c>
      <c r="BH109" s="2" t="n">
        <f aca="false">INDEX(Ratings!$B$2:$B$239,MATCH(BF109,Ratings!$A$2:$A$239,0))</f>
        <v>3.6</v>
      </c>
      <c r="BI109" s="2" t="n">
        <f aca="false">IF(BG109="Home",Assumptions!$B$2,IF(BG109="Away",-Assumptions!$B$2,0))</f>
        <v>-2.5</v>
      </c>
      <c r="BJ109" s="2" t="n">
        <f aca="false">NORMDIST($B109-BH109+BI109,0,Assumptions!$B$3,TRUE())</f>
        <v>0.132961615077904</v>
      </c>
      <c r="BP109" s="2" t="n">
        <v>12</v>
      </c>
      <c r="BQ109" s="2" t="n">
        <f aca="false">G109+L109+Q109+V109+AA109+AF109+AK109+AP109+AU109+AZ109+BE109+BJ109</f>
        <v>5.16923623900584</v>
      </c>
    </row>
    <row r="110" customFormat="false" ht="15" hidden="false" customHeight="false" outlineLevel="0" collapsed="false">
      <c r="A110" s="2" t="s">
        <v>166</v>
      </c>
      <c r="B110" s="2" t="n">
        <f aca="false">INDEX(Ratings!$B$2:$B$239,MATCH($A110,Ratings!$A$2:$A$239,0))</f>
        <v>-11.8</v>
      </c>
      <c r="C110" s="2" t="s">
        <v>90</v>
      </c>
      <c r="D110" s="2" t="s">
        <v>407</v>
      </c>
      <c r="E110" s="2" t="n">
        <f aca="false">INDEX(Ratings!$B$2:$B$239,MATCH(C110,Ratings!$A$2:$A$239,0))</f>
        <v>9.3</v>
      </c>
      <c r="F110" s="2" t="n">
        <f aca="false">IF(D110="Home",Assumptions!$B$2,IF(D110="Away",-Assumptions!$B$2,0))</f>
        <v>-2.5</v>
      </c>
      <c r="G110" s="2" t="n">
        <f aca="false">NORMDIST($B110-E110+F110,0,Assumptions!$B$3,TRUE())</f>
        <v>0.0701062717112231</v>
      </c>
      <c r="H110" s="2" t="s">
        <v>152</v>
      </c>
      <c r="I110" s="2" t="s">
        <v>406</v>
      </c>
      <c r="J110" s="2" t="n">
        <f aca="false">INDEX(Ratings!$B$2:$B$239,MATCH(H110,Ratings!$A$2:$A$239,0))</f>
        <v>-7.8</v>
      </c>
      <c r="K110" s="2" t="n">
        <f aca="false">IF(I110="Home",Assumptions!$B$2,IF(I110="Away",-Assumptions!$B$2,0))</f>
        <v>2.5</v>
      </c>
      <c r="L110" s="2" t="n">
        <f aca="false">NORMDIST($B110-J110+K110,0,Assumptions!$B$3,TRUE())</f>
        <v>0.462653875444673</v>
      </c>
      <c r="M110" s="2" t="s">
        <v>173</v>
      </c>
      <c r="N110" s="2" t="s">
        <v>407</v>
      </c>
      <c r="O110" s="2" t="n">
        <f aca="false">INDEX(Ratings!$B$2:$B$239,MATCH(M110,Ratings!$A$2:$A$239,0))</f>
        <v>-14.6</v>
      </c>
      <c r="P110" s="2" t="n">
        <f aca="false">IF(N110="Home",Assumptions!$B$2,IF(N110="Away",-Assumptions!$B$2,0))</f>
        <v>-2.5</v>
      </c>
      <c r="Q110" s="2" t="n">
        <f aca="false">NORMDIST($B110-O110+P110,0,Assumptions!$B$3,TRUE())</f>
        <v>0.507479729489559</v>
      </c>
      <c r="R110" s="2" t="s">
        <v>315</v>
      </c>
      <c r="S110" s="2" t="s">
        <v>406</v>
      </c>
      <c r="T110" s="2" t="n">
        <f aca="false">INDEX(Ratings!$B$2:$B$239,MATCH(R110,Ratings!$A$2:$A$239,0))</f>
        <v>-56</v>
      </c>
      <c r="U110" s="2" t="n">
        <f aca="false">IF(S110="Home",Assumptions!$B$2,IF(S110="Away",-Assumptions!$B$2,0))</f>
        <v>2.5</v>
      </c>
      <c r="V110" s="2" t="n">
        <f aca="false">NORMDIST($B110-T110+U110,0,Assumptions!$B$3,TRUE())</f>
        <v>0.998242810266598</v>
      </c>
      <c r="W110" s="2" t="s">
        <v>186</v>
      </c>
      <c r="X110" s="2" t="s">
        <v>407</v>
      </c>
      <c r="Y110" s="2" t="n">
        <f aca="false">INDEX(Ratings!$B$2:$B$239,MATCH(W110,Ratings!$A$2:$A$239,0))</f>
        <v>-22.4</v>
      </c>
      <c r="Z110" s="2" t="n">
        <f aca="false">IF(X110="Home",Assumptions!$B$2,IF(X110="Away",-Assumptions!$B$2,0))</f>
        <v>-2.5</v>
      </c>
      <c r="AA110" s="2" t="n">
        <f aca="false">NORMDIST($B110-Y110+Z110,0,Assumptions!$B$3,TRUE())</f>
        <v>0.693659420714973</v>
      </c>
      <c r="AB110" s="2" t="s">
        <v>176</v>
      </c>
      <c r="AC110" s="2" t="s">
        <v>406</v>
      </c>
      <c r="AD110" s="2" t="n">
        <f aca="false">INDEX(Ratings!$B$2:$B$239,MATCH(AB110,Ratings!$A$2:$A$239,0))</f>
        <v>-15.1</v>
      </c>
      <c r="AE110" s="2" t="n">
        <f aca="false">IF(AC110="Home",Assumptions!$B$2,IF(AC110="Away",-Assumptions!$B$2,0))</f>
        <v>2.5</v>
      </c>
      <c r="AF110" s="2" t="n">
        <f aca="false">NORMDIST($B110-AD110+AE110,0,Assumptions!$B$3,TRUE())</f>
        <v>0.641510788235092</v>
      </c>
      <c r="AG110" s="2" t="s">
        <v>188</v>
      </c>
      <c r="AH110" s="2" t="s">
        <v>407</v>
      </c>
      <c r="AI110" s="2" t="n">
        <f aca="false">INDEX(Ratings!$B$2:$B$239,MATCH(AG110,Ratings!$A$2:$A$239,0))</f>
        <v>-23.4</v>
      </c>
      <c r="AJ110" s="2" t="n">
        <f aca="false">IF(AH110="Home",Assumptions!$B$2,IF(AH110="Away",-Assumptions!$B$2,0))</f>
        <v>-2.5</v>
      </c>
      <c r="AK110" s="2" t="n">
        <f aca="false">NORMDIST($B110-AI110+AJ110,0,Assumptions!$B$3,TRUE())</f>
        <v>0.715237094620453</v>
      </c>
      <c r="AL110" s="2" t="s">
        <v>179</v>
      </c>
      <c r="AM110" s="2" t="s">
        <v>406</v>
      </c>
      <c r="AN110" s="2" t="n">
        <f aca="false">INDEX(Ratings!$B$2:$B$239,MATCH(AL110,Ratings!$A$2:$A$239,0))</f>
        <v>-16.1</v>
      </c>
      <c r="AO110" s="2" t="n">
        <f aca="false">IF(AM110="Home",Assumptions!$B$2,IF(AM110="Away",-Assumptions!$B$2,0))</f>
        <v>2.5</v>
      </c>
      <c r="AP110" s="2" t="n">
        <f aca="false">NORMDIST($B110-AN110+AO110,0,Assumptions!$B$3,TRUE())</f>
        <v>0.664581662629831</v>
      </c>
      <c r="AQ110" s="2" t="s">
        <v>187</v>
      </c>
      <c r="AR110" s="2" t="s">
        <v>407</v>
      </c>
      <c r="AS110" s="2" t="n">
        <f aca="false">INDEX(Ratings!$B$2:$B$239,MATCH(AQ110,Ratings!$A$2:$A$239,0))</f>
        <v>-22.9</v>
      </c>
      <c r="AT110" s="2" t="n">
        <f aca="false">IF(AR110="Home",Assumptions!$B$2,IF(AR110="Away",-Assumptions!$B$2,0))</f>
        <v>-2.5</v>
      </c>
      <c r="AU110" s="2" t="n">
        <f aca="false">NORMDIST($B110-AS110+AT110,0,Assumptions!$B$3,TRUE())</f>
        <v>0.704538857537264</v>
      </c>
      <c r="AV110" s="2" t="s">
        <v>142</v>
      </c>
      <c r="AW110" s="2" t="s">
        <v>407</v>
      </c>
      <c r="AX110" s="2" t="n">
        <f aca="false">INDEX(Ratings!$B$2:$B$239,MATCH(AV110,Ratings!$A$2:$A$239,0))</f>
        <v>-4</v>
      </c>
      <c r="AY110" s="2" t="n">
        <f aca="false">IF(AW110="Home",Assumptions!$B$2,IF(AW110="Away",-Assumptions!$B$2,0))</f>
        <v>-2.5</v>
      </c>
      <c r="AZ110" s="2" t="n">
        <f aca="false">NORMDIST($B110-AX110+AY110,0,Assumptions!$B$3,TRUE())</f>
        <v>0.259868780665061</v>
      </c>
      <c r="BA110" s="2" t="s">
        <v>190</v>
      </c>
      <c r="BB110" s="2" t="s">
        <v>406</v>
      </c>
      <c r="BC110" s="2" t="n">
        <f aca="false">INDEX(Ratings!$B$2:$B$239,MATCH(BA110,Ratings!$A$2:$A$239,0))</f>
        <v>-25.1</v>
      </c>
      <c r="BD110" s="2" t="n">
        <f aca="false">IF(BB110="Home",Assumptions!$B$2,IF(BB110="Away",-Assumptions!$B$2,0))</f>
        <v>2.5</v>
      </c>
      <c r="BE110" s="2" t="n">
        <f aca="false">NORMDIST($B110-BC110+BD110,0,Assumptions!$B$3,TRUE())</f>
        <v>0.838301208542714</v>
      </c>
      <c r="BF110" s="2" t="s">
        <v>158</v>
      </c>
      <c r="BG110" s="2" t="s">
        <v>406</v>
      </c>
      <c r="BH110" s="2" t="n">
        <f aca="false">INDEX(Ratings!$B$2:$B$239,MATCH(BF110,Ratings!$A$2:$A$239,0))</f>
        <v>-9.1</v>
      </c>
      <c r="BI110" s="2" t="n">
        <f aca="false">IF(BG110="Home",Assumptions!$B$2,IF(BG110="Away",-Assumptions!$B$2,0))</f>
        <v>2.5</v>
      </c>
      <c r="BJ110" s="2" t="n">
        <f aca="false">NORMDIST($B110-BH110+BI110,0,Assumptions!$B$3,TRUE())</f>
        <v>0.495013351355962</v>
      </c>
      <c r="BP110" s="2" t="n">
        <v>12</v>
      </c>
      <c r="BQ110" s="2" t="n">
        <f aca="false">G110+L110+Q110+V110+AA110+AF110+AK110+AP110+AU110+AZ110+BE110+BJ110</f>
        <v>7.0511938512134</v>
      </c>
    </row>
    <row r="111" customFormat="false" ht="15" hidden="false" customHeight="false" outlineLevel="0" collapsed="false">
      <c r="A111" s="2" t="s">
        <v>167</v>
      </c>
      <c r="B111" s="2" t="n">
        <f aca="false">INDEX(Ratings!$B$2:$B$239,MATCH($A111,Ratings!$A$2:$A$239,0))</f>
        <v>-11.9</v>
      </c>
      <c r="C111" s="2" t="s">
        <v>276</v>
      </c>
      <c r="D111" s="2" t="s">
        <v>406</v>
      </c>
      <c r="E111" s="2" t="n">
        <f aca="false">INDEX(Ratings!$B$2:$B$239,MATCH(C111,Ratings!$A$2:$A$239,0))</f>
        <v>-39</v>
      </c>
      <c r="F111" s="2" t="n">
        <f aca="false">IF(D111="Home",Assumptions!$B$2,IF(D111="Away",-Assumptions!$B$2,0))</f>
        <v>2.5</v>
      </c>
      <c r="G111" s="2" t="n">
        <f aca="false">NORMDIST($B111-E111+F111,0,Assumptions!$B$3,TRUE())</f>
        <v>0.967843225204386</v>
      </c>
      <c r="H111" s="2" t="s">
        <v>105</v>
      </c>
      <c r="I111" s="2" t="s">
        <v>406</v>
      </c>
      <c r="J111" s="2" t="n">
        <f aca="false">INDEX(Ratings!$B$2:$B$239,MATCH(H111,Ratings!$A$2:$A$239,0))</f>
        <v>5.2</v>
      </c>
      <c r="K111" s="2" t="n">
        <f aca="false">IF(I111="Home",Assumptions!$B$2,IF(I111="Away",-Assumptions!$B$2,0))</f>
        <v>2.5</v>
      </c>
      <c r="L111" s="2" t="n">
        <f aca="false">NORMDIST($B111-J111+K111,0,Assumptions!$B$3,TRUE())</f>
        <v>0.180752784766576</v>
      </c>
      <c r="M111" s="2" t="s">
        <v>185</v>
      </c>
      <c r="N111" s="2" t="s">
        <v>407</v>
      </c>
      <c r="O111" s="2" t="n">
        <f aca="false">INDEX(Ratings!$B$2:$B$239,MATCH(M111,Ratings!$A$2:$A$239,0))</f>
        <v>-20.7</v>
      </c>
      <c r="P111" s="2" t="n">
        <f aca="false">IF(N111="Home",Assumptions!$B$2,IF(N111="Away",-Assumptions!$B$2,0))</f>
        <v>-2.5</v>
      </c>
      <c r="Q111" s="2" t="n">
        <f aca="false">NORMDIST($B111-O111+P111,0,Assumptions!$B$3,TRUE())</f>
        <v>0.653117188736853</v>
      </c>
      <c r="R111" s="2" t="s">
        <v>142</v>
      </c>
      <c r="S111" s="2" t="s">
        <v>407</v>
      </c>
      <c r="T111" s="2" t="n">
        <f aca="false">INDEX(Ratings!$B$2:$B$239,MATCH(R111,Ratings!$A$2:$A$239,0))</f>
        <v>-4</v>
      </c>
      <c r="U111" s="2" t="n">
        <f aca="false">IF(S111="Home",Assumptions!$B$2,IF(S111="Away",-Assumptions!$B$2,0))</f>
        <v>-2.5</v>
      </c>
      <c r="V111" s="2" t="n">
        <f aca="false">NORMDIST($B111-T111+U111,0,Assumptions!$B$3,TRUE())</f>
        <v>0.257846110805865</v>
      </c>
      <c r="W111" s="2" t="s">
        <v>133</v>
      </c>
      <c r="X111" s="2" t="s">
        <v>406</v>
      </c>
      <c r="Y111" s="2" t="n">
        <f aca="false">INDEX(Ratings!$B$2:$B$239,MATCH(W111,Ratings!$A$2:$A$239,0))</f>
        <v>-1.9</v>
      </c>
      <c r="Z111" s="2" t="n">
        <f aca="false">IF(X111="Home",Assumptions!$B$2,IF(X111="Away",-Assumptions!$B$2,0))</f>
        <v>2.5</v>
      </c>
      <c r="AA111" s="2" t="n">
        <f aca="false">NORMDIST($B111-Y111+Z111,0,Assumptions!$B$3,TRUE())</f>
        <v>0.319624171517118</v>
      </c>
      <c r="AB111" s="2" t="s">
        <v>157</v>
      </c>
      <c r="AC111" s="2" t="s">
        <v>407</v>
      </c>
      <c r="AD111" s="2" t="n">
        <f aca="false">INDEX(Ratings!$B$2:$B$239,MATCH(AB111,Ratings!$A$2:$A$239,0))</f>
        <v>-9.1</v>
      </c>
      <c r="AE111" s="2" t="n">
        <f aca="false">IF(AC111="Home",Assumptions!$B$2,IF(AC111="Away",-Assumptions!$B$2,0))</f>
        <v>-2.5</v>
      </c>
      <c r="AF111" s="2" t="n">
        <f aca="false">NORMDIST($B111-AD111+AE111,0,Assumptions!$B$3,TRUE())</f>
        <v>0.370227827724972</v>
      </c>
      <c r="AG111" s="2" t="s">
        <v>195</v>
      </c>
      <c r="AH111" s="2" t="s">
        <v>406</v>
      </c>
      <c r="AI111" s="2" t="n">
        <f aca="false">INDEX(Ratings!$B$2:$B$239,MATCH(AG111,Ratings!$A$2:$A$239,0))</f>
        <v>-32.9</v>
      </c>
      <c r="AJ111" s="2" t="n">
        <f aca="false">IF(AH111="Home",Assumptions!$B$2,IF(AH111="Away",-Assumptions!$B$2,0))</f>
        <v>2.5</v>
      </c>
      <c r="AK111" s="2" t="n">
        <f aca="false">NORMDIST($B111-AI111+AJ111,0,Assumptions!$B$3,TRUE())</f>
        <v>0.92904969486101</v>
      </c>
      <c r="AL111" s="2" t="s">
        <v>141</v>
      </c>
      <c r="AM111" s="2" t="s">
        <v>407</v>
      </c>
      <c r="AN111" s="2" t="n">
        <f aca="false">INDEX(Ratings!$B$2:$B$239,MATCH(AL111,Ratings!$A$2:$A$239,0))</f>
        <v>-3.2</v>
      </c>
      <c r="AO111" s="2" t="n">
        <f aca="false">IF(AM111="Home",Assumptions!$B$2,IF(AM111="Away",-Assumptions!$B$2,0))</f>
        <v>-2.5</v>
      </c>
      <c r="AP111" s="2" t="n">
        <f aca="false">NORMDIST($B111-AN111+AO111,0,Assumptions!$B$3,TRUE())</f>
        <v>0.241963652223073</v>
      </c>
      <c r="AQ111" s="2" t="s">
        <v>113</v>
      </c>
      <c r="AR111" s="2" t="s">
        <v>406</v>
      </c>
      <c r="AS111" s="2" t="n">
        <f aca="false">INDEX(Ratings!$B$2:$B$239,MATCH(AQ111,Ratings!$A$2:$A$239,0))</f>
        <v>3.5</v>
      </c>
      <c r="AT111" s="2" t="n">
        <f aca="false">IF(AR111="Home",Assumptions!$B$2,IF(AR111="Away",-Assumptions!$B$2,0))</f>
        <v>2.5</v>
      </c>
      <c r="AU111" s="2" t="n">
        <f aca="false">NORMDIST($B111-AS111+AT111,0,Assumptions!$B$3,TRUE())</f>
        <v>0.210049357017915</v>
      </c>
      <c r="AV111" s="2" t="s">
        <v>127</v>
      </c>
      <c r="AW111" s="2" t="s">
        <v>406</v>
      </c>
      <c r="AX111" s="2" t="n">
        <f aca="false">INDEX(Ratings!$B$2:$B$239,MATCH(AV111,Ratings!$A$2:$A$239,0))</f>
        <v>-0.9</v>
      </c>
      <c r="AY111" s="2" t="n">
        <f aca="false">IF(AW111="Home",Assumptions!$B$2,IF(AW111="Away",-Assumptions!$B$2,0))</f>
        <v>2.5</v>
      </c>
      <c r="AZ111" s="2" t="n">
        <f aca="false">NORMDIST($B111-AX111+AY111,0,Assumptions!$B$3,TRUE())</f>
        <v>0.297622774366408</v>
      </c>
      <c r="BA111" s="2" t="s">
        <v>150</v>
      </c>
      <c r="BB111" s="2" t="s">
        <v>406</v>
      </c>
      <c r="BC111" s="2" t="n">
        <f aca="false">INDEX(Ratings!$B$2:$B$239,MATCH(BA111,Ratings!$A$2:$A$239,0))</f>
        <v>-6.9</v>
      </c>
      <c r="BD111" s="2" t="n">
        <f aca="false">IF(BB111="Home",Assumptions!$B$2,IF(BB111="Away",-Assumptions!$B$2,0))</f>
        <v>2.5</v>
      </c>
      <c r="BE111" s="2" t="n">
        <f aca="false">NORMDIST($B111-BC111+BD111,0,Assumptions!$B$3,TRUE())</f>
        <v>0.437917983191705</v>
      </c>
      <c r="BF111" s="2" t="s">
        <v>161</v>
      </c>
      <c r="BG111" s="2" t="s">
        <v>407</v>
      </c>
      <c r="BH111" s="2" t="n">
        <f aca="false">INDEX(Ratings!$B$2:$B$239,MATCH(BF111,Ratings!$A$2:$A$239,0))</f>
        <v>-10.8</v>
      </c>
      <c r="BI111" s="2" t="n">
        <f aca="false">IF(BG111="Home",Assumptions!$B$2,IF(BG111="Away",-Assumptions!$B$2,0))</f>
        <v>-2.5</v>
      </c>
      <c r="BJ111" s="2" t="n">
        <f aca="false">NORMDIST($B111-BH111+BI111,0,Assumptions!$B$3,TRUE())</f>
        <v>0.41098963713127</v>
      </c>
      <c r="BP111" s="2" t="n">
        <v>12</v>
      </c>
      <c r="BQ111" s="2" t="n">
        <f aca="false">G111+L111+Q111+V111+AA111+AF111+AK111+AP111+AU111+AZ111+BE111+BJ111</f>
        <v>5.27700440754715</v>
      </c>
    </row>
    <row r="112" customFormat="false" ht="15" hidden="false" customHeight="false" outlineLevel="0" collapsed="false">
      <c r="A112" s="2" t="s">
        <v>168</v>
      </c>
      <c r="B112" s="2" t="n">
        <f aca="false">INDEX(Ratings!$B$2:$B$239,MATCH($A112,Ratings!$A$2:$A$239,0))</f>
        <v>-12.7</v>
      </c>
      <c r="C112" s="2" t="s">
        <v>324</v>
      </c>
      <c r="D112" s="2" t="s">
        <v>406</v>
      </c>
      <c r="E112" s="2" t="n">
        <f aca="false">INDEX(Ratings!$B$2:$B$239,MATCH(C112,Ratings!$A$2:$A$239,0))</f>
        <v>-26</v>
      </c>
      <c r="F112" s="2" t="n">
        <f aca="false">IF(D112="Home",Assumptions!$B$2,IF(D112="Away",-Assumptions!$B$2,0))</f>
        <v>2.5</v>
      </c>
      <c r="G112" s="2" t="n">
        <f aca="false">NORMDIST($B112-E112+F112,0,Assumptions!$B$3,TRUE())</f>
        <v>0.838301208542714</v>
      </c>
      <c r="H112" s="2" t="s">
        <v>172</v>
      </c>
      <c r="I112" s="2" t="s">
        <v>407</v>
      </c>
      <c r="J112" s="2" t="n">
        <f aca="false">INDEX(Ratings!$B$2:$B$239,MATCH(H112,Ratings!$A$2:$A$239,0))</f>
        <v>-14.5</v>
      </c>
      <c r="K112" s="2" t="n">
        <f aca="false">IF(I112="Home",Assumptions!$B$2,IF(I112="Away",-Assumptions!$B$2,0))</f>
        <v>-2.5</v>
      </c>
      <c r="L112" s="2" t="n">
        <f aca="false">NORMDIST($B112-J112+K112,0,Assumptions!$B$3,TRUE())</f>
        <v>0.48255184155421</v>
      </c>
      <c r="M112" s="2" t="s">
        <v>74</v>
      </c>
      <c r="N112" s="2" t="s">
        <v>407</v>
      </c>
      <c r="O112" s="2" t="n">
        <f aca="false">INDEX(Ratings!$B$2:$B$239,MATCH(M112,Ratings!$A$2:$A$239,0))</f>
        <v>16.2</v>
      </c>
      <c r="P112" s="2" t="n">
        <f aca="false">IF(N112="Home",Assumptions!$B$2,IF(N112="Away",-Assumptions!$B$2,0))</f>
        <v>-2.5</v>
      </c>
      <c r="Q112" s="2" t="n">
        <f aca="false">NORMDIST($B112-O112+P112,0,Assumptions!$B$3,TRUE())</f>
        <v>0.024852150305865</v>
      </c>
      <c r="R112" s="2" t="s">
        <v>305</v>
      </c>
      <c r="S112" s="2" t="s">
        <v>406</v>
      </c>
      <c r="T112" s="2" t="n">
        <f aca="false">INDEX(Ratings!$B$2:$B$239,MATCH(R112,Ratings!$A$2:$A$239,0))</f>
        <v>-34</v>
      </c>
      <c r="U112" s="2" t="n">
        <f aca="false">IF(S112="Home",Assumptions!$B$2,IF(S112="Away",-Assumptions!$B$2,0))</f>
        <v>2.5</v>
      </c>
      <c r="V112" s="2" t="n">
        <f aca="false">NORMDIST($B112-T112+U112,0,Assumptions!$B$3,TRUE())</f>
        <v>0.931558598391246</v>
      </c>
      <c r="W112" s="2" t="s">
        <v>147</v>
      </c>
      <c r="X112" s="2" t="s">
        <v>406</v>
      </c>
      <c r="Y112" s="2" t="n">
        <f aca="false">INDEX(Ratings!$B$2:$B$239,MATCH(W112,Ratings!$A$2:$A$239,0))</f>
        <v>-6</v>
      </c>
      <c r="Z112" s="2" t="n">
        <f aca="false">IF(X112="Home",Assumptions!$B$2,IF(X112="Away",-Assumptions!$B$2,0))</f>
        <v>2.5</v>
      </c>
      <c r="AA112" s="2" t="n">
        <f aca="false">NORMDIST($B112-Y112+Z112,0,Assumptions!$B$3,TRUE())</f>
        <v>0.396467992679005</v>
      </c>
      <c r="AB112" s="2" t="s">
        <v>158</v>
      </c>
      <c r="AC112" s="2" t="s">
        <v>407</v>
      </c>
      <c r="AD112" s="2" t="n">
        <f aca="false">INDEX(Ratings!$B$2:$B$239,MATCH(AB112,Ratings!$A$2:$A$239,0))</f>
        <v>-9.1</v>
      </c>
      <c r="AE112" s="2" t="n">
        <f aca="false">IF(AC112="Home",Assumptions!$B$2,IF(AC112="Away",-Assumptions!$B$2,0))</f>
        <v>-2.5</v>
      </c>
      <c r="AF112" s="2" t="n">
        <f aca="false">NORMDIST($B112-AD112+AE112,0,Assumptions!$B$3,TRUE())</f>
        <v>0.351508875516277</v>
      </c>
      <c r="AG112" s="2" t="s">
        <v>195</v>
      </c>
      <c r="AH112" s="2" t="s">
        <v>406</v>
      </c>
      <c r="AI112" s="2" t="n">
        <f aca="false">INDEX(Ratings!$B$2:$B$239,MATCH(AG112,Ratings!$A$2:$A$239,0))</f>
        <v>-32.9</v>
      </c>
      <c r="AJ112" s="2" t="n">
        <f aca="false">IF(AH112="Home",Assumptions!$B$2,IF(AH112="Away",-Assumptions!$B$2,0))</f>
        <v>2.5</v>
      </c>
      <c r="AK112" s="2" t="n">
        <f aca="false">NORMDIST($B112-AI112+AJ112,0,Assumptions!$B$3,TRUE())</f>
        <v>0.92201404277756</v>
      </c>
      <c r="AL112" s="2" t="s">
        <v>175</v>
      </c>
      <c r="AM112" s="2" t="s">
        <v>406</v>
      </c>
      <c r="AN112" s="2" t="n">
        <f aca="false">INDEX(Ratings!$B$2:$B$239,MATCH(AL112,Ratings!$A$2:$A$239,0))</f>
        <v>-15</v>
      </c>
      <c r="AO112" s="2" t="n">
        <f aca="false">IF(AM112="Home",Assumptions!$B$2,IF(AM112="Away",-Assumptions!$B$2,0))</f>
        <v>2.5</v>
      </c>
      <c r="AP112" s="2" t="n">
        <f aca="false">NORMDIST($B112-AN112+AO112,0,Assumptions!$B$3,TRUE())</f>
        <v>0.617911422188953</v>
      </c>
      <c r="AQ112" s="2" t="s">
        <v>142</v>
      </c>
      <c r="AR112" s="2" t="s">
        <v>407</v>
      </c>
      <c r="AS112" s="2" t="n">
        <f aca="false">INDEX(Ratings!$B$2:$B$239,MATCH(AQ112,Ratings!$A$2:$A$239,0))</f>
        <v>-4</v>
      </c>
      <c r="AT112" s="2" t="n">
        <f aca="false">IF(AR112="Home",Assumptions!$B$2,IF(AR112="Away",-Assumptions!$B$2,0))</f>
        <v>-2.5</v>
      </c>
      <c r="AU112" s="2" t="n">
        <f aca="false">NORMDIST($B112-AS112+AT112,0,Assumptions!$B$3,TRUE())</f>
        <v>0.241963652223073</v>
      </c>
      <c r="AV112" s="2" t="s">
        <v>190</v>
      </c>
      <c r="AW112" s="2" t="s">
        <v>407</v>
      </c>
      <c r="AX112" s="2" t="n">
        <f aca="false">INDEX(Ratings!$B$2:$B$239,MATCH(AV112,Ratings!$A$2:$A$239,0))</f>
        <v>-25.1</v>
      </c>
      <c r="AY112" s="2" t="n">
        <f aca="false">IF(AW112="Home",Assumptions!$B$2,IF(AW112="Away",-Assumptions!$B$2,0))</f>
        <v>-2.5</v>
      </c>
      <c r="AZ112" s="2" t="n">
        <f aca="false">NORMDIST($B112-AX112+AY112,0,Assumptions!$B$3,TRUE())</f>
        <v>0.731959467197592</v>
      </c>
      <c r="BA112" s="2" t="s">
        <v>176</v>
      </c>
      <c r="BB112" s="2" t="s">
        <v>406</v>
      </c>
      <c r="BC112" s="2" t="n">
        <f aca="false">INDEX(Ratings!$B$2:$B$239,MATCH(BA112,Ratings!$A$2:$A$239,0))</f>
        <v>-15.1</v>
      </c>
      <c r="BD112" s="2" t="n">
        <f aca="false">IF(BB112="Home",Assumptions!$B$2,IF(BB112="Away",-Assumptions!$B$2,0))</f>
        <v>2.5</v>
      </c>
      <c r="BE112" s="2" t="n">
        <f aca="false">NORMDIST($B112-BC112+BD112,0,Assumptions!$B$3,TRUE())</f>
        <v>0.620292847240567</v>
      </c>
      <c r="BF112" s="2" t="s">
        <v>187</v>
      </c>
      <c r="BG112" s="2" t="s">
        <v>407</v>
      </c>
      <c r="BH112" s="2" t="n">
        <f aca="false">INDEX(Ratings!$B$2:$B$239,MATCH(BF112,Ratings!$A$2:$A$239,0))</f>
        <v>-22.9</v>
      </c>
      <c r="BI112" s="2" t="n">
        <f aca="false">IF(BG112="Home",Assumptions!$B$2,IF(BG112="Away",-Assumptions!$B$2,0))</f>
        <v>-2.5</v>
      </c>
      <c r="BJ112" s="2" t="n">
        <f aca="false">NORMDIST($B112-BH112+BI112,0,Assumptions!$B$3,TRUE())</f>
        <v>0.684830585730692</v>
      </c>
      <c r="BP112" s="2" t="n">
        <v>12</v>
      </c>
      <c r="BQ112" s="2" t="n">
        <f aca="false">G112+L112+Q112+V112+AA112+AF112+AK112+AP112+AU112+AZ112+BE112+BJ112</f>
        <v>6.84421268434775</v>
      </c>
    </row>
    <row r="113" customFormat="false" ht="15" hidden="false" customHeight="false" outlineLevel="0" collapsed="false">
      <c r="A113" s="2" t="s">
        <v>169</v>
      </c>
      <c r="B113" s="2" t="n">
        <f aca="false">INDEX(Ratings!$B$2:$B$239,MATCH($A113,Ratings!$A$2:$A$239,0))</f>
        <v>-12.7</v>
      </c>
      <c r="C113" s="2" t="s">
        <v>280</v>
      </c>
      <c r="D113" s="2" t="s">
        <v>406</v>
      </c>
      <c r="E113" s="2" t="n">
        <f aca="false">INDEX(Ratings!$B$2:$B$239,MATCH(C113,Ratings!$A$2:$A$239,0))</f>
        <v>-26</v>
      </c>
      <c r="F113" s="2" t="n">
        <f aca="false">IF(D113="Home",Assumptions!$B$2,IF(D113="Away",-Assumptions!$B$2,0))</f>
        <v>2.5</v>
      </c>
      <c r="G113" s="2" t="n">
        <f aca="false">NORMDIST($B113-E113+F113,0,Assumptions!$B$3,TRUE())</f>
        <v>0.838301208542714</v>
      </c>
      <c r="H113" s="2" t="s">
        <v>137</v>
      </c>
      <c r="I113" s="2" t="s">
        <v>407</v>
      </c>
      <c r="J113" s="2" t="n">
        <f aca="false">INDEX(Ratings!$B$2:$B$239,MATCH(H113,Ratings!$A$2:$A$239,0))</f>
        <v>-2.3</v>
      </c>
      <c r="K113" s="2" t="n">
        <f aca="false">IF(I113="Home",Assumptions!$B$2,IF(I113="Away",-Assumptions!$B$2,0))</f>
        <v>-2.5</v>
      </c>
      <c r="L113" s="2" t="n">
        <f aca="false">NORMDIST($B113-J113+K113,0,Assumptions!$B$3,TRUE())</f>
        <v>0.210049357017915</v>
      </c>
      <c r="M113" s="2" t="s">
        <v>189</v>
      </c>
      <c r="N113" s="2" t="s">
        <v>406</v>
      </c>
      <c r="O113" s="2" t="n">
        <f aca="false">INDEX(Ratings!$B$2:$B$239,MATCH(M113,Ratings!$A$2:$A$239,0))</f>
        <v>-24.1</v>
      </c>
      <c r="P113" s="2" t="n">
        <f aca="false">IF(N113="Home",Assumptions!$B$2,IF(N113="Away",-Assumptions!$B$2,0))</f>
        <v>2.5</v>
      </c>
      <c r="Q113" s="2" t="n">
        <f aca="false">NORMDIST($B113-O113+P113,0,Assumptions!$B$3,TRUE())</f>
        <v>0.807508056658567</v>
      </c>
      <c r="R113" s="2" t="s">
        <v>100</v>
      </c>
      <c r="S113" s="2" t="s">
        <v>407</v>
      </c>
      <c r="T113" s="2" t="n">
        <f aca="false">INDEX(Ratings!$B$2:$B$239,MATCH(R113,Ratings!$A$2:$A$239,0))</f>
        <v>5.7</v>
      </c>
      <c r="U113" s="2" t="n">
        <f aca="false">IF(S113="Home",Assumptions!$B$2,IF(S113="Away",-Assumptions!$B$2,0))</f>
        <v>-2.5</v>
      </c>
      <c r="V113" s="2" t="n">
        <f aca="false">NORMDIST($B113-T113+U113,0,Assumptions!$B$3,TRUE())</f>
        <v>0.0957337772110986</v>
      </c>
      <c r="W113" s="2" t="s">
        <v>150</v>
      </c>
      <c r="X113" s="2" t="s">
        <v>406</v>
      </c>
      <c r="Y113" s="2" t="n">
        <f aca="false">INDEX(Ratings!$B$2:$B$239,MATCH(W113,Ratings!$A$2:$A$239,0))</f>
        <v>-6.9</v>
      </c>
      <c r="Z113" s="2" t="n">
        <f aca="false">IF(X113="Home",Assumptions!$B$2,IF(X113="Away",-Assumptions!$B$2,0))</f>
        <v>2.5</v>
      </c>
      <c r="AA113" s="2" t="n">
        <f aca="false">NORMDIST($B113-Y113+Z113,0,Assumptions!$B$3,TRUE())</f>
        <v>0.418297816494375</v>
      </c>
      <c r="AB113" s="2" t="s">
        <v>174</v>
      </c>
      <c r="AC113" s="2" t="s">
        <v>407</v>
      </c>
      <c r="AD113" s="2" t="n">
        <f aca="false">INDEX(Ratings!$B$2:$B$239,MATCH(AB113,Ratings!$A$2:$A$239,0))</f>
        <v>-14.7</v>
      </c>
      <c r="AE113" s="2" t="n">
        <f aca="false">IF(AC113="Home",Assumptions!$B$2,IF(AC113="Away",-Assumptions!$B$2,0))</f>
        <v>-2.5</v>
      </c>
      <c r="AF113" s="2" t="n">
        <f aca="false">NORMDIST($B113-AD113+AE113,0,Assumptions!$B$3,TRUE())</f>
        <v>0.487535082565623</v>
      </c>
      <c r="AG113" s="2" t="s">
        <v>127</v>
      </c>
      <c r="AH113" s="2" t="s">
        <v>406</v>
      </c>
      <c r="AI113" s="2" t="n">
        <f aca="false">INDEX(Ratings!$B$2:$B$239,MATCH(AG113,Ratings!$A$2:$A$239,0))</f>
        <v>-0.9</v>
      </c>
      <c r="AJ113" s="2" t="n">
        <f aca="false">IF(AH113="Home",Assumptions!$B$2,IF(AH113="Away",-Assumptions!$B$2,0))</f>
        <v>2.5</v>
      </c>
      <c r="AK113" s="2" t="n">
        <f aca="false">NORMDIST($B113-AI113+AJ113,0,Assumptions!$B$3,TRUE())</f>
        <v>0.280535986826232</v>
      </c>
      <c r="AL113" s="2" t="s">
        <v>160</v>
      </c>
      <c r="AM113" s="2" t="s">
        <v>407</v>
      </c>
      <c r="AN113" s="2" t="n">
        <f aca="false">INDEX(Ratings!$B$2:$B$239,MATCH(AL113,Ratings!$A$2:$A$239,0))</f>
        <v>-10.8</v>
      </c>
      <c r="AO113" s="2" t="n">
        <f aca="false">IF(AM113="Home",Assumptions!$B$2,IF(AM113="Away",-Assumptions!$B$2,0))</f>
        <v>-2.5</v>
      </c>
      <c r="AP113" s="2" t="n">
        <f aca="false">NORMDIST($B113-AN113+AO113,0,Assumptions!$B$3,TRUE())</f>
        <v>0.391658119153605</v>
      </c>
      <c r="AQ113" s="2" t="s">
        <v>194</v>
      </c>
      <c r="AR113" s="2" t="s">
        <v>406</v>
      </c>
      <c r="AS113" s="2" t="n">
        <f aca="false">INDEX(Ratings!$B$2:$B$239,MATCH(AQ113,Ratings!$A$2:$A$239,0))</f>
        <v>-29.3</v>
      </c>
      <c r="AT113" s="2" t="n">
        <f aca="false">IF(AR113="Home",Assumptions!$B$2,IF(AR113="Away",-Assumptions!$B$2,0))</f>
        <v>2.5</v>
      </c>
      <c r="AU113" s="2" t="n">
        <f aca="false">NORMDIST($B113-AS113+AT113,0,Assumptions!$B$3,TRUE())</f>
        <v>0.883712112245511</v>
      </c>
      <c r="AV113" s="2" t="s">
        <v>155</v>
      </c>
      <c r="AW113" s="2" t="s">
        <v>407</v>
      </c>
      <c r="AX113" s="2" t="n">
        <f aca="false">INDEX(Ratings!$B$2:$B$239,MATCH(AV113,Ratings!$A$2:$A$239,0))</f>
        <v>-8.2</v>
      </c>
      <c r="AY113" s="2" t="n">
        <f aca="false">IF(AW113="Home",Assumptions!$B$2,IF(AW113="Away",-Assumptions!$B$2,0))</f>
        <v>-2.5</v>
      </c>
      <c r="AZ113" s="2" t="n">
        <f aca="false">NORMDIST($B113-AX113+AY113,0,Assumptions!$B$3,TRUE())</f>
        <v>0.330874388040879</v>
      </c>
      <c r="BA113" s="2" t="s">
        <v>193</v>
      </c>
      <c r="BB113" s="2" t="s">
        <v>406</v>
      </c>
      <c r="BC113" s="2" t="n">
        <f aca="false">INDEX(Ratings!$B$2:$B$239,MATCH(BA113,Ratings!$A$2:$A$239,0))</f>
        <v>-28.9</v>
      </c>
      <c r="BD113" s="2" t="n">
        <f aca="false">IF(BB113="Home",Assumptions!$B$2,IF(BB113="Away",-Assumptions!$B$2,0))</f>
        <v>2.5</v>
      </c>
      <c r="BE113" s="2" t="n">
        <f aca="false">NORMDIST($B113-BC113+BD113,0,Assumptions!$B$3,TRUE())</f>
        <v>0.878747814704685</v>
      </c>
      <c r="BF113" s="2" t="s">
        <v>173</v>
      </c>
      <c r="BG113" s="2" t="s">
        <v>407</v>
      </c>
      <c r="BH113" s="2" t="n">
        <f aca="false">INDEX(Ratings!$B$2:$B$239,MATCH(BF113,Ratings!$A$2:$A$239,0))</f>
        <v>-14.6</v>
      </c>
      <c r="BI113" s="2" t="n">
        <f aca="false">IF(BG113="Home",Assumptions!$B$2,IF(BG113="Away",-Assumptions!$B$2,0))</f>
        <v>-2.5</v>
      </c>
      <c r="BJ113" s="2" t="n">
        <f aca="false">NORMDIST($B113-BH113+BI113,0,Assumptions!$B$3,TRUE())</f>
        <v>0.48504317007409</v>
      </c>
      <c r="BP113" s="2" t="n">
        <v>12</v>
      </c>
      <c r="BQ113" s="2" t="n">
        <f aca="false">G113+L113+Q113+V113+AA113+AF113+AK113+AP113+AU113+AZ113+BE113+BJ113</f>
        <v>6.1079968895353</v>
      </c>
    </row>
    <row r="114" customFormat="false" ht="15" hidden="false" customHeight="false" outlineLevel="0" collapsed="false">
      <c r="A114" s="2" t="s">
        <v>170</v>
      </c>
      <c r="B114" s="2" t="n">
        <f aca="false">INDEX(Ratings!$B$2:$B$239,MATCH($A114,Ratings!$A$2:$A$239,0))</f>
        <v>-12.9</v>
      </c>
      <c r="C114" s="2" t="s">
        <v>284</v>
      </c>
      <c r="D114" s="2" t="s">
        <v>406</v>
      </c>
      <c r="E114" s="2" t="n">
        <f aca="false">INDEX(Ratings!$B$2:$B$239,MATCH(C114,Ratings!$A$2:$A$239,0))</f>
        <v>-44</v>
      </c>
      <c r="F114" s="2" t="n">
        <f aca="false">IF(D114="Home",Assumptions!$B$2,IF(D114="Away",-Assumptions!$B$2,0))</f>
        <v>2.5</v>
      </c>
      <c r="G114" s="2" t="n">
        <f aca="false">NORMDIST($B114-E114+F114,0,Assumptions!$B$3,TRUE())</f>
        <v>0.982135579437183</v>
      </c>
      <c r="H114" s="2" t="s">
        <v>86</v>
      </c>
      <c r="I114" s="2" t="s">
        <v>407</v>
      </c>
      <c r="J114" s="2" t="n">
        <f aca="false">INDEX(Ratings!$B$2:$B$239,MATCH(H114,Ratings!$A$2:$A$239,0))</f>
        <v>9.8</v>
      </c>
      <c r="K114" s="2" t="n">
        <f aca="false">IF(I114="Home",Assumptions!$B$2,IF(I114="Away",-Assumptions!$B$2,0))</f>
        <v>-2.5</v>
      </c>
      <c r="L114" s="2" t="n">
        <f aca="false">NORMDIST($B114-J114+K114,0,Assumptions!$B$3,TRUE())</f>
        <v>0.0576282222761531</v>
      </c>
      <c r="M114" s="2" t="s">
        <v>174</v>
      </c>
      <c r="N114" s="2" t="s">
        <v>406</v>
      </c>
      <c r="O114" s="2" t="n">
        <f aca="false">INDEX(Ratings!$B$2:$B$239,MATCH(M114,Ratings!$A$2:$A$239,0))</f>
        <v>-14.7</v>
      </c>
      <c r="P114" s="2" t="n">
        <f aca="false">IF(N114="Home",Assumptions!$B$2,IF(N114="Away",-Assumptions!$B$2,0))</f>
        <v>2.5</v>
      </c>
      <c r="Q114" s="2" t="n">
        <f aca="false">NORMDIST($B114-O114+P114,0,Assumptions!$B$3,TRUE())</f>
        <v>0.605938963847754</v>
      </c>
      <c r="R114" s="2" t="s">
        <v>94</v>
      </c>
      <c r="S114" s="2" t="s">
        <v>407</v>
      </c>
      <c r="T114" s="2" t="n">
        <f aca="false">INDEX(Ratings!$B$2:$B$239,MATCH(R114,Ratings!$A$2:$A$239,0))</f>
        <v>8.1</v>
      </c>
      <c r="U114" s="2" t="n">
        <f aca="false">IF(S114="Home",Assumptions!$B$2,IF(S114="Away",-Assumptions!$B$2,0))</f>
        <v>-2.5</v>
      </c>
      <c r="V114" s="2" t="n">
        <f aca="false">NORMDIST($B114-T114+U114,0,Assumptions!$B$3,TRUE())</f>
        <v>0.0709503051389903</v>
      </c>
      <c r="W114" s="2" t="s">
        <v>145</v>
      </c>
      <c r="X114" s="2" t="s">
        <v>406</v>
      </c>
      <c r="Y114" s="2" t="n">
        <f aca="false">INDEX(Ratings!$B$2:$B$239,MATCH(W114,Ratings!$A$2:$A$239,0))</f>
        <v>-5.3</v>
      </c>
      <c r="Z114" s="2" t="n">
        <f aca="false">IF(X114="Home",Assumptions!$B$2,IF(X114="Away",-Assumptions!$B$2,0))</f>
        <v>2.5</v>
      </c>
      <c r="AA114" s="2" t="n">
        <f aca="false">NORMDIST($B114-Y114+Z114,0,Assumptions!$B$3,TRUE())</f>
        <v>0.374958048081219</v>
      </c>
      <c r="AB114" s="2" t="s">
        <v>192</v>
      </c>
      <c r="AC114" s="2" t="s">
        <v>407</v>
      </c>
      <c r="AD114" s="2" t="n">
        <f aca="false">INDEX(Ratings!$B$2:$B$239,MATCH(AB114,Ratings!$A$2:$A$239,0))</f>
        <v>-26.5</v>
      </c>
      <c r="AE114" s="2" t="n">
        <f aca="false">IF(AC114="Home",Assumptions!$B$2,IF(AC114="Away",-Assumptions!$B$2,0))</f>
        <v>-2.5</v>
      </c>
      <c r="AF114" s="2" t="n">
        <f aca="false">NORMDIST($B114-AD114+AE114,0,Assumptions!$B$3,TRUE())</f>
        <v>0.756080498111392</v>
      </c>
      <c r="AG114" s="2" t="s">
        <v>183</v>
      </c>
      <c r="AH114" s="2" t="s">
        <v>406</v>
      </c>
      <c r="AI114" s="2" t="n">
        <f aca="false">INDEX(Ratings!$B$2:$B$239,MATCH(AG114,Ratings!$A$2:$A$239,0))</f>
        <v>-19.1</v>
      </c>
      <c r="AJ114" s="2" t="n">
        <f aca="false">IF(AH114="Home",Assumptions!$B$2,IF(AH114="Away",-Assumptions!$B$2,0))</f>
        <v>2.5</v>
      </c>
      <c r="AK114" s="2" t="n">
        <f aca="false">NORMDIST($B114-AI114+AJ114,0,Assumptions!$B$3,TRUE())</f>
        <v>0.706693239916112</v>
      </c>
      <c r="AL114" s="2" t="s">
        <v>151</v>
      </c>
      <c r="AM114" s="2" t="s">
        <v>407</v>
      </c>
      <c r="AN114" s="2" t="n">
        <f aca="false">INDEX(Ratings!$B$2:$B$239,MATCH(AL114,Ratings!$A$2:$A$239,0))</f>
        <v>-7.3</v>
      </c>
      <c r="AO114" s="2" t="n">
        <f aca="false">IF(AM114="Home",Assumptions!$B$2,IF(AM114="Away",-Assumptions!$B$2,0))</f>
        <v>-2.5</v>
      </c>
      <c r="AP114" s="2" t="n">
        <f aca="false">NORMDIST($B114-AN114+AO114,0,Assumptions!$B$3,TRUE())</f>
        <v>0.306340579285027</v>
      </c>
      <c r="AQ114" s="2" t="s">
        <v>171</v>
      </c>
      <c r="AR114" s="2" t="s">
        <v>407</v>
      </c>
      <c r="AS114" s="2" t="n">
        <f aca="false">INDEX(Ratings!$B$2:$B$239,MATCH(AQ114,Ratings!$A$2:$A$239,0))</f>
        <v>-12.9</v>
      </c>
      <c r="AT114" s="2" t="n">
        <f aca="false">IF(AR114="Home",Assumptions!$B$2,IF(AR114="Away",-Assumptions!$B$2,0))</f>
        <v>-2.5</v>
      </c>
      <c r="AU114" s="2" t="n">
        <f aca="false">NORMDIST($B114-AS114+AT114,0,Assumptions!$B$3,TRUE())</f>
        <v>0.437917983191705</v>
      </c>
      <c r="AV114" s="2" t="s">
        <v>172</v>
      </c>
      <c r="AW114" s="2" t="s">
        <v>406</v>
      </c>
      <c r="AX114" s="2" t="n">
        <f aca="false">INDEX(Ratings!$B$2:$B$239,MATCH(AV114,Ratings!$A$2:$A$239,0))</f>
        <v>-14.5</v>
      </c>
      <c r="AY114" s="2" t="n">
        <f aca="false">IF(AW114="Home",Assumptions!$B$2,IF(AW114="Away",-Assumptions!$B$2,0))</f>
        <v>2.5</v>
      </c>
      <c r="AZ114" s="2" t="n">
        <f aca="false">NORMDIST($B114-AX114+AY114,0,Assumptions!$B$3,TRUE())</f>
        <v>0.601121098652944</v>
      </c>
      <c r="BA114" s="2" t="s">
        <v>182</v>
      </c>
      <c r="BB114" s="2" t="s">
        <v>407</v>
      </c>
      <c r="BC114" s="2" t="n">
        <f aca="false">INDEX(Ratings!$B$2:$B$239,MATCH(BA114,Ratings!$A$2:$A$239,0))</f>
        <v>-18.5</v>
      </c>
      <c r="BD114" s="2" t="n">
        <f aca="false">IF(BB114="Home",Assumptions!$B$2,IF(BB114="Away",-Assumptions!$B$2,0))</f>
        <v>-2.5</v>
      </c>
      <c r="BE114" s="2" t="n">
        <f aca="false">NORMDIST($B114-BC114+BD114,0,Assumptions!$B$3,TRUE())</f>
        <v>0.576814180380971</v>
      </c>
      <c r="BF114" s="2" t="s">
        <v>152</v>
      </c>
      <c r="BG114" s="2" t="s">
        <v>406</v>
      </c>
      <c r="BH114" s="2" t="n">
        <f aca="false">INDEX(Ratings!$B$2:$B$239,MATCH(BF114,Ratings!$A$2:$A$239,0))</f>
        <v>-7.8</v>
      </c>
      <c r="BI114" s="2" t="n">
        <f aca="false">IF(BG114="Home",Assumptions!$B$2,IF(BG114="Away",-Assumptions!$B$2,0))</f>
        <v>2.5</v>
      </c>
      <c r="BJ114" s="2" t="n">
        <f aca="false">NORMDIST($B114-BH114+BI114,0,Assumptions!$B$3,TRUE())</f>
        <v>0.435456064137962</v>
      </c>
      <c r="BP114" s="2" t="n">
        <v>12</v>
      </c>
      <c r="BQ114" s="2" t="n">
        <f aca="false">G114+L114+Q114+V114+AA114+AF114+AK114+AP114+AU114+AZ114+BE114+BJ114</f>
        <v>5.91203476245741</v>
      </c>
    </row>
    <row r="115" customFormat="false" ht="15" hidden="false" customHeight="false" outlineLevel="0" collapsed="false">
      <c r="A115" s="2" t="s">
        <v>171</v>
      </c>
      <c r="B115" s="2" t="n">
        <f aca="false">INDEX(Ratings!$B$2:$B$239,MATCH($A115,Ratings!$A$2:$A$239,0))</f>
        <v>-12.9</v>
      </c>
      <c r="C115" s="2" t="s">
        <v>334</v>
      </c>
      <c r="D115" s="2" t="s">
        <v>406</v>
      </c>
      <c r="E115" s="2" t="n">
        <f aca="false">INDEX(Ratings!$B$2:$B$239,MATCH(C115,Ratings!$A$2:$A$239,0))</f>
        <v>-45</v>
      </c>
      <c r="F115" s="2" t="n">
        <f aca="false">IF(D115="Home",Assumptions!$B$2,IF(D115="Away",-Assumptions!$B$2,0))</f>
        <v>2.5</v>
      </c>
      <c r="G115" s="2" t="n">
        <f aca="false">NORMDIST($B115-E115+F115,0,Assumptions!$B$3,TRUE())</f>
        <v>0.984710171454427</v>
      </c>
      <c r="H115" s="2" t="s">
        <v>194</v>
      </c>
      <c r="I115" s="2" t="s">
        <v>406</v>
      </c>
      <c r="J115" s="2" t="n">
        <f aca="false">INDEX(Ratings!$B$2:$B$239,MATCH(H115,Ratings!$A$2:$A$239,0))</f>
        <v>-29.3</v>
      </c>
      <c r="K115" s="2" t="n">
        <f aca="false">IF(I115="Home",Assumptions!$B$2,IF(I115="Away",-Assumptions!$B$2,0))</f>
        <v>2.5</v>
      </c>
      <c r="L115" s="2" t="n">
        <f aca="false">NORMDIST($B115-J115+K115,0,Assumptions!$B$3,TRUE())</f>
        <v>0.881248288142535</v>
      </c>
      <c r="M115" s="2" t="s">
        <v>71</v>
      </c>
      <c r="N115" s="2" t="s">
        <v>407</v>
      </c>
      <c r="O115" s="2" t="n">
        <f aca="false">INDEX(Ratings!$B$2:$B$239,MATCH(M115,Ratings!$A$2:$A$239,0))</f>
        <v>17.3</v>
      </c>
      <c r="P115" s="2" t="n">
        <f aca="false">IF(N115="Home",Assumptions!$B$2,IF(N115="Away",-Assumptions!$B$2,0))</f>
        <v>-2.5</v>
      </c>
      <c r="Q115" s="2" t="n">
        <f aca="false">NORMDIST($B115-O115+P115,0,Assumptions!$B$3,TRUE())</f>
        <v>0.0204891254742258</v>
      </c>
      <c r="R115" s="2" t="s">
        <v>163</v>
      </c>
      <c r="S115" s="2" t="s">
        <v>407</v>
      </c>
      <c r="T115" s="2" t="n">
        <f aca="false">INDEX(Ratings!$B$2:$B$239,MATCH(R115,Ratings!$A$2:$A$239,0))</f>
        <v>-11.6</v>
      </c>
      <c r="U115" s="2" t="n">
        <f aca="false">IF(S115="Home",Assumptions!$B$2,IF(S115="Away",-Assumptions!$B$2,0))</f>
        <v>-2.5</v>
      </c>
      <c r="V115" s="2" t="n">
        <f aca="false">NORMDIST($B115-T115+U115,0,Assumptions!$B$3,TRUE())</f>
        <v>0.406134459600758</v>
      </c>
      <c r="W115" s="2" t="s">
        <v>152</v>
      </c>
      <c r="X115" s="2" t="s">
        <v>406</v>
      </c>
      <c r="Y115" s="2" t="n">
        <f aca="false">INDEX(Ratings!$B$2:$B$239,MATCH(W115,Ratings!$A$2:$A$239,0))</f>
        <v>-7.8</v>
      </c>
      <c r="Z115" s="2" t="n">
        <f aca="false">IF(X115="Home",Assumptions!$B$2,IF(X115="Away",-Assumptions!$B$2,0))</f>
        <v>2.5</v>
      </c>
      <c r="AA115" s="2" t="n">
        <f aca="false">NORMDIST($B115-Y115+Z115,0,Assumptions!$B$3,TRUE())</f>
        <v>0.435456064137962</v>
      </c>
      <c r="AB115" s="2" t="s">
        <v>183</v>
      </c>
      <c r="AC115" s="2" t="s">
        <v>407</v>
      </c>
      <c r="AD115" s="2" t="n">
        <f aca="false">INDEX(Ratings!$B$2:$B$239,MATCH(AB115,Ratings!$A$2:$A$239,0))</f>
        <v>-19.1</v>
      </c>
      <c r="AE115" s="2" t="n">
        <f aca="false">IF(AC115="Home",Assumptions!$B$2,IF(AC115="Away",-Assumptions!$B$2,0))</f>
        <v>-2.5</v>
      </c>
      <c r="AF115" s="2" t="n">
        <f aca="false">NORMDIST($B115-AD115+AE115,0,Assumptions!$B$3,TRUE())</f>
        <v>0.591439705940164</v>
      </c>
      <c r="AG115" s="2" t="s">
        <v>145</v>
      </c>
      <c r="AH115" s="2" t="s">
        <v>406</v>
      </c>
      <c r="AI115" s="2" t="n">
        <f aca="false">INDEX(Ratings!$B$2:$B$239,MATCH(AG115,Ratings!$A$2:$A$239,0))</f>
        <v>-5.3</v>
      </c>
      <c r="AJ115" s="2" t="n">
        <f aca="false">IF(AH115="Home",Assumptions!$B$2,IF(AH115="Away",-Assumptions!$B$2,0))</f>
        <v>2.5</v>
      </c>
      <c r="AK115" s="2" t="n">
        <f aca="false">NORMDIST($B115-AI115+AJ115,0,Assumptions!$B$3,TRUE())</f>
        <v>0.374958048081219</v>
      </c>
      <c r="AL115" s="2" t="s">
        <v>192</v>
      </c>
      <c r="AM115" s="2" t="s">
        <v>407</v>
      </c>
      <c r="AN115" s="2" t="n">
        <f aca="false">INDEX(Ratings!$B$2:$B$239,MATCH(AL115,Ratings!$A$2:$A$239,0))</f>
        <v>-26.5</v>
      </c>
      <c r="AO115" s="2" t="n">
        <f aca="false">IF(AM115="Home",Assumptions!$B$2,IF(AM115="Away",-Assumptions!$B$2,0))</f>
        <v>-2.5</v>
      </c>
      <c r="AP115" s="2" t="n">
        <f aca="false">NORMDIST($B115-AN115+AO115,0,Assumptions!$B$3,TRUE())</f>
        <v>0.756080498111392</v>
      </c>
      <c r="AQ115" s="2" t="s">
        <v>170</v>
      </c>
      <c r="AR115" s="2" t="s">
        <v>406</v>
      </c>
      <c r="AS115" s="2" t="n">
        <f aca="false">INDEX(Ratings!$B$2:$B$239,MATCH(AQ115,Ratings!$A$2:$A$239,0))</f>
        <v>-12.9</v>
      </c>
      <c r="AT115" s="2" t="n">
        <f aca="false">IF(AR115="Home",Assumptions!$B$2,IF(AR115="Away",-Assumptions!$B$2,0))</f>
        <v>2.5</v>
      </c>
      <c r="AU115" s="2" t="n">
        <f aca="false">NORMDIST($B115-AS115+AT115,0,Assumptions!$B$3,TRUE())</f>
        <v>0.562082016808295</v>
      </c>
      <c r="AV115" s="2" t="s">
        <v>191</v>
      </c>
      <c r="AW115" s="2" t="s">
        <v>407</v>
      </c>
      <c r="AX115" s="2" t="n">
        <f aca="false">INDEX(Ratings!$B$2:$B$239,MATCH(AV115,Ratings!$A$2:$A$239,0))</f>
        <v>-26</v>
      </c>
      <c r="AY115" s="2" t="n">
        <f aca="false">IF(AW115="Home",Assumptions!$B$2,IF(AW115="Away",-Assumptions!$B$2,0))</f>
        <v>-2.5</v>
      </c>
      <c r="AZ115" s="2" t="n">
        <f aca="false">NORMDIST($B115-AX115+AY115,0,Assumptions!$B$3,TRUE())</f>
        <v>0.746174582585778</v>
      </c>
      <c r="BA115" s="2" t="s">
        <v>172</v>
      </c>
      <c r="BB115" s="2" t="s">
        <v>406</v>
      </c>
      <c r="BC115" s="2" t="n">
        <f aca="false">INDEX(Ratings!$B$2:$B$239,MATCH(BA115,Ratings!$A$2:$A$239,0))</f>
        <v>-14.5</v>
      </c>
      <c r="BD115" s="2" t="n">
        <f aca="false">IF(BB115="Home",Assumptions!$B$2,IF(BB115="Away",-Assumptions!$B$2,0))</f>
        <v>2.5</v>
      </c>
      <c r="BE115" s="2" t="n">
        <f aca="false">NORMDIST($B115-BC115+BD115,0,Assumptions!$B$3,TRUE())</f>
        <v>0.601121098652944</v>
      </c>
      <c r="BF115" s="2" t="s">
        <v>151</v>
      </c>
      <c r="BG115" s="2" t="s">
        <v>407</v>
      </c>
      <c r="BH115" s="2" t="n">
        <f aca="false">INDEX(Ratings!$B$2:$B$239,MATCH(BF115,Ratings!$A$2:$A$239,0))</f>
        <v>-7.3</v>
      </c>
      <c r="BI115" s="2" t="n">
        <f aca="false">IF(BG115="Home",Assumptions!$B$2,IF(BG115="Away",-Assumptions!$B$2,0))</f>
        <v>-2.5</v>
      </c>
      <c r="BJ115" s="2" t="n">
        <f aca="false">NORMDIST($B115-BH115+BI115,0,Assumptions!$B$3,TRUE())</f>
        <v>0.306340579285027</v>
      </c>
      <c r="BP115" s="2" t="n">
        <v>12</v>
      </c>
      <c r="BQ115" s="2" t="n">
        <f aca="false">G115+L115+Q115+V115+AA115+AF115+AK115+AP115+AU115+AZ115+BE115+BJ115</f>
        <v>6.66623463827472</v>
      </c>
    </row>
    <row r="116" customFormat="false" ht="15" hidden="false" customHeight="false" outlineLevel="0" collapsed="false">
      <c r="A116" s="2" t="s">
        <v>172</v>
      </c>
      <c r="B116" s="2" t="n">
        <f aca="false">INDEX(Ratings!$B$2:$B$239,MATCH($A116,Ratings!$A$2:$A$239,0))</f>
        <v>-14.5</v>
      </c>
      <c r="C116" s="2" t="s">
        <v>131</v>
      </c>
      <c r="D116" s="2" t="s">
        <v>407</v>
      </c>
      <c r="E116" s="2" t="n">
        <f aca="false">INDEX(Ratings!$B$2:$B$239,MATCH(C116,Ratings!$A$2:$A$239,0))</f>
        <v>-1.7</v>
      </c>
      <c r="F116" s="2" t="n">
        <f aca="false">IF(D116="Home",Assumptions!$B$2,IF(D116="Away",-Assumptions!$B$2,0))</f>
        <v>-2.5</v>
      </c>
      <c r="G116" s="2" t="n">
        <f aca="false">NORMDIST($B116-E116+F116,0,Assumptions!$B$3,TRUE())</f>
        <v>0.16947297216772</v>
      </c>
      <c r="H116" s="2" t="s">
        <v>168</v>
      </c>
      <c r="I116" s="2" t="s">
        <v>406</v>
      </c>
      <c r="J116" s="2" t="n">
        <f aca="false">INDEX(Ratings!$B$2:$B$239,MATCH(H116,Ratings!$A$2:$A$239,0))</f>
        <v>-12.7</v>
      </c>
      <c r="K116" s="2" t="n">
        <f aca="false">IF(I116="Home",Assumptions!$B$2,IF(I116="Away",-Assumptions!$B$2,0))</f>
        <v>2.5</v>
      </c>
      <c r="L116" s="2" t="n">
        <f aca="false">NORMDIST($B116-J116+K116,0,Assumptions!$B$3,TRUE())</f>
        <v>0.51744815844579</v>
      </c>
      <c r="M116" s="2" t="s">
        <v>148</v>
      </c>
      <c r="N116" s="2" t="s">
        <v>407</v>
      </c>
      <c r="O116" s="2" t="n">
        <f aca="false">INDEX(Ratings!$B$2:$B$239,MATCH(M116,Ratings!$A$2:$A$239,0))</f>
        <v>-6.1</v>
      </c>
      <c r="P116" s="2" t="n">
        <f aca="false">IF(N116="Home",Assumptions!$B$2,IF(N116="Away",-Assumptions!$B$2,0))</f>
        <v>-2.5</v>
      </c>
      <c r="Q116" s="2" t="n">
        <f aca="false">NORMDIST($B116-O116+P116,0,Assumptions!$B$3,TRUE())</f>
        <v>0.247856657564262</v>
      </c>
      <c r="R116" s="2" t="s">
        <v>275</v>
      </c>
      <c r="S116" s="2" t="s">
        <v>406</v>
      </c>
      <c r="T116" s="2" t="n">
        <f aca="false">INDEX(Ratings!$B$2:$B$239,MATCH(R116,Ratings!$A$2:$A$239,0))</f>
        <v>-49</v>
      </c>
      <c r="U116" s="2" t="n">
        <f aca="false">IF(S116="Home",Assumptions!$B$2,IF(S116="Away",-Assumptions!$B$2,0))</f>
        <v>2.5</v>
      </c>
      <c r="V116" s="2" t="n">
        <f aca="false">NORMDIST($B116-T116+U116,0,Assumptions!$B$3,TRUE())</f>
        <v>0.989624927341942</v>
      </c>
      <c r="W116" s="2" t="s">
        <v>182</v>
      </c>
      <c r="X116" s="2" t="s">
        <v>406</v>
      </c>
      <c r="Y116" s="2" t="n">
        <f aca="false">INDEX(Ratings!$B$2:$B$239,MATCH(W116,Ratings!$A$2:$A$239,0))</f>
        <v>-18.5</v>
      </c>
      <c r="Z116" s="2" t="n">
        <f aca="false">IF(X116="Home",Assumptions!$B$2,IF(X116="Away",-Assumptions!$B$2,0))</f>
        <v>2.5</v>
      </c>
      <c r="AA116" s="2" t="n">
        <f aca="false">NORMDIST($B116-Y116+Z116,0,Assumptions!$B$3,TRUE())</f>
        <v>0.657720540316049</v>
      </c>
      <c r="AB116" s="2" t="s">
        <v>152</v>
      </c>
      <c r="AC116" s="2" t="s">
        <v>407</v>
      </c>
      <c r="AD116" s="2" t="n">
        <f aca="false">INDEX(Ratings!$B$2:$B$239,MATCH(AB116,Ratings!$A$2:$A$239,0))</f>
        <v>-7.8</v>
      </c>
      <c r="AE116" s="2" t="n">
        <f aca="false">IF(AC116="Home",Assumptions!$B$2,IF(AC116="Away",-Assumptions!$B$2,0))</f>
        <v>-2.5</v>
      </c>
      <c r="AF116" s="2" t="n">
        <f aca="false">NORMDIST($B116-AD116+AE116,0,Assumptions!$B$3,TRUE())</f>
        <v>0.282645648497201</v>
      </c>
      <c r="AG116" s="2" t="s">
        <v>192</v>
      </c>
      <c r="AH116" s="2" t="s">
        <v>406</v>
      </c>
      <c r="AI116" s="2" t="n">
        <f aca="false">INDEX(Ratings!$B$2:$B$239,MATCH(AG116,Ratings!$A$2:$A$239,0))</f>
        <v>-26.5</v>
      </c>
      <c r="AJ116" s="2" t="n">
        <f aca="false">IF(AH116="Home",Assumptions!$B$2,IF(AH116="Away",-Assumptions!$B$2,0))</f>
        <v>2.5</v>
      </c>
      <c r="AK116" s="2" t="n">
        <f aca="false">NORMDIST($B116-AI116+AJ116,0,Assumptions!$B$3,TRUE())</f>
        <v>0.817598228161506</v>
      </c>
      <c r="AL116" s="2" t="s">
        <v>145</v>
      </c>
      <c r="AM116" s="2" t="s">
        <v>407</v>
      </c>
      <c r="AN116" s="2" t="n">
        <f aca="false">INDEX(Ratings!$B$2:$B$239,MATCH(AL116,Ratings!$A$2:$A$239,0))</f>
        <v>-5.3</v>
      </c>
      <c r="AO116" s="2" t="n">
        <f aca="false">IF(AM116="Home",Assumptions!$B$2,IF(AM116="Away",-Assumptions!$B$2,0))</f>
        <v>-2.5</v>
      </c>
      <c r="AP116" s="2" t="n">
        <f aca="false">NORMDIST($B116-AN116+AO116,0,Assumptions!$B$3,TRUE())</f>
        <v>0.232313232387907</v>
      </c>
      <c r="AQ116" s="2" t="s">
        <v>183</v>
      </c>
      <c r="AR116" s="2" t="s">
        <v>406</v>
      </c>
      <c r="AS116" s="2" t="n">
        <f aca="false">INDEX(Ratings!$B$2:$B$239,MATCH(AQ116,Ratings!$A$2:$A$239,0))</f>
        <v>-19.1</v>
      </c>
      <c r="AT116" s="2" t="n">
        <f aca="false">IF(AR116="Home",Assumptions!$B$2,IF(AR116="Away",-Assumptions!$B$2,0))</f>
        <v>2.5</v>
      </c>
      <c r="AU116" s="2" t="n">
        <f aca="false">NORMDIST($B116-AS116+AT116,0,Assumptions!$B$3,TRUE())</f>
        <v>0.671388329230721</v>
      </c>
      <c r="AV116" s="2" t="s">
        <v>170</v>
      </c>
      <c r="AW116" s="2" t="s">
        <v>407</v>
      </c>
      <c r="AX116" s="2" t="n">
        <f aca="false">INDEX(Ratings!$B$2:$B$239,MATCH(AV116,Ratings!$A$2:$A$239,0))</f>
        <v>-12.9</v>
      </c>
      <c r="AY116" s="2" t="n">
        <f aca="false">IF(AW116="Home",Assumptions!$B$2,IF(AW116="Away",-Assumptions!$B$2,0))</f>
        <v>-2.5</v>
      </c>
      <c r="AZ116" s="2" t="n">
        <f aca="false">NORMDIST($B116-AX116+AY116,0,Assumptions!$B$3,TRUE())</f>
        <v>0.398878901347056</v>
      </c>
      <c r="BA116" s="2" t="s">
        <v>171</v>
      </c>
      <c r="BB116" s="2" t="s">
        <v>407</v>
      </c>
      <c r="BC116" s="2" t="n">
        <f aca="false">INDEX(Ratings!$B$2:$B$239,MATCH(BA116,Ratings!$A$2:$A$239,0))</f>
        <v>-12.9</v>
      </c>
      <c r="BD116" s="2" t="n">
        <f aca="false">IF(BB116="Home",Assumptions!$B$2,IF(BB116="Away",-Assumptions!$B$2,0))</f>
        <v>-2.5</v>
      </c>
      <c r="BE116" s="2" t="n">
        <f aca="false">NORMDIST($B116-BC116+BD116,0,Assumptions!$B$3,TRUE())</f>
        <v>0.398878901347056</v>
      </c>
      <c r="BF116" s="2" t="s">
        <v>191</v>
      </c>
      <c r="BG116" s="2" t="s">
        <v>406</v>
      </c>
      <c r="BH116" s="2" t="n">
        <f aca="false">INDEX(Ratings!$B$2:$B$239,MATCH(BF116,Ratings!$A$2:$A$239,0))</f>
        <v>-26</v>
      </c>
      <c r="BI116" s="2" t="n">
        <f aca="false">IF(BG116="Home",Assumptions!$B$2,IF(BG116="Away",-Assumptions!$B$2,0))</f>
        <v>2.5</v>
      </c>
      <c r="BJ116" s="2" t="n">
        <f aca="false">NORMDIST($B116-BH116+BI116,0,Assumptions!$B$3,TRUE())</f>
        <v>0.809213047147489</v>
      </c>
      <c r="BP116" s="2" t="n">
        <v>12</v>
      </c>
      <c r="BQ116" s="2" t="n">
        <f aca="false">G116+L116+Q116+V116+AA116+AF116+AK116+AP116+AU116+AZ116+BE116+BJ116</f>
        <v>6.1930395439547</v>
      </c>
    </row>
    <row r="117" customFormat="false" ht="15" hidden="false" customHeight="false" outlineLevel="0" collapsed="false">
      <c r="A117" s="2" t="s">
        <v>173</v>
      </c>
      <c r="B117" s="2" t="n">
        <f aca="false">INDEX(Ratings!$B$2:$B$239,MATCH($A117,Ratings!$A$2:$A$239,0))</f>
        <v>-14.6</v>
      </c>
      <c r="C117" s="2" t="s">
        <v>311</v>
      </c>
      <c r="D117" s="2" t="s">
        <v>406</v>
      </c>
      <c r="E117" s="2" t="n">
        <f aca="false">INDEX(Ratings!$B$2:$B$239,MATCH(C117,Ratings!$A$2:$A$239,0))</f>
        <v>-34</v>
      </c>
      <c r="F117" s="2" t="n">
        <f aca="false">IF(D117="Home",Assumptions!$B$2,IF(D117="Away",-Assumptions!$B$2,0))</f>
        <v>2.5</v>
      </c>
      <c r="G117" s="2" t="n">
        <f aca="false">NORMDIST($B117-E117+F117,0,Assumptions!$B$3,TRUE())</f>
        <v>0.914461282460005</v>
      </c>
      <c r="H117" s="2" t="s">
        <v>144</v>
      </c>
      <c r="I117" s="2" t="s">
        <v>407</v>
      </c>
      <c r="J117" s="2" t="n">
        <f aca="false">INDEX(Ratings!$B$2:$B$239,MATCH(H117,Ratings!$A$2:$A$239,0))</f>
        <v>-4.3</v>
      </c>
      <c r="K117" s="2" t="n">
        <f aca="false">IF(I117="Home",Assumptions!$B$2,IF(I117="Away",-Assumptions!$B$2,0))</f>
        <v>-2.5</v>
      </c>
      <c r="L117" s="2" t="n">
        <f aca="false">NORMDIST($B117-J117+K117,0,Assumptions!$B$3,TRUE())</f>
        <v>0.211855398583397</v>
      </c>
      <c r="M117" s="2" t="s">
        <v>166</v>
      </c>
      <c r="N117" s="2" t="s">
        <v>406</v>
      </c>
      <c r="O117" s="2" t="n">
        <f aca="false">INDEX(Ratings!$B$2:$B$239,MATCH(M117,Ratings!$A$2:$A$239,0))</f>
        <v>-11.8</v>
      </c>
      <c r="P117" s="2" t="n">
        <f aca="false">IF(N117="Home",Assumptions!$B$2,IF(N117="Away",-Assumptions!$B$2,0))</f>
        <v>2.5</v>
      </c>
      <c r="Q117" s="2" t="n">
        <f aca="false">NORMDIST($B117-O117+P117,0,Assumptions!$B$3,TRUE())</f>
        <v>0.492520270510441</v>
      </c>
      <c r="R117" s="2" t="s">
        <v>104</v>
      </c>
      <c r="S117" s="2" t="s">
        <v>407</v>
      </c>
      <c r="T117" s="2" t="n">
        <f aca="false">INDEX(Ratings!$B$2:$B$239,MATCH(R117,Ratings!$A$2:$A$239,0))</f>
        <v>5.2</v>
      </c>
      <c r="U117" s="2" t="n">
        <f aca="false">IF(S117="Home",Assumptions!$B$2,IF(S117="Away",-Assumptions!$B$2,0))</f>
        <v>-2.5</v>
      </c>
      <c r="V117" s="2" t="n">
        <f aca="false">NORMDIST($B117-T117+U117,0,Assumptions!$B$3,TRUE())</f>
        <v>0.0816965558391932</v>
      </c>
      <c r="W117" s="2" t="s">
        <v>193</v>
      </c>
      <c r="X117" s="2" t="s">
        <v>406</v>
      </c>
      <c r="Y117" s="2" t="n">
        <f aca="false">INDEX(Ratings!$B$2:$B$239,MATCH(W117,Ratings!$A$2:$A$239,0))</f>
        <v>-28.9</v>
      </c>
      <c r="Z117" s="2" t="n">
        <f aca="false">IF(X117="Home",Assumptions!$B$2,IF(X117="Away",-Assumptions!$B$2,0))</f>
        <v>2.5</v>
      </c>
      <c r="AA117" s="2" t="n">
        <f aca="false">NORMDIST($B117-Y117+Z117,0,Assumptions!$B$3,TRUE())</f>
        <v>0.853140943624104</v>
      </c>
      <c r="AB117" s="2" t="s">
        <v>163</v>
      </c>
      <c r="AC117" s="2" t="s">
        <v>407</v>
      </c>
      <c r="AD117" s="2" t="n">
        <f aca="false">INDEX(Ratings!$B$2:$B$239,MATCH(AB117,Ratings!$A$2:$A$239,0))</f>
        <v>-11.6</v>
      </c>
      <c r="AE117" s="2" t="n">
        <f aca="false">IF(AC117="Home",Assumptions!$B$2,IF(AC117="Away",-Assumptions!$B$2,0))</f>
        <v>-2.5</v>
      </c>
      <c r="AF117" s="2" t="n">
        <f aca="false">NORMDIST($B117-AD117+AE117,0,Assumptions!$B$3,TRUE())</f>
        <v>0.365517152690043</v>
      </c>
      <c r="AG117" s="2" t="s">
        <v>155</v>
      </c>
      <c r="AH117" s="2" t="s">
        <v>407</v>
      </c>
      <c r="AI117" s="2" t="n">
        <f aca="false">INDEX(Ratings!$B$2:$B$239,MATCH(AG117,Ratings!$A$2:$A$239,0))</f>
        <v>-8.2</v>
      </c>
      <c r="AJ117" s="2" t="n">
        <f aca="false">IF(AH117="Home",Assumptions!$B$2,IF(AH117="Away",-Assumptions!$B$2,0))</f>
        <v>-2.5</v>
      </c>
      <c r="AK117" s="2" t="n">
        <f aca="false">NORMDIST($B117-AI117+AJ117,0,Assumptions!$B$3,TRUE())</f>
        <v>0.289019981362493</v>
      </c>
      <c r="AL117" s="2" t="s">
        <v>156</v>
      </c>
      <c r="AM117" s="2" t="s">
        <v>406</v>
      </c>
      <c r="AN117" s="2" t="n">
        <f aca="false">INDEX(Ratings!$B$2:$B$239,MATCH(AL117,Ratings!$A$2:$A$239,0))</f>
        <v>-9.1</v>
      </c>
      <c r="AO117" s="2" t="n">
        <f aca="false">IF(AM117="Home",Assumptions!$B$2,IF(AM117="Away",-Assumptions!$B$2,0))</f>
        <v>2.5</v>
      </c>
      <c r="AP117" s="2" t="n">
        <f aca="false">NORMDIST($B117-AN117+AO117,0,Assumptions!$B$3,TRUE())</f>
        <v>0.425634311844103</v>
      </c>
      <c r="AQ117" s="2" t="s">
        <v>159</v>
      </c>
      <c r="AR117" s="2" t="s">
        <v>407</v>
      </c>
      <c r="AS117" s="2" t="n">
        <f aca="false">INDEX(Ratings!$B$2:$B$239,MATCH(AQ117,Ratings!$A$2:$A$239,0))</f>
        <v>-10.6</v>
      </c>
      <c r="AT117" s="2" t="n">
        <f aca="false">IF(AR117="Home",Assumptions!$B$2,IF(AR117="Away",-Assumptions!$B$2,0))</f>
        <v>-2.5</v>
      </c>
      <c r="AU117" s="2" t="n">
        <f aca="false">NORMDIST($B117-AS117+AT117,0,Assumptions!$B$3,TRUE())</f>
        <v>0.342279459683951</v>
      </c>
      <c r="AV117" s="2" t="s">
        <v>154</v>
      </c>
      <c r="AW117" s="2" t="s">
        <v>406</v>
      </c>
      <c r="AX117" s="2" t="n">
        <f aca="false">INDEX(Ratings!$B$2:$B$239,MATCH(AV117,Ratings!$A$2:$A$239,0))</f>
        <v>-8</v>
      </c>
      <c r="AY117" s="2" t="n">
        <f aca="false">IF(AW117="Home",Assumptions!$B$2,IF(AW117="Away",-Assumptions!$B$2,0))</f>
        <v>2.5</v>
      </c>
      <c r="AZ117" s="2" t="n">
        <f aca="false">NORMDIST($B117-AX117+AY117,0,Assumptions!$B$3,TRUE())</f>
        <v>0.398878901347056</v>
      </c>
      <c r="BA117" s="2" t="s">
        <v>185</v>
      </c>
      <c r="BB117" s="2" t="s">
        <v>407</v>
      </c>
      <c r="BC117" s="2" t="n">
        <f aca="false">INDEX(Ratings!$B$2:$B$239,MATCH(BA117,Ratings!$A$2:$A$239,0))</f>
        <v>-20.7</v>
      </c>
      <c r="BD117" s="2" t="n">
        <f aca="false">IF(BB117="Home",Assumptions!$B$2,IF(BB117="Away",-Assumptions!$B$2,0))</f>
        <v>-2.5</v>
      </c>
      <c r="BE117" s="2" t="n">
        <f aca="false">NORMDIST($B117-BC117+BD117,0,Assumptions!$B$3,TRUE())</f>
        <v>0.58901036286873</v>
      </c>
      <c r="BF117" s="2" t="s">
        <v>169</v>
      </c>
      <c r="BG117" s="2" t="s">
        <v>406</v>
      </c>
      <c r="BH117" s="2" t="n">
        <f aca="false">INDEX(Ratings!$B$2:$B$239,MATCH(BF117,Ratings!$A$2:$A$239,0))</f>
        <v>-12.7</v>
      </c>
      <c r="BI117" s="2" t="n">
        <f aca="false">IF(BG117="Home",Assumptions!$B$2,IF(BG117="Away",-Assumptions!$B$2,0))</f>
        <v>2.5</v>
      </c>
      <c r="BJ117" s="2" t="n">
        <f aca="false">NORMDIST($B117-BH117+BI117,0,Assumptions!$B$3,TRUE())</f>
        <v>0.51495682992591</v>
      </c>
      <c r="BP117" s="2" t="n">
        <v>12</v>
      </c>
      <c r="BQ117" s="2" t="n">
        <f aca="false">G117+L117+Q117+V117+AA117+AF117+AK117+AP117+AU117+AZ117+BE117+BJ117</f>
        <v>5.47897145073943</v>
      </c>
    </row>
    <row r="118" customFormat="false" ht="15" hidden="false" customHeight="false" outlineLevel="0" collapsed="false">
      <c r="A118" s="2" t="s">
        <v>174</v>
      </c>
      <c r="B118" s="2" t="n">
        <f aca="false">INDEX(Ratings!$B$2:$B$239,MATCH($A118,Ratings!$A$2:$A$239,0))</f>
        <v>-14.7</v>
      </c>
      <c r="C118" s="2" t="s">
        <v>129</v>
      </c>
      <c r="D118" s="2" t="s">
        <v>407</v>
      </c>
      <c r="E118" s="2" t="n">
        <f aca="false">INDEX(Ratings!$B$2:$B$239,MATCH(C118,Ratings!$A$2:$A$239,0))</f>
        <v>-1.3</v>
      </c>
      <c r="F118" s="2" t="n">
        <f aca="false">IF(D118="Home",Assumptions!$B$2,IF(D118="Away",-Assumptions!$B$2,0))</f>
        <v>-2.5</v>
      </c>
      <c r="G118" s="2" t="n">
        <f aca="false">NORMDIST($B118-E118+F118,0,Assumptions!$B$3,TRUE())</f>
        <v>0.160172296919609</v>
      </c>
      <c r="H118" s="2" t="s">
        <v>263</v>
      </c>
      <c r="I118" s="2" t="s">
        <v>406</v>
      </c>
      <c r="J118" s="2" t="n">
        <f aca="false">INDEX(Ratings!$B$2:$B$239,MATCH(H118,Ratings!$A$2:$A$239,0))</f>
        <v>-44</v>
      </c>
      <c r="K118" s="2" t="n">
        <f aca="false">IF(I118="Home",Assumptions!$B$2,IF(I118="Away",-Assumptions!$B$2,0))</f>
        <v>2.5</v>
      </c>
      <c r="L118" s="2" t="n">
        <f aca="false">NORMDIST($B118-J118+K118,0,Assumptions!$B$3,TRUE())</f>
        <v>0.976566492047182</v>
      </c>
      <c r="M118" s="2" t="s">
        <v>170</v>
      </c>
      <c r="N118" s="2" t="s">
        <v>407</v>
      </c>
      <c r="O118" s="2" t="n">
        <f aca="false">INDEX(Ratings!$B$2:$B$239,MATCH(M118,Ratings!$A$2:$A$239,0))</f>
        <v>-12.9</v>
      </c>
      <c r="P118" s="2" t="n">
        <f aca="false">IF(N118="Home",Assumptions!$B$2,IF(N118="Away",-Assumptions!$B$2,0))</f>
        <v>-2.5</v>
      </c>
      <c r="Q118" s="2" t="n">
        <f aca="false">NORMDIST($B118-O118+P118,0,Assumptions!$B$3,TRUE())</f>
        <v>0.394061036152246</v>
      </c>
      <c r="R118" s="2" t="s">
        <v>145</v>
      </c>
      <c r="S118" s="2" t="s">
        <v>406</v>
      </c>
      <c r="T118" s="2" t="n">
        <f aca="false">INDEX(Ratings!$B$2:$B$239,MATCH(R118,Ratings!$A$2:$A$239,0))</f>
        <v>-5.3</v>
      </c>
      <c r="U118" s="2" t="n">
        <f aca="false">IF(S118="Home",Assumptions!$B$2,IF(S118="Away",-Assumptions!$B$2,0))</f>
        <v>2.5</v>
      </c>
      <c r="V118" s="2" t="n">
        <f aca="false">NORMDIST($B118-T118+U118,0,Assumptions!$B$3,TRUE())</f>
        <v>0.333143300876488</v>
      </c>
      <c r="W118" s="2" t="s">
        <v>160</v>
      </c>
      <c r="X118" s="2" t="s">
        <v>406</v>
      </c>
      <c r="Y118" s="2" t="n">
        <f aca="false">INDEX(Ratings!$B$2:$B$239,MATCH(W118,Ratings!$A$2:$A$239,0))</f>
        <v>-10.8</v>
      </c>
      <c r="Z118" s="2" t="n">
        <f aca="false">IF(X118="Home",Assumptions!$B$2,IF(X118="Away",-Assumptions!$B$2,0))</f>
        <v>2.5</v>
      </c>
      <c r="AA118" s="2" t="n">
        <f aca="false">NORMDIST($B118-Y118+Z118,0,Assumptions!$B$3,TRUE())</f>
        <v>0.465137042716285</v>
      </c>
      <c r="AB118" s="2" t="s">
        <v>155</v>
      </c>
      <c r="AC118" s="2" t="s">
        <v>407</v>
      </c>
      <c r="AD118" s="2" t="n">
        <f aca="false">INDEX(Ratings!$B$2:$B$239,MATCH(AB118,Ratings!$A$2:$A$239,0))</f>
        <v>-8.2</v>
      </c>
      <c r="AE118" s="2" t="n">
        <f aca="false">IF(AC118="Home",Assumptions!$B$2,IF(AC118="Away",-Assumptions!$B$2,0))</f>
        <v>-2.5</v>
      </c>
      <c r="AF118" s="2" t="n">
        <f aca="false">NORMDIST($B118-AD118+AE118,0,Assumptions!$B$3,TRUE())</f>
        <v>0.286887701816365</v>
      </c>
      <c r="AG118" s="2" t="s">
        <v>169</v>
      </c>
      <c r="AH118" s="2" t="s">
        <v>406</v>
      </c>
      <c r="AI118" s="2" t="n">
        <f aca="false">INDEX(Ratings!$B$2:$B$239,MATCH(AG118,Ratings!$A$2:$A$239,0))</f>
        <v>-12.7</v>
      </c>
      <c r="AJ118" s="2" t="n">
        <f aca="false">IF(AH118="Home",Assumptions!$B$2,IF(AH118="Away",-Assumptions!$B$2,0))</f>
        <v>2.5</v>
      </c>
      <c r="AK118" s="2" t="n">
        <f aca="false">NORMDIST($B118-AI118+AJ118,0,Assumptions!$B$3,TRUE())</f>
        <v>0.512464917434377</v>
      </c>
      <c r="AL118" s="2" t="s">
        <v>194</v>
      </c>
      <c r="AM118" s="2" t="s">
        <v>407</v>
      </c>
      <c r="AN118" s="2" t="n">
        <f aca="false">INDEX(Ratings!$B$2:$B$239,MATCH(AL118,Ratings!$A$2:$A$239,0))</f>
        <v>-29.3</v>
      </c>
      <c r="AO118" s="2" t="n">
        <f aca="false">IF(AM118="Home",Assumptions!$B$2,IF(AM118="Away",-Assumptions!$B$2,0))</f>
        <v>-2.5</v>
      </c>
      <c r="AP118" s="2" t="n">
        <f aca="false">NORMDIST($B118-AN118+AO118,0,Assumptions!$B$3,TRUE())</f>
        <v>0.77525034005542</v>
      </c>
      <c r="AQ118" s="2" t="s">
        <v>150</v>
      </c>
      <c r="AR118" s="2" t="s">
        <v>406</v>
      </c>
      <c r="AS118" s="2" t="n">
        <f aca="false">INDEX(Ratings!$B$2:$B$239,MATCH(AQ118,Ratings!$A$2:$A$239,0))</f>
        <v>-6.9</v>
      </c>
      <c r="AT118" s="2" t="n">
        <f aca="false">IF(AR118="Home",Assumptions!$B$2,IF(AR118="Away",-Assumptions!$B$2,0))</f>
        <v>2.5</v>
      </c>
      <c r="AU118" s="2" t="n">
        <f aca="false">NORMDIST($B118-AS118+AT118,0,Assumptions!$B$3,TRUE())</f>
        <v>0.370227827724972</v>
      </c>
      <c r="AV118" s="2" t="s">
        <v>163</v>
      </c>
      <c r="AW118" s="2" t="s">
        <v>406</v>
      </c>
      <c r="AX118" s="2" t="n">
        <f aca="false">INDEX(Ratings!$B$2:$B$239,MATCH(AV118,Ratings!$A$2:$A$239,0))</f>
        <v>-11.6</v>
      </c>
      <c r="AY118" s="2" t="n">
        <f aca="false">IF(AW118="Home",Assumptions!$B$2,IF(AW118="Away",-Assumptions!$B$2,0))</f>
        <v>2.5</v>
      </c>
      <c r="AZ118" s="2" t="n">
        <f aca="false">NORMDIST($B118-AX118+AY118,0,Assumptions!$B$3,TRUE())</f>
        <v>0.48504317007409</v>
      </c>
      <c r="BA118" s="2" t="s">
        <v>159</v>
      </c>
      <c r="BB118" s="2" t="s">
        <v>407</v>
      </c>
      <c r="BC118" s="2" t="n">
        <f aca="false">INDEX(Ratings!$B$2:$B$239,MATCH(BA118,Ratings!$A$2:$A$239,0))</f>
        <v>-10.6</v>
      </c>
      <c r="BD118" s="2" t="n">
        <f aca="false">IF(BB118="Home",Assumptions!$B$2,IF(BB118="Away",-Assumptions!$B$2,0))</f>
        <v>-2.5</v>
      </c>
      <c r="BE118" s="2" t="n">
        <f aca="false">NORMDIST($B118-BC118+BD118,0,Assumptions!$B$3,TRUE())</f>
        <v>0.339986490349139</v>
      </c>
      <c r="BF118" s="2" t="s">
        <v>127</v>
      </c>
      <c r="BG118" s="2" t="s">
        <v>407</v>
      </c>
      <c r="BH118" s="2" t="n">
        <f aca="false">INDEX(Ratings!$B$2:$B$239,MATCH(BF118,Ratings!$A$2:$A$239,0))</f>
        <v>-0.9</v>
      </c>
      <c r="BI118" s="2" t="n">
        <f aca="false">IF(BG118="Home",Assumptions!$B$2,IF(BG118="Away",-Assumptions!$B$2,0))</f>
        <v>-2.5</v>
      </c>
      <c r="BJ118" s="2" t="n">
        <f aca="false">NORMDIST($B118-BH118+BI118,0,Assumptions!$B$3,TRUE())</f>
        <v>0.154160834280354</v>
      </c>
      <c r="BP118" s="2" t="n">
        <v>12</v>
      </c>
      <c r="BQ118" s="2" t="n">
        <f aca="false">G118+L118+Q118+V118+AA118+AF118+AK118+AP118+AU118+AZ118+BE118+BJ118</f>
        <v>5.25310145044653</v>
      </c>
    </row>
    <row r="119" customFormat="false" ht="15" hidden="false" customHeight="false" outlineLevel="0" collapsed="false">
      <c r="A119" s="2" t="s">
        <v>175</v>
      </c>
      <c r="B119" s="2" t="n">
        <f aca="false">INDEX(Ratings!$B$2:$B$239,MATCH($A119,Ratings!$A$2:$A$239,0))</f>
        <v>-15</v>
      </c>
      <c r="C119" s="2" t="s">
        <v>317</v>
      </c>
      <c r="D119" s="2" t="s">
        <v>406</v>
      </c>
      <c r="E119" s="2" t="n">
        <f aca="false">INDEX(Ratings!$B$2:$B$239,MATCH(C119,Ratings!$A$2:$A$239,0))</f>
        <v>-25</v>
      </c>
      <c r="F119" s="2" t="n">
        <f aca="false">IF(D119="Home",Assumptions!$B$2,IF(D119="Away",-Assumptions!$B$2,0))</f>
        <v>2.5</v>
      </c>
      <c r="G119" s="2" t="n">
        <f aca="false">NORMDIST($B119-E119+F119,0,Assumptions!$B$3,TRUE())</f>
        <v>0.782672264321914</v>
      </c>
      <c r="H119" s="2" t="s">
        <v>90</v>
      </c>
      <c r="I119" s="2" t="s">
        <v>407</v>
      </c>
      <c r="J119" s="2" t="n">
        <f aca="false">INDEX(Ratings!$B$2:$B$239,MATCH(H119,Ratings!$A$2:$A$239,0))</f>
        <v>9.3</v>
      </c>
      <c r="K119" s="2" t="n">
        <f aca="false">IF(I119="Home",Assumptions!$B$2,IF(I119="Away",-Assumptions!$B$2,0))</f>
        <v>-2.5</v>
      </c>
      <c r="L119" s="2" t="n">
        <f aca="false">NORMDIST($B119-J119+K119,0,Assumptions!$B$3,TRUE())</f>
        <v>0.0469671158307458</v>
      </c>
      <c r="M119" s="2" t="s">
        <v>126</v>
      </c>
      <c r="N119" s="2" t="s">
        <v>407</v>
      </c>
      <c r="O119" s="2" t="n">
        <f aca="false">INDEX(Ratings!$B$2:$B$239,MATCH(M119,Ratings!$A$2:$A$239,0))</f>
        <v>-0.4</v>
      </c>
      <c r="P119" s="2" t="n">
        <f aca="false">IF(N119="Home",Assumptions!$B$2,IF(N119="Away",-Assumptions!$B$2,0))</f>
        <v>-2.5</v>
      </c>
      <c r="Q119" s="2" t="n">
        <f aca="false">NORMDIST($B119-O119+P119,0,Assumptions!$B$3,TRUE())</f>
        <v>0.142591167421656</v>
      </c>
      <c r="R119" s="2" t="s">
        <v>131</v>
      </c>
      <c r="S119" s="2" t="s">
        <v>406</v>
      </c>
      <c r="T119" s="2" t="n">
        <f aca="false">INDEX(Ratings!$B$2:$B$239,MATCH(R119,Ratings!$A$2:$A$239,0))</f>
        <v>-1.7</v>
      </c>
      <c r="U119" s="2" t="n">
        <f aca="false">IF(S119="Home",Assumptions!$B$2,IF(S119="Away",-Assumptions!$B$2,0))</f>
        <v>2.5</v>
      </c>
      <c r="V119" s="2" t="n">
        <f aca="false">NORMDIST($B119-T119+U119,0,Assumptions!$B$3,TRUE())</f>
        <v>0.249837882471777</v>
      </c>
      <c r="W119" s="2" t="s">
        <v>142</v>
      </c>
      <c r="X119" s="2" t="s">
        <v>407</v>
      </c>
      <c r="Y119" s="2" t="n">
        <f aca="false">INDEX(Ratings!$B$2:$B$239,MATCH(W119,Ratings!$A$2:$A$239,0))</f>
        <v>-4</v>
      </c>
      <c r="Z119" s="2" t="n">
        <f aca="false">IF(X119="Home",Assumptions!$B$2,IF(X119="Away",-Assumptions!$B$2,0))</f>
        <v>-2.5</v>
      </c>
      <c r="AA119" s="2" t="n">
        <f aca="false">NORMDIST($B119-Y119+Z119,0,Assumptions!$B$3,TRUE())</f>
        <v>0.199404560471373</v>
      </c>
      <c r="AB119" s="2" t="s">
        <v>188</v>
      </c>
      <c r="AC119" s="2" t="s">
        <v>406</v>
      </c>
      <c r="AD119" s="2" t="n">
        <f aca="false">INDEX(Ratings!$B$2:$B$239,MATCH(AB119,Ratings!$A$2:$A$239,0))</f>
        <v>-23.4</v>
      </c>
      <c r="AE119" s="2" t="n">
        <f aca="false">IF(AC119="Home",Assumptions!$B$2,IF(AC119="Away",-Assumptions!$B$2,0))</f>
        <v>2.5</v>
      </c>
      <c r="AF119" s="2" t="n">
        <f aca="false">NORMDIST($B119-AD119+AE119,0,Assumptions!$B$3,TRUE())</f>
        <v>0.752143342435738</v>
      </c>
      <c r="AG119" s="2" t="s">
        <v>190</v>
      </c>
      <c r="AH119" s="2" t="s">
        <v>406</v>
      </c>
      <c r="AI119" s="2" t="n">
        <f aca="false">INDEX(Ratings!$B$2:$B$239,MATCH(AG119,Ratings!$A$2:$A$239,0))</f>
        <v>-25.1</v>
      </c>
      <c r="AJ119" s="2" t="n">
        <f aca="false">IF(AH119="Home",Assumptions!$B$2,IF(AH119="Away",-Assumptions!$B$2,0))</f>
        <v>2.5</v>
      </c>
      <c r="AK119" s="2" t="n">
        <f aca="false">NORMDIST($B119-AI119+AJ119,0,Assumptions!$B$3,TRUE())</f>
        <v>0.784505385789946</v>
      </c>
      <c r="AL119" s="2" t="s">
        <v>168</v>
      </c>
      <c r="AM119" s="2" t="s">
        <v>407</v>
      </c>
      <c r="AN119" s="2" t="n">
        <f aca="false">INDEX(Ratings!$B$2:$B$239,MATCH(AL119,Ratings!$A$2:$A$239,0))</f>
        <v>-12.7</v>
      </c>
      <c r="AO119" s="2" t="n">
        <f aca="false">IF(AM119="Home",Assumptions!$B$2,IF(AM119="Away",-Assumptions!$B$2,0))</f>
        <v>-2.5</v>
      </c>
      <c r="AP119" s="2" t="n">
        <f aca="false">NORMDIST($B119-AN119+AO119,0,Assumptions!$B$3,TRUE())</f>
        <v>0.382088577811047</v>
      </c>
      <c r="AQ119" s="2" t="s">
        <v>147</v>
      </c>
      <c r="AR119" s="2" t="s">
        <v>407</v>
      </c>
      <c r="AS119" s="2" t="n">
        <f aca="false">INDEX(Ratings!$B$2:$B$239,MATCH(AQ119,Ratings!$A$2:$A$239,0))</f>
        <v>-6</v>
      </c>
      <c r="AT119" s="2" t="n">
        <f aca="false">IF(AR119="Home",Assumptions!$B$2,IF(AR119="Away",-Assumptions!$B$2,0))</f>
        <v>-2.5</v>
      </c>
      <c r="AU119" s="2" t="n">
        <f aca="false">NORMDIST($B119-AS119+AT119,0,Assumptions!$B$3,TRUE())</f>
        <v>0.236147484972854</v>
      </c>
      <c r="AV119" s="2" t="s">
        <v>186</v>
      </c>
      <c r="AW119" s="2" t="s">
        <v>406</v>
      </c>
      <c r="AX119" s="2" t="n">
        <f aca="false">INDEX(Ratings!$B$2:$B$239,MATCH(AV119,Ratings!$A$2:$A$239,0))</f>
        <v>-22.4</v>
      </c>
      <c r="AY119" s="2" t="n">
        <f aca="false">IF(AW119="Home",Assumptions!$B$2,IF(AW119="Away",-Assumptions!$B$2,0))</f>
        <v>2.5</v>
      </c>
      <c r="AZ119" s="2" t="n">
        <f aca="false">NORMDIST($B119-AX119+AY119,0,Assumptions!$B$3,TRUE())</f>
        <v>0.731959467197592</v>
      </c>
      <c r="BA119" s="2" t="s">
        <v>158</v>
      </c>
      <c r="BB119" s="2" t="s">
        <v>407</v>
      </c>
      <c r="BC119" s="2" t="n">
        <f aca="false">INDEX(Ratings!$B$2:$B$239,MATCH(BA119,Ratings!$A$2:$A$239,0))</f>
        <v>-9.1</v>
      </c>
      <c r="BD119" s="2" t="n">
        <f aca="false">IF(BB119="Home",Assumptions!$B$2,IF(BB119="Away",-Assumptions!$B$2,0))</f>
        <v>-2.5</v>
      </c>
      <c r="BE119" s="2" t="n">
        <f aca="false">NORMDIST($B119-BC119+BD119,0,Assumptions!$B$3,TRUE())</f>
        <v>0.299791595468696</v>
      </c>
      <c r="BF119" s="2" t="s">
        <v>195</v>
      </c>
      <c r="BG119" s="2" t="s">
        <v>406</v>
      </c>
      <c r="BH119" s="2" t="n">
        <f aca="false">INDEX(Ratings!$B$2:$B$239,MATCH(BF119,Ratings!$A$2:$A$239,0))</f>
        <v>-32.9</v>
      </c>
      <c r="BI119" s="2" t="n">
        <f aca="false">IF(BG119="Home",Assumptions!$B$2,IF(BG119="Away",-Assumptions!$B$2,0))</f>
        <v>2.5</v>
      </c>
      <c r="BJ119" s="2" t="n">
        <f aca="false">NORMDIST($B119-BH119+BI119,0,Assumptions!$B$3,TRUE())</f>
        <v>0.898845379004414</v>
      </c>
      <c r="BP119" s="2" t="n">
        <v>12</v>
      </c>
      <c r="BQ119" s="2" t="n">
        <f aca="false">G119+L119+Q119+V119+AA119+AF119+AK119+AP119+AU119+AZ119+BE119+BJ119</f>
        <v>5.50695422319775</v>
      </c>
    </row>
    <row r="120" customFormat="false" ht="15" hidden="false" customHeight="false" outlineLevel="0" collapsed="false">
      <c r="A120" s="2" t="s">
        <v>176</v>
      </c>
      <c r="B120" s="2" t="n">
        <f aca="false">INDEX(Ratings!$B$2:$B$239,MATCH($A120,Ratings!$A$2:$A$239,0))</f>
        <v>-15.1</v>
      </c>
      <c r="C120" s="2" t="s">
        <v>125</v>
      </c>
      <c r="D120" s="2" t="s">
        <v>407</v>
      </c>
      <c r="E120" s="2" t="n">
        <f aca="false">INDEX(Ratings!$B$2:$B$239,MATCH(C120,Ratings!$A$2:$A$239,0))</f>
        <v>0</v>
      </c>
      <c r="F120" s="2" t="n">
        <f aca="false">IF(D120="Home",Assumptions!$B$2,IF(D120="Away",-Assumptions!$B$2,0))</f>
        <v>-2.5</v>
      </c>
      <c r="G120" s="2" t="n">
        <f aca="false">NORMDIST($B120-E120+F120,0,Assumptions!$B$3,TRUE())</f>
        <v>0.135666060946383</v>
      </c>
      <c r="H120" s="2" t="s">
        <v>253</v>
      </c>
      <c r="I120" s="2" t="s">
        <v>406</v>
      </c>
      <c r="J120" s="2" t="n">
        <f aca="false">INDEX(Ratings!$B$2:$B$239,MATCH(H120,Ratings!$A$2:$A$239,0))</f>
        <v>-39</v>
      </c>
      <c r="K120" s="2" t="n">
        <f aca="false">IF(I120="Home",Assumptions!$B$2,IF(I120="Away",-Assumptions!$B$2,0))</f>
        <v>2.5</v>
      </c>
      <c r="L120" s="2" t="n">
        <f aca="false">NORMDIST($B120-J120+K120,0,Assumptions!$B$3,TRUE())</f>
        <v>0.950528531966352</v>
      </c>
      <c r="M120" s="2" t="s">
        <v>161</v>
      </c>
      <c r="N120" s="2" t="s">
        <v>406</v>
      </c>
      <c r="O120" s="2" t="n">
        <f aca="false">INDEX(Ratings!$B$2:$B$239,MATCH(M120,Ratings!$A$2:$A$239,0))</f>
        <v>-10.8</v>
      </c>
      <c r="P120" s="2" t="n">
        <f aca="false">IF(N120="Home",Assumptions!$B$2,IF(N120="Away",-Assumptions!$B$2,0))</f>
        <v>2.5</v>
      </c>
      <c r="Q120" s="2" t="n">
        <f aca="false">NORMDIST($B120-O120+P120,0,Assumptions!$B$3,TRUE())</f>
        <v>0.455213484871745</v>
      </c>
      <c r="R120" s="2" t="s">
        <v>64</v>
      </c>
      <c r="S120" s="2" t="s">
        <v>407</v>
      </c>
      <c r="T120" s="2" t="n">
        <f aca="false">INDEX(Ratings!$B$2:$B$239,MATCH(R120,Ratings!$A$2:$A$239,0))</f>
        <v>22</v>
      </c>
      <c r="U120" s="2" t="n">
        <f aca="false">IF(S120="Home",Assumptions!$B$2,IF(S120="Away",-Assumptions!$B$2,0))</f>
        <v>-2.5</v>
      </c>
      <c r="V120" s="2" t="n">
        <f aca="false">NORMDIST($B120-T120+U120,0,Assumptions!$B$3,TRUE())</f>
        <v>0.0066618087919827</v>
      </c>
      <c r="W120" s="2" t="s">
        <v>187</v>
      </c>
      <c r="X120" s="2" t="s">
        <v>406</v>
      </c>
      <c r="Y120" s="2" t="n">
        <f aca="false">INDEX(Ratings!$B$2:$B$239,MATCH(W120,Ratings!$A$2:$A$239,0))</f>
        <v>-22.9</v>
      </c>
      <c r="Z120" s="2" t="n">
        <f aca="false">IF(X120="Home",Assumptions!$B$2,IF(X120="Away",-Assumptions!$B$2,0))</f>
        <v>2.5</v>
      </c>
      <c r="AA120" s="2" t="n">
        <f aca="false">NORMDIST($B120-Y120+Z120,0,Assumptions!$B$3,TRUE())</f>
        <v>0.740131219334939</v>
      </c>
      <c r="AB120" s="2" t="s">
        <v>166</v>
      </c>
      <c r="AC120" s="2" t="s">
        <v>407</v>
      </c>
      <c r="AD120" s="2" t="n">
        <f aca="false">INDEX(Ratings!$B$2:$B$239,MATCH(AB120,Ratings!$A$2:$A$239,0))</f>
        <v>-11.8</v>
      </c>
      <c r="AE120" s="2" t="n">
        <f aca="false">IF(AC120="Home",Assumptions!$B$2,IF(AC120="Away",-Assumptions!$B$2,0))</f>
        <v>-2.5</v>
      </c>
      <c r="AF120" s="2" t="n">
        <f aca="false">NORMDIST($B120-AD120+AE120,0,Assumptions!$B$3,TRUE())</f>
        <v>0.358489211764908</v>
      </c>
      <c r="AG120" s="2" t="s">
        <v>147</v>
      </c>
      <c r="AH120" s="2" t="s">
        <v>406</v>
      </c>
      <c r="AI120" s="2" t="n">
        <f aca="false">INDEX(Ratings!$B$2:$B$239,MATCH(AG120,Ratings!$A$2:$A$239,0))</f>
        <v>-6</v>
      </c>
      <c r="AJ120" s="2" t="n">
        <f aca="false">IF(AH120="Home",Assumptions!$B$2,IF(AH120="Away",-Assumptions!$B$2,0))</f>
        <v>2.5</v>
      </c>
      <c r="AK120" s="2" t="n">
        <f aca="false">NORMDIST($B120-AI120+AJ120,0,Assumptions!$B$3,TRUE())</f>
        <v>0.339986490349139</v>
      </c>
      <c r="AL120" s="2" t="s">
        <v>142</v>
      </c>
      <c r="AM120" s="2" t="s">
        <v>406</v>
      </c>
      <c r="AN120" s="2" t="n">
        <f aca="false">INDEX(Ratings!$B$2:$B$239,MATCH(AL120,Ratings!$A$2:$A$239,0))</f>
        <v>-4</v>
      </c>
      <c r="AO120" s="2" t="n">
        <f aca="false">IF(AM120="Home",Assumptions!$B$2,IF(AM120="Away",-Assumptions!$B$2,0))</f>
        <v>2.5</v>
      </c>
      <c r="AP120" s="2" t="n">
        <f aca="false">NORMDIST($B120-AN120+AO120,0,Assumptions!$B$3,TRUE())</f>
        <v>0.295461142462736</v>
      </c>
      <c r="AQ120" s="2" t="s">
        <v>179</v>
      </c>
      <c r="AR120" s="2" t="s">
        <v>408</v>
      </c>
      <c r="AS120" s="2" t="n">
        <f aca="false">INDEX(Ratings!$B$2:$B$239,MATCH(AQ120,Ratings!$A$2:$A$239,0))</f>
        <v>-16.1</v>
      </c>
      <c r="AT120" s="2" t="n">
        <f aca="false">IF(AR120="Home",Assumptions!$B$2,IF(AR120="Away",-Assumptions!$B$2,0))</f>
        <v>0</v>
      </c>
      <c r="AU120" s="2" t="n">
        <f aca="false">NORMDIST($B120-AS120+AT120,0,Assumptions!$B$3,TRUE())</f>
        <v>0.524917669029247</v>
      </c>
      <c r="AV120" s="2" t="s">
        <v>188</v>
      </c>
      <c r="AW120" s="2" t="s">
        <v>406</v>
      </c>
      <c r="AX120" s="2" t="n">
        <f aca="false">INDEX(Ratings!$B$2:$B$239,MATCH(AV120,Ratings!$A$2:$A$239,0))</f>
        <v>-23.4</v>
      </c>
      <c r="AY120" s="2" t="n">
        <f aca="false">IF(AW120="Home",Assumptions!$B$2,IF(AW120="Away",-Assumptions!$B$2,0))</f>
        <v>2.5</v>
      </c>
      <c r="AZ120" s="2" t="n">
        <f aca="false">NORMDIST($B120-AX120+AY120,0,Assumptions!$B$3,TRUE())</f>
        <v>0.750162117528223</v>
      </c>
      <c r="BA120" s="2" t="s">
        <v>168</v>
      </c>
      <c r="BB120" s="2" t="s">
        <v>407</v>
      </c>
      <c r="BC120" s="2" t="n">
        <f aca="false">INDEX(Ratings!$B$2:$B$239,MATCH(BA120,Ratings!$A$2:$A$239,0))</f>
        <v>-12.7</v>
      </c>
      <c r="BD120" s="2" t="n">
        <f aca="false">IF(BB120="Home",Assumptions!$B$2,IF(BB120="Away",-Assumptions!$B$2,0))</f>
        <v>-2.5</v>
      </c>
      <c r="BE120" s="2" t="n">
        <f aca="false">NORMDIST($B120-BC120+BD120,0,Assumptions!$B$3,TRUE())</f>
        <v>0.379707152759433</v>
      </c>
      <c r="BF120" s="2" t="s">
        <v>190</v>
      </c>
      <c r="BG120" s="2" t="s">
        <v>407</v>
      </c>
      <c r="BH120" s="2" t="n">
        <f aca="false">INDEX(Ratings!$B$2:$B$239,MATCH(BF120,Ratings!$A$2:$A$239,0))</f>
        <v>-25.1</v>
      </c>
      <c r="BI120" s="2" t="n">
        <f aca="false">IF(BG120="Home",Assumptions!$B$2,IF(BG120="Away",-Assumptions!$B$2,0))</f>
        <v>-2.5</v>
      </c>
      <c r="BJ120" s="2" t="n">
        <f aca="false">NORMDIST($B120-BH120+BI120,0,Assumptions!$B$3,TRUE())</f>
        <v>0.680375828482883</v>
      </c>
      <c r="BP120" s="2" t="n">
        <v>12</v>
      </c>
      <c r="BQ120" s="2" t="n">
        <f aca="false">G120+L120+Q120+V120+AA120+AF120+AK120+AP120+AU120+AZ120+BE120+BJ120</f>
        <v>5.61730071828797</v>
      </c>
    </row>
    <row r="121" customFormat="false" ht="15" hidden="false" customHeight="false" outlineLevel="0" collapsed="false">
      <c r="A121" s="2" t="s">
        <v>177</v>
      </c>
      <c r="B121" s="2" t="n">
        <f aca="false">INDEX(Ratings!$B$2:$B$239,MATCH($A121,Ratings!$A$2:$A$239,0))</f>
        <v>-15.3</v>
      </c>
      <c r="C121" s="2" t="s">
        <v>267</v>
      </c>
      <c r="D121" s="2" t="s">
        <v>406</v>
      </c>
      <c r="E121" s="2" t="n">
        <f aca="false">INDEX(Ratings!$B$2:$B$239,MATCH(C121,Ratings!$A$2:$A$239,0))</f>
        <v>-34</v>
      </c>
      <c r="F121" s="2" t="n">
        <f aca="false">IF(D121="Home",Assumptions!$B$2,IF(D121="Away",-Assumptions!$B$2,0))</f>
        <v>2.5</v>
      </c>
      <c r="G121" s="2" t="n">
        <f aca="false">NORMDIST($B121-E121+F121,0,Assumptions!$B$3,TRUE())</f>
        <v>0.907414424343205</v>
      </c>
      <c r="H121" s="2" t="s">
        <v>60</v>
      </c>
      <c r="I121" s="2" t="s">
        <v>407</v>
      </c>
      <c r="J121" s="2" t="n">
        <f aca="false">INDEX(Ratings!$B$2:$B$239,MATCH(H121,Ratings!$A$2:$A$239,0))</f>
        <v>26.5</v>
      </c>
      <c r="K121" s="2" t="n">
        <f aca="false">IF(I121="Home",Assumptions!$B$2,IF(I121="Away",-Assumptions!$B$2,0))</f>
        <v>-2.5</v>
      </c>
      <c r="L121" s="2" t="n">
        <f aca="false">NORMDIST($B121-J121+K121,0,Assumptions!$B$3,TRUE())</f>
        <v>0.00281358977445718</v>
      </c>
      <c r="M121" s="2" t="s">
        <v>147</v>
      </c>
      <c r="N121" s="2" t="s">
        <v>406</v>
      </c>
      <c r="O121" s="2" t="n">
        <f aca="false">INDEX(Ratings!$B$2:$B$239,MATCH(M121,Ratings!$A$2:$A$239,0))</f>
        <v>-6</v>
      </c>
      <c r="P121" s="2" t="n">
        <f aca="false">IF(N121="Home",Assumptions!$B$2,IF(N121="Away",-Assumptions!$B$2,0))</f>
        <v>2.5</v>
      </c>
      <c r="Q121" s="2" t="n">
        <f aca="false">NORMDIST($B121-O121+P121,0,Assumptions!$B$3,TRUE())</f>
        <v>0.335418337370169</v>
      </c>
      <c r="R121" s="2" t="s">
        <v>130</v>
      </c>
      <c r="S121" s="2" t="s">
        <v>407</v>
      </c>
      <c r="T121" s="2" t="n">
        <f aca="false">INDEX(Ratings!$B$2:$B$239,MATCH(R121,Ratings!$A$2:$A$239,0))</f>
        <v>-1.4</v>
      </c>
      <c r="U121" s="2" t="n">
        <f aca="false">IF(S121="Home",Assumptions!$B$2,IF(S121="Away",-Assumptions!$B$2,0))</f>
        <v>-2.5</v>
      </c>
      <c r="V121" s="2" t="n">
        <f aca="false">NORMDIST($B121-T121+U121,0,Assumptions!$B$3,TRUE())</f>
        <v>0.15268159383311</v>
      </c>
      <c r="W121" s="2" t="s">
        <v>128</v>
      </c>
      <c r="X121" s="2" t="s">
        <v>406</v>
      </c>
      <c r="Y121" s="2" t="n">
        <f aca="false">INDEX(Ratings!$B$2:$B$239,MATCH(W121,Ratings!$A$2:$A$239,0))</f>
        <v>-1.1</v>
      </c>
      <c r="Z121" s="2" t="n">
        <f aca="false">IF(X121="Home",Assumptions!$B$2,IF(X121="Away",-Assumptions!$B$2,0))</f>
        <v>2.5</v>
      </c>
      <c r="AA121" s="2" t="n">
        <f aca="false">NORMDIST($B121-Y121+Z121,0,Assumptions!$B$3,TRUE())</f>
        <v>0.232313232387907</v>
      </c>
      <c r="AB121" s="2" t="s">
        <v>137</v>
      </c>
      <c r="AC121" s="2" t="s">
        <v>407</v>
      </c>
      <c r="AD121" s="2" t="n">
        <f aca="false">INDEX(Ratings!$B$2:$B$239,MATCH(AB121,Ratings!$A$2:$A$239,0))</f>
        <v>-2.3</v>
      </c>
      <c r="AE121" s="2" t="n">
        <f aca="false">IF(AC121="Home",Assumptions!$B$2,IF(AC121="Away",-Assumptions!$B$2,0))</f>
        <v>-2.5</v>
      </c>
      <c r="AF121" s="2" t="n">
        <f aca="false">NORMDIST($B121-AD121+AE121,0,Assumptions!$B$3,TRUE())</f>
        <v>0.166334969492118</v>
      </c>
      <c r="AG121" s="2" t="s">
        <v>149</v>
      </c>
      <c r="AH121" s="2" t="s">
        <v>406</v>
      </c>
      <c r="AI121" s="2" t="n">
        <f aca="false">INDEX(Ratings!$B$2:$B$239,MATCH(AG121,Ratings!$A$2:$A$239,0))</f>
        <v>-6.1</v>
      </c>
      <c r="AJ121" s="2" t="n">
        <f aca="false">IF(AH121="Home",Assumptions!$B$2,IF(AH121="Away",-Assumptions!$B$2,0))</f>
        <v>2.5</v>
      </c>
      <c r="AK121" s="2" t="n">
        <f aca="false">NORMDIST($B121-AI121+AJ121,0,Assumptions!$B$3,TRUE())</f>
        <v>0.337699424942871</v>
      </c>
      <c r="AL121" s="2" t="s">
        <v>148</v>
      </c>
      <c r="AM121" s="2" t="s">
        <v>407</v>
      </c>
      <c r="AN121" s="2" t="n">
        <f aca="false">INDEX(Ratings!$B$2:$B$239,MATCH(AL121,Ratings!$A$2:$A$239,0))</f>
        <v>-6.1</v>
      </c>
      <c r="AO121" s="2" t="n">
        <f aca="false">IF(AM121="Home",Assumptions!$B$2,IF(AM121="Away",-Assumptions!$B$2,0))</f>
        <v>-2.5</v>
      </c>
      <c r="AP121" s="2" t="n">
        <f aca="false">NORMDIST($B121-AN121+AO121,0,Assumptions!$B$3,TRUE())</f>
        <v>0.232313232387907</v>
      </c>
      <c r="AQ121" s="2" t="s">
        <v>162</v>
      </c>
      <c r="AR121" s="2" t="s">
        <v>407</v>
      </c>
      <c r="AS121" s="2" t="n">
        <f aca="false">INDEX(Ratings!$B$2:$B$239,MATCH(AQ121,Ratings!$A$2:$A$239,0))</f>
        <v>-11.6</v>
      </c>
      <c r="AT121" s="2" t="n">
        <f aca="false">IF(AR121="Home",Assumptions!$B$2,IF(AR121="Away",-Assumptions!$B$2,0))</f>
        <v>-2.5</v>
      </c>
      <c r="AU121" s="2" t="n">
        <f aca="false">NORMDIST($B121-AS121+AT121,0,Assumptions!$B$3,TRUE())</f>
        <v>0.349193042462858</v>
      </c>
      <c r="AV121" s="2" t="s">
        <v>144</v>
      </c>
      <c r="AW121" s="2" t="s">
        <v>406</v>
      </c>
      <c r="AX121" s="2" t="n">
        <f aca="false">INDEX(Ratings!$B$2:$B$239,MATCH(AV121,Ratings!$A$2:$A$239,0))</f>
        <v>-4.3</v>
      </c>
      <c r="AY121" s="2" t="n">
        <f aca="false">IF(AW121="Home",Assumptions!$B$2,IF(AW121="Away",-Assumptions!$B$2,0))</f>
        <v>2.5</v>
      </c>
      <c r="AZ121" s="2" t="n">
        <f aca="false">NORMDIST($B121-AX121+AY121,0,Assumptions!$B$3,TRUE())</f>
        <v>0.297622774366408</v>
      </c>
      <c r="BA121" s="2" t="s">
        <v>157</v>
      </c>
      <c r="BB121" s="2" t="s">
        <v>407</v>
      </c>
      <c r="BC121" s="2" t="n">
        <f aca="false">INDEX(Ratings!$B$2:$B$239,MATCH(BA121,Ratings!$A$2:$A$239,0))</f>
        <v>-9.1</v>
      </c>
      <c r="BD121" s="2" t="n">
        <f aca="false">IF(BB121="Home",Assumptions!$B$2,IF(BB121="Away",-Assumptions!$B$2,0))</f>
        <v>-2.5</v>
      </c>
      <c r="BE121" s="2" t="n">
        <f aca="false">NORMDIST($B121-BC121+BD121,0,Assumptions!$B$3,TRUE())</f>
        <v>0.293306760083888</v>
      </c>
      <c r="BF121" s="2" t="s">
        <v>138</v>
      </c>
      <c r="BG121" s="2" t="s">
        <v>406</v>
      </c>
      <c r="BH121" s="2" t="n">
        <f aca="false">INDEX(Ratings!$B$2:$B$239,MATCH(BF121,Ratings!$A$2:$A$239,0))</f>
        <v>-2.4</v>
      </c>
      <c r="BI121" s="2" t="n">
        <f aca="false">IF(BG121="Home",Assumptions!$B$2,IF(BG121="Away",-Assumptions!$B$2,0))</f>
        <v>2.5</v>
      </c>
      <c r="BJ121" s="2" t="n">
        <f aca="false">NORMDIST($B121-BH121+BI121,0,Assumptions!$B$3,TRUE())</f>
        <v>0.257846110805865</v>
      </c>
      <c r="BP121" s="2" t="n">
        <v>12</v>
      </c>
      <c r="BQ121" s="2" t="n">
        <f aca="false">G121+L121+Q121+V121+AA121+AF121+AK121+AP121+AU121+AZ121+BE121+BJ121</f>
        <v>3.56495749225076</v>
      </c>
    </row>
    <row r="122" customFormat="false" ht="15" hidden="false" customHeight="false" outlineLevel="0" collapsed="false">
      <c r="A122" s="2" t="s">
        <v>178</v>
      </c>
      <c r="B122" s="2" t="n">
        <f aca="false">INDEX(Ratings!$B$2:$B$239,MATCH($A122,Ratings!$A$2:$A$239,0))</f>
        <v>-15.7</v>
      </c>
      <c r="C122" s="2" t="s">
        <v>69</v>
      </c>
      <c r="D122" s="2" t="s">
        <v>407</v>
      </c>
      <c r="E122" s="2" t="n">
        <f aca="false">INDEX(Ratings!$B$2:$B$239,MATCH(C122,Ratings!$A$2:$A$239,0))</f>
        <v>17.7</v>
      </c>
      <c r="F122" s="2" t="n">
        <f aca="false">IF(D122="Home",Assumptions!$B$2,IF(D122="Away",-Assumptions!$B$2,0))</f>
        <v>-2.5</v>
      </c>
      <c r="G122" s="2" t="n">
        <f aca="false">NORMDIST($B122-E122+F122,0,Assumptions!$B$3,TRUE())</f>
        <v>0.0124242455439734</v>
      </c>
      <c r="H122" s="2" t="s">
        <v>179</v>
      </c>
      <c r="I122" s="2" t="s">
        <v>407</v>
      </c>
      <c r="J122" s="2" t="n">
        <f aca="false">INDEX(Ratings!$B$2:$B$239,MATCH(H122,Ratings!$A$2:$A$239,0))</f>
        <v>-16.1</v>
      </c>
      <c r="K122" s="2" t="n">
        <f aca="false">IF(I122="Home",Assumptions!$B$2,IF(I122="Away",-Assumptions!$B$2,0))</f>
        <v>-2.5</v>
      </c>
      <c r="L122" s="2" t="n">
        <f aca="false">NORMDIST($B122-J122+K122,0,Assumptions!$B$3,TRUE())</f>
        <v>0.447788771872616</v>
      </c>
      <c r="M122" s="2" t="s">
        <v>248</v>
      </c>
      <c r="N122" s="2" t="s">
        <v>406</v>
      </c>
      <c r="O122" s="2" t="n">
        <f aca="false">INDEX(Ratings!$B$2:$B$239,MATCH(M122,Ratings!$A$2:$A$239,0))</f>
        <v>-23</v>
      </c>
      <c r="P122" s="2" t="n">
        <f aca="false">IF(N122="Home",Assumptions!$B$2,IF(N122="Away",-Assumptions!$B$2,0))</f>
        <v>2.5</v>
      </c>
      <c r="Q122" s="2" t="n">
        <f aca="false">NORMDIST($B122-O122+P122,0,Assumptions!$B$3,TRUE())</f>
        <v>0.729896500998765</v>
      </c>
      <c r="R122" s="2" t="s">
        <v>130</v>
      </c>
      <c r="S122" s="2" t="s">
        <v>406</v>
      </c>
      <c r="T122" s="2" t="n">
        <f aca="false">INDEX(Ratings!$B$2:$B$239,MATCH(R122,Ratings!$A$2:$A$239,0))</f>
        <v>-1.4</v>
      </c>
      <c r="U122" s="2" t="n">
        <f aca="false">IF(S122="Home",Assumptions!$B$2,IF(S122="Away",-Assumptions!$B$2,0))</f>
        <v>2.5</v>
      </c>
      <c r="V122" s="2" t="n">
        <f aca="false">NORMDIST($B122-T122+U122,0,Assumptions!$B$3,TRUE())</f>
        <v>0.230409171603573</v>
      </c>
      <c r="W122" s="2" t="s">
        <v>140</v>
      </c>
      <c r="X122" s="2" t="s">
        <v>407</v>
      </c>
      <c r="Y122" s="2" t="n">
        <f aca="false">INDEX(Ratings!$B$2:$B$239,MATCH(W122,Ratings!$A$2:$A$239,0))</f>
        <v>-2.6</v>
      </c>
      <c r="Z122" s="2" t="n">
        <f aca="false">IF(X122="Home",Assumptions!$B$2,IF(X122="Away",-Assumptions!$B$2,0))</f>
        <v>-2.5</v>
      </c>
      <c r="AA122" s="2" t="n">
        <f aca="false">NORMDIST($B122-Y122+Z122,0,Assumptions!$B$3,TRUE())</f>
        <v>0.16478012998031</v>
      </c>
      <c r="AB122" s="2" t="s">
        <v>161</v>
      </c>
      <c r="AC122" s="2" t="s">
        <v>406</v>
      </c>
      <c r="AD122" s="2" t="n">
        <f aca="false">INDEX(Ratings!$B$2:$B$239,MATCH(AB122,Ratings!$A$2:$A$239,0))</f>
        <v>-10.8</v>
      </c>
      <c r="AE122" s="2" t="n">
        <f aca="false">IF(AC122="Home",Assumptions!$B$2,IF(AC122="Away",-Assumptions!$B$2,0))</f>
        <v>2.5</v>
      </c>
      <c r="AF122" s="2" t="n">
        <f aca="false">NORMDIST($B122-AD122+AE122,0,Assumptions!$B$3,TRUE())</f>
        <v>0.440382307629758</v>
      </c>
      <c r="AG122" s="2" t="s">
        <v>184</v>
      </c>
      <c r="AH122" s="2" t="s">
        <v>407</v>
      </c>
      <c r="AI122" s="2" t="n">
        <f aca="false">INDEX(Ratings!$B$2:$B$239,MATCH(AG122,Ratings!$A$2:$A$239,0))</f>
        <v>-19.3</v>
      </c>
      <c r="AJ122" s="2" t="n">
        <f aca="false">IF(AH122="Home",Assumptions!$B$2,IF(AH122="Away",-Assumptions!$B$2,0))</f>
        <v>-2.5</v>
      </c>
      <c r="AK122" s="2" t="n">
        <f aca="false">NORMDIST($B122-AI122+AJ122,0,Assumptions!$B$3,TRUE())</f>
        <v>0.527405690960468</v>
      </c>
      <c r="AL122" s="2" t="s">
        <v>165</v>
      </c>
      <c r="AM122" s="2" t="s">
        <v>407</v>
      </c>
      <c r="AN122" s="2" t="n">
        <f aca="false">INDEX(Ratings!$B$2:$B$239,MATCH(AL122,Ratings!$A$2:$A$239,0))</f>
        <v>-11.7</v>
      </c>
      <c r="AO122" s="2" t="n">
        <f aca="false">IF(AM122="Home",Assumptions!$B$2,IF(AM122="Away",-Assumptions!$B$2,0))</f>
        <v>-2.5</v>
      </c>
      <c r="AP122" s="2" t="n">
        <f aca="false">NORMDIST($B122-AN122+AO122,0,Assumptions!$B$3,TRUE())</f>
        <v>0.342279459683951</v>
      </c>
      <c r="AQ122" s="2" t="s">
        <v>125</v>
      </c>
      <c r="AR122" s="2" t="s">
        <v>406</v>
      </c>
      <c r="AS122" s="2" t="n">
        <f aca="false">INDEX(Ratings!$B$2:$B$239,MATCH(AQ122,Ratings!$A$2:$A$239,0))</f>
        <v>0</v>
      </c>
      <c r="AT122" s="2" t="n">
        <f aca="false">IF(AR122="Home",Assumptions!$B$2,IF(AR122="Away",-Assumptions!$B$2,0))</f>
        <v>2.5</v>
      </c>
      <c r="AU122" s="2" t="n">
        <f aca="false">NORMDIST($B122-AS122+AT122,0,Assumptions!$B$3,TRUE())</f>
        <v>0.204685795347253</v>
      </c>
      <c r="AV122" s="2" t="s">
        <v>180</v>
      </c>
      <c r="AW122" s="2" t="s">
        <v>406</v>
      </c>
      <c r="AX122" s="2" t="n">
        <f aca="false">INDEX(Ratings!$B$2:$B$239,MATCH(AV122,Ratings!$A$2:$A$239,0))</f>
        <v>-17.2</v>
      </c>
      <c r="AY122" s="2" t="n">
        <f aca="false">IF(AW122="Home",Assumptions!$B$2,IF(AW122="Away",-Assumptions!$B$2,0))</f>
        <v>2.5</v>
      </c>
      <c r="AZ122" s="2" t="n">
        <f aca="false">NORMDIST($B122-AX122+AY122,0,Assumptions!$B$3,TRUE())</f>
        <v>0.598706325682924</v>
      </c>
      <c r="BA122" s="2" t="s">
        <v>141</v>
      </c>
      <c r="BB122" s="2" t="s">
        <v>407</v>
      </c>
      <c r="BC122" s="2" t="n">
        <f aca="false">INDEX(Ratings!$B$2:$B$239,MATCH(BA122,Ratings!$A$2:$A$239,0))</f>
        <v>-3.2</v>
      </c>
      <c r="BD122" s="2" t="n">
        <f aca="false">IF(BB122="Home",Assumptions!$B$2,IF(BB122="Away",-Assumptions!$B$2,0))</f>
        <v>-2.5</v>
      </c>
      <c r="BE122" s="2" t="n">
        <f aca="false">NORMDIST($B122-BC122+BD122,0,Assumptions!$B$3,TRUE())</f>
        <v>0.174250711880542</v>
      </c>
      <c r="BF122" s="2" t="s">
        <v>112</v>
      </c>
      <c r="BG122" s="2" t="s">
        <v>406</v>
      </c>
      <c r="BH122" s="2" t="n">
        <f aca="false">INDEX(Ratings!$B$2:$B$239,MATCH(BF122,Ratings!$A$2:$A$239,0))</f>
        <v>3.6</v>
      </c>
      <c r="BI122" s="2" t="n">
        <f aca="false">IF(BG122="Home",Assumptions!$B$2,IF(BG122="Away",-Assumptions!$B$2,0))</f>
        <v>2.5</v>
      </c>
      <c r="BJ122" s="2" t="n">
        <f aca="false">NORMDIST($B122-BH122+BI122,0,Assumptions!$B$3,TRUE())</f>
        <v>0.146859056375896</v>
      </c>
      <c r="BK122" s="2" t="s">
        <v>132</v>
      </c>
      <c r="BL122" s="2" t="s">
        <v>406</v>
      </c>
      <c r="BM122" s="2" t="n">
        <f aca="false">INDEX(Ratings!$B$2:$B$239,MATCH(BK122,Ratings!$A$2:$A$239,0))</f>
        <v>-1.8</v>
      </c>
      <c r="BN122" s="2" t="n">
        <f aca="false">IF(BL122="Home",Assumptions!$B$2,IF(BL122="Away",-Assumptions!$B$2,0))</f>
        <v>2.5</v>
      </c>
      <c r="BO122" s="2" t="n">
        <f aca="false">NORMDIST($B122-BM122+BN122,0,Assumptions!$B$3,TRUE())</f>
        <v>0.23807760572368</v>
      </c>
      <c r="BP122" s="2" t="n">
        <v>13</v>
      </c>
      <c r="BQ122" s="2" t="n">
        <f aca="false">G122+L122+Q122+V122+AA122+AF122+AK122+AP122+AU122+AZ122+BE122+BJ122+BO122</f>
        <v>4.25794577328371</v>
      </c>
    </row>
    <row r="123" customFormat="false" ht="15" hidden="false" customHeight="false" outlineLevel="0" collapsed="false">
      <c r="A123" s="2" t="s">
        <v>179</v>
      </c>
      <c r="B123" s="2" t="n">
        <f aca="false">INDEX(Ratings!$B$2:$B$239,MATCH($A123,Ratings!$A$2:$A$239,0))</f>
        <v>-16.1</v>
      </c>
      <c r="C123" s="2" t="s">
        <v>188</v>
      </c>
      <c r="D123" s="2" t="s">
        <v>406</v>
      </c>
      <c r="E123" s="2" t="n">
        <f aca="false">INDEX(Ratings!$B$2:$B$239,MATCH(C123,Ratings!$A$2:$A$239,0))</f>
        <v>-23.4</v>
      </c>
      <c r="F123" s="2" t="n">
        <f aca="false">IF(D123="Home",Assumptions!$B$2,IF(D123="Away",-Assumptions!$B$2,0))</f>
        <v>2.5</v>
      </c>
      <c r="G123" s="2" t="n">
        <f aca="false">NORMDIST($B123-E123+F123,0,Assumptions!$B$3,TRUE())</f>
        <v>0.729896500998765</v>
      </c>
      <c r="H123" s="2" t="s">
        <v>178</v>
      </c>
      <c r="I123" s="2" t="s">
        <v>406</v>
      </c>
      <c r="J123" s="2" t="n">
        <f aca="false">INDEX(Ratings!$B$2:$B$239,MATCH(H123,Ratings!$A$2:$A$239,0))</f>
        <v>-15.7</v>
      </c>
      <c r="K123" s="2" t="n">
        <f aca="false">IF(I123="Home",Assumptions!$B$2,IF(I123="Away",-Assumptions!$B$2,0))</f>
        <v>2.5</v>
      </c>
      <c r="L123" s="2" t="n">
        <f aca="false">NORMDIST($B123-J123+K123,0,Assumptions!$B$3,TRUE())</f>
        <v>0.552211228127384</v>
      </c>
      <c r="M123" s="2" t="s">
        <v>119</v>
      </c>
      <c r="N123" s="2" t="s">
        <v>407</v>
      </c>
      <c r="O123" s="2" t="n">
        <f aca="false">INDEX(Ratings!$B$2:$B$239,MATCH(M123,Ratings!$A$2:$A$239,0))</f>
        <v>2.2</v>
      </c>
      <c r="P123" s="2" t="n">
        <f aca="false">IF(N123="Home",Assumptions!$B$2,IF(N123="Away",-Assumptions!$B$2,0))</f>
        <v>-2.5</v>
      </c>
      <c r="Q123" s="2" t="n">
        <f aca="false">NORMDIST($B123-O123+P123,0,Assumptions!$B$3,TRUE())</f>
        <v>0.0968004845856103</v>
      </c>
      <c r="R123" s="2" t="s">
        <v>110</v>
      </c>
      <c r="S123" s="2" t="s">
        <v>407</v>
      </c>
      <c r="T123" s="2" t="n">
        <f aca="false">INDEX(Ratings!$B$2:$B$239,MATCH(R123,Ratings!$A$2:$A$239,0))</f>
        <v>3.8</v>
      </c>
      <c r="U123" s="2" t="n">
        <f aca="false">IF(S123="Home",Assumptions!$B$2,IF(S123="Away",-Assumptions!$B$2,0))</f>
        <v>-2.5</v>
      </c>
      <c r="V123" s="2" t="n">
        <f aca="false">NORMDIST($B123-T123+U123,0,Assumptions!$B$3,TRUE())</f>
        <v>0.080756659233771</v>
      </c>
      <c r="W123" s="2" t="s">
        <v>278</v>
      </c>
      <c r="X123" s="2" t="s">
        <v>406</v>
      </c>
      <c r="Y123" s="2" t="n">
        <f aca="false">INDEX(Ratings!$B$2:$B$239,MATCH(W123,Ratings!$A$2:$A$239,0))</f>
        <v>-39</v>
      </c>
      <c r="Z123" s="2" t="n">
        <f aca="false">IF(X123="Home",Assumptions!$B$2,IF(X123="Away",-Assumptions!$B$2,0))</f>
        <v>2.5</v>
      </c>
      <c r="AA123" s="2" t="n">
        <f aca="false">NORMDIST($B123-Y123+Z123,0,Assumptions!$B$3,TRUE())</f>
        <v>0.943800276516705</v>
      </c>
      <c r="AB123" s="2" t="s">
        <v>195</v>
      </c>
      <c r="AC123" s="2" t="s">
        <v>407</v>
      </c>
      <c r="AD123" s="2" t="n">
        <f aca="false">INDEX(Ratings!$B$2:$B$239,MATCH(AB123,Ratings!$A$2:$A$239,0))</f>
        <v>-32.9</v>
      </c>
      <c r="AE123" s="2" t="n">
        <f aca="false">IF(AC123="Home",Assumptions!$B$2,IF(AC123="Away",-Assumptions!$B$2,0))</f>
        <v>-2.5</v>
      </c>
      <c r="AF123" s="2" t="n">
        <f aca="false">NORMDIST($B123-AD123+AE123,0,Assumptions!$B$3,TRUE())</f>
        <v>0.814272166652096</v>
      </c>
      <c r="AG123" s="2" t="s">
        <v>187</v>
      </c>
      <c r="AH123" s="2" t="s">
        <v>407</v>
      </c>
      <c r="AI123" s="2" t="n">
        <f aca="false">INDEX(Ratings!$B$2:$B$239,MATCH(AG123,Ratings!$A$2:$A$239,0))</f>
        <v>-22.9</v>
      </c>
      <c r="AJ123" s="2" t="n">
        <f aca="false">IF(AH123="Home",Assumptions!$B$2,IF(AH123="Away",-Assumptions!$B$2,0))</f>
        <v>-2.5</v>
      </c>
      <c r="AK123" s="2" t="n">
        <f aca="false">NORMDIST($B123-AI123+AJ123,0,Assumptions!$B$3,TRUE())</f>
        <v>0.605938963847754</v>
      </c>
      <c r="AL123" s="2" t="s">
        <v>158</v>
      </c>
      <c r="AM123" s="2" t="s">
        <v>406</v>
      </c>
      <c r="AN123" s="2" t="n">
        <f aca="false">INDEX(Ratings!$B$2:$B$239,MATCH(AL123,Ratings!$A$2:$A$239,0))</f>
        <v>-9.1</v>
      </c>
      <c r="AO123" s="2" t="n">
        <f aca="false">IF(AM123="Home",Assumptions!$B$2,IF(AM123="Away",-Assumptions!$B$2,0))</f>
        <v>2.5</v>
      </c>
      <c r="AP123" s="2" t="n">
        <f aca="false">NORMDIST($B123-AN123+AO123,0,Assumptions!$B$3,TRUE())</f>
        <v>0.389259328607937</v>
      </c>
      <c r="AQ123" s="2" t="s">
        <v>166</v>
      </c>
      <c r="AR123" s="2" t="s">
        <v>407</v>
      </c>
      <c r="AS123" s="2" t="n">
        <f aca="false">INDEX(Ratings!$B$2:$B$239,MATCH(AQ123,Ratings!$A$2:$A$239,0))</f>
        <v>-11.8</v>
      </c>
      <c r="AT123" s="2" t="n">
        <f aca="false">IF(AR123="Home",Assumptions!$B$2,IF(AR123="Away",-Assumptions!$B$2,0))</f>
        <v>-2.5</v>
      </c>
      <c r="AU123" s="2" t="n">
        <f aca="false">NORMDIST($B123-AS123+AT123,0,Assumptions!$B$3,TRUE())</f>
        <v>0.335418337370169</v>
      </c>
      <c r="AV123" s="2" t="s">
        <v>176</v>
      </c>
      <c r="AW123" s="2" t="s">
        <v>408</v>
      </c>
      <c r="AX123" s="2" t="n">
        <f aca="false">INDEX(Ratings!$B$2:$B$239,MATCH(AV123,Ratings!$A$2:$A$239,0))</f>
        <v>-15.1</v>
      </c>
      <c r="AY123" s="2" t="n">
        <f aca="false">IF(AW123="Home",Assumptions!$B$2,IF(AW123="Away",-Assumptions!$B$2,0))</f>
        <v>0</v>
      </c>
      <c r="AZ123" s="2" t="n">
        <f aca="false">NORMDIST($B123-AX123+AY123,0,Assumptions!$B$3,TRUE())</f>
        <v>0.475082330970753</v>
      </c>
      <c r="BA123" s="2" t="s">
        <v>147</v>
      </c>
      <c r="BB123" s="2" t="s">
        <v>407</v>
      </c>
      <c r="BC123" s="2" t="n">
        <f aca="false">INDEX(Ratings!$B$2:$B$239,MATCH(BA123,Ratings!$A$2:$A$239,0))</f>
        <v>-6</v>
      </c>
      <c r="BD123" s="2" t="n">
        <f aca="false">IF(BB123="Home",Assumptions!$B$2,IF(BB123="Away",-Assumptions!$B$2,0))</f>
        <v>-2.5</v>
      </c>
      <c r="BE123" s="2" t="n">
        <f aca="false">NORMDIST($B123-BC123+BD123,0,Assumptions!$B$3,TRUE())</f>
        <v>0.215494614210054</v>
      </c>
      <c r="BF123" s="2" t="s">
        <v>186</v>
      </c>
      <c r="BG123" s="2" t="s">
        <v>406</v>
      </c>
      <c r="BH123" s="2" t="n">
        <f aca="false">INDEX(Ratings!$B$2:$B$239,MATCH(BF123,Ratings!$A$2:$A$239,0))</f>
        <v>-22.4</v>
      </c>
      <c r="BI123" s="2" t="n">
        <f aca="false">IF(BG123="Home",Assumptions!$B$2,IF(BG123="Away",-Assumptions!$B$2,0))</f>
        <v>2.5</v>
      </c>
      <c r="BJ123" s="2" t="n">
        <f aca="false">NORMDIST($B123-BH123+BI123,0,Assumptions!$B$3,TRUE())</f>
        <v>0.708840313211654</v>
      </c>
      <c r="BP123" s="2" t="n">
        <v>12</v>
      </c>
      <c r="BQ123" s="2" t="n">
        <f aca="false">G123+L123+Q123+V123+AA123+AF123+AK123+AP123+AU123+AZ123+BE123+BJ123</f>
        <v>5.94777120433265</v>
      </c>
    </row>
    <row r="124" customFormat="false" ht="15" hidden="false" customHeight="false" outlineLevel="0" collapsed="false">
      <c r="A124" s="2" t="s">
        <v>180</v>
      </c>
      <c r="B124" s="2" t="n">
        <f aca="false">INDEX(Ratings!$B$2:$B$239,MATCH($A124,Ratings!$A$2:$A$239,0))</f>
        <v>-17.2</v>
      </c>
      <c r="C124" s="2" t="s">
        <v>79</v>
      </c>
      <c r="D124" s="2" t="s">
        <v>407</v>
      </c>
      <c r="E124" s="2" t="n">
        <f aca="false">INDEX(Ratings!$B$2:$B$239,MATCH(C124,Ratings!$A$2:$A$239,0))</f>
        <v>14.6</v>
      </c>
      <c r="F124" s="2" t="n">
        <f aca="false">IF(D124="Home",Assumptions!$B$2,IF(D124="Away",-Assumptions!$B$2,0))</f>
        <v>-2.5</v>
      </c>
      <c r="G124" s="2" t="n">
        <f aca="false">NORMDIST($B124-E124+F124,0,Assumptions!$B$3,TRUE())</f>
        <v>0.0160264617822193</v>
      </c>
      <c r="H124" s="2" t="s">
        <v>273</v>
      </c>
      <c r="I124" s="2" t="s">
        <v>406</v>
      </c>
      <c r="J124" s="2" t="n">
        <f aca="false">INDEX(Ratings!$B$2:$B$239,MATCH(H124,Ratings!$A$2:$A$239,0))</f>
        <v>-11</v>
      </c>
      <c r="K124" s="2" t="n">
        <f aca="false">IF(I124="Home",Assumptions!$B$2,IF(I124="Away",-Assumptions!$B$2,0))</f>
        <v>2.5</v>
      </c>
      <c r="L124" s="2" t="n">
        <f aca="false">NORMDIST($B124-J124+K124,0,Assumptions!$B$3,TRUE())</f>
        <v>0.408560294059836</v>
      </c>
      <c r="M124" s="2" t="s">
        <v>88</v>
      </c>
      <c r="N124" s="2" t="s">
        <v>407</v>
      </c>
      <c r="O124" s="2" t="n">
        <f aca="false">INDEX(Ratings!$B$2:$B$239,MATCH(M124,Ratings!$A$2:$A$239,0))</f>
        <v>9.5</v>
      </c>
      <c r="P124" s="2" t="n">
        <f aca="false">IF(N124="Home",Assumptions!$B$2,IF(N124="Away",-Assumptions!$B$2,0))</f>
        <v>-2.5</v>
      </c>
      <c r="Q124" s="2" t="n">
        <f aca="false">NORMDIST($B124-O124+P124,0,Assumptions!$B$3,TRUE())</f>
        <v>0.0340005146698224</v>
      </c>
      <c r="R124" s="2" t="s">
        <v>194</v>
      </c>
      <c r="S124" s="2" t="s">
        <v>407</v>
      </c>
      <c r="T124" s="2" t="n">
        <f aca="false">INDEX(Ratings!$B$2:$B$239,MATCH(R124,Ratings!$A$2:$A$239,0))</f>
        <v>-29.3</v>
      </c>
      <c r="U124" s="2" t="n">
        <f aca="false">IF(S124="Home",Assumptions!$B$2,IF(S124="Away",-Assumptions!$B$2,0))</f>
        <v>-2.5</v>
      </c>
      <c r="V124" s="2" t="n">
        <f aca="false">NORMDIST($B124-T124+U124,0,Assumptions!$B$3,TRUE())</f>
        <v>0.725746882249927</v>
      </c>
      <c r="W124" s="2" t="s">
        <v>141</v>
      </c>
      <c r="X124" s="2" t="s">
        <v>406</v>
      </c>
      <c r="Y124" s="2" t="n">
        <f aca="false">INDEX(Ratings!$B$2:$B$239,MATCH(W124,Ratings!$A$2:$A$239,0))</f>
        <v>-3.2</v>
      </c>
      <c r="Z124" s="2" t="n">
        <f aca="false">IF(X124="Home",Assumptions!$B$2,IF(X124="Away",-Assumptions!$B$2,0))</f>
        <v>2.5</v>
      </c>
      <c r="AA124" s="2" t="n">
        <f aca="false">NORMDIST($B124-Y124+Z124,0,Assumptions!$B$3,TRUE())</f>
        <v>0.236147484972854</v>
      </c>
      <c r="AB124" s="2" t="s">
        <v>161</v>
      </c>
      <c r="AC124" s="2" t="s">
        <v>407</v>
      </c>
      <c r="AD124" s="2" t="n">
        <f aca="false">INDEX(Ratings!$B$2:$B$239,MATCH(AB124,Ratings!$A$2:$A$239,0))</f>
        <v>-10.8</v>
      </c>
      <c r="AE124" s="2" t="n">
        <f aca="false">IF(AC124="Home",Assumptions!$B$2,IF(AC124="Away",-Assumptions!$B$2,0))</f>
        <v>-2.5</v>
      </c>
      <c r="AF124" s="2" t="n">
        <f aca="false">NORMDIST($B124-AD124+AE124,0,Assumptions!$B$3,TRUE())</f>
        <v>0.289019981362493</v>
      </c>
      <c r="AG124" s="2" t="s">
        <v>140</v>
      </c>
      <c r="AH124" s="2" t="s">
        <v>406</v>
      </c>
      <c r="AI124" s="2" t="n">
        <f aca="false">INDEX(Ratings!$B$2:$B$239,MATCH(AG124,Ratings!$A$2:$A$239,0))</f>
        <v>-2.6</v>
      </c>
      <c r="AJ124" s="2" t="n">
        <f aca="false">IF(AH124="Home",Assumptions!$B$2,IF(AH124="Away",-Assumptions!$B$2,0))</f>
        <v>2.5</v>
      </c>
      <c r="AK124" s="2" t="n">
        <f aca="false">NORMDIST($B124-AI124+AJ124,0,Assumptions!$B$3,TRUE())</f>
        <v>0.22474965994458</v>
      </c>
      <c r="AL124" s="2" t="s">
        <v>112</v>
      </c>
      <c r="AM124" s="2" t="s">
        <v>407</v>
      </c>
      <c r="AN124" s="2" t="n">
        <f aca="false">INDEX(Ratings!$B$2:$B$239,MATCH(AL124,Ratings!$A$2:$A$239,0))</f>
        <v>3.6</v>
      </c>
      <c r="AO124" s="2" t="n">
        <f aca="false">IF(AM124="Home",Assumptions!$B$2,IF(AM124="Away",-Assumptions!$B$2,0))</f>
        <v>-2.5</v>
      </c>
      <c r="AP124" s="2" t="n">
        <f aca="false">NORMDIST($B124-AN124+AO124,0,Assumptions!$B$3,TRUE())</f>
        <v>0.0726617610201275</v>
      </c>
      <c r="AQ124" s="2" t="s">
        <v>178</v>
      </c>
      <c r="AR124" s="2" t="s">
        <v>407</v>
      </c>
      <c r="AS124" s="2" t="n">
        <f aca="false">INDEX(Ratings!$B$2:$B$239,MATCH(AQ124,Ratings!$A$2:$A$239,0))</f>
        <v>-15.7</v>
      </c>
      <c r="AT124" s="2" t="n">
        <f aca="false">IF(AR124="Home",Assumptions!$B$2,IF(AR124="Away",-Assumptions!$B$2,0))</f>
        <v>-2.5</v>
      </c>
      <c r="AU124" s="2" t="n">
        <f aca="false">NORMDIST($B124-AS124+AT124,0,Assumptions!$B$3,TRUE())</f>
        <v>0.401293674317076</v>
      </c>
      <c r="AV124" s="2" t="s">
        <v>165</v>
      </c>
      <c r="AW124" s="2" t="s">
        <v>406</v>
      </c>
      <c r="AX124" s="2" t="n">
        <f aca="false">INDEX(Ratings!$B$2:$B$239,MATCH(AV124,Ratings!$A$2:$A$239,0))</f>
        <v>-11.7</v>
      </c>
      <c r="AY124" s="2" t="n">
        <f aca="false">IF(AW124="Home",Assumptions!$B$2,IF(AW124="Away",-Assumptions!$B$2,0))</f>
        <v>2.5</v>
      </c>
      <c r="AZ124" s="2" t="n">
        <f aca="false">NORMDIST($B124-AX124+AY124,0,Assumptions!$B$3,TRUE())</f>
        <v>0.425634311844103</v>
      </c>
      <c r="BA124" s="2" t="s">
        <v>132</v>
      </c>
      <c r="BB124" s="2" t="s">
        <v>407</v>
      </c>
      <c r="BC124" s="2" t="n">
        <f aca="false">INDEX(Ratings!$B$2:$B$239,MATCH(BA124,Ratings!$A$2:$A$239,0))</f>
        <v>-1.8</v>
      </c>
      <c r="BD124" s="2" t="n">
        <f aca="false">IF(BB124="Home",Assumptions!$B$2,IF(BB124="Away",-Assumptions!$B$2,0))</f>
        <v>-2.5</v>
      </c>
      <c r="BE124" s="2" t="n">
        <f aca="false">NORMDIST($B124-BC124+BD124,0,Assumptions!$B$3,TRUE())</f>
        <v>0.131623403929306</v>
      </c>
      <c r="BF124" s="2" t="s">
        <v>184</v>
      </c>
      <c r="BG124" s="2" t="s">
        <v>406</v>
      </c>
      <c r="BH124" s="2" t="n">
        <f aca="false">INDEX(Ratings!$B$2:$B$239,MATCH(BF124,Ratings!$A$2:$A$239,0))</f>
        <v>-19.3</v>
      </c>
      <c r="BI124" s="2" t="n">
        <f aca="false">IF(BG124="Home",Assumptions!$B$2,IF(BG124="Away",-Assumptions!$B$2,0))</f>
        <v>2.5</v>
      </c>
      <c r="BJ124" s="2" t="n">
        <f aca="false">NORMDIST($B124-BH124+BI124,0,Assumptions!$B$3,TRUE())</f>
        <v>0.613135249031273</v>
      </c>
      <c r="BP124" s="2" t="n">
        <v>12</v>
      </c>
      <c r="BQ124" s="2" t="n">
        <f aca="false">G124+L124+Q124+V124+AA124+AF124+AK124+AP124+AU124+AZ124+BE124+BJ124</f>
        <v>3.57859967918362</v>
      </c>
    </row>
    <row r="125" customFormat="false" ht="15" hidden="false" customHeight="false" outlineLevel="0" collapsed="false">
      <c r="A125" s="2" t="s">
        <v>181</v>
      </c>
      <c r="B125" s="2" t="n">
        <f aca="false">INDEX(Ratings!$B$2:$B$239,MATCH($A125,Ratings!$A$2:$A$239,0))</f>
        <v>-17.5</v>
      </c>
      <c r="C125" s="2" t="s">
        <v>85</v>
      </c>
      <c r="D125" s="2" t="s">
        <v>407</v>
      </c>
      <c r="E125" s="2" t="n">
        <f aca="false">INDEX(Ratings!$B$2:$B$239,MATCH(C125,Ratings!$A$2:$A$239,0))</f>
        <v>10.4</v>
      </c>
      <c r="F125" s="2" t="n">
        <f aca="false">IF(D125="Home",Assumptions!$B$2,IF(D125="Away",-Assumptions!$B$2,0))</f>
        <v>-2.5</v>
      </c>
      <c r="G125" s="2" t="n">
        <f aca="false">NORMDIST($B125-E125+F125,0,Assumptions!$B$3,TRUE())</f>
        <v>0.0287165598160018</v>
      </c>
      <c r="H125" s="2" t="s">
        <v>193</v>
      </c>
      <c r="I125" s="2" t="s">
        <v>406</v>
      </c>
      <c r="J125" s="2" t="n">
        <f aca="false">INDEX(Ratings!$B$2:$B$239,MATCH(H125,Ratings!$A$2:$A$239,0))</f>
        <v>-28.9</v>
      </c>
      <c r="K125" s="2" t="n">
        <f aca="false">IF(I125="Home",Assumptions!$B$2,IF(I125="Away",-Assumptions!$B$2,0))</f>
        <v>2.5</v>
      </c>
      <c r="L125" s="2" t="n">
        <f aca="false">NORMDIST($B125-J125+K125,0,Assumptions!$B$3,TRUE())</f>
        <v>0.807508056658567</v>
      </c>
      <c r="M125" s="2" t="s">
        <v>159</v>
      </c>
      <c r="N125" s="2" t="s">
        <v>407</v>
      </c>
      <c r="O125" s="2" t="n">
        <f aca="false">INDEX(Ratings!$B$2:$B$239,MATCH(M125,Ratings!$A$2:$A$239,0))</f>
        <v>-10.6</v>
      </c>
      <c r="P125" s="2" t="n">
        <f aca="false">IF(N125="Home",Assumptions!$B$2,IF(N125="Away",-Assumptions!$B$2,0))</f>
        <v>-2.5</v>
      </c>
      <c r="Q125" s="2" t="n">
        <f aca="false">NORMDIST($B125-O125+P125,0,Assumptions!$B$3,TRUE())</f>
        <v>0.278433975231589</v>
      </c>
      <c r="R125" s="2" t="s">
        <v>121</v>
      </c>
      <c r="S125" s="2" t="s">
        <v>406</v>
      </c>
      <c r="T125" s="2" t="n">
        <f aca="false">INDEX(Ratings!$B$2:$B$239,MATCH(R125,Ratings!$A$2:$A$239,0))</f>
        <v>1.2</v>
      </c>
      <c r="U125" s="2" t="n">
        <f aca="false">IF(S125="Home",Assumptions!$B$2,IF(S125="Away",-Assumptions!$B$2,0))</f>
        <v>2.5</v>
      </c>
      <c r="V125" s="2" t="n">
        <f aca="false">NORMDIST($B125-T125+U125,0,Assumptions!$B$3,TRUE())</f>
        <v>0.155649523346769</v>
      </c>
      <c r="W125" s="2" t="s">
        <v>307</v>
      </c>
      <c r="X125" s="2" t="s">
        <v>406</v>
      </c>
      <c r="Y125" s="2" t="n">
        <f aca="false">INDEX(Ratings!$B$2:$B$239,MATCH(W125,Ratings!$A$2:$A$239,0))</f>
        <v>-30</v>
      </c>
      <c r="Z125" s="2" t="n">
        <f aca="false">IF(X125="Home",Assumptions!$B$2,IF(X125="Away",-Assumptions!$B$2,0))</f>
        <v>2.5</v>
      </c>
      <c r="AA125" s="2" t="n">
        <f aca="false">NORMDIST($B125-Y125+Z125,0,Assumptions!$B$3,TRUE())</f>
        <v>0.825749288119458</v>
      </c>
      <c r="AB125" s="2" t="s">
        <v>124</v>
      </c>
      <c r="AC125" s="2" t="s">
        <v>407</v>
      </c>
      <c r="AD125" s="2" t="n">
        <f aca="false">INDEX(Ratings!$B$2:$B$239,MATCH(AB125,Ratings!$A$2:$A$239,0))</f>
        <v>0.3</v>
      </c>
      <c r="AE125" s="2" t="n">
        <f aca="false">IF(AC125="Home",Assumptions!$B$2,IF(AC125="Away",-Assumptions!$B$2,0))</f>
        <v>-2.5</v>
      </c>
      <c r="AF125" s="2" t="n">
        <f aca="false">NORMDIST($B125-AD125+AE125,0,Assumptions!$B$3,TRUE())</f>
        <v>0.102265121621565</v>
      </c>
      <c r="AG125" s="2" t="s">
        <v>137</v>
      </c>
      <c r="AH125" s="2" t="s">
        <v>406</v>
      </c>
      <c r="AI125" s="2" t="n">
        <f aca="false">INDEX(Ratings!$B$2:$B$239,MATCH(AG125,Ratings!$A$2:$A$239,0))</f>
        <v>-2.3</v>
      </c>
      <c r="AJ125" s="2" t="n">
        <f aca="false">IF(AH125="Home",Assumptions!$B$2,IF(AH125="Away",-Assumptions!$B$2,0))</f>
        <v>2.5</v>
      </c>
      <c r="AK125" s="2" t="n">
        <f aca="false">NORMDIST($B125-AI125+AJ125,0,Assumptions!$B$3,TRUE())</f>
        <v>0.213670492940356</v>
      </c>
      <c r="AL125" s="2" t="s">
        <v>131</v>
      </c>
      <c r="AM125" s="2" t="s">
        <v>407</v>
      </c>
      <c r="AN125" s="2" t="n">
        <f aca="false">INDEX(Ratings!$B$2:$B$239,MATCH(AL125,Ratings!$A$2:$A$239,0))</f>
        <v>-1.7</v>
      </c>
      <c r="AO125" s="2" t="n">
        <f aca="false">IF(AM125="Home",Assumptions!$B$2,IF(AM125="Away",-Assumptions!$B$2,0))</f>
        <v>-2.5</v>
      </c>
      <c r="AP125" s="2" t="n">
        <f aca="false">NORMDIST($B125-AN125+AO125,0,Assumptions!$B$3,TRUE())</f>
        <v>0.126363665515411</v>
      </c>
      <c r="AQ125" s="2" t="s">
        <v>189</v>
      </c>
      <c r="AR125" s="2" t="s">
        <v>406</v>
      </c>
      <c r="AS125" s="2" t="n">
        <f aca="false">INDEX(Ratings!$B$2:$B$239,MATCH(AQ125,Ratings!$A$2:$A$239,0))</f>
        <v>-24.1</v>
      </c>
      <c r="AT125" s="2" t="n">
        <f aca="false">IF(AR125="Home",Assumptions!$B$2,IF(AR125="Away",-Assumptions!$B$2,0))</f>
        <v>2.5</v>
      </c>
      <c r="AU125" s="2" t="n">
        <f aca="false">NORMDIST($B125-AS125+AT125,0,Assumptions!$B$3,TRUE())</f>
        <v>0.715237094620453</v>
      </c>
      <c r="AV125" s="2" t="s">
        <v>157</v>
      </c>
      <c r="AW125" s="2" t="s">
        <v>407</v>
      </c>
      <c r="AX125" s="2" t="n">
        <f aca="false">INDEX(Ratings!$B$2:$B$239,MATCH(AV125,Ratings!$A$2:$A$239,0))</f>
        <v>-9.1</v>
      </c>
      <c r="AY125" s="2" t="n">
        <f aca="false">IF(AW125="Home",Assumptions!$B$2,IF(AW125="Away",-Assumptions!$B$2,0))</f>
        <v>-2.5</v>
      </c>
      <c r="AZ125" s="2" t="n">
        <f aca="false">NORMDIST($B125-AX125+AY125,0,Assumptions!$B$3,TRUE())</f>
        <v>0.247856657564262</v>
      </c>
      <c r="BA125" s="2" t="s">
        <v>128</v>
      </c>
      <c r="BB125" s="2" t="s">
        <v>406</v>
      </c>
      <c r="BC125" s="2" t="n">
        <f aca="false">INDEX(Ratings!$B$2:$B$239,MATCH(BA125,Ratings!$A$2:$A$239,0))</f>
        <v>-1.1</v>
      </c>
      <c r="BD125" s="2" t="n">
        <f aca="false">IF(BB125="Home",Assumptions!$B$2,IF(BB125="Away",-Assumptions!$B$2,0))</f>
        <v>2.5</v>
      </c>
      <c r="BE125" s="2" t="n">
        <f aca="false">NORMDIST($B125-BC125+BD125,0,Assumptions!$B$3,TRUE())</f>
        <v>0.192491943341433</v>
      </c>
      <c r="BF125" s="2" t="s">
        <v>162</v>
      </c>
      <c r="BG125" s="2" t="s">
        <v>407</v>
      </c>
      <c r="BH125" s="2" t="n">
        <f aca="false">INDEX(Ratings!$B$2:$B$239,MATCH(BF125,Ratings!$A$2:$A$239,0))</f>
        <v>-11.6</v>
      </c>
      <c r="BI125" s="2" t="n">
        <f aca="false">IF(BG125="Home",Assumptions!$B$2,IF(BG125="Away",-Assumptions!$B$2,0))</f>
        <v>-2.5</v>
      </c>
      <c r="BJ125" s="2" t="n">
        <f aca="false">NORMDIST($B125-BH125+BI125,0,Assumptions!$B$3,TRUE())</f>
        <v>0.299791595468696</v>
      </c>
      <c r="BP125" s="2" t="n">
        <v>12</v>
      </c>
      <c r="BQ125" s="2" t="n">
        <f aca="false">G125+L125+Q125+V125+AA125+AF125+AK125+AP125+AU125+AZ125+BE125+BJ125</f>
        <v>3.99373397424456</v>
      </c>
    </row>
    <row r="126" customFormat="false" ht="15" hidden="false" customHeight="false" outlineLevel="0" collapsed="false">
      <c r="A126" s="2" t="s">
        <v>182</v>
      </c>
      <c r="B126" s="2" t="n">
        <f aca="false">INDEX(Ratings!$B$2:$B$239,MATCH($A126,Ratings!$A$2:$A$239,0))</f>
        <v>-18.5</v>
      </c>
      <c r="C126" s="2" t="s">
        <v>92</v>
      </c>
      <c r="D126" s="2" t="s">
        <v>407</v>
      </c>
      <c r="E126" s="2" t="n">
        <f aca="false">INDEX(Ratings!$B$2:$B$239,MATCH(C126,Ratings!$A$2:$A$239,0))</f>
        <v>9.1</v>
      </c>
      <c r="F126" s="2" t="n">
        <f aca="false">IF(D126="Home",Assumptions!$B$2,IF(D126="Away",-Assumptions!$B$2,0))</f>
        <v>-2.5</v>
      </c>
      <c r="G126" s="2" t="n">
        <f aca="false">NORMDIST($B126-E126+F126,0,Assumptions!$B$3,TRUE())</f>
        <v>0.0299689595332247</v>
      </c>
      <c r="H126" s="2" t="s">
        <v>283</v>
      </c>
      <c r="I126" s="2" t="s">
        <v>406</v>
      </c>
      <c r="J126" s="2" t="n">
        <f aca="false">INDEX(Ratings!$B$2:$B$239,MATCH(H126,Ratings!$A$2:$A$239,0))</f>
        <v>-56</v>
      </c>
      <c r="K126" s="2" t="n">
        <f aca="false">IF(I126="Home",Assumptions!$B$2,IF(I126="Away",-Assumptions!$B$2,0))</f>
        <v>2.5</v>
      </c>
      <c r="L126" s="2" t="n">
        <f aca="false">NORMDIST($B126-J126+K126,0,Assumptions!$B$3,TRUE())</f>
        <v>0.993790334674224</v>
      </c>
      <c r="M126" s="2" t="s">
        <v>140</v>
      </c>
      <c r="N126" s="2" t="s">
        <v>407</v>
      </c>
      <c r="O126" s="2" t="n">
        <f aca="false">INDEX(Ratings!$B$2:$B$239,MATCH(M126,Ratings!$A$2:$A$239,0))</f>
        <v>-2.6</v>
      </c>
      <c r="P126" s="2" t="n">
        <f aca="false">IF(N126="Home",Assumptions!$B$2,IF(N126="Away",-Assumptions!$B$2,0))</f>
        <v>-2.5</v>
      </c>
      <c r="Q126" s="2" t="n">
        <f aca="false">NORMDIST($B126-O126+P126,0,Assumptions!$B$3,TRUE())</f>
        <v>0.12507193563715</v>
      </c>
      <c r="R126" s="2" t="s">
        <v>125</v>
      </c>
      <c r="S126" s="2" t="s">
        <v>406</v>
      </c>
      <c r="T126" s="2" t="n">
        <f aca="false">INDEX(Ratings!$B$2:$B$239,MATCH(R126,Ratings!$A$2:$A$239,0))</f>
        <v>0</v>
      </c>
      <c r="U126" s="2" t="n">
        <f aca="false">IF(S126="Home",Assumptions!$B$2,IF(S126="Away",-Assumptions!$B$2,0))</f>
        <v>2.5</v>
      </c>
      <c r="V126" s="2" t="n">
        <f aca="false">NORMDIST($B126-T126+U126,0,Assumptions!$B$3,TRUE())</f>
        <v>0.158655253931457</v>
      </c>
      <c r="W126" s="2" t="s">
        <v>151</v>
      </c>
      <c r="X126" s="2" t="s">
        <v>406</v>
      </c>
      <c r="Y126" s="2" t="n">
        <f aca="false">INDEX(Ratings!$B$2:$B$239,MATCH(W126,Ratings!$A$2:$A$239,0))</f>
        <v>-7.3</v>
      </c>
      <c r="Z126" s="2" t="n">
        <f aca="false">IF(X126="Home",Assumptions!$B$2,IF(X126="Away",-Assumptions!$B$2,0))</f>
        <v>2.5</v>
      </c>
      <c r="AA126" s="2" t="n">
        <f aca="false">NORMDIST($B126-Y126+Z126,0,Assumptions!$B$3,TRUE())</f>
        <v>0.293306760083888</v>
      </c>
      <c r="AB126" s="2" t="s">
        <v>172</v>
      </c>
      <c r="AC126" s="2" t="s">
        <v>407</v>
      </c>
      <c r="AD126" s="2" t="n">
        <f aca="false">INDEX(Ratings!$B$2:$B$239,MATCH(AB126,Ratings!$A$2:$A$239,0))</f>
        <v>-14.5</v>
      </c>
      <c r="AE126" s="2" t="n">
        <f aca="false">IF(AC126="Home",Assumptions!$B$2,IF(AC126="Away",-Assumptions!$B$2,0))</f>
        <v>-2.5</v>
      </c>
      <c r="AF126" s="2" t="n">
        <f aca="false">NORMDIST($B126-AD126+AE126,0,Assumptions!$B$3,TRUE())</f>
        <v>0.342279459683951</v>
      </c>
      <c r="AG126" s="2" t="s">
        <v>191</v>
      </c>
      <c r="AH126" s="2" t="s">
        <v>407</v>
      </c>
      <c r="AI126" s="2" t="n">
        <f aca="false">INDEX(Ratings!$B$2:$B$239,MATCH(AG126,Ratings!$A$2:$A$239,0))</f>
        <v>-26</v>
      </c>
      <c r="AJ126" s="2" t="n">
        <f aca="false">IF(AH126="Home",Assumptions!$B$2,IF(AH126="Away",-Assumptions!$B$2,0))</f>
        <v>-2.5</v>
      </c>
      <c r="AK126" s="2" t="n">
        <f aca="false">NORMDIST($B126-AI126+AJ126,0,Assumptions!$B$3,TRUE())</f>
        <v>0.622669718470157</v>
      </c>
      <c r="AL126" s="2" t="s">
        <v>152</v>
      </c>
      <c r="AM126" s="2" t="s">
        <v>406</v>
      </c>
      <c r="AN126" s="2" t="n">
        <f aca="false">INDEX(Ratings!$B$2:$B$239,MATCH(AL126,Ratings!$A$2:$A$239,0))</f>
        <v>-7.8</v>
      </c>
      <c r="AO126" s="2" t="n">
        <f aca="false">IF(AM126="Home",Assumptions!$B$2,IF(AM126="Away",-Assumptions!$B$2,0))</f>
        <v>2.5</v>
      </c>
      <c r="AP126" s="2" t="n">
        <f aca="false">NORMDIST($B126-AN126+AO126,0,Assumptions!$B$3,TRUE())</f>
        <v>0.30415056015288</v>
      </c>
      <c r="AQ126" s="2" t="s">
        <v>145</v>
      </c>
      <c r="AR126" s="2" t="s">
        <v>406</v>
      </c>
      <c r="AS126" s="2" t="n">
        <f aca="false">INDEX(Ratings!$B$2:$B$239,MATCH(AQ126,Ratings!$A$2:$A$239,0))</f>
        <v>-5.3</v>
      </c>
      <c r="AT126" s="2" t="n">
        <f aca="false">IF(AR126="Home",Assumptions!$B$2,IF(AR126="Away",-Assumptions!$B$2,0))</f>
        <v>2.5</v>
      </c>
      <c r="AU126" s="2" t="n">
        <f aca="false">NORMDIST($B126-AS126+AT126,0,Assumptions!$B$3,TRUE())</f>
        <v>0.25182748330014</v>
      </c>
      <c r="AV126" s="2" t="s">
        <v>183</v>
      </c>
      <c r="AW126" s="2" t="s">
        <v>407</v>
      </c>
      <c r="AX126" s="2" t="n">
        <f aca="false">INDEX(Ratings!$B$2:$B$239,MATCH(AV126,Ratings!$A$2:$A$239,0))</f>
        <v>-19.1</v>
      </c>
      <c r="AY126" s="2" t="n">
        <f aca="false">IF(AW126="Home",Assumptions!$B$2,IF(AW126="Away",-Assumptions!$B$2,0))</f>
        <v>-2.5</v>
      </c>
      <c r="AZ126" s="2" t="n">
        <f aca="false">NORMDIST($B126-AX126+AY126,0,Assumptions!$B$3,TRUE())</f>
        <v>0.452736711249588</v>
      </c>
      <c r="BA126" s="2" t="s">
        <v>170</v>
      </c>
      <c r="BB126" s="2" t="s">
        <v>406</v>
      </c>
      <c r="BC126" s="2" t="n">
        <f aca="false">INDEX(Ratings!$B$2:$B$239,MATCH(BA126,Ratings!$A$2:$A$239,0))</f>
        <v>-12.9</v>
      </c>
      <c r="BD126" s="2" t="n">
        <f aca="false">IF(BB126="Home",Assumptions!$B$2,IF(BB126="Away",-Assumptions!$B$2,0))</f>
        <v>2.5</v>
      </c>
      <c r="BE126" s="2" t="n">
        <f aca="false">NORMDIST($B126-BC126+BD126,0,Assumptions!$B$3,TRUE())</f>
        <v>0.423185819619029</v>
      </c>
      <c r="BF126" s="2" t="s">
        <v>192</v>
      </c>
      <c r="BG126" s="2" t="s">
        <v>407</v>
      </c>
      <c r="BH126" s="2" t="n">
        <f aca="false">INDEX(Ratings!$B$2:$B$239,MATCH(BF126,Ratings!$A$2:$A$239,0))</f>
        <v>-26.5</v>
      </c>
      <c r="BI126" s="2" t="n">
        <f aca="false">IF(BG126="Home",Assumptions!$B$2,IF(BG126="Away",-Assumptions!$B$2,0))</f>
        <v>-2.5</v>
      </c>
      <c r="BJ126" s="2" t="n">
        <f aca="false">NORMDIST($B126-BH126+BI126,0,Assumptions!$B$3,TRUE())</f>
        <v>0.634482847309957</v>
      </c>
      <c r="BP126" s="2" t="n">
        <v>12</v>
      </c>
      <c r="BQ126" s="2" t="n">
        <f aca="false">G126+L126+Q126+V126+AA126+AF126+AK126+AP126+AU126+AZ126+BE126+BJ126</f>
        <v>4.63212584364565</v>
      </c>
    </row>
    <row r="127" customFormat="false" ht="15" hidden="false" customHeight="false" outlineLevel="0" collapsed="false">
      <c r="A127" s="2" t="s">
        <v>183</v>
      </c>
      <c r="B127" s="2" t="n">
        <f aca="false">INDEX(Ratings!$B$2:$B$239,MATCH($A127,Ratings!$A$2:$A$239,0))</f>
        <v>-19.1</v>
      </c>
      <c r="C127" s="2" t="s">
        <v>66</v>
      </c>
      <c r="D127" s="2" t="s">
        <v>407</v>
      </c>
      <c r="E127" s="2" t="n">
        <f aca="false">INDEX(Ratings!$B$2:$B$239,MATCH(C127,Ratings!$A$2:$A$239,0))</f>
        <v>20.9</v>
      </c>
      <c r="F127" s="2" t="n">
        <f aca="false">IF(D127="Home",Assumptions!$B$2,IF(D127="Away",-Assumptions!$B$2,0))</f>
        <v>-2.5</v>
      </c>
      <c r="G127" s="2" t="n">
        <f aca="false">NORMDIST($B127-E127+F127,0,Assumptions!$B$3,TRUE())</f>
        <v>0.00395075066077681</v>
      </c>
      <c r="H127" s="2" t="s">
        <v>278</v>
      </c>
      <c r="I127" s="2" t="s">
        <v>406</v>
      </c>
      <c r="J127" s="2" t="n">
        <f aca="false">INDEX(Ratings!$B$2:$B$239,MATCH(H127,Ratings!$A$2:$A$239,0))</f>
        <v>-39</v>
      </c>
      <c r="K127" s="2" t="n">
        <f aca="false">IF(I127="Home",Assumptions!$B$2,IF(I127="Away",-Assumptions!$B$2,0))</f>
        <v>2.5</v>
      </c>
      <c r="L127" s="2" t="n">
        <f aca="false">NORMDIST($B127-J127+K127,0,Assumptions!$B$3,TRUE())</f>
        <v>0.919243340766229</v>
      </c>
      <c r="M127" s="2" t="s">
        <v>155</v>
      </c>
      <c r="N127" s="2" t="s">
        <v>406</v>
      </c>
      <c r="O127" s="2" t="n">
        <f aca="false">INDEX(Ratings!$B$2:$B$239,MATCH(M127,Ratings!$A$2:$A$239,0))</f>
        <v>-8.2</v>
      </c>
      <c r="P127" s="2" t="n">
        <f aca="false">IF(N127="Home",Assumptions!$B$2,IF(N127="Away",-Assumptions!$B$2,0))</f>
        <v>2.5</v>
      </c>
      <c r="Q127" s="2" t="n">
        <f aca="false">NORMDIST($B127-O127+P127,0,Assumptions!$B$3,TRUE())</f>
        <v>0.299791595468696</v>
      </c>
      <c r="R127" s="2" t="s">
        <v>82</v>
      </c>
      <c r="S127" s="2" t="s">
        <v>407</v>
      </c>
      <c r="T127" s="2" t="n">
        <f aca="false">INDEX(Ratings!$B$2:$B$239,MATCH(R127,Ratings!$A$2:$A$239,0))</f>
        <v>12.1</v>
      </c>
      <c r="U127" s="2" t="n">
        <f aca="false">IF(S127="Home",Assumptions!$B$2,IF(S127="Away",-Assumptions!$B$2,0))</f>
        <v>-2.5</v>
      </c>
      <c r="V127" s="2" t="n">
        <f aca="false">NORMDIST($B127-T127+U127,0,Assumptions!$B$3,TRUE())</f>
        <v>0.0175913210080447</v>
      </c>
      <c r="W127" s="2" t="s">
        <v>151</v>
      </c>
      <c r="X127" s="2" t="s">
        <v>407</v>
      </c>
      <c r="Y127" s="2" t="n">
        <f aca="false">INDEX(Ratings!$B$2:$B$239,MATCH(W127,Ratings!$A$2:$A$239,0))</f>
        <v>-7.3</v>
      </c>
      <c r="Z127" s="2" t="n">
        <f aca="false">IF(X127="Home",Assumptions!$B$2,IF(X127="Away",-Assumptions!$B$2,0))</f>
        <v>-2.5</v>
      </c>
      <c r="AA127" s="2" t="n">
        <f aca="false">NORMDIST($B127-Y127+Z127,0,Assumptions!$B$3,TRUE())</f>
        <v>0.185727833347904</v>
      </c>
      <c r="AB127" s="2" t="s">
        <v>171</v>
      </c>
      <c r="AC127" s="2" t="s">
        <v>406</v>
      </c>
      <c r="AD127" s="2" t="n">
        <f aca="false">INDEX(Ratings!$B$2:$B$239,MATCH(AB127,Ratings!$A$2:$A$239,0))</f>
        <v>-12.9</v>
      </c>
      <c r="AE127" s="2" t="n">
        <f aca="false">IF(AC127="Home",Assumptions!$B$2,IF(AC127="Away",-Assumptions!$B$2,0))</f>
        <v>2.5</v>
      </c>
      <c r="AF127" s="2" t="n">
        <f aca="false">NORMDIST($B127-AD127+AE127,0,Assumptions!$B$3,TRUE())</f>
        <v>0.408560294059836</v>
      </c>
      <c r="AG127" s="2" t="s">
        <v>170</v>
      </c>
      <c r="AH127" s="2" t="s">
        <v>407</v>
      </c>
      <c r="AI127" s="2" t="n">
        <f aca="false">INDEX(Ratings!$B$2:$B$239,MATCH(AG127,Ratings!$A$2:$A$239,0))</f>
        <v>-12.9</v>
      </c>
      <c r="AJ127" s="2" t="n">
        <f aca="false">IF(AH127="Home",Assumptions!$B$2,IF(AH127="Away",-Assumptions!$B$2,0))</f>
        <v>-2.5</v>
      </c>
      <c r="AK127" s="2" t="n">
        <f aca="false">NORMDIST($B127-AI127+AJ127,0,Assumptions!$B$3,TRUE())</f>
        <v>0.293306760083888</v>
      </c>
      <c r="AL127" s="2" t="s">
        <v>191</v>
      </c>
      <c r="AM127" s="2" t="s">
        <v>406</v>
      </c>
      <c r="AN127" s="2" t="n">
        <f aca="false">INDEX(Ratings!$B$2:$B$239,MATCH(AL127,Ratings!$A$2:$A$239,0))</f>
        <v>-26</v>
      </c>
      <c r="AO127" s="2" t="n">
        <f aca="false">IF(AM127="Home",Assumptions!$B$2,IF(AM127="Away",-Assumptions!$B$2,0))</f>
        <v>2.5</v>
      </c>
      <c r="AP127" s="2" t="n">
        <f aca="false">NORMDIST($B127-AN127+AO127,0,Assumptions!$B$3,TRUE())</f>
        <v>0.721566024768411</v>
      </c>
      <c r="AQ127" s="2" t="s">
        <v>172</v>
      </c>
      <c r="AR127" s="2" t="s">
        <v>407</v>
      </c>
      <c r="AS127" s="2" t="n">
        <f aca="false">INDEX(Ratings!$B$2:$B$239,MATCH(AQ127,Ratings!$A$2:$A$239,0))</f>
        <v>-14.5</v>
      </c>
      <c r="AT127" s="2" t="n">
        <f aca="false">IF(AR127="Home",Assumptions!$B$2,IF(AR127="Away",-Assumptions!$B$2,0))</f>
        <v>-2.5</v>
      </c>
      <c r="AU127" s="2" t="n">
        <f aca="false">NORMDIST($B127-AS127+AT127,0,Assumptions!$B$3,TRUE())</f>
        <v>0.328611670769279</v>
      </c>
      <c r="AV127" s="2" t="s">
        <v>182</v>
      </c>
      <c r="AW127" s="2" t="s">
        <v>406</v>
      </c>
      <c r="AX127" s="2" t="n">
        <f aca="false">INDEX(Ratings!$B$2:$B$239,MATCH(AV127,Ratings!$A$2:$A$239,0))</f>
        <v>-18.5</v>
      </c>
      <c r="AY127" s="2" t="n">
        <f aca="false">IF(AW127="Home",Assumptions!$B$2,IF(AW127="Away",-Assumptions!$B$2,0))</f>
        <v>2.5</v>
      </c>
      <c r="AZ127" s="2" t="n">
        <f aca="false">NORMDIST($B127-AX127+AY127,0,Assumptions!$B$3,TRUE())</f>
        <v>0.547263288750412</v>
      </c>
      <c r="BA127" s="2" t="s">
        <v>152</v>
      </c>
      <c r="BB127" s="2" t="s">
        <v>407</v>
      </c>
      <c r="BC127" s="2" t="n">
        <f aca="false">INDEX(Ratings!$B$2:$B$239,MATCH(BA127,Ratings!$A$2:$A$239,0))</f>
        <v>-7.8</v>
      </c>
      <c r="BD127" s="2" t="n">
        <f aca="false">IF(BB127="Home",Assumptions!$B$2,IF(BB127="Away",-Assumptions!$B$2,0))</f>
        <v>-2.5</v>
      </c>
      <c r="BE127" s="2" t="n">
        <f aca="false">NORMDIST($B127-BC127+BD127,0,Assumptions!$B$3,TRUE())</f>
        <v>0.194206216543996</v>
      </c>
      <c r="BF127" s="2" t="s">
        <v>145</v>
      </c>
      <c r="BG127" s="2" t="s">
        <v>406</v>
      </c>
      <c r="BH127" s="2" t="n">
        <f aca="false">INDEX(Ratings!$B$2:$B$239,MATCH(BF127,Ratings!$A$2:$A$239,0))</f>
        <v>-5.3</v>
      </c>
      <c r="BI127" s="2" t="n">
        <f aca="false">IF(BG127="Home",Assumptions!$B$2,IF(BG127="Away",-Assumptions!$B$2,0))</f>
        <v>2.5</v>
      </c>
      <c r="BJ127" s="2" t="n">
        <f aca="false">NORMDIST($B127-BH127+BI127,0,Assumptions!$B$3,TRUE())</f>
        <v>0.240016340681267</v>
      </c>
      <c r="BP127" s="2" t="n">
        <v>12</v>
      </c>
      <c r="BQ127" s="2" t="n">
        <f aca="false">G127+L127+Q127+V127+AA127+AF127+AK127+AP127+AU127+AZ127+BE127+BJ127</f>
        <v>4.15983543690874</v>
      </c>
    </row>
    <row r="128" customFormat="false" ht="15" hidden="false" customHeight="false" outlineLevel="0" collapsed="false">
      <c r="A128" s="2" t="s">
        <v>184</v>
      </c>
      <c r="B128" s="2" t="n">
        <f aca="false">INDEX(Ratings!$B$2:$B$239,MATCH($A128,Ratings!$A$2:$A$239,0))</f>
        <v>-19.3</v>
      </c>
      <c r="C128" s="2" t="s">
        <v>68</v>
      </c>
      <c r="D128" s="2" t="s">
        <v>407</v>
      </c>
      <c r="E128" s="2" t="n">
        <f aca="false">INDEX(Ratings!$B$2:$B$239,MATCH(C128,Ratings!$A$2:$A$239,0))</f>
        <v>18.8</v>
      </c>
      <c r="F128" s="2" t="n">
        <f aca="false">IF(D128="Home",Assumptions!$B$2,IF(D128="Away",-Assumptions!$B$2,0))</f>
        <v>-2.5</v>
      </c>
      <c r="G128" s="2" t="n">
        <f aca="false">NORMDIST($B128-E128+F128,0,Assumptions!$B$3,TRUE())</f>
        <v>0.00558236840601682</v>
      </c>
      <c r="H128" s="2" t="s">
        <v>320</v>
      </c>
      <c r="I128" s="2" t="s">
        <v>406</v>
      </c>
      <c r="J128" s="2" t="n">
        <f aca="false">INDEX(Ratings!$B$2:$B$239,MATCH(H128,Ratings!$A$2:$A$239,0))</f>
        <v>-42</v>
      </c>
      <c r="K128" s="2" t="n">
        <f aca="false">IF(I128="Home",Assumptions!$B$2,IF(I128="Away",-Assumptions!$B$2,0))</f>
        <v>2.5</v>
      </c>
      <c r="L128" s="2" t="n">
        <f aca="false">NORMDIST($B128-J128+K128,0,Assumptions!$B$3,TRUE())</f>
        <v>0.942371777723847</v>
      </c>
      <c r="M128" s="2" t="s">
        <v>72</v>
      </c>
      <c r="N128" s="2" t="s">
        <v>407</v>
      </c>
      <c r="O128" s="2" t="n">
        <f aca="false">INDEX(Ratings!$B$2:$B$239,MATCH(M128,Ratings!$A$2:$A$239,0))</f>
        <v>17</v>
      </c>
      <c r="P128" s="2" t="n">
        <f aca="false">IF(N128="Home",Assumptions!$B$2,IF(N128="Away",-Assumptions!$B$2,0))</f>
        <v>-2.5</v>
      </c>
      <c r="Q128" s="2" t="n">
        <f aca="false">NORMDIST($B128-O128+P128,0,Assumptions!$B$3,TRUE())</f>
        <v>0.00765419337737332</v>
      </c>
      <c r="R128" s="2" t="s">
        <v>146</v>
      </c>
      <c r="S128" s="2" t="s">
        <v>406</v>
      </c>
      <c r="T128" s="2" t="n">
        <f aca="false">INDEX(Ratings!$B$2:$B$239,MATCH(R128,Ratings!$A$2:$A$239,0))</f>
        <v>-5.6</v>
      </c>
      <c r="U128" s="2" t="n">
        <f aca="false">IF(S128="Home",Assumptions!$B$2,IF(S128="Away",-Assumptions!$B$2,0))</f>
        <v>2.5</v>
      </c>
      <c r="V128" s="2" t="n">
        <f aca="false">NORMDIST($B128-T128+U128,0,Assumptions!$B$3,TRUE())</f>
        <v>0.241963652223073</v>
      </c>
      <c r="W128" s="2" t="s">
        <v>125</v>
      </c>
      <c r="X128" s="2" t="s">
        <v>407</v>
      </c>
      <c r="Y128" s="2" t="n">
        <f aca="false">INDEX(Ratings!$B$2:$B$239,MATCH(W128,Ratings!$A$2:$A$239,0))</f>
        <v>0</v>
      </c>
      <c r="Z128" s="2" t="n">
        <f aca="false">IF(X128="Home",Assumptions!$B$2,IF(X128="Away",-Assumptions!$B$2,0))</f>
        <v>-2.5</v>
      </c>
      <c r="AA128" s="2" t="n">
        <f aca="false">NORMDIST($B128-Y128+Z128,0,Assumptions!$B$3,TRUE())</f>
        <v>0.0865200720760435</v>
      </c>
      <c r="AB128" s="2" t="s">
        <v>165</v>
      </c>
      <c r="AC128" s="2" t="s">
        <v>406</v>
      </c>
      <c r="AD128" s="2" t="n">
        <f aca="false">INDEX(Ratings!$B$2:$B$239,MATCH(AB128,Ratings!$A$2:$A$239,0))</f>
        <v>-11.7</v>
      </c>
      <c r="AE128" s="2" t="n">
        <f aca="false">IF(AC128="Home",Assumptions!$B$2,IF(AC128="Away",-Assumptions!$B$2,0))</f>
        <v>2.5</v>
      </c>
      <c r="AF128" s="2" t="n">
        <f aca="false">NORMDIST($B128-AD128+AE128,0,Assumptions!$B$3,TRUE())</f>
        <v>0.374958048081219</v>
      </c>
      <c r="AG128" s="2" t="s">
        <v>178</v>
      </c>
      <c r="AH128" s="2" t="s">
        <v>406</v>
      </c>
      <c r="AI128" s="2" t="n">
        <f aca="false">INDEX(Ratings!$B$2:$B$239,MATCH(AG128,Ratings!$A$2:$A$239,0))</f>
        <v>-15.7</v>
      </c>
      <c r="AJ128" s="2" t="n">
        <f aca="false">IF(AH128="Home",Assumptions!$B$2,IF(AH128="Away",-Assumptions!$B$2,0))</f>
        <v>2.5</v>
      </c>
      <c r="AK128" s="2" t="n">
        <f aca="false">NORMDIST($B128-AI128+AJ128,0,Assumptions!$B$3,TRUE())</f>
        <v>0.472594309039532</v>
      </c>
      <c r="AL128" s="2" t="s">
        <v>132</v>
      </c>
      <c r="AM128" s="2" t="s">
        <v>407</v>
      </c>
      <c r="AN128" s="2" t="n">
        <f aca="false">INDEX(Ratings!$B$2:$B$239,MATCH(AL128,Ratings!$A$2:$A$239,0))</f>
        <v>-1.8</v>
      </c>
      <c r="AO128" s="2" t="n">
        <f aca="false">IF(AM128="Home",Assumptions!$B$2,IF(AM128="Away",-Assumptions!$B$2,0))</f>
        <v>-2.5</v>
      </c>
      <c r="AP128" s="2" t="n">
        <f aca="false">NORMDIST($B128-AN128+AO128,0,Assumptions!$B$3,TRUE())</f>
        <v>0.105649773666855</v>
      </c>
      <c r="AQ128" s="2" t="s">
        <v>140</v>
      </c>
      <c r="AR128" s="2" t="s">
        <v>406</v>
      </c>
      <c r="AS128" s="2" t="n">
        <f aca="false">INDEX(Ratings!$B$2:$B$239,MATCH(AQ128,Ratings!$A$2:$A$239,0))</f>
        <v>-2.6</v>
      </c>
      <c r="AT128" s="2" t="n">
        <f aca="false">IF(AR128="Home",Assumptions!$B$2,IF(AR128="Away",-Assumptions!$B$2,0))</f>
        <v>2.5</v>
      </c>
      <c r="AU128" s="2" t="n">
        <f aca="false">NORMDIST($B128-AS128+AT128,0,Assumptions!$B$3,TRUE())</f>
        <v>0.187404883098225</v>
      </c>
      <c r="AV128" s="2" t="s">
        <v>161</v>
      </c>
      <c r="AW128" s="2" t="s">
        <v>406</v>
      </c>
      <c r="AX128" s="2" t="n">
        <f aca="false">INDEX(Ratings!$B$2:$B$239,MATCH(AV128,Ratings!$A$2:$A$239,0))</f>
        <v>-10.8</v>
      </c>
      <c r="AY128" s="2" t="n">
        <f aca="false">IF(AW128="Home",Assumptions!$B$2,IF(AW128="Away",-Assumptions!$B$2,0))</f>
        <v>2.5</v>
      </c>
      <c r="AZ128" s="2" t="n">
        <f aca="false">NORMDIST($B128-AX128+AY128,0,Assumptions!$B$3,TRUE())</f>
        <v>0.353830233327276</v>
      </c>
      <c r="BA128" s="2" t="s">
        <v>141</v>
      </c>
      <c r="BB128" s="2" t="s">
        <v>407</v>
      </c>
      <c r="BC128" s="2" t="n">
        <f aca="false">INDEX(Ratings!$B$2:$B$239,MATCH(BA128,Ratings!$A$2:$A$239,0))</f>
        <v>-3.2</v>
      </c>
      <c r="BD128" s="2" t="n">
        <f aca="false">IF(BB128="Home",Assumptions!$B$2,IF(BB128="Away",-Assumptions!$B$2,0))</f>
        <v>-2.5</v>
      </c>
      <c r="BE128" s="2" t="n">
        <f aca="false">NORMDIST($B128-BC128+BD128,0,Assumptions!$B$3,TRUE())</f>
        <v>0.122516212343049</v>
      </c>
      <c r="BF128" s="2" t="s">
        <v>180</v>
      </c>
      <c r="BG128" s="2" t="s">
        <v>407</v>
      </c>
      <c r="BH128" s="2" t="n">
        <f aca="false">INDEX(Ratings!$B$2:$B$239,MATCH(BF128,Ratings!$A$2:$A$239,0))</f>
        <v>-17.2</v>
      </c>
      <c r="BI128" s="2" t="n">
        <f aca="false">IF(BG128="Home",Assumptions!$B$2,IF(BG128="Away",-Assumptions!$B$2,0))</f>
        <v>-2.5</v>
      </c>
      <c r="BJ128" s="2" t="n">
        <f aca="false">NORMDIST($B128-BH128+BI128,0,Assumptions!$B$3,TRUE())</f>
        <v>0.386864750968727</v>
      </c>
      <c r="BP128" s="2" t="n">
        <v>12</v>
      </c>
      <c r="BQ128" s="2" t="n">
        <f aca="false">G128+L128+Q128+V128+AA128+AF128+AK128+AP128+AU128+AZ128+BE128+BJ128</f>
        <v>3.28791027433124</v>
      </c>
    </row>
    <row r="129" customFormat="false" ht="15" hidden="false" customHeight="false" outlineLevel="0" collapsed="false">
      <c r="A129" s="2" t="s">
        <v>185</v>
      </c>
      <c r="B129" s="2" t="n">
        <f aca="false">INDEX(Ratings!$B$2:$B$239,MATCH($A129,Ratings!$A$2:$A$239,0))</f>
        <v>-20.7</v>
      </c>
      <c r="C129" s="2" t="s">
        <v>242</v>
      </c>
      <c r="D129" s="2" t="s">
        <v>406</v>
      </c>
      <c r="E129" s="2" t="n">
        <f aca="false">INDEX(Ratings!$B$2:$B$239,MATCH(C129,Ratings!$A$2:$A$239,0))</f>
        <v>-37</v>
      </c>
      <c r="F129" s="2" t="n">
        <f aca="false">IF(D129="Home",Assumptions!$B$2,IF(D129="Away",-Assumptions!$B$2,0))</f>
        <v>2.5</v>
      </c>
      <c r="G129" s="2" t="n">
        <f aca="false">NORMDIST($B129-E129+F129,0,Assumptions!$B$3,TRUE())</f>
        <v>0.880002642100988</v>
      </c>
      <c r="H129" s="2" t="s">
        <v>83</v>
      </c>
      <c r="I129" s="2" t="s">
        <v>407</v>
      </c>
      <c r="J129" s="2" t="n">
        <f aca="false">INDEX(Ratings!$B$2:$B$239,MATCH(H129,Ratings!$A$2:$A$239,0))</f>
        <v>11.5</v>
      </c>
      <c r="K129" s="2" t="n">
        <f aca="false">IF(I129="Home",Assumptions!$B$2,IF(I129="Away",-Assumptions!$B$2,0))</f>
        <v>-2.5</v>
      </c>
      <c r="L129" s="2" t="n">
        <f aca="false">NORMDIST($B129-J129+K129,0,Assumptions!$B$3,TRUE())</f>
        <v>0.0150508345580185</v>
      </c>
      <c r="M129" s="2" t="s">
        <v>167</v>
      </c>
      <c r="N129" s="2" t="s">
        <v>406</v>
      </c>
      <c r="O129" s="2" t="n">
        <f aca="false">INDEX(Ratings!$B$2:$B$239,MATCH(M129,Ratings!$A$2:$A$239,0))</f>
        <v>-11.9</v>
      </c>
      <c r="P129" s="2" t="n">
        <f aca="false">IF(N129="Home",Assumptions!$B$2,IF(N129="Away",-Assumptions!$B$2,0))</f>
        <v>2.5</v>
      </c>
      <c r="Q129" s="2" t="n">
        <f aca="false">NORMDIST($B129-O129+P129,0,Assumptions!$B$3,TRUE())</f>
        <v>0.346882811263147</v>
      </c>
      <c r="R129" s="2" t="s">
        <v>144</v>
      </c>
      <c r="S129" s="2" t="s">
        <v>407</v>
      </c>
      <c r="T129" s="2" t="n">
        <f aca="false">INDEX(Ratings!$B$2:$B$239,MATCH(R129,Ratings!$A$2:$A$239,0))</f>
        <v>-4.3</v>
      </c>
      <c r="U129" s="2" t="n">
        <f aca="false">IF(S129="Home",Assumptions!$B$2,IF(S129="Away",-Assumptions!$B$2,0))</f>
        <v>-2.5</v>
      </c>
      <c r="V129" s="2" t="n">
        <f aca="false">NORMDIST($B129-T129+U129,0,Assumptions!$B$3,TRUE())</f>
        <v>0.118751711857465</v>
      </c>
      <c r="W129" s="2" t="s">
        <v>154</v>
      </c>
      <c r="X129" s="2" t="s">
        <v>407</v>
      </c>
      <c r="Y129" s="2" t="n">
        <f aca="false">INDEX(Ratings!$B$2:$B$239,MATCH(W129,Ratings!$A$2:$A$239,0))</f>
        <v>-8</v>
      </c>
      <c r="Z129" s="2" t="n">
        <f aca="false">IF(X129="Home",Assumptions!$B$2,IF(X129="Away",-Assumptions!$B$2,0))</f>
        <v>-2.5</v>
      </c>
      <c r="AA129" s="2" t="n">
        <f aca="false">NORMDIST($B129-Y129+Z129,0,Assumptions!$B$3,TRUE())</f>
        <v>0.171056126308482</v>
      </c>
      <c r="AB129" s="2" t="s">
        <v>163</v>
      </c>
      <c r="AC129" s="2" t="s">
        <v>406</v>
      </c>
      <c r="AD129" s="2" t="n">
        <f aca="false">INDEX(Ratings!$B$2:$B$239,MATCH(AB129,Ratings!$A$2:$A$239,0))</f>
        <v>-11.6</v>
      </c>
      <c r="AE129" s="2" t="n">
        <f aca="false">IF(AC129="Home",Assumptions!$B$2,IF(AC129="Away",-Assumptions!$B$2,0))</f>
        <v>2.5</v>
      </c>
      <c r="AF129" s="2" t="n">
        <f aca="false">NORMDIST($B129-AD129+AE129,0,Assumptions!$B$3,TRUE())</f>
        <v>0.339986490349139</v>
      </c>
      <c r="AG129" s="2" t="s">
        <v>159</v>
      </c>
      <c r="AH129" s="2" t="s">
        <v>406</v>
      </c>
      <c r="AI129" s="2" t="n">
        <f aca="false">INDEX(Ratings!$B$2:$B$239,MATCH(AG129,Ratings!$A$2:$A$239,0))</f>
        <v>-10.6</v>
      </c>
      <c r="AJ129" s="2" t="n">
        <f aca="false">IF(AH129="Home",Assumptions!$B$2,IF(AH129="Away",-Assumptions!$B$2,0))</f>
        <v>2.5</v>
      </c>
      <c r="AK129" s="2" t="n">
        <f aca="false">NORMDIST($B129-AI129+AJ129,0,Assumptions!$B$3,TRUE())</f>
        <v>0.317393486641259</v>
      </c>
      <c r="AL129" s="2" t="s">
        <v>193</v>
      </c>
      <c r="AM129" s="2" t="s">
        <v>407</v>
      </c>
      <c r="AN129" s="2" t="n">
        <f aca="false">INDEX(Ratings!$B$2:$B$239,MATCH(AL129,Ratings!$A$2:$A$239,0))</f>
        <v>-28.9</v>
      </c>
      <c r="AO129" s="2" t="n">
        <f aca="false">IF(AM129="Home",Assumptions!$B$2,IF(AM129="Away",-Assumptions!$B$2,0))</f>
        <v>-2.5</v>
      </c>
      <c r="AP129" s="2" t="n">
        <f aca="false">NORMDIST($B129-AN129+AO129,0,Assumptions!$B$3,TRUE())</f>
        <v>0.639173324850217</v>
      </c>
      <c r="AQ129" s="2" t="s">
        <v>127</v>
      </c>
      <c r="AR129" s="2" t="s">
        <v>406</v>
      </c>
      <c r="AS129" s="2" t="n">
        <f aca="false">INDEX(Ratings!$B$2:$B$239,MATCH(AQ129,Ratings!$A$2:$A$239,0))</f>
        <v>-0.9</v>
      </c>
      <c r="AT129" s="2" t="n">
        <f aca="false">IF(AR129="Home",Assumptions!$B$2,IF(AR129="Away",-Assumptions!$B$2,0))</f>
        <v>2.5</v>
      </c>
      <c r="AU129" s="2" t="n">
        <f aca="false">NORMDIST($B129-AS129+AT129,0,Assumptions!$B$3,TRUE())</f>
        <v>0.139792961067114</v>
      </c>
      <c r="AV129" s="2" t="s">
        <v>156</v>
      </c>
      <c r="AW129" s="2" t="s">
        <v>407</v>
      </c>
      <c r="AX129" s="2" t="n">
        <f aca="false">INDEX(Ratings!$B$2:$B$239,MATCH(AV129,Ratings!$A$2:$A$239,0))</f>
        <v>-9.1</v>
      </c>
      <c r="AY129" s="2" t="n">
        <f aca="false">IF(AW129="Home",Assumptions!$B$2,IF(AW129="Away",-Assumptions!$B$2,0))</f>
        <v>-2.5</v>
      </c>
      <c r="AZ129" s="2" t="n">
        <f aca="false">NORMDIST($B129-AX129+AY129,0,Assumptions!$B$3,TRUE())</f>
        <v>0.189091261050782</v>
      </c>
      <c r="BA129" s="2" t="s">
        <v>173</v>
      </c>
      <c r="BB129" s="2" t="s">
        <v>406</v>
      </c>
      <c r="BC129" s="2" t="n">
        <f aca="false">INDEX(Ratings!$B$2:$B$239,MATCH(BA129,Ratings!$A$2:$A$239,0))</f>
        <v>-14.6</v>
      </c>
      <c r="BD129" s="2" t="n">
        <f aca="false">IF(BB129="Home",Assumptions!$B$2,IF(BB129="Away",-Assumptions!$B$2,0))</f>
        <v>2.5</v>
      </c>
      <c r="BE129" s="2" t="n">
        <f aca="false">NORMDIST($B129-BC129+BD129,0,Assumptions!$B$3,TRUE())</f>
        <v>0.41098963713127</v>
      </c>
      <c r="BF129" s="2" t="s">
        <v>150</v>
      </c>
      <c r="BG129" s="2" t="s">
        <v>407</v>
      </c>
      <c r="BH129" s="2" t="n">
        <f aca="false">INDEX(Ratings!$B$2:$B$239,MATCH(BF129,Ratings!$A$2:$A$239,0))</f>
        <v>-6.9</v>
      </c>
      <c r="BI129" s="2" t="n">
        <f aca="false">IF(BG129="Home",Assumptions!$B$2,IF(BG129="Away",-Assumptions!$B$2,0))</f>
        <v>-2.5</v>
      </c>
      <c r="BJ129" s="2" t="n">
        <f aca="false">NORMDIST($B129-BH129+BI129,0,Assumptions!$B$3,TRUE())</f>
        <v>0.154160834280354</v>
      </c>
      <c r="BP129" s="2" t="n">
        <v>12</v>
      </c>
      <c r="BQ129" s="2" t="n">
        <f aca="false">G129+L129+Q129+V129+AA129+AF129+AK129+AP129+AU129+AZ129+BE129+BJ129</f>
        <v>3.72233212145823</v>
      </c>
    </row>
    <row r="130" customFormat="false" ht="15" hidden="false" customHeight="false" outlineLevel="0" collapsed="false">
      <c r="A130" s="2" t="s">
        <v>186</v>
      </c>
      <c r="B130" s="2" t="n">
        <f aca="false">INDEX(Ratings!$B$2:$B$239,MATCH($A130,Ratings!$A$2:$A$239,0))</f>
        <v>-22.4</v>
      </c>
      <c r="C130" s="2" t="s">
        <v>81</v>
      </c>
      <c r="D130" s="2" t="s">
        <v>407</v>
      </c>
      <c r="E130" s="2" t="n">
        <f aca="false">INDEX(Ratings!$B$2:$B$239,MATCH(C130,Ratings!$A$2:$A$239,0))</f>
        <v>12.6</v>
      </c>
      <c r="F130" s="2" t="n">
        <f aca="false">IF(D130="Home",Assumptions!$B$2,IF(D130="Away",-Assumptions!$B$2,0))</f>
        <v>-2.5</v>
      </c>
      <c r="G130" s="2" t="n">
        <f aca="false">NORMDIST($B130-E130+F130,0,Assumptions!$B$3,TRUE())</f>
        <v>0.00954548153638615</v>
      </c>
      <c r="H130" s="2" t="s">
        <v>338</v>
      </c>
      <c r="I130" s="2" t="s">
        <v>406</v>
      </c>
      <c r="J130" s="2" t="n">
        <f aca="false">INDEX(Ratings!$B$2:$B$239,MATCH(H130,Ratings!$A$2:$A$239,0))</f>
        <v>-30</v>
      </c>
      <c r="K130" s="2" t="n">
        <f aca="false">IF(I130="Home",Assumptions!$B$2,IF(I130="Away",-Assumptions!$B$2,0))</f>
        <v>2.5</v>
      </c>
      <c r="L130" s="2" t="n">
        <f aca="false">NORMDIST($B130-J130+K130,0,Assumptions!$B$3,TRUE())</f>
        <v>0.736061463030662</v>
      </c>
      <c r="M130" s="2" t="s">
        <v>58</v>
      </c>
      <c r="N130" s="2" t="s">
        <v>407</v>
      </c>
      <c r="O130" s="2" t="n">
        <f aca="false">INDEX(Ratings!$B$2:$B$239,MATCH(M130,Ratings!$A$2:$A$239,0))</f>
        <v>32.7</v>
      </c>
      <c r="P130" s="2" t="n">
        <f aca="false">IF(N130="Home",Assumptions!$B$2,IF(N130="Away",-Assumptions!$B$2,0))</f>
        <v>-2.5</v>
      </c>
      <c r="Q130" s="2" t="n">
        <f aca="false">NORMDIST($B130-O130+P130,0,Assumptions!$B$3,TRUE())</f>
        <v>0.000159108590157534</v>
      </c>
      <c r="R130" s="2" t="s">
        <v>190</v>
      </c>
      <c r="S130" s="2" t="s">
        <v>406</v>
      </c>
      <c r="T130" s="2" t="n">
        <f aca="false">INDEX(Ratings!$B$2:$B$239,MATCH(R130,Ratings!$A$2:$A$239,0))</f>
        <v>-25.1</v>
      </c>
      <c r="U130" s="2" t="n">
        <f aca="false">IF(S130="Home",Assumptions!$B$2,IF(S130="Away",-Assumptions!$B$2,0))</f>
        <v>2.5</v>
      </c>
      <c r="V130" s="2" t="n">
        <f aca="false">NORMDIST($B130-T130+U130,0,Assumptions!$B$3,TRUE())</f>
        <v>0.627409464153284</v>
      </c>
      <c r="W130" s="2" t="s">
        <v>166</v>
      </c>
      <c r="X130" s="2" t="s">
        <v>406</v>
      </c>
      <c r="Y130" s="2" t="n">
        <f aca="false">INDEX(Ratings!$B$2:$B$239,MATCH(W130,Ratings!$A$2:$A$239,0))</f>
        <v>-11.8</v>
      </c>
      <c r="Z130" s="2" t="n">
        <f aca="false">IF(X130="Home",Assumptions!$B$2,IF(X130="Away",-Assumptions!$B$2,0))</f>
        <v>2.5</v>
      </c>
      <c r="AA130" s="2" t="n">
        <f aca="false">NORMDIST($B130-Y130+Z130,0,Assumptions!$B$3,TRUE())</f>
        <v>0.306340579285027</v>
      </c>
      <c r="AB130" s="2" t="s">
        <v>147</v>
      </c>
      <c r="AC130" s="2" t="s">
        <v>407</v>
      </c>
      <c r="AD130" s="2" t="n">
        <f aca="false">INDEX(Ratings!$B$2:$B$239,MATCH(AB130,Ratings!$A$2:$A$239,0))</f>
        <v>-6</v>
      </c>
      <c r="AE130" s="2" t="n">
        <f aca="false">IF(AC130="Home",Assumptions!$B$2,IF(AC130="Away",-Assumptions!$B$2,0))</f>
        <v>-2.5</v>
      </c>
      <c r="AF130" s="2" t="n">
        <f aca="false">NORMDIST($B130-AD130+AE130,0,Assumptions!$B$3,TRUE())</f>
        <v>0.118751711857465</v>
      </c>
      <c r="AG130" s="2" t="s">
        <v>131</v>
      </c>
      <c r="AH130" s="2" t="s">
        <v>407</v>
      </c>
      <c r="AI130" s="2" t="n">
        <f aca="false">INDEX(Ratings!$B$2:$B$239,MATCH(AG130,Ratings!$A$2:$A$239,0))</f>
        <v>-1.7</v>
      </c>
      <c r="AJ130" s="2" t="n">
        <f aca="false">IF(AH130="Home",Assumptions!$B$2,IF(AH130="Away",-Assumptions!$B$2,0))</f>
        <v>-2.5</v>
      </c>
      <c r="AK130" s="2" t="n">
        <f aca="false">NORMDIST($B130-AI130+AJ130,0,Assumptions!$B$3,TRUE())</f>
        <v>0.0735292596096484</v>
      </c>
      <c r="AL130" s="2" t="s">
        <v>187</v>
      </c>
      <c r="AM130" s="2" t="s">
        <v>406</v>
      </c>
      <c r="AN130" s="2" t="n">
        <f aca="false">INDEX(Ratings!$B$2:$B$239,MATCH(AL130,Ratings!$A$2:$A$239,0))</f>
        <v>-22.9</v>
      </c>
      <c r="AO130" s="2" t="n">
        <f aca="false">IF(AM130="Home",Assumptions!$B$2,IF(AM130="Away",-Assumptions!$B$2,0))</f>
        <v>2.5</v>
      </c>
      <c r="AP130" s="2" t="n">
        <f aca="false">NORMDIST($B130-AN130+AO130,0,Assumptions!$B$3,TRUE())</f>
        <v>0.574365688155897</v>
      </c>
      <c r="AQ130" s="2" t="s">
        <v>188</v>
      </c>
      <c r="AR130" s="2" t="s">
        <v>407</v>
      </c>
      <c r="AS130" s="2" t="n">
        <f aca="false">INDEX(Ratings!$B$2:$B$239,MATCH(AQ130,Ratings!$A$2:$A$239,0))</f>
        <v>-23.4</v>
      </c>
      <c r="AT130" s="2" t="n">
        <f aca="false">IF(AR130="Home",Assumptions!$B$2,IF(AR130="Away",-Assumptions!$B$2,0))</f>
        <v>-2.5</v>
      </c>
      <c r="AU130" s="2" t="n">
        <f aca="false">NORMDIST($B130-AS130+AT130,0,Assumptions!$B$3,TRUE())</f>
        <v>0.462653875444673</v>
      </c>
      <c r="AV130" s="2" t="s">
        <v>175</v>
      </c>
      <c r="AW130" s="2" t="s">
        <v>407</v>
      </c>
      <c r="AX130" s="2" t="n">
        <f aca="false">INDEX(Ratings!$B$2:$B$239,MATCH(AV130,Ratings!$A$2:$A$239,0))</f>
        <v>-15</v>
      </c>
      <c r="AY130" s="2" t="n">
        <f aca="false">IF(AW130="Home",Assumptions!$B$2,IF(AW130="Away",-Assumptions!$B$2,0))</f>
        <v>-2.5</v>
      </c>
      <c r="AZ130" s="2" t="n">
        <f aca="false">NORMDIST($B130-AX130+AY130,0,Assumptions!$B$3,TRUE())</f>
        <v>0.268040532802408</v>
      </c>
      <c r="BA130" s="2" t="s">
        <v>142</v>
      </c>
      <c r="BB130" s="2" t="s">
        <v>406</v>
      </c>
      <c r="BC130" s="2" t="n">
        <f aca="false">INDEX(Ratings!$B$2:$B$239,MATCH(BA130,Ratings!$A$2:$A$239,0))</f>
        <v>-4</v>
      </c>
      <c r="BD130" s="2" t="n">
        <f aca="false">IF(BB130="Home",Assumptions!$B$2,IF(BB130="Away",-Assumptions!$B$2,0))</f>
        <v>2.5</v>
      </c>
      <c r="BE130" s="2" t="n">
        <f aca="false">NORMDIST($B130-BC130+BD130,0,Assumptions!$B$3,TRUE())</f>
        <v>0.160172296919609</v>
      </c>
      <c r="BF130" s="2" t="s">
        <v>179</v>
      </c>
      <c r="BG130" s="2" t="s">
        <v>407</v>
      </c>
      <c r="BH130" s="2" t="n">
        <f aca="false">INDEX(Ratings!$B$2:$B$239,MATCH(BF130,Ratings!$A$2:$A$239,0))</f>
        <v>-16.1</v>
      </c>
      <c r="BI130" s="2" t="n">
        <f aca="false">IF(BG130="Home",Assumptions!$B$2,IF(BG130="Away",-Assumptions!$B$2,0))</f>
        <v>-2.5</v>
      </c>
      <c r="BJ130" s="2" t="n">
        <f aca="false">NORMDIST($B130-BH130+BI130,0,Assumptions!$B$3,TRUE())</f>
        <v>0.291159686788346</v>
      </c>
      <c r="BP130" s="2" t="n">
        <v>12</v>
      </c>
      <c r="BQ130" s="2" t="n">
        <f aca="false">G130+L130+Q130+V130+AA130+AF130+AK130+AP130+AU130+AZ130+BE130+BJ130</f>
        <v>3.62818914817356</v>
      </c>
    </row>
    <row r="131" customFormat="false" ht="15" hidden="false" customHeight="false" outlineLevel="0" collapsed="false">
      <c r="A131" s="2" t="s">
        <v>187</v>
      </c>
      <c r="B131" s="2" t="n">
        <f aca="false">INDEX(Ratings!$B$2:$B$239,MATCH($A131,Ratings!$A$2:$A$239,0))</f>
        <v>-22.9</v>
      </c>
      <c r="C131" s="2" t="s">
        <v>114</v>
      </c>
      <c r="D131" s="2" t="s">
        <v>407</v>
      </c>
      <c r="E131" s="2" t="n">
        <f aca="false">INDEX(Ratings!$B$2:$B$239,MATCH(C131,Ratings!$A$2:$A$239,0))</f>
        <v>3.4</v>
      </c>
      <c r="F131" s="2" t="n">
        <f aca="false">IF(D131="Home",Assumptions!$B$2,IF(D131="Away",-Assumptions!$B$2,0))</f>
        <v>-2.5</v>
      </c>
      <c r="G131" s="2" t="n">
        <f aca="false">NORMDIST($B131-E131+F131,0,Assumptions!$B$3,TRUE())</f>
        <v>0.0359303191129258</v>
      </c>
      <c r="H131" s="2" t="s">
        <v>305</v>
      </c>
      <c r="I131" s="2" t="s">
        <v>406</v>
      </c>
      <c r="J131" s="2" t="n">
        <f aca="false">INDEX(Ratings!$B$2:$B$239,MATCH(H131,Ratings!$A$2:$A$239,0))</f>
        <v>-34</v>
      </c>
      <c r="K131" s="2" t="n">
        <f aca="false">IF(I131="Home",Assumptions!$B$2,IF(I131="Away",-Assumptions!$B$2,0))</f>
        <v>2.5</v>
      </c>
      <c r="L131" s="2" t="n">
        <f aca="false">NORMDIST($B131-J131+K131,0,Assumptions!$B$3,TRUE())</f>
        <v>0.802337456877308</v>
      </c>
      <c r="M131" s="2" t="s">
        <v>97</v>
      </c>
      <c r="N131" s="2" t="s">
        <v>407</v>
      </c>
      <c r="O131" s="2" t="n">
        <f aca="false">INDEX(Ratings!$B$2:$B$239,MATCH(M131,Ratings!$A$2:$A$239,0))</f>
        <v>6.2</v>
      </c>
      <c r="P131" s="2" t="n">
        <f aca="false">IF(N131="Home",Assumptions!$B$2,IF(N131="Away",-Assumptions!$B$2,0))</f>
        <v>-2.5</v>
      </c>
      <c r="Q131" s="2" t="n">
        <f aca="false">NORMDIST($B131-O131+P131,0,Assumptions!$B$3,TRUE())</f>
        <v>0.0241340740047248</v>
      </c>
      <c r="R131" s="2" t="s">
        <v>112</v>
      </c>
      <c r="S131" s="2" t="s">
        <v>406</v>
      </c>
      <c r="T131" s="2" t="n">
        <f aca="false">INDEX(Ratings!$B$2:$B$239,MATCH(R131,Ratings!$A$2:$A$239,0))</f>
        <v>3.6</v>
      </c>
      <c r="U131" s="2" t="n">
        <f aca="false">IF(S131="Home",Assumptions!$B$2,IF(S131="Away",-Assumptions!$B$2,0))</f>
        <v>2.5</v>
      </c>
      <c r="V131" s="2" t="n">
        <f aca="false">NORMDIST($B131-T131+U131,0,Assumptions!$B$3,TRUE())</f>
        <v>0.066807201268858</v>
      </c>
      <c r="W131" s="2" t="s">
        <v>176</v>
      </c>
      <c r="X131" s="2" t="s">
        <v>407</v>
      </c>
      <c r="Y131" s="2" t="n">
        <f aca="false">INDEX(Ratings!$B$2:$B$239,MATCH(W131,Ratings!$A$2:$A$239,0))</f>
        <v>-15.1</v>
      </c>
      <c r="Z131" s="2" t="n">
        <f aca="false">IF(X131="Home",Assumptions!$B$2,IF(X131="Away",-Assumptions!$B$2,0))</f>
        <v>-2.5</v>
      </c>
      <c r="AA131" s="2" t="n">
        <f aca="false">NORMDIST($B131-Y131+Z131,0,Assumptions!$B$3,TRUE())</f>
        <v>0.259868780665061</v>
      </c>
      <c r="AB131" s="2" t="s">
        <v>179</v>
      </c>
      <c r="AC131" s="2" t="s">
        <v>406</v>
      </c>
      <c r="AD131" s="2" t="n">
        <f aca="false">INDEX(Ratings!$B$2:$B$239,MATCH(AB131,Ratings!$A$2:$A$239,0))</f>
        <v>-16.1</v>
      </c>
      <c r="AE131" s="2" t="n">
        <f aca="false">IF(AC131="Home",Assumptions!$B$2,IF(AC131="Away",-Assumptions!$B$2,0))</f>
        <v>2.5</v>
      </c>
      <c r="AF131" s="2" t="n">
        <f aca="false">NORMDIST($B131-AD131+AE131,0,Assumptions!$B$3,TRUE())</f>
        <v>0.394061036152246</v>
      </c>
      <c r="AG131" s="2" t="s">
        <v>142</v>
      </c>
      <c r="AH131" s="2" t="s">
        <v>407</v>
      </c>
      <c r="AI131" s="2" t="n">
        <f aca="false">INDEX(Ratings!$B$2:$B$239,MATCH(AG131,Ratings!$A$2:$A$239,0))</f>
        <v>-4</v>
      </c>
      <c r="AJ131" s="2" t="n">
        <f aca="false">IF(AH131="Home",Assumptions!$B$2,IF(AH131="Away",-Assumptions!$B$2,0))</f>
        <v>-2.5</v>
      </c>
      <c r="AK131" s="2" t="n">
        <f aca="false">NORMDIST($B131-AI131+AJ131,0,Assumptions!$B$3,TRUE())</f>
        <v>0.0905297411381762</v>
      </c>
      <c r="AL131" s="2" t="s">
        <v>186</v>
      </c>
      <c r="AM131" s="2" t="s">
        <v>407</v>
      </c>
      <c r="AN131" s="2" t="n">
        <f aca="false">INDEX(Ratings!$B$2:$B$239,MATCH(AL131,Ratings!$A$2:$A$239,0))</f>
        <v>-22.4</v>
      </c>
      <c r="AO131" s="2" t="n">
        <f aca="false">IF(AM131="Home",Assumptions!$B$2,IF(AM131="Away",-Assumptions!$B$2,0))</f>
        <v>-2.5</v>
      </c>
      <c r="AP131" s="2" t="n">
        <f aca="false">NORMDIST($B131-AN131+AO131,0,Assumptions!$B$3,TRUE())</f>
        <v>0.425634311844103</v>
      </c>
      <c r="AQ131" s="2" t="s">
        <v>166</v>
      </c>
      <c r="AR131" s="2" t="s">
        <v>406</v>
      </c>
      <c r="AS131" s="2" t="n">
        <f aca="false">INDEX(Ratings!$B$2:$B$239,MATCH(AQ131,Ratings!$A$2:$A$239,0))</f>
        <v>-11.8</v>
      </c>
      <c r="AT131" s="2" t="n">
        <f aca="false">IF(AR131="Home",Assumptions!$B$2,IF(AR131="Away",-Assumptions!$B$2,0))</f>
        <v>2.5</v>
      </c>
      <c r="AU131" s="2" t="n">
        <f aca="false">NORMDIST($B131-AS131+AT131,0,Assumptions!$B$3,TRUE())</f>
        <v>0.295461142462736</v>
      </c>
      <c r="AV131" s="2" t="s">
        <v>147</v>
      </c>
      <c r="AW131" s="2" t="s">
        <v>406</v>
      </c>
      <c r="AX131" s="2" t="n">
        <f aca="false">INDEX(Ratings!$B$2:$B$239,MATCH(AV131,Ratings!$A$2:$A$239,0))</f>
        <v>-6</v>
      </c>
      <c r="AY131" s="2" t="n">
        <f aca="false">IF(AW131="Home",Assumptions!$B$2,IF(AW131="Away",-Assumptions!$B$2,0))</f>
        <v>2.5</v>
      </c>
      <c r="AZ131" s="2" t="n">
        <f aca="false">NORMDIST($B131-AX131+AY131,0,Assumptions!$B$3,TRUE())</f>
        <v>0.18406012534676</v>
      </c>
      <c r="BA131" s="2" t="s">
        <v>195</v>
      </c>
      <c r="BB131" s="2" t="s">
        <v>407</v>
      </c>
      <c r="BC131" s="2" t="n">
        <f aca="false">INDEX(Ratings!$B$2:$B$239,MATCH(BA131,Ratings!$A$2:$A$239,0))</f>
        <v>-32.9</v>
      </c>
      <c r="BD131" s="2" t="n">
        <f aca="false">IF(BB131="Home",Assumptions!$B$2,IF(BB131="Away",-Assumptions!$B$2,0))</f>
        <v>-2.5</v>
      </c>
      <c r="BE131" s="2" t="n">
        <f aca="false">NORMDIST($B131-BC131+BD131,0,Assumptions!$B$3,TRUE())</f>
        <v>0.680375828482882</v>
      </c>
      <c r="BF131" s="2" t="s">
        <v>168</v>
      </c>
      <c r="BG131" s="2" t="s">
        <v>406</v>
      </c>
      <c r="BH131" s="2" t="n">
        <f aca="false">INDEX(Ratings!$B$2:$B$239,MATCH(BF131,Ratings!$A$2:$A$239,0))</f>
        <v>-12.7</v>
      </c>
      <c r="BI131" s="2" t="n">
        <f aca="false">IF(BG131="Home",Assumptions!$B$2,IF(BG131="Away",-Assumptions!$B$2,0))</f>
        <v>2.5</v>
      </c>
      <c r="BJ131" s="2" t="n">
        <f aca="false">NORMDIST($B131-BH131+BI131,0,Assumptions!$B$3,TRUE())</f>
        <v>0.315169414269309</v>
      </c>
      <c r="BP131" s="2" t="n">
        <v>12</v>
      </c>
      <c r="BQ131" s="2" t="n">
        <f aca="false">G131+L131+Q131+V131+AA131+AF131+AK131+AP131+AU131+AZ131+BE131+BJ131</f>
        <v>3.57436943162509</v>
      </c>
    </row>
    <row r="132" customFormat="false" ht="15" hidden="false" customHeight="false" outlineLevel="0" collapsed="false">
      <c r="A132" s="2" t="s">
        <v>188</v>
      </c>
      <c r="B132" s="2" t="n">
        <f aca="false">INDEX(Ratings!$B$2:$B$239,MATCH($A132,Ratings!$A$2:$A$239,0))</f>
        <v>-23.4</v>
      </c>
      <c r="C132" s="2" t="s">
        <v>179</v>
      </c>
      <c r="D132" s="2" t="s">
        <v>407</v>
      </c>
      <c r="E132" s="2" t="n">
        <f aca="false">INDEX(Ratings!$B$2:$B$239,MATCH(C132,Ratings!$A$2:$A$239,0))</f>
        <v>-16.1</v>
      </c>
      <c r="F132" s="2" t="n">
        <f aca="false">IF(D132="Home",Assumptions!$B$2,IF(D132="Away",-Assumptions!$B$2,0))</f>
        <v>-2.5</v>
      </c>
      <c r="G132" s="2" t="n">
        <f aca="false">NORMDIST($B132-E132+F132,0,Assumptions!$B$3,TRUE())</f>
        <v>0.270103499001235</v>
      </c>
      <c r="H132" s="2" t="s">
        <v>279</v>
      </c>
      <c r="I132" s="2" t="s">
        <v>406</v>
      </c>
      <c r="J132" s="2" t="n">
        <f aca="false">INDEX(Ratings!$B$2:$B$239,MATCH(H132,Ratings!$A$2:$A$239,0))</f>
        <v>-42</v>
      </c>
      <c r="K132" s="2" t="n">
        <f aca="false">IF(I132="Home",Assumptions!$B$2,IF(I132="Away",-Assumptions!$B$2,0))</f>
        <v>2.5</v>
      </c>
      <c r="L132" s="2" t="n">
        <f aca="false">NORMDIST($B132-J132+K132,0,Assumptions!$B$3,TRUE())</f>
        <v>0.906373647510212</v>
      </c>
      <c r="M132" s="2" t="s">
        <v>130</v>
      </c>
      <c r="N132" s="2" t="s">
        <v>407</v>
      </c>
      <c r="O132" s="2" t="n">
        <f aca="false">INDEX(Ratings!$B$2:$B$239,MATCH(M132,Ratings!$A$2:$A$239,0))</f>
        <v>-1.4</v>
      </c>
      <c r="P132" s="2" t="n">
        <f aca="false">IF(N132="Home",Assumptions!$B$2,IF(N132="Away",-Assumptions!$B$2,0))</f>
        <v>-2.5</v>
      </c>
      <c r="Q132" s="2" t="n">
        <f aca="false">NORMDIST($B132-O132+P132,0,Assumptions!$B$3,TRUE())</f>
        <v>0.0628538088582518</v>
      </c>
      <c r="R132" s="2" t="s">
        <v>132</v>
      </c>
      <c r="S132" s="2" t="s">
        <v>406</v>
      </c>
      <c r="T132" s="2" t="n">
        <f aca="false">INDEX(Ratings!$B$2:$B$239,MATCH(R132,Ratings!$A$2:$A$239,0))</f>
        <v>-1.8</v>
      </c>
      <c r="U132" s="2" t="n">
        <f aca="false">IF(S132="Home",Assumptions!$B$2,IF(S132="Away",-Assumptions!$B$2,0))</f>
        <v>2.5</v>
      </c>
      <c r="V132" s="2" t="n">
        <f aca="false">NORMDIST($B132-T132+U132,0,Assumptions!$B$3,TRUE())</f>
        <v>0.116287887754489</v>
      </c>
      <c r="W132" s="2" t="s">
        <v>195</v>
      </c>
      <c r="X132" s="2" t="s">
        <v>406</v>
      </c>
      <c r="Y132" s="2" t="n">
        <f aca="false">INDEX(Ratings!$B$2:$B$239,MATCH(W132,Ratings!$A$2:$A$239,0))</f>
        <v>-32.9</v>
      </c>
      <c r="Z132" s="2" t="n">
        <f aca="false">IF(X132="Home",Assumptions!$B$2,IF(X132="Away",-Assumptions!$B$2,0))</f>
        <v>2.5</v>
      </c>
      <c r="AA132" s="2" t="n">
        <f aca="false">NORMDIST($B132-Y132+Z132,0,Assumptions!$B$3,TRUE())</f>
        <v>0.773372647623132</v>
      </c>
      <c r="AB132" s="2" t="s">
        <v>175</v>
      </c>
      <c r="AC132" s="2" t="s">
        <v>407</v>
      </c>
      <c r="AD132" s="2" t="n">
        <f aca="false">INDEX(Ratings!$B$2:$B$239,MATCH(AB132,Ratings!$A$2:$A$239,0))</f>
        <v>-15</v>
      </c>
      <c r="AE132" s="2" t="n">
        <f aca="false">IF(AC132="Home",Assumptions!$B$2,IF(AC132="Away",-Assumptions!$B$2,0))</f>
        <v>-2.5</v>
      </c>
      <c r="AF132" s="2" t="n">
        <f aca="false">NORMDIST($B132-AD132+AE132,0,Assumptions!$B$3,TRUE())</f>
        <v>0.247856657564262</v>
      </c>
      <c r="AG132" s="2" t="s">
        <v>166</v>
      </c>
      <c r="AH132" s="2" t="s">
        <v>406</v>
      </c>
      <c r="AI132" s="2" t="n">
        <f aca="false">INDEX(Ratings!$B$2:$B$239,MATCH(AG132,Ratings!$A$2:$A$239,0))</f>
        <v>-11.8</v>
      </c>
      <c r="AJ132" s="2" t="n">
        <f aca="false">IF(AH132="Home",Assumptions!$B$2,IF(AH132="Away",-Assumptions!$B$2,0))</f>
        <v>2.5</v>
      </c>
      <c r="AK132" s="2" t="n">
        <f aca="false">NORMDIST($B132-AI132+AJ132,0,Assumptions!$B$3,TRUE())</f>
        <v>0.284762905379547</v>
      </c>
      <c r="AL132" s="2" t="s">
        <v>190</v>
      </c>
      <c r="AM132" s="2" t="s">
        <v>407</v>
      </c>
      <c r="AN132" s="2" t="n">
        <f aca="false">INDEX(Ratings!$B$2:$B$239,MATCH(AL132,Ratings!$A$2:$A$239,0))</f>
        <v>-25.1</v>
      </c>
      <c r="AO132" s="2" t="n">
        <f aca="false">IF(AM132="Home",Assumptions!$B$2,IF(AM132="Away",-Assumptions!$B$2,0))</f>
        <v>-2.5</v>
      </c>
      <c r="AP132" s="2" t="n">
        <f aca="false">NORMDIST($B132-AN132+AO132,0,Assumptions!$B$3,TRUE())</f>
        <v>0.480061194161628</v>
      </c>
      <c r="AQ132" s="2" t="s">
        <v>186</v>
      </c>
      <c r="AR132" s="2" t="s">
        <v>406</v>
      </c>
      <c r="AS132" s="2" t="n">
        <f aca="false">INDEX(Ratings!$B$2:$B$239,MATCH(AQ132,Ratings!$A$2:$A$239,0))</f>
        <v>-22.4</v>
      </c>
      <c r="AT132" s="2" t="n">
        <f aca="false">IF(AR132="Home",Assumptions!$B$2,IF(AR132="Away",-Assumptions!$B$2,0))</f>
        <v>2.5</v>
      </c>
      <c r="AU132" s="2" t="n">
        <f aca="false">NORMDIST($B132-AS132+AT132,0,Assumptions!$B$3,TRUE())</f>
        <v>0.537346124555327</v>
      </c>
      <c r="AV132" s="2" t="s">
        <v>158</v>
      </c>
      <c r="AW132" s="2" t="s">
        <v>406</v>
      </c>
      <c r="AX132" s="2" t="n">
        <f aca="false">INDEX(Ratings!$B$2:$B$239,MATCH(AV132,Ratings!$A$2:$A$239,0))</f>
        <v>-9.1</v>
      </c>
      <c r="AY132" s="2" t="n">
        <f aca="false">IF(AW132="Home",Assumptions!$B$2,IF(AW132="Away",-Assumptions!$B$2,0))</f>
        <v>2.5</v>
      </c>
      <c r="AZ132" s="2" t="n">
        <f aca="false">NORMDIST($B132-AX132+AY132,0,Assumptions!$B$3,TRUE())</f>
        <v>0.230409171603573</v>
      </c>
      <c r="BA132" s="2" t="s">
        <v>176</v>
      </c>
      <c r="BB132" s="2" t="s">
        <v>407</v>
      </c>
      <c r="BC132" s="2" t="n">
        <f aca="false">INDEX(Ratings!$B$2:$B$239,MATCH(BA132,Ratings!$A$2:$A$239,0))</f>
        <v>-15.1</v>
      </c>
      <c r="BD132" s="2" t="n">
        <f aca="false">IF(BB132="Home",Assumptions!$B$2,IF(BB132="Away",-Assumptions!$B$2,0))</f>
        <v>-2.5</v>
      </c>
      <c r="BE132" s="2" t="n">
        <f aca="false">NORMDIST($B132-BC132+BD132,0,Assumptions!$B$3,TRUE())</f>
        <v>0.249837882471777</v>
      </c>
      <c r="BF132" s="2" t="s">
        <v>140</v>
      </c>
      <c r="BG132" s="2" t="s">
        <v>407</v>
      </c>
      <c r="BH132" s="2" t="n">
        <f aca="false">INDEX(Ratings!$B$2:$B$239,MATCH(BF132,Ratings!$A$2:$A$239,0))</f>
        <v>-2.6</v>
      </c>
      <c r="BI132" s="2" t="n">
        <f aca="false">IF(BG132="Home",Assumptions!$B$2,IF(BG132="Away",-Assumptions!$B$2,0))</f>
        <v>-2.5</v>
      </c>
      <c r="BJ132" s="2" t="n">
        <f aca="false">NORMDIST($B132-BH132+BI132,0,Assumptions!$B$3,TRUE())</f>
        <v>0.0726617610201275</v>
      </c>
      <c r="BP132" s="2" t="n">
        <v>12</v>
      </c>
      <c r="BQ132" s="2" t="n">
        <f aca="false">G132+L132+Q132+V132+AA132+AF132+AK132+AP132+AU132+AZ132+BE132+BJ132</f>
        <v>4.23192718750356</v>
      </c>
    </row>
    <row r="133" customFormat="false" ht="15" hidden="false" customHeight="false" outlineLevel="0" collapsed="false">
      <c r="A133" s="2" t="s">
        <v>189</v>
      </c>
      <c r="B133" s="2" t="n">
        <f aca="false">INDEX(Ratings!$B$2:$B$239,MATCH($A133,Ratings!$A$2:$A$239,0))</f>
        <v>-24.1</v>
      </c>
      <c r="C133" s="2" t="s">
        <v>321</v>
      </c>
      <c r="D133" s="2" t="s">
        <v>406</v>
      </c>
      <c r="E133" s="2" t="n">
        <f aca="false">INDEX(Ratings!$B$2:$B$239,MATCH(C133,Ratings!$A$2:$A$239,0))</f>
        <v>-30</v>
      </c>
      <c r="F133" s="2" t="n">
        <f aca="false">IF(D133="Home",Assumptions!$B$2,IF(D133="Away",-Assumptions!$B$2,0))</f>
        <v>2.5</v>
      </c>
      <c r="G133" s="2" t="n">
        <f aca="false">NORMDIST($B133-E133+F133,0,Assumptions!$B$3,TRUE())</f>
        <v>0.700208404531304</v>
      </c>
      <c r="H133" s="2" t="s">
        <v>73</v>
      </c>
      <c r="I133" s="2" t="s">
        <v>407</v>
      </c>
      <c r="J133" s="2" t="n">
        <f aca="false">INDEX(Ratings!$B$2:$B$239,MATCH(H133,Ratings!$A$2:$A$239,0))</f>
        <v>16.5</v>
      </c>
      <c r="K133" s="2" t="n">
        <f aca="false">IF(I133="Home",Assumptions!$B$2,IF(I133="Away",-Assumptions!$B$2,0))</f>
        <v>-2.5</v>
      </c>
      <c r="L133" s="2" t="n">
        <f aca="false">NORMDIST($B133-J133+K133,0,Assumptions!$B$3,TRUE())</f>
        <v>0.00353265686194161</v>
      </c>
      <c r="M133" s="2" t="s">
        <v>169</v>
      </c>
      <c r="N133" s="2" t="s">
        <v>407</v>
      </c>
      <c r="O133" s="2" t="n">
        <f aca="false">INDEX(Ratings!$B$2:$B$239,MATCH(M133,Ratings!$A$2:$A$239,0))</f>
        <v>-12.7</v>
      </c>
      <c r="P133" s="2" t="n">
        <f aca="false">IF(N133="Home",Assumptions!$B$2,IF(N133="Away",-Assumptions!$B$2,0))</f>
        <v>-2.5</v>
      </c>
      <c r="Q133" s="2" t="n">
        <f aca="false">NORMDIST($B133-O133+P133,0,Assumptions!$B$3,TRUE())</f>
        <v>0.192491943341433</v>
      </c>
      <c r="R133" s="2" t="s">
        <v>159</v>
      </c>
      <c r="S133" s="2" t="s">
        <v>406</v>
      </c>
      <c r="T133" s="2" t="n">
        <f aca="false">INDEX(Ratings!$B$2:$B$239,MATCH(R133,Ratings!$A$2:$A$239,0))</f>
        <v>-10.6</v>
      </c>
      <c r="U133" s="2" t="n">
        <f aca="false">IF(S133="Home",Assumptions!$B$2,IF(S133="Away",-Assumptions!$B$2,0))</f>
        <v>2.5</v>
      </c>
      <c r="V133" s="2" t="n">
        <f aca="false">NORMDIST($B133-T133+U133,0,Assumptions!$B$3,TRUE())</f>
        <v>0.245883850380261</v>
      </c>
      <c r="W133" s="2" t="s">
        <v>124</v>
      </c>
      <c r="X133" s="2" t="s">
        <v>406</v>
      </c>
      <c r="Y133" s="2" t="n">
        <f aca="false">INDEX(Ratings!$B$2:$B$239,MATCH(W133,Ratings!$A$2:$A$239,0))</f>
        <v>0.3</v>
      </c>
      <c r="Z133" s="2" t="n">
        <f aca="false">IF(X133="Home",Assumptions!$B$2,IF(X133="Away",-Assumptions!$B$2,0))</f>
        <v>2.5</v>
      </c>
      <c r="AA133" s="2" t="n">
        <f aca="false">NORMDIST($B133-Y133+Z133,0,Assumptions!$B$3,TRUE())</f>
        <v>0.085538717539995</v>
      </c>
      <c r="AB133" s="2" t="s">
        <v>162</v>
      </c>
      <c r="AC133" s="2" t="s">
        <v>407</v>
      </c>
      <c r="AD133" s="2" t="n">
        <f aca="false">INDEX(Ratings!$B$2:$B$239,MATCH(AB133,Ratings!$A$2:$A$239,0))</f>
        <v>-11.6</v>
      </c>
      <c r="AE133" s="2" t="n">
        <f aca="false">IF(AC133="Home",Assumptions!$B$2,IF(AC133="Away",-Assumptions!$B$2,0))</f>
        <v>-2.5</v>
      </c>
      <c r="AF133" s="2" t="n">
        <f aca="false">NORMDIST($B133-AD133+AE133,0,Assumptions!$B$3,TRUE())</f>
        <v>0.174250711880542</v>
      </c>
      <c r="AG133" s="2" t="s">
        <v>157</v>
      </c>
      <c r="AH133" s="2" t="s">
        <v>407</v>
      </c>
      <c r="AI133" s="2" t="n">
        <f aca="false">INDEX(Ratings!$B$2:$B$239,MATCH(AG133,Ratings!$A$2:$A$239,0))</f>
        <v>-9.1</v>
      </c>
      <c r="AJ133" s="2" t="n">
        <f aca="false">IF(AH133="Home",Assumptions!$B$2,IF(AH133="Away",-Assumptions!$B$2,0))</f>
        <v>-2.5</v>
      </c>
      <c r="AK133" s="2" t="n">
        <f aca="false">NORMDIST($B133-AI133+AJ133,0,Assumptions!$B$3,TRUE())</f>
        <v>0.137032319304912</v>
      </c>
      <c r="AL133" s="2" t="s">
        <v>144</v>
      </c>
      <c r="AM133" s="2" t="s">
        <v>406</v>
      </c>
      <c r="AN133" s="2" t="n">
        <f aca="false">INDEX(Ratings!$B$2:$B$239,MATCH(AL133,Ratings!$A$2:$A$239,0))</f>
        <v>-4.3</v>
      </c>
      <c r="AO133" s="2" t="n">
        <f aca="false">IF(AM133="Home",Assumptions!$B$2,IF(AM133="Away",-Assumptions!$B$2,0))</f>
        <v>2.5</v>
      </c>
      <c r="AP133" s="2" t="n">
        <f aca="false">NORMDIST($B133-AN133+AO133,0,Assumptions!$B$3,TRUE())</f>
        <v>0.139792961067114</v>
      </c>
      <c r="AQ133" s="2" t="s">
        <v>181</v>
      </c>
      <c r="AR133" s="2" t="s">
        <v>407</v>
      </c>
      <c r="AS133" s="2" t="n">
        <f aca="false">INDEX(Ratings!$B$2:$B$239,MATCH(AQ133,Ratings!$A$2:$A$239,0))</f>
        <v>-17.5</v>
      </c>
      <c r="AT133" s="2" t="n">
        <f aca="false">IF(AR133="Home",Assumptions!$B$2,IF(AR133="Away",-Assumptions!$B$2,0))</f>
        <v>-2.5</v>
      </c>
      <c r="AU133" s="2" t="n">
        <f aca="false">NORMDIST($B133-AS133+AT133,0,Assumptions!$B$3,TRUE())</f>
        <v>0.284762905379547</v>
      </c>
      <c r="AV133" s="2" t="s">
        <v>137</v>
      </c>
      <c r="AW133" s="2" t="s">
        <v>406</v>
      </c>
      <c r="AX133" s="2" t="n">
        <f aca="false">INDEX(Ratings!$B$2:$B$239,MATCH(AV133,Ratings!$A$2:$A$239,0))</f>
        <v>-2.3</v>
      </c>
      <c r="AY133" s="2" t="n">
        <f aca="false">IF(AW133="Home",Assumptions!$B$2,IF(AW133="Away",-Assumptions!$B$2,0))</f>
        <v>2.5</v>
      </c>
      <c r="AZ133" s="2" t="n">
        <f aca="false">NORMDIST($B133-AX133+AY133,0,Assumptions!$B$3,TRUE())</f>
        <v>0.113860555114032</v>
      </c>
      <c r="BA133" s="2" t="s">
        <v>149</v>
      </c>
      <c r="BB133" s="2" t="s">
        <v>407</v>
      </c>
      <c r="BC133" s="2" t="n">
        <f aca="false">INDEX(Ratings!$B$2:$B$239,MATCH(BA133,Ratings!$A$2:$A$239,0))</f>
        <v>-6.1</v>
      </c>
      <c r="BD133" s="2" t="n">
        <f aca="false">IF(BB133="Home",Assumptions!$B$2,IF(BB133="Away",-Assumptions!$B$2,0))</f>
        <v>-2.5</v>
      </c>
      <c r="BE133" s="2" t="n">
        <f aca="false">NORMDIST($B133-BC133+BD133,0,Assumptions!$B$3,TRUE())</f>
        <v>0.100052934477426</v>
      </c>
      <c r="BF133" s="2" t="s">
        <v>121</v>
      </c>
      <c r="BG133" s="2" t="s">
        <v>406</v>
      </c>
      <c r="BH133" s="2" t="n">
        <f aca="false">INDEX(Ratings!$B$2:$B$239,MATCH(BF133,Ratings!$A$2:$A$239,0))</f>
        <v>1.2</v>
      </c>
      <c r="BI133" s="2" t="n">
        <f aca="false">IF(BG133="Home",Assumptions!$B$2,IF(BG133="Away",-Assumptions!$B$2,0))</f>
        <v>2.5</v>
      </c>
      <c r="BJ133" s="2" t="n">
        <f aca="false">NORMDIST($B133-BH133+BI133,0,Assumptions!$B$3,TRUE())</f>
        <v>0.0770786005520719</v>
      </c>
      <c r="BP133" s="2" t="n">
        <v>12</v>
      </c>
      <c r="BQ133" s="2" t="n">
        <f aca="false">G133+L133+Q133+V133+AA133+AF133+AK133+AP133+AU133+AZ133+BE133+BJ133</f>
        <v>2.25448656043058</v>
      </c>
    </row>
    <row r="134" customFormat="false" ht="15" hidden="false" customHeight="false" outlineLevel="0" collapsed="false">
      <c r="A134" s="2" t="s">
        <v>190</v>
      </c>
      <c r="B134" s="2" t="n">
        <f aca="false">INDEX(Ratings!$B$2:$B$239,MATCH($A134,Ratings!$A$2:$A$239,0))</f>
        <v>-25.1</v>
      </c>
      <c r="C134" s="2" t="s">
        <v>58</v>
      </c>
      <c r="D134" s="2" t="s">
        <v>407</v>
      </c>
      <c r="E134" s="2" t="n">
        <f aca="false">INDEX(Ratings!$B$2:$B$239,MATCH(C134,Ratings!$A$2:$A$239,0))</f>
        <v>32.7</v>
      </c>
      <c r="F134" s="2" t="n">
        <f aca="false">IF(D134="Home",Assumptions!$B$2,IF(D134="Away",-Assumptions!$B$2,0))</f>
        <v>-2.5</v>
      </c>
      <c r="G134" s="2" t="n">
        <f aca="false">NORMDIST($B134-E134+F134,0,Assumptions!$B$3,TRUE())</f>
        <v>8.20335545469771E-005</v>
      </c>
      <c r="H134" s="2" t="s">
        <v>316</v>
      </c>
      <c r="I134" s="2" t="s">
        <v>406</v>
      </c>
      <c r="J134" s="2" t="n">
        <f aca="false">INDEX(Ratings!$B$2:$B$239,MATCH(H134,Ratings!$A$2:$A$239,0))</f>
        <v>-26</v>
      </c>
      <c r="K134" s="2" t="n">
        <f aca="false">IF(I134="Home",Assumptions!$B$2,IF(I134="Away",-Assumptions!$B$2,0))</f>
        <v>2.5</v>
      </c>
      <c r="L134" s="2" t="n">
        <f aca="false">NORMDIST($B134-J134+K134,0,Assumptions!$B$3,TRUE())</f>
        <v>0.584141511109092</v>
      </c>
      <c r="M134" s="2" t="s">
        <v>145</v>
      </c>
      <c r="N134" s="2" t="s">
        <v>407</v>
      </c>
      <c r="O134" s="2" t="n">
        <f aca="false">INDEX(Ratings!$B$2:$B$239,MATCH(M134,Ratings!$A$2:$A$239,0))</f>
        <v>-5.3</v>
      </c>
      <c r="P134" s="2" t="n">
        <f aca="false">IF(N134="Home",Assumptions!$B$2,IF(N134="Away",-Assumptions!$B$2,0))</f>
        <v>-2.5</v>
      </c>
      <c r="Q134" s="2" t="n">
        <f aca="false">NORMDIST($B134-O134+P134,0,Assumptions!$B$3,TRUE())</f>
        <v>0.0816965558391932</v>
      </c>
      <c r="R134" s="2" t="s">
        <v>186</v>
      </c>
      <c r="S134" s="2" t="s">
        <v>407</v>
      </c>
      <c r="T134" s="2" t="n">
        <f aca="false">INDEX(Ratings!$B$2:$B$239,MATCH(R134,Ratings!$A$2:$A$239,0))</f>
        <v>-22.4</v>
      </c>
      <c r="U134" s="2" t="n">
        <f aca="false">IF(S134="Home",Assumptions!$B$2,IF(S134="Away",-Assumptions!$B$2,0))</f>
        <v>-2.5</v>
      </c>
      <c r="V134" s="2" t="n">
        <f aca="false">NORMDIST($B134-T134+U134,0,Assumptions!$B$3,TRUE())</f>
        <v>0.372590535846716</v>
      </c>
      <c r="W134" s="2" t="s">
        <v>158</v>
      </c>
      <c r="X134" s="2" t="s">
        <v>406</v>
      </c>
      <c r="Y134" s="2" t="n">
        <f aca="false">INDEX(Ratings!$B$2:$B$239,MATCH(W134,Ratings!$A$2:$A$239,0))</f>
        <v>-9.1</v>
      </c>
      <c r="Z134" s="2" t="n">
        <f aca="false">IF(X134="Home",Assumptions!$B$2,IF(X134="Away",-Assumptions!$B$2,0))</f>
        <v>2.5</v>
      </c>
      <c r="AA134" s="2" t="n">
        <f aca="false">NORMDIST($B134-Y134+Z134,0,Assumptions!$B$3,TRUE())</f>
        <v>0.199404560471373</v>
      </c>
      <c r="AB134" s="2" t="s">
        <v>107</v>
      </c>
      <c r="AC134" s="2" t="s">
        <v>407</v>
      </c>
      <c r="AD134" s="2" t="n">
        <f aca="false">INDEX(Ratings!$B$2:$B$239,MATCH(AB134,Ratings!$A$2:$A$239,0))</f>
        <v>5.1</v>
      </c>
      <c r="AE134" s="2" t="n">
        <f aca="false">IF(AC134="Home",Assumptions!$B$2,IF(AC134="Away",-Assumptions!$B$2,0))</f>
        <v>-2.5</v>
      </c>
      <c r="AF134" s="2" t="n">
        <f aca="false">NORMDIST($B134-AD134+AE134,0,Assumptions!$B$3,TRUE())</f>
        <v>0.0204891254742258</v>
      </c>
      <c r="AG134" s="2" t="s">
        <v>175</v>
      </c>
      <c r="AH134" s="2" t="s">
        <v>407</v>
      </c>
      <c r="AI134" s="2" t="n">
        <f aca="false">INDEX(Ratings!$B$2:$B$239,MATCH(AG134,Ratings!$A$2:$A$239,0))</f>
        <v>-15</v>
      </c>
      <c r="AJ134" s="2" t="n">
        <f aca="false">IF(AH134="Home",Assumptions!$B$2,IF(AH134="Away",-Assumptions!$B$2,0))</f>
        <v>-2.5</v>
      </c>
      <c r="AK134" s="2" t="n">
        <f aca="false">NORMDIST($B134-AI134+AJ134,0,Assumptions!$B$3,TRUE())</f>
        <v>0.215494614210054</v>
      </c>
      <c r="AL134" s="2" t="s">
        <v>188</v>
      </c>
      <c r="AM134" s="2" t="s">
        <v>406</v>
      </c>
      <c r="AN134" s="2" t="n">
        <f aca="false">INDEX(Ratings!$B$2:$B$239,MATCH(AL134,Ratings!$A$2:$A$239,0))</f>
        <v>-23.4</v>
      </c>
      <c r="AO134" s="2" t="n">
        <f aca="false">IF(AM134="Home",Assumptions!$B$2,IF(AM134="Away",-Assumptions!$B$2,0))</f>
        <v>2.5</v>
      </c>
      <c r="AP134" s="2" t="n">
        <f aca="false">NORMDIST($B134-AN134+AO134,0,Assumptions!$B$3,TRUE())</f>
        <v>0.519938805838372</v>
      </c>
      <c r="AQ134" s="2" t="s">
        <v>195</v>
      </c>
      <c r="AR134" s="2" t="s">
        <v>407</v>
      </c>
      <c r="AS134" s="2" t="n">
        <f aca="false">INDEX(Ratings!$B$2:$B$239,MATCH(AQ134,Ratings!$A$2:$A$239,0))</f>
        <v>-32.9</v>
      </c>
      <c r="AT134" s="2" t="n">
        <f aca="false">IF(AR134="Home",Assumptions!$B$2,IF(AR134="Away",-Assumptions!$B$2,0))</f>
        <v>-2.5</v>
      </c>
      <c r="AU134" s="2" t="n">
        <f aca="false">NORMDIST($B134-AS134+AT134,0,Assumptions!$B$3,TRUE())</f>
        <v>0.629772172275028</v>
      </c>
      <c r="AV134" s="2" t="s">
        <v>168</v>
      </c>
      <c r="AW134" s="2" t="s">
        <v>406</v>
      </c>
      <c r="AX134" s="2" t="n">
        <f aca="false">INDEX(Ratings!$B$2:$B$239,MATCH(AV134,Ratings!$A$2:$A$239,0))</f>
        <v>-12.7</v>
      </c>
      <c r="AY134" s="2" t="n">
        <f aca="false">IF(AW134="Home",Assumptions!$B$2,IF(AW134="Away",-Assumptions!$B$2,0))</f>
        <v>2.5</v>
      </c>
      <c r="AZ134" s="2" t="n">
        <f aca="false">NORMDIST($B134-AX134+AY134,0,Assumptions!$B$3,TRUE())</f>
        <v>0.268040532802408</v>
      </c>
      <c r="BA134" s="2" t="s">
        <v>166</v>
      </c>
      <c r="BB134" s="2" t="s">
        <v>407</v>
      </c>
      <c r="BC134" s="2" t="n">
        <f aca="false">INDEX(Ratings!$B$2:$B$239,MATCH(BA134,Ratings!$A$2:$A$239,0))</f>
        <v>-11.8</v>
      </c>
      <c r="BD134" s="2" t="n">
        <f aca="false">IF(BB134="Home",Assumptions!$B$2,IF(BB134="Away",-Assumptions!$B$2,0))</f>
        <v>-2.5</v>
      </c>
      <c r="BE134" s="2" t="n">
        <f aca="false">NORMDIST($B134-BC134+BD134,0,Assumptions!$B$3,TRUE())</f>
        <v>0.161698791457286</v>
      </c>
      <c r="BF134" s="2" t="s">
        <v>176</v>
      </c>
      <c r="BG134" s="2" t="s">
        <v>406</v>
      </c>
      <c r="BH134" s="2" t="n">
        <f aca="false">INDEX(Ratings!$B$2:$B$239,MATCH(BF134,Ratings!$A$2:$A$239,0))</f>
        <v>-15.1</v>
      </c>
      <c r="BI134" s="2" t="n">
        <f aca="false">IF(BG134="Home",Assumptions!$B$2,IF(BG134="Away",-Assumptions!$B$2,0))</f>
        <v>2.5</v>
      </c>
      <c r="BJ134" s="2" t="n">
        <f aca="false">NORMDIST($B134-BH134+BI134,0,Assumptions!$B$3,TRUE())</f>
        <v>0.319624171517118</v>
      </c>
      <c r="BP134" s="2" t="n">
        <v>12</v>
      </c>
      <c r="BQ134" s="2" t="n">
        <f aca="false">G134+L134+Q134+V134+AA134+AF134+AK134+AP134+AU134+AZ134+BE134+BJ134</f>
        <v>3.37297341039541</v>
      </c>
    </row>
    <row r="135" customFormat="false" ht="15" hidden="false" customHeight="false" outlineLevel="0" collapsed="false">
      <c r="A135" s="2" t="s">
        <v>191</v>
      </c>
      <c r="B135" s="2" t="n">
        <f aca="false">INDEX(Ratings!$B$2:$B$239,MATCH($A135,Ratings!$A$2:$A$239,0))</f>
        <v>-26</v>
      </c>
      <c r="C135" s="2" t="s">
        <v>154</v>
      </c>
      <c r="D135" s="2" t="s">
        <v>407</v>
      </c>
      <c r="E135" s="2" t="n">
        <f aca="false">INDEX(Ratings!$B$2:$B$239,MATCH(C135,Ratings!$A$2:$A$239,0))</f>
        <v>-8</v>
      </c>
      <c r="F135" s="2" t="n">
        <f aca="false">IF(D135="Home",Assumptions!$B$2,IF(D135="Away",-Assumptions!$B$2,0))</f>
        <v>-2.5</v>
      </c>
      <c r="G135" s="2" t="n">
        <f aca="false">NORMDIST($B135-E135+F135,0,Assumptions!$B$3,TRUE())</f>
        <v>0.100052934477426</v>
      </c>
      <c r="H135" s="2" t="s">
        <v>149</v>
      </c>
      <c r="I135" s="2" t="s">
        <v>406</v>
      </c>
      <c r="J135" s="2" t="n">
        <f aca="false">INDEX(Ratings!$B$2:$B$239,MATCH(H135,Ratings!$A$2:$A$239,0))</f>
        <v>-6.1</v>
      </c>
      <c r="K135" s="2" t="n">
        <f aca="false">IF(I135="Home",Assumptions!$B$2,IF(I135="Away",-Assumptions!$B$2,0))</f>
        <v>2.5</v>
      </c>
      <c r="L135" s="2" t="n">
        <f aca="false">NORMDIST($B135-J135+K135,0,Assumptions!$B$3,TRUE())</f>
        <v>0.138407949285097</v>
      </c>
      <c r="M135" s="2" t="s">
        <v>292</v>
      </c>
      <c r="N135" s="2" t="s">
        <v>406</v>
      </c>
      <c r="O135" s="2" t="n">
        <f aca="false">INDEX(Ratings!$B$2:$B$239,MATCH(M135,Ratings!$A$2:$A$239,0))</f>
        <v>-30</v>
      </c>
      <c r="P135" s="2" t="n">
        <f aca="false">IF(N135="Home",Assumptions!$B$2,IF(N135="Away",-Assumptions!$B$2,0))</f>
        <v>2.5</v>
      </c>
      <c r="Q135" s="2" t="n">
        <f aca="false">NORMDIST($B135-O135+P135,0,Assumptions!$B$3,TRUE())</f>
        <v>0.657720540316049</v>
      </c>
      <c r="R135" s="2" t="s">
        <v>65</v>
      </c>
      <c r="S135" s="2" t="s">
        <v>407</v>
      </c>
      <c r="T135" s="2" t="n">
        <f aca="false">INDEX(Ratings!$B$2:$B$239,MATCH(R135,Ratings!$A$2:$A$239,0))</f>
        <v>21.8</v>
      </c>
      <c r="U135" s="2" t="n">
        <f aca="false">IF(S135="Home",Assumptions!$B$2,IF(S135="Away",-Assumptions!$B$2,0))</f>
        <v>-2.5</v>
      </c>
      <c r="V135" s="2" t="n">
        <f aca="false">NORMDIST($B135-T135+U135,0,Assumptions!$B$3,TRUE())</f>
        <v>0.000833989358664077</v>
      </c>
      <c r="W135" s="2" t="s">
        <v>145</v>
      </c>
      <c r="X135" s="2" t="s">
        <v>407</v>
      </c>
      <c r="Y135" s="2" t="n">
        <f aca="false">INDEX(Ratings!$B$2:$B$239,MATCH(W135,Ratings!$A$2:$A$239,0))</f>
        <v>-5.3</v>
      </c>
      <c r="Z135" s="2" t="n">
        <f aca="false">IF(X135="Home",Assumptions!$B$2,IF(X135="Away",-Assumptions!$B$2,0))</f>
        <v>-2.5</v>
      </c>
      <c r="AA135" s="2" t="n">
        <f aca="false">NORMDIST($B135-Y135+Z135,0,Assumptions!$B$3,TRUE())</f>
        <v>0.0735292596096484</v>
      </c>
      <c r="AB135" s="2" t="s">
        <v>151</v>
      </c>
      <c r="AC135" s="2" t="s">
        <v>406</v>
      </c>
      <c r="AD135" s="2" t="n">
        <f aca="false">INDEX(Ratings!$B$2:$B$239,MATCH(AB135,Ratings!$A$2:$A$239,0))</f>
        <v>-7.3</v>
      </c>
      <c r="AE135" s="2" t="n">
        <f aca="false">IF(AC135="Home",Assumptions!$B$2,IF(AC135="Away",-Assumptions!$B$2,0))</f>
        <v>2.5</v>
      </c>
      <c r="AF135" s="2" t="n">
        <f aca="false">NORMDIST($B135-AD135+AE135,0,Assumptions!$B$3,TRUE())</f>
        <v>0.155649523346769</v>
      </c>
      <c r="AG135" s="2" t="s">
        <v>182</v>
      </c>
      <c r="AH135" s="2" t="s">
        <v>406</v>
      </c>
      <c r="AI135" s="2" t="n">
        <f aca="false">INDEX(Ratings!$B$2:$B$239,MATCH(AG135,Ratings!$A$2:$A$239,0))</f>
        <v>-18.5</v>
      </c>
      <c r="AJ135" s="2" t="n">
        <f aca="false">IF(AH135="Home",Assumptions!$B$2,IF(AH135="Away",-Assumptions!$B$2,0))</f>
        <v>2.5</v>
      </c>
      <c r="AK135" s="2" t="n">
        <f aca="false">NORMDIST($B135-AI135+AJ135,0,Assumptions!$B$3,TRUE())</f>
        <v>0.377330281529843</v>
      </c>
      <c r="AL135" s="2" t="s">
        <v>183</v>
      </c>
      <c r="AM135" s="2" t="s">
        <v>407</v>
      </c>
      <c r="AN135" s="2" t="n">
        <f aca="false">INDEX(Ratings!$B$2:$B$239,MATCH(AL135,Ratings!$A$2:$A$239,0))</f>
        <v>-19.1</v>
      </c>
      <c r="AO135" s="2" t="n">
        <f aca="false">IF(AM135="Home",Assumptions!$B$2,IF(AM135="Away",-Assumptions!$B$2,0))</f>
        <v>-2.5</v>
      </c>
      <c r="AP135" s="2" t="n">
        <f aca="false">NORMDIST($B135-AN135+AO135,0,Assumptions!$B$3,TRUE())</f>
        <v>0.278433975231589</v>
      </c>
      <c r="AQ135" s="2" t="s">
        <v>152</v>
      </c>
      <c r="AR135" s="2" t="s">
        <v>407</v>
      </c>
      <c r="AS135" s="2" t="n">
        <f aca="false">INDEX(Ratings!$B$2:$B$239,MATCH(AQ135,Ratings!$A$2:$A$239,0))</f>
        <v>-7.8</v>
      </c>
      <c r="AT135" s="2" t="n">
        <f aca="false">IF(AR135="Home",Assumptions!$B$2,IF(AR135="Away",-Assumptions!$B$2,0))</f>
        <v>-2.5</v>
      </c>
      <c r="AU135" s="2" t="n">
        <f aca="false">NORMDIST($B135-AS135+AT135,0,Assumptions!$B$3,TRUE())</f>
        <v>0.0978758942343276</v>
      </c>
      <c r="AV135" s="2" t="s">
        <v>171</v>
      </c>
      <c r="AW135" s="2" t="s">
        <v>406</v>
      </c>
      <c r="AX135" s="2" t="n">
        <f aca="false">INDEX(Ratings!$B$2:$B$239,MATCH(AV135,Ratings!$A$2:$A$239,0))</f>
        <v>-12.9</v>
      </c>
      <c r="AY135" s="2" t="n">
        <f aca="false">IF(AW135="Home",Assumptions!$B$2,IF(AW135="Away",-Assumptions!$B$2,0))</f>
        <v>2.5</v>
      </c>
      <c r="AZ135" s="2" t="n">
        <f aca="false">NORMDIST($B135-AX135+AY135,0,Assumptions!$B$3,TRUE())</f>
        <v>0.253825417414222</v>
      </c>
      <c r="BA135" s="2" t="s">
        <v>192</v>
      </c>
      <c r="BB135" s="2" t="s">
        <v>406</v>
      </c>
      <c r="BC135" s="2" t="n">
        <f aca="false">INDEX(Ratings!$B$2:$B$239,MATCH(BA135,Ratings!$A$2:$A$239,0))</f>
        <v>-26.5</v>
      </c>
      <c r="BD135" s="2" t="n">
        <f aca="false">IF(BB135="Home",Assumptions!$B$2,IF(BB135="Away",-Assumptions!$B$2,0))</f>
        <v>2.5</v>
      </c>
      <c r="BE135" s="2" t="n">
        <f aca="false">NORMDIST($B135-BC135+BD135,0,Assumptions!$B$3,TRUE())</f>
        <v>0.574365688155897</v>
      </c>
      <c r="BF135" s="2" t="s">
        <v>172</v>
      </c>
      <c r="BG135" s="2" t="s">
        <v>407</v>
      </c>
      <c r="BH135" s="2" t="n">
        <f aca="false">INDEX(Ratings!$B$2:$B$239,MATCH(BF135,Ratings!$A$2:$A$239,0))</f>
        <v>-14.5</v>
      </c>
      <c r="BI135" s="2" t="n">
        <f aca="false">IF(BG135="Home",Assumptions!$B$2,IF(BG135="Away",-Assumptions!$B$2,0))</f>
        <v>-2.5</v>
      </c>
      <c r="BJ135" s="2" t="n">
        <f aca="false">NORMDIST($B135-BH135+BI135,0,Assumptions!$B$3,TRUE())</f>
        <v>0.190786952852511</v>
      </c>
      <c r="BP135" s="2" t="n">
        <v>12</v>
      </c>
      <c r="BQ135" s="2" t="n">
        <f aca="false">G135+L135+Q135+V135+AA135+AF135+AK135+AP135+AU135+AZ135+BE135+BJ135</f>
        <v>2.89881240581204</v>
      </c>
    </row>
    <row r="136" customFormat="false" ht="15" hidden="false" customHeight="false" outlineLevel="0" collapsed="false">
      <c r="A136" s="2" t="s">
        <v>192</v>
      </c>
      <c r="B136" s="2" t="n">
        <f aca="false">INDEX(Ratings!$B$2:$B$239,MATCH($A136,Ratings!$A$2:$A$239,0))</f>
        <v>-26.5</v>
      </c>
      <c r="C136" s="2" t="s">
        <v>289</v>
      </c>
      <c r="D136" s="2" t="s">
        <v>406</v>
      </c>
      <c r="E136" s="2" t="n">
        <f aca="false">INDEX(Ratings!$B$2:$B$239,MATCH(C136,Ratings!$A$2:$A$239,0))</f>
        <v>-19</v>
      </c>
      <c r="F136" s="2" t="n">
        <f aca="false">IF(D136="Home",Assumptions!$B$2,IF(D136="Away",-Assumptions!$B$2,0))</f>
        <v>2.5</v>
      </c>
      <c r="G136" s="2" t="n">
        <f aca="false">NORMDIST($B136-E136+F136,0,Assumptions!$B$3,TRUE())</f>
        <v>0.377330281529843</v>
      </c>
      <c r="H136" s="2" t="s">
        <v>155</v>
      </c>
      <c r="I136" s="2" t="s">
        <v>407</v>
      </c>
      <c r="J136" s="2" t="n">
        <f aca="false">INDEX(Ratings!$B$2:$B$239,MATCH(H136,Ratings!$A$2:$A$239,0))</f>
        <v>-8.2</v>
      </c>
      <c r="K136" s="2" t="n">
        <f aca="false">IF(I136="Home",Assumptions!$B$2,IF(I136="Away",-Assumptions!$B$2,0))</f>
        <v>-2.5</v>
      </c>
      <c r="L136" s="2" t="n">
        <f aca="false">NORMDIST($B136-J136+K136,0,Assumptions!$B$3,TRUE())</f>
        <v>0.0968004845856103</v>
      </c>
      <c r="M136" s="2" t="s">
        <v>165</v>
      </c>
      <c r="N136" s="2" t="s">
        <v>406</v>
      </c>
      <c r="O136" s="2" t="n">
        <f aca="false">INDEX(Ratings!$B$2:$B$239,MATCH(M136,Ratings!$A$2:$A$239,0))</f>
        <v>-11.7</v>
      </c>
      <c r="P136" s="2" t="n">
        <f aca="false">IF(N136="Home",Assumptions!$B$2,IF(N136="Away",-Assumptions!$B$2,0))</f>
        <v>2.5</v>
      </c>
      <c r="Q136" s="2" t="n">
        <f aca="false">NORMDIST($B136-O136+P136,0,Assumptions!$B$3,TRUE())</f>
        <v>0.221020868167314</v>
      </c>
      <c r="R136" s="2" t="s">
        <v>152</v>
      </c>
      <c r="S136" s="2" t="s">
        <v>407</v>
      </c>
      <c r="T136" s="2" t="n">
        <f aca="false">INDEX(Ratings!$B$2:$B$239,MATCH(R136,Ratings!$A$2:$A$239,0))</f>
        <v>-7.8</v>
      </c>
      <c r="U136" s="2" t="n">
        <f aca="false">IF(S136="Home",Assumptions!$B$2,IF(S136="Away",-Assumptions!$B$2,0))</f>
        <v>-2.5</v>
      </c>
      <c r="V136" s="2" t="n">
        <f aca="false">NORMDIST($B136-T136+U136,0,Assumptions!$B$3,TRUE())</f>
        <v>0.0925855756567949</v>
      </c>
      <c r="W136" s="2" t="s">
        <v>115</v>
      </c>
      <c r="X136" s="2" t="s">
        <v>407</v>
      </c>
      <c r="Y136" s="2" t="n">
        <f aca="false">INDEX(Ratings!$B$2:$B$239,MATCH(W136,Ratings!$A$2:$A$239,0))</f>
        <v>3.3</v>
      </c>
      <c r="Z136" s="2" t="n">
        <f aca="false">IF(X136="Home",Assumptions!$B$2,IF(X136="Away",-Assumptions!$B$2,0))</f>
        <v>-2.5</v>
      </c>
      <c r="AA136" s="2" t="n">
        <f aca="false">NORMDIST($B136-Y136+Z136,0,Assumptions!$B$3,TRUE())</f>
        <v>0.0217566051377242</v>
      </c>
      <c r="AB136" s="2" t="s">
        <v>170</v>
      </c>
      <c r="AC136" s="2" t="s">
        <v>406</v>
      </c>
      <c r="AD136" s="2" t="n">
        <f aca="false">INDEX(Ratings!$B$2:$B$239,MATCH(AB136,Ratings!$A$2:$A$239,0))</f>
        <v>-12.9</v>
      </c>
      <c r="AE136" s="2" t="n">
        <f aca="false">IF(AC136="Home",Assumptions!$B$2,IF(AC136="Away",-Assumptions!$B$2,0))</f>
        <v>2.5</v>
      </c>
      <c r="AF136" s="2" t="n">
        <f aca="false">NORMDIST($B136-AD136+AE136,0,Assumptions!$B$3,TRUE())</f>
        <v>0.243919501888608</v>
      </c>
      <c r="AG136" s="2" t="s">
        <v>172</v>
      </c>
      <c r="AH136" s="2" t="s">
        <v>407</v>
      </c>
      <c r="AI136" s="2" t="n">
        <f aca="false">INDEX(Ratings!$B$2:$B$239,MATCH(AG136,Ratings!$A$2:$A$239,0))</f>
        <v>-14.5</v>
      </c>
      <c r="AJ136" s="2" t="n">
        <f aca="false">IF(AH136="Home",Assumptions!$B$2,IF(AH136="Away",-Assumptions!$B$2,0))</f>
        <v>-2.5</v>
      </c>
      <c r="AK136" s="2" t="n">
        <f aca="false">NORMDIST($B136-AI136+AJ136,0,Assumptions!$B$3,TRUE())</f>
        <v>0.182401771838494</v>
      </c>
      <c r="AL136" s="2" t="s">
        <v>171</v>
      </c>
      <c r="AM136" s="2" t="s">
        <v>406</v>
      </c>
      <c r="AN136" s="2" t="n">
        <f aca="false">INDEX(Ratings!$B$2:$B$239,MATCH(AL136,Ratings!$A$2:$A$239,0))</f>
        <v>-12.9</v>
      </c>
      <c r="AO136" s="2" t="n">
        <f aca="false">IF(AM136="Home",Assumptions!$B$2,IF(AM136="Away",-Assumptions!$B$2,0))</f>
        <v>2.5</v>
      </c>
      <c r="AP136" s="2" t="n">
        <f aca="false">NORMDIST($B136-AN136+AO136,0,Assumptions!$B$3,TRUE())</f>
        <v>0.243919501888608</v>
      </c>
      <c r="AQ136" s="2" t="s">
        <v>151</v>
      </c>
      <c r="AR136" s="2" t="s">
        <v>406</v>
      </c>
      <c r="AS136" s="2" t="n">
        <f aca="false">INDEX(Ratings!$B$2:$B$239,MATCH(AQ136,Ratings!$A$2:$A$239,0))</f>
        <v>-7.3</v>
      </c>
      <c r="AT136" s="2" t="n">
        <f aca="false">IF(AR136="Home",Assumptions!$B$2,IF(AR136="Away",-Assumptions!$B$2,0))</f>
        <v>2.5</v>
      </c>
      <c r="AU136" s="2" t="n">
        <f aca="false">NORMDIST($B136-AS136+AT136,0,Assumptions!$B$3,TRUE())</f>
        <v>0.148300535064625</v>
      </c>
      <c r="AV136" s="2" t="s">
        <v>145</v>
      </c>
      <c r="AW136" s="2" t="s">
        <v>407</v>
      </c>
      <c r="AX136" s="2" t="n">
        <f aca="false">INDEX(Ratings!$B$2:$B$239,MATCH(AV136,Ratings!$A$2:$A$239,0))</f>
        <v>-5.3</v>
      </c>
      <c r="AY136" s="2" t="n">
        <f aca="false">IF(AW136="Home",Assumptions!$B$2,IF(AW136="Away",-Assumptions!$B$2,0))</f>
        <v>-2.5</v>
      </c>
      <c r="AZ136" s="2" t="n">
        <f aca="false">NORMDIST($B136-AX136+AY136,0,Assumptions!$B$3,TRUE())</f>
        <v>0.0692699834362408</v>
      </c>
      <c r="BA136" s="2" t="s">
        <v>191</v>
      </c>
      <c r="BB136" s="2" t="s">
        <v>407</v>
      </c>
      <c r="BC136" s="2" t="n">
        <f aca="false">INDEX(Ratings!$B$2:$B$239,MATCH(BA136,Ratings!$A$2:$A$239,0))</f>
        <v>-26</v>
      </c>
      <c r="BD136" s="2" t="n">
        <f aca="false">IF(BB136="Home",Assumptions!$B$2,IF(BB136="Away",-Assumptions!$B$2,0))</f>
        <v>-2.5</v>
      </c>
      <c r="BE136" s="2" t="n">
        <f aca="false">NORMDIST($B136-BC136+BD136,0,Assumptions!$B$3,TRUE())</f>
        <v>0.425634311844103</v>
      </c>
      <c r="BF136" s="2" t="s">
        <v>182</v>
      </c>
      <c r="BG136" s="2" t="s">
        <v>406</v>
      </c>
      <c r="BH136" s="2" t="n">
        <f aca="false">INDEX(Ratings!$B$2:$B$239,MATCH(BF136,Ratings!$A$2:$A$239,0))</f>
        <v>-18.5</v>
      </c>
      <c r="BI136" s="2" t="n">
        <f aca="false">IF(BG136="Home",Assumptions!$B$2,IF(BG136="Away",-Assumptions!$B$2,0))</f>
        <v>2.5</v>
      </c>
      <c r="BJ136" s="2" t="n">
        <f aca="false">NORMDIST($B136-BH136+BI136,0,Assumptions!$B$3,TRUE())</f>
        <v>0.365517152690043</v>
      </c>
      <c r="BP136" s="2" t="n">
        <v>12</v>
      </c>
      <c r="BQ136" s="2" t="n">
        <f aca="false">G136+L136+Q136+V136+AA136+AF136+AK136+AP136+AU136+AZ136+BE136+BJ136</f>
        <v>2.48845657372801</v>
      </c>
    </row>
    <row r="137" customFormat="false" ht="15" hidden="false" customHeight="false" outlineLevel="0" collapsed="false">
      <c r="A137" s="2" t="s">
        <v>193</v>
      </c>
      <c r="B137" s="2" t="n">
        <f aca="false">INDEX(Ratings!$B$2:$B$239,MATCH($A137,Ratings!$A$2:$A$239,0))</f>
        <v>-28.9</v>
      </c>
      <c r="C137" s="2" t="s">
        <v>109</v>
      </c>
      <c r="D137" s="2" t="s">
        <v>407</v>
      </c>
      <c r="E137" s="2" t="n">
        <f aca="false">INDEX(Ratings!$B$2:$B$239,MATCH(C137,Ratings!$A$2:$A$239,0))</f>
        <v>4.8</v>
      </c>
      <c r="F137" s="2" t="n">
        <f aca="false">IF(D137="Home",Assumptions!$B$2,IF(D137="Away",-Assumptions!$B$2,0))</f>
        <v>-2.5</v>
      </c>
      <c r="G137" s="2" t="n">
        <f aca="false">NORMDIST($B137-E137+F137,0,Assumptions!$B$3,TRUE())</f>
        <v>0.0118332644193267</v>
      </c>
      <c r="H137" s="2" t="s">
        <v>181</v>
      </c>
      <c r="I137" s="2" t="s">
        <v>407</v>
      </c>
      <c r="J137" s="2" t="n">
        <f aca="false">INDEX(Ratings!$B$2:$B$239,MATCH(H137,Ratings!$A$2:$A$239,0))</f>
        <v>-17.5</v>
      </c>
      <c r="K137" s="2" t="n">
        <f aca="false">IF(I137="Home",Assumptions!$B$2,IF(I137="Away",-Assumptions!$B$2,0))</f>
        <v>-2.5</v>
      </c>
      <c r="L137" s="2" t="n">
        <f aca="false">NORMDIST($B137-J137+K137,0,Assumptions!$B$3,TRUE())</f>
        <v>0.192491943341433</v>
      </c>
      <c r="M137" s="2" t="s">
        <v>311</v>
      </c>
      <c r="N137" s="2" t="s">
        <v>406</v>
      </c>
      <c r="O137" s="2" t="n">
        <f aca="false">INDEX(Ratings!$B$2:$B$239,MATCH(M137,Ratings!$A$2:$A$239,0))</f>
        <v>-34</v>
      </c>
      <c r="P137" s="2" t="n">
        <f aca="false">IF(N137="Home",Assumptions!$B$2,IF(N137="Away",-Assumptions!$B$2,0))</f>
        <v>2.5</v>
      </c>
      <c r="Q137" s="2" t="n">
        <f aca="false">NORMDIST($B137-O137+P137,0,Assumptions!$B$3,TRUE())</f>
        <v>0.682606513358741</v>
      </c>
      <c r="R137" s="2" t="s">
        <v>148</v>
      </c>
      <c r="S137" s="2" t="s">
        <v>406</v>
      </c>
      <c r="T137" s="2" t="n">
        <f aca="false">INDEX(Ratings!$B$2:$B$239,MATCH(R137,Ratings!$A$2:$A$239,0))</f>
        <v>-6.1</v>
      </c>
      <c r="U137" s="2" t="n">
        <f aca="false">IF(S137="Home",Assumptions!$B$2,IF(S137="Away",-Assumptions!$B$2,0))</f>
        <v>2.5</v>
      </c>
      <c r="V137" s="2" t="n">
        <f aca="false">NORMDIST($B137-T137+U137,0,Assumptions!$B$3,TRUE())</f>
        <v>0.102265121621565</v>
      </c>
      <c r="W137" s="2" t="s">
        <v>173</v>
      </c>
      <c r="X137" s="2" t="s">
        <v>407</v>
      </c>
      <c r="Y137" s="2" t="n">
        <f aca="false">INDEX(Ratings!$B$2:$B$239,MATCH(W137,Ratings!$A$2:$A$239,0))</f>
        <v>-14.6</v>
      </c>
      <c r="Z137" s="2" t="n">
        <f aca="false">IF(X137="Home",Assumptions!$B$2,IF(X137="Away",-Assumptions!$B$2,0))</f>
        <v>-2.5</v>
      </c>
      <c r="AA137" s="2" t="n">
        <f aca="false">NORMDIST($B137-Y137+Z137,0,Assumptions!$B$3,TRUE())</f>
        <v>0.146859056375896</v>
      </c>
      <c r="AB137" s="2" t="s">
        <v>156</v>
      </c>
      <c r="AC137" s="2" t="s">
        <v>406</v>
      </c>
      <c r="AD137" s="2" t="n">
        <f aca="false">INDEX(Ratings!$B$2:$B$239,MATCH(AB137,Ratings!$A$2:$A$239,0))</f>
        <v>-9.1</v>
      </c>
      <c r="AE137" s="2" t="n">
        <f aca="false">IF(AC137="Home",Assumptions!$B$2,IF(AC137="Away",-Assumptions!$B$2,0))</f>
        <v>2.5</v>
      </c>
      <c r="AF137" s="2" t="n">
        <f aca="false">NORMDIST($B137-AD137+AE137,0,Assumptions!$B$3,TRUE())</f>
        <v>0.139792961067114</v>
      </c>
      <c r="AG137" s="2" t="s">
        <v>154</v>
      </c>
      <c r="AH137" s="2" t="s">
        <v>407</v>
      </c>
      <c r="AI137" s="2" t="n">
        <f aca="false">INDEX(Ratings!$B$2:$B$239,MATCH(AG137,Ratings!$A$2:$A$239,0))</f>
        <v>-8</v>
      </c>
      <c r="AJ137" s="2" t="n">
        <f aca="false">IF(AH137="Home",Assumptions!$B$2,IF(AH137="Away",-Assumptions!$B$2,0))</f>
        <v>-2.5</v>
      </c>
      <c r="AK137" s="2" t="n">
        <f aca="false">NORMDIST($B137-AI137+AJ137,0,Assumptions!$B$3,TRUE())</f>
        <v>0.0718021221754162</v>
      </c>
      <c r="AL137" s="2" t="s">
        <v>185</v>
      </c>
      <c r="AM137" s="2" t="s">
        <v>406</v>
      </c>
      <c r="AN137" s="2" t="n">
        <f aca="false">INDEX(Ratings!$B$2:$B$239,MATCH(AL137,Ratings!$A$2:$A$239,0))</f>
        <v>-20.7</v>
      </c>
      <c r="AO137" s="2" t="n">
        <f aca="false">IF(AM137="Home",Assumptions!$B$2,IF(AM137="Away",-Assumptions!$B$2,0))</f>
        <v>2.5</v>
      </c>
      <c r="AP137" s="2" t="n">
        <f aca="false">NORMDIST($B137-AN137+AO137,0,Assumptions!$B$3,TRUE())</f>
        <v>0.360826675149783</v>
      </c>
      <c r="AQ137" s="2" t="s">
        <v>163</v>
      </c>
      <c r="AR137" s="2" t="s">
        <v>407</v>
      </c>
      <c r="AS137" s="2" t="n">
        <f aca="false">INDEX(Ratings!$B$2:$B$239,MATCH(AQ137,Ratings!$A$2:$A$239,0))</f>
        <v>-11.6</v>
      </c>
      <c r="AT137" s="2" t="n">
        <f aca="false">IF(AR137="Home",Assumptions!$B$2,IF(AR137="Away",-Assumptions!$B$2,0))</f>
        <v>-2.5</v>
      </c>
      <c r="AU137" s="2" t="n">
        <f aca="false">NORMDIST($B137-AS137+AT137,0,Assumptions!$B$3,TRUE())</f>
        <v>0.107950757167325</v>
      </c>
      <c r="AV137" s="2" t="s">
        <v>159</v>
      </c>
      <c r="AW137" s="2" t="s">
        <v>406</v>
      </c>
      <c r="AX137" s="2" t="n">
        <f aca="false">INDEX(Ratings!$B$2:$B$239,MATCH(AV137,Ratings!$A$2:$A$239,0))</f>
        <v>-10.6</v>
      </c>
      <c r="AY137" s="2" t="n">
        <f aca="false">IF(AW137="Home",Assumptions!$B$2,IF(AW137="Away",-Assumptions!$B$2,0))</f>
        <v>2.5</v>
      </c>
      <c r="AZ137" s="2" t="n">
        <f aca="false">NORMDIST($B137-AX137+AY137,0,Assumptions!$B$3,TRUE())</f>
        <v>0.161698791457286</v>
      </c>
      <c r="BA137" s="2" t="s">
        <v>169</v>
      </c>
      <c r="BB137" s="2" t="s">
        <v>407</v>
      </c>
      <c r="BC137" s="2" t="n">
        <f aca="false">INDEX(Ratings!$B$2:$B$239,MATCH(BA137,Ratings!$A$2:$A$239,0))</f>
        <v>-12.7</v>
      </c>
      <c r="BD137" s="2" t="n">
        <f aca="false">IF(BB137="Home",Assumptions!$B$2,IF(BB137="Away",-Assumptions!$B$2,0))</f>
        <v>-2.5</v>
      </c>
      <c r="BE137" s="2" t="n">
        <f aca="false">NORMDIST($B137-BC137+BD137,0,Assumptions!$B$3,TRUE())</f>
        <v>0.121252185295315</v>
      </c>
      <c r="BF137" s="2" t="s">
        <v>155</v>
      </c>
      <c r="BG137" s="2" t="s">
        <v>406</v>
      </c>
      <c r="BH137" s="2" t="n">
        <f aca="false">INDEX(Ratings!$B$2:$B$239,MATCH(BF137,Ratings!$A$2:$A$239,0))</f>
        <v>-8.2</v>
      </c>
      <c r="BI137" s="2" t="n">
        <f aca="false">IF(BG137="Home",Assumptions!$B$2,IF(BG137="Away",-Assumptions!$B$2,0))</f>
        <v>2.5</v>
      </c>
      <c r="BJ137" s="2" t="n">
        <f aca="false">NORMDIST($B137-BH137+BI137,0,Assumptions!$B$3,TRUE())</f>
        <v>0.127664662296284</v>
      </c>
      <c r="BP137" s="2" t="n">
        <v>12</v>
      </c>
      <c r="BQ137" s="2" t="n">
        <f aca="false">G137+L137+Q137+V137+AA137+AF137+AK137+AP137+AU137+AZ137+BE137+BJ137</f>
        <v>2.22704405372548</v>
      </c>
    </row>
    <row r="138" customFormat="false" ht="15" hidden="false" customHeight="false" outlineLevel="0" collapsed="false">
      <c r="A138" s="2" t="s">
        <v>194</v>
      </c>
      <c r="B138" s="2" t="n">
        <f aca="false">INDEX(Ratings!$B$2:$B$239,MATCH($A138,Ratings!$A$2:$A$239,0))</f>
        <v>-29.3</v>
      </c>
      <c r="C138" s="2" t="s">
        <v>295</v>
      </c>
      <c r="D138" s="2" t="s">
        <v>406</v>
      </c>
      <c r="E138" s="2" t="n">
        <f aca="false">INDEX(Ratings!$B$2:$B$239,MATCH(C138,Ratings!$A$2:$A$239,0))</f>
        <v>-26</v>
      </c>
      <c r="F138" s="2" t="n">
        <f aca="false">IF(D138="Home",Assumptions!$B$2,IF(D138="Away",-Assumptions!$B$2,0))</f>
        <v>2.5</v>
      </c>
      <c r="G138" s="2" t="n">
        <f aca="false">NORMDIST($B138-E138+F138,0,Assumptions!$B$3,TRUE())</f>
        <v>0.480061194161628</v>
      </c>
      <c r="H138" s="2" t="s">
        <v>171</v>
      </c>
      <c r="I138" s="2" t="s">
        <v>407</v>
      </c>
      <c r="J138" s="2" t="n">
        <f aca="false">INDEX(Ratings!$B$2:$B$239,MATCH(H138,Ratings!$A$2:$A$239,0))</f>
        <v>-12.9</v>
      </c>
      <c r="K138" s="2" t="n">
        <f aca="false">IF(I138="Home",Assumptions!$B$2,IF(I138="Away",-Assumptions!$B$2,0))</f>
        <v>-2.5</v>
      </c>
      <c r="L138" s="2" t="n">
        <f aca="false">NORMDIST($B138-J138+K138,0,Assumptions!$B$3,TRUE())</f>
        <v>0.118751711857465</v>
      </c>
      <c r="M138" s="2" t="s">
        <v>120</v>
      </c>
      <c r="N138" s="2" t="s">
        <v>407</v>
      </c>
      <c r="O138" s="2" t="n">
        <f aca="false">INDEX(Ratings!$B$2:$B$239,MATCH(M138,Ratings!$A$2:$A$239,0))</f>
        <v>1.7</v>
      </c>
      <c r="P138" s="2" t="n">
        <f aca="false">IF(N138="Home",Assumptions!$B$2,IF(N138="Away",-Assumptions!$B$2,0))</f>
        <v>-2.5</v>
      </c>
      <c r="Q138" s="2" t="n">
        <f aca="false">NORMDIST($B138-O138+P138,0,Assumptions!$B$3,TRUE())</f>
        <v>0.0181411281635063</v>
      </c>
      <c r="R138" s="2" t="s">
        <v>180</v>
      </c>
      <c r="S138" s="2" t="s">
        <v>406</v>
      </c>
      <c r="T138" s="2" t="n">
        <f aca="false">INDEX(Ratings!$B$2:$B$239,MATCH(R138,Ratings!$A$2:$A$239,0))</f>
        <v>-17.2</v>
      </c>
      <c r="U138" s="2" t="n">
        <f aca="false">IF(S138="Home",Assumptions!$B$2,IF(S138="Away",-Assumptions!$B$2,0))</f>
        <v>2.5</v>
      </c>
      <c r="V138" s="2" t="n">
        <f aca="false">NORMDIST($B138-T138+U138,0,Assumptions!$B$3,TRUE())</f>
        <v>0.274253117750074</v>
      </c>
      <c r="W138" s="2" t="s">
        <v>150</v>
      </c>
      <c r="X138" s="2" t="s">
        <v>406</v>
      </c>
      <c r="Y138" s="2" t="n">
        <f aca="false">INDEX(Ratings!$B$2:$B$239,MATCH(W138,Ratings!$A$2:$A$239,0))</f>
        <v>-6.9</v>
      </c>
      <c r="Z138" s="2" t="n">
        <f aca="false">IF(X138="Home",Assumptions!$B$2,IF(X138="Away",-Assumptions!$B$2,0))</f>
        <v>2.5</v>
      </c>
      <c r="AA138" s="2" t="n">
        <f aca="false">NORMDIST($B138-Y138+Z138,0,Assumptions!$B$3,TRUE())</f>
        <v>0.106795793816305</v>
      </c>
      <c r="AB138" s="2" t="s">
        <v>127</v>
      </c>
      <c r="AC138" s="2" t="s">
        <v>407</v>
      </c>
      <c r="AD138" s="2" t="n">
        <f aca="false">INDEX(Ratings!$B$2:$B$239,MATCH(AB138,Ratings!$A$2:$A$239,0))</f>
        <v>-0.9</v>
      </c>
      <c r="AE138" s="2" t="n">
        <f aca="false">IF(AC138="Home",Assumptions!$B$2,IF(AC138="Away",-Assumptions!$B$2,0))</f>
        <v>-2.5</v>
      </c>
      <c r="AF138" s="2" t="n">
        <f aca="false">NORMDIST($B138-AD138+AE138,0,Assumptions!$B$3,TRUE())</f>
        <v>0.0267260717039664</v>
      </c>
      <c r="AG138" s="2" t="s">
        <v>163</v>
      </c>
      <c r="AH138" s="2" t="s">
        <v>407</v>
      </c>
      <c r="AI138" s="2" t="n">
        <f aca="false">INDEX(Ratings!$B$2:$B$239,MATCH(AG138,Ratings!$A$2:$A$239,0))</f>
        <v>-11.6</v>
      </c>
      <c r="AJ138" s="2" t="n">
        <f aca="false">IF(AH138="Home",Assumptions!$B$2,IF(AH138="Away",-Assumptions!$B$2,0))</f>
        <v>-2.5</v>
      </c>
      <c r="AK138" s="2" t="n">
        <f aca="false">NORMDIST($B138-AI138+AJ138,0,Assumptions!$B$3,TRUE())</f>
        <v>0.103384463148161</v>
      </c>
      <c r="AL138" s="2" t="s">
        <v>174</v>
      </c>
      <c r="AM138" s="2" t="s">
        <v>406</v>
      </c>
      <c r="AN138" s="2" t="n">
        <f aca="false">INDEX(Ratings!$B$2:$B$239,MATCH(AL138,Ratings!$A$2:$A$239,0))</f>
        <v>-14.7</v>
      </c>
      <c r="AO138" s="2" t="n">
        <f aca="false">IF(AM138="Home",Assumptions!$B$2,IF(AM138="Away",-Assumptions!$B$2,0))</f>
        <v>2.5</v>
      </c>
      <c r="AP138" s="2" t="n">
        <f aca="false">NORMDIST($B138-AN138+AO138,0,Assumptions!$B$3,TRUE())</f>
        <v>0.22474965994458</v>
      </c>
      <c r="AQ138" s="2" t="s">
        <v>169</v>
      </c>
      <c r="AR138" s="2" t="s">
        <v>407</v>
      </c>
      <c r="AS138" s="2" t="n">
        <f aca="false">INDEX(Ratings!$B$2:$B$239,MATCH(AQ138,Ratings!$A$2:$A$239,0))</f>
        <v>-12.7</v>
      </c>
      <c r="AT138" s="2" t="n">
        <f aca="false">IF(AR138="Home",Assumptions!$B$2,IF(AR138="Away",-Assumptions!$B$2,0))</f>
        <v>-2.5</v>
      </c>
      <c r="AU138" s="2" t="n">
        <f aca="false">NORMDIST($B138-AS138+AT138,0,Assumptions!$B$3,TRUE())</f>
        <v>0.116287887754489</v>
      </c>
      <c r="AV138" s="2" t="s">
        <v>160</v>
      </c>
      <c r="AW138" s="2" t="s">
        <v>406</v>
      </c>
      <c r="AX138" s="2" t="n">
        <f aca="false">INDEX(Ratings!$B$2:$B$239,MATCH(AV138,Ratings!$A$2:$A$239,0))</f>
        <v>-10.8</v>
      </c>
      <c r="AY138" s="2" t="n">
        <f aca="false">IF(AW138="Home",Assumptions!$B$2,IF(AW138="Away",-Assumptions!$B$2,0))</f>
        <v>2.5</v>
      </c>
      <c r="AZ138" s="2" t="n">
        <f aca="false">NORMDIST($B138-AX138+AY138,0,Assumptions!$B$3,TRUE())</f>
        <v>0.158655253931457</v>
      </c>
      <c r="BA138" s="2" t="s">
        <v>155</v>
      </c>
      <c r="BB138" s="2" t="s">
        <v>407</v>
      </c>
      <c r="BC138" s="2" t="n">
        <f aca="false">INDEX(Ratings!$B$2:$B$239,MATCH(BA138,Ratings!$A$2:$A$239,0))</f>
        <v>-8.2</v>
      </c>
      <c r="BD138" s="2" t="n">
        <f aca="false">IF(BB138="Home",Assumptions!$B$2,IF(BB138="Away",-Assumptions!$B$2,0))</f>
        <v>-2.5</v>
      </c>
      <c r="BE138" s="2" t="n">
        <f aca="false">NORMDIST($B138-BC138+BD138,0,Assumptions!$B$3,TRUE())</f>
        <v>0.0701062717112231</v>
      </c>
      <c r="BF138" s="2" t="s">
        <v>159</v>
      </c>
      <c r="BG138" s="2" t="s">
        <v>406</v>
      </c>
      <c r="BH138" s="2" t="n">
        <f aca="false">INDEX(Ratings!$B$2:$B$239,MATCH(BF138,Ratings!$A$2:$A$239,0))</f>
        <v>-10.6</v>
      </c>
      <c r="BI138" s="2" t="n">
        <f aca="false">IF(BG138="Home",Assumptions!$B$2,IF(BG138="Away",-Assumptions!$B$2,0))</f>
        <v>2.5</v>
      </c>
      <c r="BJ138" s="2" t="n">
        <f aca="false">NORMDIST($B138-BH138+BI138,0,Assumptions!$B$3,TRUE())</f>
        <v>0.155649523346768</v>
      </c>
      <c r="BP138" s="2" t="n">
        <v>12</v>
      </c>
      <c r="BQ138" s="2" t="n">
        <f aca="false">G138+L138+Q138+V138+AA138+AF138+AK138+AP138+AU138+AZ138+BE138+BJ138</f>
        <v>1.85356207728962</v>
      </c>
    </row>
    <row r="139" customFormat="false" ht="15" hidden="false" customHeight="false" outlineLevel="0" collapsed="false">
      <c r="A139" s="2" t="s">
        <v>195</v>
      </c>
      <c r="B139" s="2" t="n">
        <f aca="false">INDEX(Ratings!$B$2:$B$239,MATCH($A139,Ratings!$A$2:$A$239,0))</f>
        <v>-32.9</v>
      </c>
      <c r="C139" s="2" t="s">
        <v>118</v>
      </c>
      <c r="D139" s="2" t="s">
        <v>407</v>
      </c>
      <c r="E139" s="2" t="n">
        <f aca="false">INDEX(Ratings!$B$2:$B$239,MATCH(C139,Ratings!$A$2:$A$239,0))</f>
        <v>2.7</v>
      </c>
      <c r="F139" s="2" t="n">
        <f aca="false">IF(D139="Home",Assumptions!$B$2,IF(D139="Away",-Assumptions!$B$2,0))</f>
        <v>-2.5</v>
      </c>
      <c r="G139" s="2" t="n">
        <f aca="false">NORMDIST($B139-E139+F139,0,Assumptions!$B$3,TRUE())</f>
        <v>0.00862699893671708</v>
      </c>
      <c r="H139" s="2" t="s">
        <v>306</v>
      </c>
      <c r="I139" s="2" t="s">
        <v>406</v>
      </c>
      <c r="J139" s="2" t="n">
        <f aca="false">INDEX(Ratings!$B$2:$B$239,MATCH(H139,Ratings!$A$2:$A$239,0))</f>
        <v>-49</v>
      </c>
      <c r="K139" s="2" t="n">
        <f aca="false">IF(I139="Home",Assumptions!$B$2,IF(I139="Away",-Assumptions!$B$2,0))</f>
        <v>2.5</v>
      </c>
      <c r="L139" s="2" t="n">
        <f aca="false">NORMDIST($B139-J139+K139,0,Assumptions!$B$3,TRUE())</f>
        <v>0.877483787656951</v>
      </c>
      <c r="M139" s="2" t="s">
        <v>315</v>
      </c>
      <c r="N139" s="2" t="s">
        <v>406</v>
      </c>
      <c r="O139" s="2" t="n">
        <f aca="false">INDEX(Ratings!$B$2:$B$239,MATCH(M139,Ratings!$A$2:$A$239,0))</f>
        <v>-56</v>
      </c>
      <c r="P139" s="2" t="n">
        <f aca="false">IF(N139="Home",Assumptions!$B$2,IF(N139="Away",-Assumptions!$B$2,0))</f>
        <v>2.5</v>
      </c>
      <c r="Q139" s="2" t="n">
        <f aca="false">NORMDIST($B139-O139+P139,0,Assumptions!$B$3,TRUE())</f>
        <v>0.945200708300442</v>
      </c>
      <c r="R139" s="2" t="s">
        <v>188</v>
      </c>
      <c r="S139" s="2" t="s">
        <v>407</v>
      </c>
      <c r="T139" s="2" t="n">
        <f aca="false">INDEX(Ratings!$B$2:$B$239,MATCH(R139,Ratings!$A$2:$A$239,0))</f>
        <v>-23.4</v>
      </c>
      <c r="U139" s="2" t="n">
        <f aca="false">IF(S139="Home",Assumptions!$B$2,IF(S139="Away",-Assumptions!$B$2,0))</f>
        <v>-2.5</v>
      </c>
      <c r="V139" s="2" t="n">
        <f aca="false">NORMDIST($B139-T139+U139,0,Assumptions!$B$3,TRUE())</f>
        <v>0.226627352376868</v>
      </c>
      <c r="W139" s="2" t="s">
        <v>179</v>
      </c>
      <c r="X139" s="2" t="s">
        <v>406</v>
      </c>
      <c r="Y139" s="2" t="n">
        <f aca="false">INDEX(Ratings!$B$2:$B$239,MATCH(W139,Ratings!$A$2:$A$239,0))</f>
        <v>-16.1</v>
      </c>
      <c r="Z139" s="2" t="n">
        <f aca="false">IF(X139="Home",Assumptions!$B$2,IF(X139="Away",-Assumptions!$B$2,0))</f>
        <v>2.5</v>
      </c>
      <c r="AA139" s="2" t="n">
        <f aca="false">NORMDIST($B139-Y139+Z139,0,Assumptions!$B$3,TRUE())</f>
        <v>0.185727833347904</v>
      </c>
      <c r="AB139" s="2" t="s">
        <v>142</v>
      </c>
      <c r="AC139" s="2" t="s">
        <v>406</v>
      </c>
      <c r="AD139" s="2" t="n">
        <f aca="false">INDEX(Ratings!$B$2:$B$239,MATCH(AB139,Ratings!$A$2:$A$239,0))</f>
        <v>-4</v>
      </c>
      <c r="AE139" s="2" t="n">
        <f aca="false">IF(AC139="Home",Assumptions!$B$2,IF(AC139="Away",-Assumptions!$B$2,0))</f>
        <v>2.5</v>
      </c>
      <c r="AF139" s="2" t="n">
        <f aca="false">NORMDIST($B139-AD139+AE139,0,Assumptions!$B$3,TRUE())</f>
        <v>0.0494714680336481</v>
      </c>
      <c r="AG139" s="2" t="s">
        <v>168</v>
      </c>
      <c r="AH139" s="2" t="s">
        <v>407</v>
      </c>
      <c r="AI139" s="2" t="n">
        <f aca="false">INDEX(Ratings!$B$2:$B$239,MATCH(AG139,Ratings!$A$2:$A$239,0))</f>
        <v>-12.7</v>
      </c>
      <c r="AJ139" s="2" t="n">
        <f aca="false">IF(AH139="Home",Assumptions!$B$2,IF(AH139="Away",-Assumptions!$B$2,0))</f>
        <v>-2.5</v>
      </c>
      <c r="AK139" s="2" t="n">
        <f aca="false">NORMDIST($B139-AI139+AJ139,0,Assumptions!$B$3,TRUE())</f>
        <v>0.0779859572224404</v>
      </c>
      <c r="AL139" s="2" t="s">
        <v>167</v>
      </c>
      <c r="AM139" s="2" t="s">
        <v>407</v>
      </c>
      <c r="AN139" s="2" t="n">
        <f aca="false">INDEX(Ratings!$B$2:$B$239,MATCH(AL139,Ratings!$A$2:$A$239,0))</f>
        <v>-11.9</v>
      </c>
      <c r="AO139" s="2" t="n">
        <f aca="false">IF(AM139="Home",Assumptions!$B$2,IF(AM139="Away",-Assumptions!$B$2,0))</f>
        <v>-2.5</v>
      </c>
      <c r="AP139" s="2" t="n">
        <f aca="false">NORMDIST($B139-AN139+AO139,0,Assumptions!$B$3,TRUE())</f>
        <v>0.0709503051389903</v>
      </c>
      <c r="AQ139" s="2" t="s">
        <v>190</v>
      </c>
      <c r="AR139" s="2" t="s">
        <v>406</v>
      </c>
      <c r="AS139" s="2" t="n">
        <f aca="false">INDEX(Ratings!$B$2:$B$239,MATCH(AQ139,Ratings!$A$2:$A$239,0))</f>
        <v>-25.1</v>
      </c>
      <c r="AT139" s="2" t="n">
        <f aca="false">IF(AR139="Home",Assumptions!$B$2,IF(AR139="Away",-Assumptions!$B$2,0))</f>
        <v>2.5</v>
      </c>
      <c r="AU139" s="2" t="n">
        <f aca="false">NORMDIST($B139-AS139+AT139,0,Assumptions!$B$3,TRUE())</f>
        <v>0.370227827724972</v>
      </c>
      <c r="AV139" s="2" t="s">
        <v>158</v>
      </c>
      <c r="AW139" s="2" t="s">
        <v>407</v>
      </c>
      <c r="AX139" s="2" t="n">
        <f aca="false">INDEX(Ratings!$B$2:$B$239,MATCH(AV139,Ratings!$A$2:$A$239,0))</f>
        <v>-9.1</v>
      </c>
      <c r="AY139" s="2" t="n">
        <f aca="false">IF(AW139="Home",Assumptions!$B$2,IF(AW139="Away",-Assumptions!$B$2,0))</f>
        <v>-2.5</v>
      </c>
      <c r="AZ139" s="2" t="n">
        <f aca="false">NORMDIST($B139-AX139+AY139,0,Assumptions!$B$3,TRUE())</f>
        <v>0.0501139266237468</v>
      </c>
      <c r="BA139" s="2" t="s">
        <v>187</v>
      </c>
      <c r="BB139" s="2" t="s">
        <v>406</v>
      </c>
      <c r="BC139" s="2" t="n">
        <f aca="false">INDEX(Ratings!$B$2:$B$239,MATCH(BA139,Ratings!$A$2:$A$239,0))</f>
        <v>-22.9</v>
      </c>
      <c r="BD139" s="2" t="n">
        <f aca="false">IF(BB139="Home",Assumptions!$B$2,IF(BB139="Away",-Assumptions!$B$2,0))</f>
        <v>2.5</v>
      </c>
      <c r="BE139" s="2" t="n">
        <f aca="false">NORMDIST($B139-BC139+BD139,0,Assumptions!$B$3,TRUE())</f>
        <v>0.319624171517118</v>
      </c>
      <c r="BF139" s="2" t="s">
        <v>175</v>
      </c>
      <c r="BG139" s="2" t="s">
        <v>407</v>
      </c>
      <c r="BH139" s="2" t="n">
        <f aca="false">INDEX(Ratings!$B$2:$B$239,MATCH(BF139,Ratings!$A$2:$A$239,0))</f>
        <v>-15</v>
      </c>
      <c r="BI139" s="2" t="n">
        <f aca="false">IF(BG139="Home",Assumptions!$B$2,IF(BG139="Away",-Assumptions!$B$2,0))</f>
        <v>-2.5</v>
      </c>
      <c r="BJ139" s="2" t="n">
        <f aca="false">NORMDIST($B139-BH139+BI139,0,Assumptions!$B$3,TRUE())</f>
        <v>0.101154620995586</v>
      </c>
      <c r="BP139" s="2" t="n">
        <v>12</v>
      </c>
      <c r="BQ139" s="2" t="n">
        <f aca="false">G139+L139+Q139+V139+AA139+AF139+AK139+AP139+AU139+AZ139+BE139+BJ139</f>
        <v>3.28319495787538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2" t="s">
        <v>409</v>
      </c>
    </row>
    <row r="3" customFormat="false" ht="15" hidden="false" customHeight="false" outlineLevel="0" collapsed="false">
      <c r="A3" s="1" t="s">
        <v>58</v>
      </c>
      <c r="C3" s="2" t="n">
        <f aca="false">Schedule!G2</f>
        <v>0.999917966445453</v>
      </c>
      <c r="D3" s="2" t="n">
        <f aca="false">Schedule!L2</f>
        <v>0.678138598836346</v>
      </c>
      <c r="E3" s="2" t="n">
        <f aca="false">Schedule!Q2</f>
        <v>0.999840891409842</v>
      </c>
      <c r="F3" s="2" t="n">
        <f aca="false">Schedule!V2</f>
        <v>0.939429241997941</v>
      </c>
      <c r="G3" s="2" t="n">
        <f aca="false">Schedule!AA2</f>
        <v>0.83521987001969</v>
      </c>
      <c r="H3" s="2" t="n">
        <f aca="false">Schedule!AF2</f>
        <v>0.969603638234739</v>
      </c>
      <c r="I3" s="2" t="n">
        <f aca="false">Schedule!AK2</f>
        <v>0.608341880846395</v>
      </c>
      <c r="J3" s="2" t="n">
        <f aca="false">Schedule!AP2</f>
        <v>0.782672264321914</v>
      </c>
      <c r="K3" s="2" t="n">
        <f aca="false">Schedule!AU2</f>
        <v>0.646169766672724</v>
      </c>
      <c r="L3" s="2" t="n">
        <f aca="false">Schedule!AZ2</f>
        <v>0.970031040466775</v>
      </c>
      <c r="M3" s="2" t="n">
        <f aca="false">Schedule!BE2</f>
        <v>0.904266222788902</v>
      </c>
      <c r="N3" s="2" t="n">
        <f aca="false">Schedule!BJ2</f>
        <v>0.872335337703716</v>
      </c>
      <c r="O3" s="2" t="n">
        <f aca="false">Schedule!BO2</f>
        <v>0</v>
      </c>
    </row>
    <row r="4" customFormat="false" ht="15" hidden="false" customHeight="false" outlineLevel="0" collapsed="false">
      <c r="B4" s="2" t="n">
        <v>0</v>
      </c>
      <c r="C4" s="2" t="n">
        <f aca="false">1-C$3</f>
        <v>8.20335545469453E-005</v>
      </c>
      <c r="D4" s="2" t="n">
        <f aca="false">C4*(1-D$3)</f>
        <v>2.64034348089148E-005</v>
      </c>
      <c r="E4" s="2" t="n">
        <f aca="false">D4*(1-E$3)</f>
        <v>4.2010132877633E-009</v>
      </c>
      <c r="F4" s="2" t="n">
        <f aca="false">E4*(1-F$3)</f>
        <v>2.54458559216545E-010</v>
      </c>
      <c r="G4" s="2" t="n">
        <f aca="false">F4*(1-G$3)</f>
        <v>4.19297144623047E-011</v>
      </c>
      <c r="H4" s="2" t="n">
        <f aca="false">G4*(1-H$3)</f>
        <v>1.27451076951033E-012</v>
      </c>
      <c r="I4" s="2" t="n">
        <f aca="false">H4*(1-I$3)</f>
        <v>4.99172490827429E-013</v>
      </c>
      <c r="J4" s="2" t="n">
        <f aca="false">I4*(1-J$3)</f>
        <v>1.08484027144315E-013</v>
      </c>
      <c r="K4" s="2" t="n">
        <f aca="false">J4*(1-K$3)</f>
        <v>3.83849286367555E-014</v>
      </c>
      <c r="L4" s="2" t="n">
        <f aca="false">K4*(1-L$3)</f>
        <v>1.15035637300064E-015</v>
      </c>
      <c r="M4" s="2" t="n">
        <f aca="false">L4*(1-M$3)</f>
        <v>1.10127960726211E-016</v>
      </c>
      <c r="N4" s="2" t="n">
        <f aca="false">M4*(1-N$3)</f>
        <v>1.40594489154901E-017</v>
      </c>
      <c r="O4" s="2" t="n">
        <f aca="false">N4*(1-O$3)</f>
        <v>1.40594489154901E-017</v>
      </c>
    </row>
    <row r="5" customFormat="false" ht="15" hidden="false" customHeight="false" outlineLevel="0" collapsed="false">
      <c r="B5" s="2" t="n">
        <v>1</v>
      </c>
      <c r="C5" s="2" t="n">
        <f aca="false">C$3</f>
        <v>0.999917966445453</v>
      </c>
      <c r="D5" s="2" t="n">
        <f aca="false">C5*(1-D$3)+C4*D$3</f>
        <v>0.321890627848583</v>
      </c>
      <c r="E5" s="2" t="n">
        <f aca="false">D5*(1-E$3)+D4*E$3</f>
        <v>7.76147977775447E-005</v>
      </c>
      <c r="F5" s="2" t="n">
        <f aca="false">E5*(1-F$3)+E4*F$3</f>
        <v>4.70513368829094E-006</v>
      </c>
      <c r="G5" s="2" t="n">
        <f aca="false">F5*(1-G$3)+F4*G$3</f>
        <v>7.75525069576074E-007</v>
      </c>
      <c r="H5" s="2" t="n">
        <f aca="false">G5*(1-H$3)+G4*H$3</f>
        <v>2.36137957765566E-008</v>
      </c>
      <c r="I5" s="2" t="n">
        <f aca="false">H5*(1-I$3)+H4*I$3</f>
        <v>9.2493101782022E-009</v>
      </c>
      <c r="J5" s="2" t="n">
        <f aca="false">I5*(1-J$3)+I4*J$3</f>
        <v>2.01052232607664E-009</v>
      </c>
      <c r="K5" s="2" t="n">
        <f aca="false">J5*(1-K$3)+J4*K$3</f>
        <v>7.11453682843902E-010</v>
      </c>
      <c r="L5" s="2" t="n">
        <f aca="false">K5*(1-L$3)+K4*L$3</f>
        <v>2.13587612031763E-011</v>
      </c>
      <c r="M5" s="2" t="n">
        <f aca="false">L5*(1-M$3)+L4*M$3</f>
        <v>2.04579511494221E-012</v>
      </c>
      <c r="N5" s="2" t="n">
        <f aca="false">M5*(1-N$3)+M4*N$3</f>
        <v>2.61271810988295E-013</v>
      </c>
      <c r="O5" s="2" t="n">
        <f aca="false">N5*(1-O$3)+N4*O$3</f>
        <v>2.61271810988295E-013</v>
      </c>
    </row>
    <row r="6" customFormat="false" ht="15" hidden="false" customHeight="false" outlineLevel="0" collapsed="false">
      <c r="B6" s="2" t="n">
        <v>2</v>
      </c>
      <c r="C6" s="2" t="n">
        <f aca="false">0</f>
        <v>0</v>
      </c>
      <c r="D6" s="2" t="n">
        <f aca="false">C6*(1-D$3)+C5*D$3</f>
        <v>0.678082968716608</v>
      </c>
      <c r="E6" s="2" t="n">
        <f aca="false">D6*(1-E$3)+D5*E$3</f>
        <v>0.321947301109764</v>
      </c>
      <c r="F6" s="2" t="n">
        <f aca="false">E6*(1-F$3)+E5*F$3</f>
        <v>0.0195735056755795</v>
      </c>
      <c r="G6" s="2" t="n">
        <f aca="false">F6*(1-G$3)+F5*G$3</f>
        <v>0.00322925463053989</v>
      </c>
      <c r="H6" s="2" t="n">
        <f aca="false">G6*(1-H$3)+G5*H$3</f>
        <v>9.89095439110391E-005</v>
      </c>
      <c r="I6" s="2" t="n">
        <f aca="false">H6*(1-I$3)+H5*I$3</f>
        <v>3.87530911954751E-005</v>
      </c>
      <c r="J6" s="2" t="n">
        <f aca="false">I6*(1-J$3)+I5*J$3</f>
        <v>8.42936073857956E-006</v>
      </c>
      <c r="K6" s="2" t="n">
        <f aca="false">J6*(1-K$3)+J5*K$3</f>
        <v>2.98386181567372E-006</v>
      </c>
      <c r="L6" s="2" t="n">
        <f aca="false">K6*(1-L$3)+K5*L$3</f>
        <v>9.01133661628728E-008</v>
      </c>
      <c r="M6" s="2" t="n">
        <f aca="false">L6*(1-M$3)+L5*M$3</f>
        <v>8.64620692629526E-009</v>
      </c>
      <c r="N6" s="2" t="n">
        <f aca="false">M6*(1-N$3)+M5*N$3</f>
        <v>1.10559970676174E-009</v>
      </c>
      <c r="O6" s="2" t="n">
        <f aca="false">N6*(1-O$3)+N5*O$3</f>
        <v>1.10559970676174E-009</v>
      </c>
    </row>
    <row r="7" customFormat="false" ht="15" hidden="false" customHeight="false" outlineLevel="0" collapsed="false">
      <c r="B7" s="2" t="n">
        <v>3</v>
      </c>
      <c r="C7" s="2" t="n">
        <f aca="false">0</f>
        <v>0</v>
      </c>
      <c r="D7" s="2" t="n">
        <f aca="false">C7*(1-D$3)+C6*D$3</f>
        <v>0</v>
      </c>
      <c r="E7" s="2" t="n">
        <f aca="false">D7*(1-E$3)+D6*E$3</f>
        <v>0.677975079891446</v>
      </c>
      <c r="F7" s="2" t="n">
        <f aca="false">E7*(1-F$3)+E6*F$3</f>
        <v>0.343512173540359</v>
      </c>
      <c r="G7" s="2" t="n">
        <f aca="false">F7*(1-G$3)+F6*G$3</f>
        <v>0.0729521614719865</v>
      </c>
      <c r="H7" s="2" t="n">
        <f aca="false">G7*(1-H$3)+G6*H$3</f>
        <v>0.00534857733021812</v>
      </c>
      <c r="I7" s="2" t="n">
        <f aca="false">H7*(1-I$3)+H6*I$3</f>
        <v>0.00215498455527734</v>
      </c>
      <c r="J7" s="2" t="n">
        <f aca="false">I7*(1-J$3)+I6*J$3</f>
        <v>0.000498668883455107</v>
      </c>
      <c r="K7" s="2" t="n">
        <f aca="false">J7*(1-K$3)+J6*K$3</f>
        <v>0.000181890925447621</v>
      </c>
      <c r="L7" s="2" t="n">
        <f aca="false">K7*(1-L$3)+K6*L$3</f>
        <v>8.34552036586758E-006</v>
      </c>
      <c r="M7" s="2" t="n">
        <f aca="false">L7*(1-M$3)+L6*M$3</f>
        <v>8.80434660659547E-007</v>
      </c>
      <c r="N7" s="2" t="n">
        <f aca="false">M7*(1-N$3)+M6*N$3</f>
        <v>1.1994278546595E-007</v>
      </c>
      <c r="O7" s="2" t="n">
        <f aca="false">N7*(1-O$3)+N6*O$3</f>
        <v>1.1994278546595E-007</v>
      </c>
    </row>
    <row r="8" customFormat="false" ht="15" hidden="false" customHeight="false" outlineLevel="0" collapsed="false">
      <c r="B8" s="2" t="n">
        <v>4</v>
      </c>
      <c r="C8" s="2" t="n">
        <f aca="false">0</f>
        <v>0</v>
      </c>
      <c r="D8" s="2" t="n">
        <f aca="false">C8*(1-D$3)+C7*D$3</f>
        <v>0</v>
      </c>
      <c r="E8" s="2" t="n">
        <f aca="false">D8*(1-E$3)+D7*E$3</f>
        <v>0</v>
      </c>
      <c r="F8" s="2" t="n">
        <f aca="false">E8*(1-F$3)+E7*F$3</f>
        <v>0.636909615395914</v>
      </c>
      <c r="G8" s="2" t="n">
        <f aca="false">F8*(1-G$3)+F7*G$3</f>
        <v>0.391858242145208</v>
      </c>
      <c r="H8" s="2" t="n">
        <f aca="false">G8*(1-H$3)+G7*H$3</f>
        <v>0.0826457460692714</v>
      </c>
      <c r="I8" s="2" t="n">
        <f aca="false">H8*(1-I$3)+H7*I$3</f>
        <v>0.0356226410544546</v>
      </c>
      <c r="J8" s="2" t="n">
        <f aca="false">I8*(1-J$3)+I7*J$3</f>
        <v>0.00942843456069549</v>
      </c>
      <c r="K8" s="2" t="n">
        <f aca="false">J8*(1-K$3)+J7*K$3</f>
        <v>0.00365828995659097</v>
      </c>
      <c r="L8" s="2" t="n">
        <f aca="false">K8*(1-L$3)+K7*L$3</f>
        <v>0.000286074987333297</v>
      </c>
      <c r="M8" s="2" t="n">
        <f aca="false">L8*(1-M$3)+L7*M$3</f>
        <v>3.49336112814847E-005</v>
      </c>
      <c r="N8" s="2" t="n">
        <f aca="false">M8*(1-N$3)+M7*N$3</f>
        <v>5.22782195407289E-006</v>
      </c>
      <c r="O8" s="2" t="n">
        <f aca="false">N8*(1-O$3)+N7*O$3</f>
        <v>5.22782195407289E-006</v>
      </c>
    </row>
    <row r="9" customFormat="false" ht="15" hidden="false" customHeight="false" outlineLevel="0" collapsed="false">
      <c r="B9" s="2" t="n">
        <v>5</v>
      </c>
      <c r="C9" s="2" t="n">
        <f aca="false">0</f>
        <v>0</v>
      </c>
      <c r="D9" s="2" t="n">
        <f aca="false">C9*(1-D$3)+C8*D$3</f>
        <v>0</v>
      </c>
      <c r="E9" s="2" t="n">
        <f aca="false">D9*(1-E$3)+D8*E$3</f>
        <v>0</v>
      </c>
      <c r="F9" s="2" t="n">
        <f aca="false">E9*(1-F$3)+E8*F$3</f>
        <v>0</v>
      </c>
      <c r="G9" s="2" t="n">
        <f aca="false">F9*(1-G$3)+F8*G$3</f>
        <v>0.531959566185266</v>
      </c>
      <c r="H9" s="2" t="n">
        <f aca="false">G9*(1-H$3)+G8*H$3</f>
        <v>0.396116812674522</v>
      </c>
      <c r="I9" s="2" t="n">
        <f aca="false">H9*(1-I$3)+H8*I$3</f>
        <v>0.205419234424958</v>
      </c>
      <c r="J9" s="2" t="n">
        <f aca="false">I9*(1-J$3)+I8*J$3</f>
        <v>0.0725241502175188</v>
      </c>
      <c r="K9" s="2" t="n">
        <f aca="false">J9*(1-K$3)+J8*K$3</f>
        <v>0.0317536063535007</v>
      </c>
      <c r="L9" s="2" t="n">
        <f aca="false">K9*(1-L$3)+K8*L$3</f>
        <v>0.00450027735676311</v>
      </c>
      <c r="M9" s="2" t="n">
        <f aca="false">L9*(1-M$3)+L8*M$3</f>
        <v>0.000689516498090774</v>
      </c>
      <c r="N9" s="2" t="n">
        <f aca="false">M9*(1-N$3)+M8*N$3</f>
        <v>0.000118500714470919</v>
      </c>
      <c r="O9" s="2" t="n">
        <f aca="false">N9*(1-O$3)+N8*O$3</f>
        <v>0.000118500714470919</v>
      </c>
    </row>
    <row r="10" customFormat="false" ht="15" hidden="false" customHeight="false" outlineLevel="0" collapsed="false">
      <c r="B10" s="2" t="n">
        <v>6</v>
      </c>
      <c r="C10" s="2" t="n">
        <f aca="false">0</f>
        <v>0</v>
      </c>
      <c r="D10" s="2" t="n">
        <f aca="false">C10*(1-D$3)+C9*D$3</f>
        <v>0</v>
      </c>
      <c r="E10" s="2" t="n">
        <f aca="false">D10*(1-E$3)+D9*E$3</f>
        <v>0</v>
      </c>
      <c r="F10" s="2" t="n">
        <f aca="false">E10*(1-F$3)+E9*F$3</f>
        <v>0</v>
      </c>
      <c r="G10" s="2" t="n">
        <f aca="false">F10*(1-G$3)+F9*G$3</f>
        <v>0</v>
      </c>
      <c r="H10" s="2" t="n">
        <f aca="false">G10*(1-H$3)+G9*H$3</f>
        <v>0.515789930767007</v>
      </c>
      <c r="I10" s="2" t="n">
        <f aca="false">H10*(1-I$3)+H9*I$3</f>
        <v>0.442987761019872</v>
      </c>
      <c r="J10" s="2" t="n">
        <f aca="false">I10*(1-J$3)+I9*J$3</f>
        <v>0.25704946437821</v>
      </c>
      <c r="K10" s="2" t="n">
        <f aca="false">J10*(1-K$3)+J9*K$3</f>
        <v>0.137814785181785</v>
      </c>
      <c r="L10" s="2" t="n">
        <f aca="false">K10*(1-L$3)+K9*L$3</f>
        <v>0.0349321495298517</v>
      </c>
      <c r="M10" s="2" t="n">
        <f aca="false">L10*(1-M$3)+L9*M$3</f>
        <v>0.0074136354274982</v>
      </c>
      <c r="N10" s="2" t="n">
        <f aca="false">M10*(1-N$3)+M9*N$3</f>
        <v>0.00154794887045362</v>
      </c>
      <c r="O10" s="2" t="n">
        <f aca="false">N10*(1-O$3)+N9*O$3</f>
        <v>0.00154794887045362</v>
      </c>
    </row>
    <row r="11" customFormat="false" ht="15" hidden="false" customHeight="false" outlineLevel="0" collapsed="false">
      <c r="B11" s="2" t="n">
        <v>7</v>
      </c>
      <c r="C11" s="2" t="n">
        <f aca="false">0</f>
        <v>0</v>
      </c>
      <c r="D11" s="2" t="n">
        <f aca="false">C11*(1-D$3)+C10*D$3</f>
        <v>0</v>
      </c>
      <c r="E11" s="2" t="n">
        <f aca="false">D11*(1-E$3)+D10*E$3</f>
        <v>0</v>
      </c>
      <c r="F11" s="2" t="n">
        <f aca="false">E11*(1-F$3)+E10*F$3</f>
        <v>0</v>
      </c>
      <c r="G11" s="2" t="n">
        <f aca="false">F11*(1-G$3)+F10*G$3</f>
        <v>0</v>
      </c>
      <c r="H11" s="2" t="n">
        <f aca="false">G11*(1-H$3)+G10*H$3</f>
        <v>0</v>
      </c>
      <c r="I11" s="2" t="n">
        <f aca="false">H11*(1-I$3)+H10*I$3</f>
        <v>0.313776616604433</v>
      </c>
      <c r="J11" s="2" t="n">
        <f aca="false">I11*(1-J$3)+I10*J$3</f>
        <v>0.41490659557969</v>
      </c>
      <c r="K11" s="2" t="n">
        <f aca="false">J11*(1-K$3)+J10*K$3</f>
        <v>0.312904089943604</v>
      </c>
      <c r="L11" s="2" t="n">
        <f aca="false">K11*(1-L$3)+K10*L$3</f>
        <v>0.143062029470892</v>
      </c>
      <c r="M11" s="2" t="n">
        <f aca="false">L11*(1-M$3)+L10*M$3</f>
        <v>0.0452838313659901</v>
      </c>
      <c r="N11" s="2" t="n">
        <f aca="false">M11*(1-N$3)+M10*N$3</f>
        <v>0.0122483212030799</v>
      </c>
      <c r="O11" s="2" t="n">
        <f aca="false">N11*(1-O$3)+N10*O$3</f>
        <v>0.0122483212030799</v>
      </c>
    </row>
    <row r="12" customFormat="false" ht="15" hidden="false" customHeight="false" outlineLevel="0" collapsed="false">
      <c r="B12" s="2" t="n">
        <v>8</v>
      </c>
      <c r="C12" s="2" t="n">
        <f aca="false">0</f>
        <v>0</v>
      </c>
      <c r="D12" s="2" t="n">
        <f aca="false">C12*(1-D$3)+C11*D$3</f>
        <v>0</v>
      </c>
      <c r="E12" s="2" t="n">
        <f aca="false">D12*(1-E$3)+D11*E$3</f>
        <v>0</v>
      </c>
      <c r="F12" s="2" t="n">
        <f aca="false">E12*(1-F$3)+E11*F$3</f>
        <v>0</v>
      </c>
      <c r="G12" s="2" t="n">
        <f aca="false">F12*(1-G$3)+F11*G$3</f>
        <v>0</v>
      </c>
      <c r="H12" s="2" t="n">
        <f aca="false">G12*(1-H$3)+G11*H$3</f>
        <v>0</v>
      </c>
      <c r="I12" s="2" t="n">
        <f aca="false">H12*(1-I$3)+H11*I$3</f>
        <v>0</v>
      </c>
      <c r="J12" s="2" t="n">
        <f aca="false">I12*(1-J$3)+I11*J$3</f>
        <v>0.245584255009061</v>
      </c>
      <c r="K12" s="2" t="n">
        <f aca="false">J12*(1-K$3)+J11*K$3</f>
        <v>0.354995232308064</v>
      </c>
      <c r="L12" s="2" t="n">
        <f aca="false">K12*(1-L$3)+K11*L$3</f>
        <v>0.314165517685832</v>
      </c>
      <c r="M12" s="2" t="n">
        <f aca="false">L12*(1-M$3)+L11*M$3</f>
        <v>0.159442412691703</v>
      </c>
      <c r="N12" s="2" t="n">
        <f aca="false">M12*(1-N$3)+M11*N$3</f>
        <v>0.0598578480991601</v>
      </c>
      <c r="O12" s="2" t="n">
        <f aca="false">N12*(1-O$3)+N11*O$3</f>
        <v>0.0598578480991601</v>
      </c>
    </row>
    <row r="13" customFormat="false" ht="15" hidden="false" customHeight="false" outlineLevel="0" collapsed="false">
      <c r="B13" s="2" t="n">
        <v>9</v>
      </c>
      <c r="C13" s="2" t="n">
        <f aca="false">0</f>
        <v>0</v>
      </c>
      <c r="D13" s="2" t="n">
        <f aca="false">C13*(1-D$3)+C12*D$3</f>
        <v>0</v>
      </c>
      <c r="E13" s="2" t="n">
        <f aca="false">D13*(1-E$3)+D12*E$3</f>
        <v>0</v>
      </c>
      <c r="F13" s="2" t="n">
        <f aca="false">E13*(1-F$3)+E12*F$3</f>
        <v>0</v>
      </c>
      <c r="G13" s="2" t="n">
        <f aca="false">F13*(1-G$3)+F12*G$3</f>
        <v>0</v>
      </c>
      <c r="H13" s="2" t="n">
        <f aca="false">G13*(1-H$3)+G12*H$3</f>
        <v>0</v>
      </c>
      <c r="I13" s="2" t="n">
        <f aca="false">H13*(1-I$3)+H12*I$3</f>
        <v>0</v>
      </c>
      <c r="J13" s="2" t="n">
        <f aca="false">I13*(1-J$3)+I12*J$3</f>
        <v>0</v>
      </c>
      <c r="K13" s="2" t="n">
        <f aca="false">J13*(1-K$3)+J12*K$3</f>
        <v>0.158689120757699</v>
      </c>
      <c r="L13" s="2" t="n">
        <f aca="false">K13*(1-L$3)+K12*L$3</f>
        <v>0.349112142394886</v>
      </c>
      <c r="M13" s="2" t="n">
        <f aca="false">L13*(1-M$3)+L12*M$3</f>
        <v>0.317511090070008</v>
      </c>
      <c r="N13" s="2" t="n">
        <f aca="false">M13*(1-N$3)+M12*N$3</f>
        <v>0.179622197008825</v>
      </c>
      <c r="O13" s="2" t="n">
        <f aca="false">N13*(1-O$3)+N12*O$3</f>
        <v>0.179622197008825</v>
      </c>
    </row>
    <row r="14" customFormat="false" ht="15" hidden="false" customHeight="false" outlineLevel="0" collapsed="false">
      <c r="B14" s="2" t="n">
        <v>10</v>
      </c>
      <c r="C14" s="2" t="n">
        <f aca="false">0</f>
        <v>0</v>
      </c>
      <c r="D14" s="2" t="n">
        <f aca="false">C14*(1-D$3)+C13*D$3</f>
        <v>0</v>
      </c>
      <c r="E14" s="2" t="n">
        <f aca="false">D14*(1-E$3)+D13*E$3</f>
        <v>0</v>
      </c>
      <c r="F14" s="2" t="n">
        <f aca="false">E14*(1-F$3)+E13*F$3</f>
        <v>0</v>
      </c>
      <c r="G14" s="2" t="n">
        <f aca="false">F14*(1-G$3)+F13*G$3</f>
        <v>0</v>
      </c>
      <c r="H14" s="2" t="n">
        <f aca="false">G14*(1-H$3)+G13*H$3</f>
        <v>0</v>
      </c>
      <c r="I14" s="2" t="n">
        <f aca="false">H14*(1-I$3)+H13*I$3</f>
        <v>0</v>
      </c>
      <c r="J14" s="2" t="n">
        <f aca="false">I14*(1-J$3)+I13*J$3</f>
        <v>0</v>
      </c>
      <c r="K14" s="2" t="n">
        <f aca="false">J14*(1-K$3)+J13*K$3</f>
        <v>0</v>
      </c>
      <c r="L14" s="2" t="n">
        <f aca="false">K14*(1-L$3)+K13*L$3</f>
        <v>0.153933372919349</v>
      </c>
      <c r="M14" s="2" t="n">
        <f aca="false">L14*(1-M$3)+L13*M$3</f>
        <v>0.330426941561579</v>
      </c>
      <c r="N14" s="2" t="n">
        <f aca="false">M14*(1-N$3)+M13*N$3</f>
        <v>0.319159987888949</v>
      </c>
      <c r="O14" s="2" t="n">
        <f aca="false">N14*(1-O$3)+N13*O$3</f>
        <v>0.319159987888949</v>
      </c>
    </row>
    <row r="15" customFormat="false" ht="15" hidden="false" customHeight="false" outlineLevel="0" collapsed="false">
      <c r="B15" s="2" t="n">
        <v>11</v>
      </c>
      <c r="C15" s="2" t="n">
        <f aca="false">0</f>
        <v>0</v>
      </c>
      <c r="D15" s="2" t="n">
        <f aca="false">C15*(1-D$3)+C14*D$3</f>
        <v>0</v>
      </c>
      <c r="E15" s="2" t="n">
        <f aca="false">D15*(1-E$3)+D14*E$3</f>
        <v>0</v>
      </c>
      <c r="F15" s="2" t="n">
        <f aca="false">E15*(1-F$3)+E14*F$3</f>
        <v>0</v>
      </c>
      <c r="G15" s="2" t="n">
        <f aca="false">F15*(1-G$3)+F14*G$3</f>
        <v>0</v>
      </c>
      <c r="H15" s="2" t="n">
        <f aca="false">G15*(1-H$3)+G14*H$3</f>
        <v>0</v>
      </c>
      <c r="I15" s="2" t="n">
        <f aca="false">H15*(1-I$3)+H14*I$3</f>
        <v>0</v>
      </c>
      <c r="J15" s="2" t="n">
        <f aca="false">I15*(1-J$3)+I14*J$3</f>
        <v>0</v>
      </c>
      <c r="K15" s="2" t="n">
        <f aca="false">J15*(1-K$3)+J14*K$3</f>
        <v>0</v>
      </c>
      <c r="L15" s="2" t="n">
        <f aca="false">K15*(1-L$3)+K14*L$3</f>
        <v>0</v>
      </c>
      <c r="M15" s="2" t="n">
        <f aca="false">L15*(1-M$3)+L14*M$3</f>
        <v>0.139196749690935</v>
      </c>
      <c r="N15" s="2" t="n">
        <f aca="false">M15*(1-N$3)+M14*N$3</f>
        <v>0.30601360369556</v>
      </c>
      <c r="O15" s="2" t="n">
        <f aca="false">N15*(1-O$3)+N14*O$3</f>
        <v>0.30601360369556</v>
      </c>
    </row>
    <row r="16" customFormat="false" ht="15" hidden="false" customHeight="false" outlineLevel="0" collapsed="false">
      <c r="B16" s="2" t="n">
        <v>12</v>
      </c>
      <c r="C16" s="2" t="n">
        <f aca="false">0</f>
        <v>0</v>
      </c>
      <c r="D16" s="2" t="n">
        <f aca="false">C16*(1-D$3)+C15*D$3</f>
        <v>0</v>
      </c>
      <c r="E16" s="2" t="n">
        <f aca="false">D16*(1-E$3)+D15*E$3</f>
        <v>0</v>
      </c>
      <c r="F16" s="2" t="n">
        <f aca="false">E16*(1-F$3)+E15*F$3</f>
        <v>0</v>
      </c>
      <c r="G16" s="2" t="n">
        <f aca="false">F16*(1-G$3)+F15*G$3</f>
        <v>0</v>
      </c>
      <c r="H16" s="2" t="n">
        <f aca="false">G16*(1-H$3)+G15*H$3</f>
        <v>0</v>
      </c>
      <c r="I16" s="2" t="n">
        <f aca="false">H16*(1-I$3)+H15*I$3</f>
        <v>0</v>
      </c>
      <c r="J16" s="2" t="n">
        <f aca="false">I16*(1-J$3)+I15*J$3</f>
        <v>0</v>
      </c>
      <c r="K16" s="2" t="n">
        <f aca="false">J16*(1-K$3)+J15*K$3</f>
        <v>0</v>
      </c>
      <c r="L16" s="2" t="n">
        <f aca="false">K16*(1-L$3)+K15*L$3</f>
        <v>0</v>
      </c>
      <c r="M16" s="2" t="n">
        <f aca="false">L16*(1-M$3)+L15*M$3</f>
        <v>0</v>
      </c>
      <c r="N16" s="2" t="n">
        <f aca="false">M16*(1-N$3)+M15*N$3</f>
        <v>0.121426243648901</v>
      </c>
      <c r="O16" s="2" t="n">
        <f aca="false">N16*(1-O$3)+N15*O$3</f>
        <v>0.121426243648901</v>
      </c>
    </row>
    <row r="17" customFormat="false" ht="15" hidden="false" customHeight="false" outlineLevel="0" collapsed="false">
      <c r="B17" s="2" t="n">
        <v>13</v>
      </c>
      <c r="C17" s="2" t="n">
        <f aca="false">0</f>
        <v>0</v>
      </c>
      <c r="D17" s="2" t="n">
        <f aca="false">C17*(1-D$3)+C16*D$3</f>
        <v>0</v>
      </c>
      <c r="E17" s="2" t="n">
        <f aca="false">D17*(1-E$3)+D16*E$3</f>
        <v>0</v>
      </c>
      <c r="F17" s="2" t="n">
        <f aca="false">E17*(1-F$3)+E16*F$3</f>
        <v>0</v>
      </c>
      <c r="G17" s="2" t="n">
        <f aca="false">F17*(1-G$3)+F16*G$3</f>
        <v>0</v>
      </c>
      <c r="H17" s="2" t="n">
        <f aca="false">G17*(1-H$3)+G16*H$3</f>
        <v>0</v>
      </c>
      <c r="I17" s="2" t="n">
        <f aca="false">H17*(1-I$3)+H16*I$3</f>
        <v>0</v>
      </c>
      <c r="J17" s="2" t="n">
        <f aca="false">I17*(1-J$3)+I16*J$3</f>
        <v>0</v>
      </c>
      <c r="K17" s="2" t="n">
        <f aca="false">J17*(1-K$3)+J16*K$3</f>
        <v>0</v>
      </c>
      <c r="L17" s="2" t="n">
        <f aca="false">K17*(1-L$3)+K16*L$3</f>
        <v>0</v>
      </c>
      <c r="M17" s="2" t="n">
        <f aca="false">L17*(1-M$3)+L16*M$3</f>
        <v>0</v>
      </c>
      <c r="N17" s="2" t="n">
        <f aca="false">M17*(1-N$3)+M16*N$3</f>
        <v>0</v>
      </c>
      <c r="O17" s="2" t="n">
        <f aca="false">N17*(1-O$3)+N16*O$3</f>
        <v>0</v>
      </c>
    </row>
    <row r="19" customFormat="false" ht="15" hidden="false" customHeight="false" outlineLevel="0" collapsed="false">
      <c r="A19" s="1" t="s">
        <v>59</v>
      </c>
      <c r="C19" s="2" t="n">
        <f aca="false">Schedule!G3</f>
        <v>0.951793718322495</v>
      </c>
      <c r="D19" s="2" t="n">
        <f aca="false">Schedule!L3</f>
        <v>0.892049242832675</v>
      </c>
      <c r="E19" s="2" t="n">
        <f aca="false">Schedule!Q3</f>
        <v>0.999685452512819</v>
      </c>
      <c r="F19" s="2" t="n">
        <f aca="false">Schedule!V3</f>
        <v>0.713112298183635</v>
      </c>
      <c r="G19" s="2" t="n">
        <f aca="false">Schedule!AA3</f>
        <v>0.949886073376253</v>
      </c>
      <c r="H19" s="2" t="n">
        <f aca="false">Schedule!AF3</f>
        <v>0.919243340766229</v>
      </c>
      <c r="I19" s="2" t="n">
        <f aca="false">Schedule!AK3</f>
        <v>0.845839165719646</v>
      </c>
      <c r="J19" s="2" t="n">
        <f aca="false">Schedule!AP3</f>
        <v>0.951793718322495</v>
      </c>
      <c r="K19" s="2" t="n">
        <f aca="false">Schedule!AU3</f>
        <v>0.353830233327276</v>
      </c>
      <c r="L19" s="2" t="n">
        <f aca="false">Schedule!AZ3</f>
        <v>0.820886824722654</v>
      </c>
      <c r="M19" s="2" t="n">
        <f aca="false">Schedule!BE3</f>
        <v>0.937146191141748</v>
      </c>
      <c r="N19" s="2" t="n">
        <f aca="false">Schedule!BJ3</f>
        <v>0.839827703080392</v>
      </c>
      <c r="O19" s="2" t="n">
        <f aca="false">Schedule!BO3</f>
        <v>0</v>
      </c>
    </row>
    <row r="20" customFormat="false" ht="15" hidden="false" customHeight="false" outlineLevel="0" collapsed="false">
      <c r="B20" s="2" t="n">
        <v>0</v>
      </c>
      <c r="C20" s="2" t="n">
        <f aca="false">1-C$19</f>
        <v>0.0482062816775055</v>
      </c>
      <c r="D20" s="2" t="n">
        <f aca="false">C20*(1-D$19)</f>
        <v>0.00520390460730805</v>
      </c>
      <c r="E20" s="2" t="n">
        <f aca="false">D20*(1-E$19)</f>
        <v>1.63687511776048E-006</v>
      </c>
      <c r="F20" s="2" t="n">
        <f aca="false">E20*(1-F$19)</f>
        <v>4.69599340694697E-007</v>
      </c>
      <c r="G20" s="2" t="n">
        <f aca="false">F20*(1-G$19)</f>
        <v>2.35334669021339E-008</v>
      </c>
      <c r="H20" s="2" t="n">
        <f aca="false">G20*(1-H$19)</f>
        <v>1.90048416720486E-009</v>
      </c>
      <c r="I20" s="2" t="n">
        <f aca="false">H20*(1-I$19)</f>
        <v>2.92980224752904E-010</v>
      </c>
      <c r="J20" s="2" t="n">
        <f aca="false">I20*(1-J$19)</f>
        <v>1.41234872403774E-011</v>
      </c>
      <c r="K20" s="2" t="n">
        <f aca="false">J20*(1-K$19)</f>
        <v>9.12617045471984E-012</v>
      </c>
      <c r="L20" s="2" t="n">
        <f aca="false">K20*(1-L$19)</f>
        <v>1.63461736826717E-012</v>
      </c>
      <c r="M20" s="2" t="n">
        <f aca="false">L20*(1-M$19)</f>
        <v>1.02741927621443E-013</v>
      </c>
      <c r="N20" s="2" t="n">
        <f aca="false">M20*(1-N$19)</f>
        <v>1.64564105370747E-014</v>
      </c>
      <c r="O20" s="2" t="n">
        <f aca="false">N20*(1-O$19)</f>
        <v>1.64564105370747E-014</v>
      </c>
    </row>
    <row r="21" customFormat="false" ht="15" hidden="false" customHeight="false" outlineLevel="0" collapsed="false">
      <c r="B21" s="2" t="n">
        <v>1</v>
      </c>
      <c r="C21" s="2" t="n">
        <f aca="false">C$19</f>
        <v>0.951793718322495</v>
      </c>
      <c r="D21" s="2" t="n">
        <f aca="false">C21*(1-D$19)+C20*D$19</f>
        <v>0.145749229630214</v>
      </c>
      <c r="E21" s="2" t="n">
        <f aca="false">D21*(1-E$19)+D20*E$19</f>
        <v>0.0052481127861291</v>
      </c>
      <c r="F21" s="2" t="n">
        <f aca="false">E21*(1-F$19)+E20*F$19</f>
        <v>0.00150678629186272</v>
      </c>
      <c r="G21" s="2" t="n">
        <f aca="false">F21*(1-G$19)+F20*G$19</f>
        <v>7.59570435418687E-005</v>
      </c>
      <c r="H21" s="2" t="n">
        <f aca="false">G21*(1-H$19)+G20*H$19</f>
        <v>6.15567006445032E-006</v>
      </c>
      <c r="I21" s="2" t="n">
        <f aca="false">H21*(1-I$19)+H20*I$19</f>
        <v>9.50570736632713E-007</v>
      </c>
      <c r="J21" s="2" t="n">
        <f aca="false">I21*(1-J$19)+I20*J$19</f>
        <v>4.6102337422023E-008</v>
      </c>
      <c r="K21" s="2" t="n">
        <f aca="false">J21*(1-K$19)+J20*K$19</f>
        <v>2.97949339318414E-008</v>
      </c>
      <c r="L21" s="2" t="n">
        <f aca="false">K21*(1-L$19)+K20*L$19</f>
        <v>5.3441567767973E-009</v>
      </c>
      <c r="M21" s="2" t="n">
        <f aca="false">L21*(1-M$19)+L20*M$19</f>
        <v>3.37432483997995E-010</v>
      </c>
      <c r="N21" s="2" t="n">
        <f aca="false">M21*(1-N$19)+M20*N$19</f>
        <v>5.41336215343322E-011</v>
      </c>
      <c r="O21" s="2" t="n">
        <f aca="false">N21*(1-O$19)+N20*O$19</f>
        <v>5.41336215343322E-011</v>
      </c>
    </row>
    <row r="22" customFormat="false" ht="15" hidden="false" customHeight="false" outlineLevel="0" collapsed="false">
      <c r="B22" s="2" t="n">
        <v>2</v>
      </c>
      <c r="C22" s="2" t="n">
        <f aca="false">0</f>
        <v>0</v>
      </c>
      <c r="D22" s="2" t="n">
        <f aca="false">C22*(1-D$19)+C21*D$19</f>
        <v>0.849046865762478</v>
      </c>
      <c r="E22" s="2" t="n">
        <f aca="false">D22*(1-E$19)+D21*E$19</f>
        <v>0.1459704501344</v>
      </c>
      <c r="F22" s="2" t="n">
        <f aca="false">E22*(1-F$19)+E21*F$19</f>
        <v>0.0456196207422018</v>
      </c>
      <c r="G22" s="2" t="n">
        <f aca="false">F22*(1-G$19)+F21*G$19</f>
        <v>0.00371745364067251</v>
      </c>
      <c r="H22" s="2" t="n">
        <f aca="false">G22*(1-H$19)+G21*H$19</f>
        <v>0.000370032143337284</v>
      </c>
      <c r="I22" s="2" t="n">
        <f aca="false">H22*(1-I$19)+H21*I$19</f>
        <v>6.22511707591833E-005</v>
      </c>
      <c r="J22" s="2" t="n">
        <f aca="false">I22*(1-J$19)+I21*J$19</f>
        <v>3.90564472831988E-006</v>
      </c>
      <c r="K22" s="2" t="n">
        <f aca="false">J22*(1-K$19)+J21*K$19</f>
        <v>2.54002194361198E-006</v>
      </c>
      <c r="L22" s="2" t="n">
        <f aca="false">K22*(1-L$19)+K21*L$19</f>
        <v>4.79409664302608E-007</v>
      </c>
      <c r="M22" s="2" t="n">
        <f aca="false">L22*(1-M$19)+L21*M$19</f>
        <v>3.51409795731147E-008</v>
      </c>
      <c r="N22" s="2" t="n">
        <f aca="false">M22*(1-N$19)+M21*N$19</f>
        <v>5.91199656221158E-009</v>
      </c>
      <c r="O22" s="2" t="n">
        <f aca="false">N22*(1-O$19)+N21*O$19</f>
        <v>5.91199656221158E-009</v>
      </c>
    </row>
    <row r="23" customFormat="false" ht="15" hidden="false" customHeight="false" outlineLevel="0" collapsed="false">
      <c r="B23" s="2" t="n">
        <v>3</v>
      </c>
      <c r="C23" s="2" t="n">
        <f aca="false">0</f>
        <v>0</v>
      </c>
      <c r="D23" s="2" t="n">
        <f aca="false">C23*(1-D$19)+C22*D$19</f>
        <v>0</v>
      </c>
      <c r="E23" s="2" t="n">
        <f aca="false">D23*(1-E$19)+D22*E$19</f>
        <v>0.848779800204353</v>
      </c>
      <c r="F23" s="2" t="n">
        <f aca="false">E23*(1-F$19)+E22*F$19</f>
        <v>0.347597809391022</v>
      </c>
      <c r="G23" s="2" t="n">
        <f aca="false">F23*(1-G$19)+F22*G$19</f>
        <v>0.0607529335301208</v>
      </c>
      <c r="H23" s="2" t="n">
        <f aca="false">G23*(1-H$19)+G22*H$19</f>
        <v>0.00832344845433928</v>
      </c>
      <c r="I23" s="2" t="n">
        <f aca="false">H23*(1-I$19)+H22*I$19</f>
        <v>0.00159613743722033</v>
      </c>
      <c r="J23" s="2" t="n">
        <f aca="false">I23*(1-J$19)+I22*J$19</f>
        <v>0.000136194124181466</v>
      </c>
      <c r="K23" s="2" t="n">
        <f aca="false">J23*(1-K$19)+J22*K$19</f>
        <v>8.9386460630049E-005</v>
      </c>
      <c r="L23" s="2" t="n">
        <f aca="false">K23*(1-L$19)+K22*L$19</f>
        <v>1.8095363338269E-005</v>
      </c>
      <c r="M23" s="2" t="n">
        <f aca="false">L23*(1-M$19)+L22*M$19</f>
        <v>1.58663944938191E-006</v>
      </c>
      <c r="N23" s="2" t="n">
        <f aca="false">M23*(1-N$19)+M22*N$19</f>
        <v>2.83648053149648E-007</v>
      </c>
      <c r="O23" s="2" t="n">
        <f aca="false">N23*(1-O$19)+N22*O$19</f>
        <v>2.83648053149648E-007</v>
      </c>
    </row>
    <row r="24" customFormat="false" ht="15" hidden="false" customHeight="false" outlineLevel="0" collapsed="false">
      <c r="B24" s="2" t="n">
        <v>4</v>
      </c>
      <c r="C24" s="2" t="n">
        <f aca="false">0</f>
        <v>0</v>
      </c>
      <c r="D24" s="2" t="n">
        <f aca="false">C24*(1-D$19)+C23*D$19</f>
        <v>0</v>
      </c>
      <c r="E24" s="2" t="n">
        <f aca="false">D24*(1-E$19)+D23*E$19</f>
        <v>0</v>
      </c>
      <c r="F24" s="2" t="n">
        <f aca="false">E24*(1-F$19)+E23*F$19</f>
        <v>0.605275313975573</v>
      </c>
      <c r="G24" s="2" t="n">
        <f aca="false">F24*(1-G$19)+F23*G$19</f>
        <v>0.360511040948362</v>
      </c>
      <c r="H24" s="2" t="n">
        <f aca="false">G24*(1-H$19)+G23*H$19</f>
        <v>0.0849603968634558</v>
      </c>
      <c r="I24" s="2" t="n">
        <f aca="false">H24*(1-I$19)+H23*I$19</f>
        <v>0.0201378643577891</v>
      </c>
      <c r="J24" s="2" t="n">
        <f aca="false">I24*(1-J$19)+I23*J$19</f>
        <v>0.00248996514794065</v>
      </c>
      <c r="K24" s="2" t="n">
        <f aca="false">J24*(1-K$19)+J23*K$19</f>
        <v>0.00165712979740496</v>
      </c>
      <c r="L24" s="2" t="n">
        <f aca="false">K24*(1-L$19)+K23*L$19</f>
        <v>0.000370189947699704</v>
      </c>
      <c r="M24" s="2" t="n">
        <f aca="false">L24*(1-M$19)+L23*M$19</f>
        <v>4.02258490437483E-005</v>
      </c>
      <c r="N24" s="2" t="n">
        <f aca="false">M24*(1-N$19)+M23*N$19</f>
        <v>7.77557040126975E-006</v>
      </c>
      <c r="O24" s="2" t="n">
        <f aca="false">N24*(1-O$19)+N23*O$19</f>
        <v>7.77557040126975E-006</v>
      </c>
    </row>
    <row r="25" customFormat="false" ht="15" hidden="false" customHeight="false" outlineLevel="0" collapsed="false">
      <c r="B25" s="2" t="n">
        <v>5</v>
      </c>
      <c r="C25" s="2" t="n">
        <f aca="false">0</f>
        <v>0</v>
      </c>
      <c r="D25" s="2" t="n">
        <f aca="false">C25*(1-D$19)+C24*D$19</f>
        <v>0</v>
      </c>
      <c r="E25" s="2" t="n">
        <f aca="false">D25*(1-E$19)+D24*E$19</f>
        <v>0</v>
      </c>
      <c r="F25" s="2" t="n">
        <f aca="false">E25*(1-F$19)+E24*F$19</f>
        <v>0</v>
      </c>
      <c r="G25" s="2" t="n">
        <f aca="false">F25*(1-G$19)+F24*G$19</f>
        <v>0.574942591303835</v>
      </c>
      <c r="H25" s="2" t="n">
        <f aca="false">G25*(1-H$19)+G24*H$19</f>
        <v>0.377827816589389</v>
      </c>
      <c r="I25" s="2" t="n">
        <f aca="false">H25*(1-I$19)+H24*I$19</f>
        <v>0.13010908262194</v>
      </c>
      <c r="J25" s="2" t="n">
        <f aca="false">I25*(1-J$19)+I24*J$19</f>
        <v>0.0254391678818492</v>
      </c>
      <c r="K25" s="2" t="n">
        <f aca="false">J25*(1-K$19)+J24*K$19</f>
        <v>0.0173190461238354</v>
      </c>
      <c r="L25" s="2" t="n">
        <f aca="false">K25*(1-L$19)+K24*L$19</f>
        <v>0.00446238536156001</v>
      </c>
      <c r="M25" s="2" t="n">
        <f aca="false">L25*(1-M$19)+L24*M$19</f>
        <v>0.000627400016053095</v>
      </c>
      <c r="N25" s="2" t="n">
        <f aca="false">M25*(1-N$19)+M24*N$19</f>
        <v>0.000134274884065493</v>
      </c>
      <c r="O25" s="2" t="n">
        <f aca="false">N25*(1-O$19)+N24*O$19</f>
        <v>0.000134274884065493</v>
      </c>
    </row>
    <row r="26" customFormat="false" ht="15" hidden="false" customHeight="false" outlineLevel="0" collapsed="false">
      <c r="B26" s="2" t="n">
        <v>6</v>
      </c>
      <c r="C26" s="2" t="n">
        <f aca="false">0</f>
        <v>0</v>
      </c>
      <c r="D26" s="2" t="n">
        <f aca="false">C26*(1-D$19)+C25*D$19</f>
        <v>0</v>
      </c>
      <c r="E26" s="2" t="n">
        <f aca="false">D26*(1-E$19)+D25*E$19</f>
        <v>0</v>
      </c>
      <c r="F26" s="2" t="n">
        <f aca="false">E26*(1-F$19)+E25*F$19</f>
        <v>0</v>
      </c>
      <c r="G26" s="2" t="n">
        <f aca="false">F26*(1-G$19)+F25*G$19</f>
        <v>0</v>
      </c>
      <c r="H26" s="2" t="n">
        <f aca="false">G26*(1-H$19)+G25*H$19</f>
        <v>0.52851214837893</v>
      </c>
      <c r="I26" s="2" t="n">
        <f aca="false">H26*(1-I$19)+H25*I$19</f>
        <v>0.401057438891042</v>
      </c>
      <c r="J26" s="2" t="n">
        <f aca="false">I26*(1-J$19)+I25*J$19</f>
        <v>0.143170495404306</v>
      </c>
      <c r="K26" s="2" t="n">
        <f aca="false">J26*(1-K$19)+J25*K$19</f>
        <v>0.101513592317105</v>
      </c>
      <c r="L26" s="2" t="n">
        <f aca="false">K26*(1-L$19)+K25*L$19</f>
        <v>0.032399398633547</v>
      </c>
      <c r="M26" s="2" t="n">
        <f aca="false">L26*(1-M$19)+L25*M$19</f>
        <v>0.00621833305382793</v>
      </c>
      <c r="N26" s="2" t="n">
        <f aca="false">M26*(1-N$19)+M25*N$19</f>
        <v>0.00152291260263721</v>
      </c>
      <c r="O26" s="2" t="n">
        <f aca="false">N26*(1-O$19)+N25*O$19</f>
        <v>0.00152291260263721</v>
      </c>
    </row>
    <row r="27" customFormat="false" ht="15" hidden="false" customHeight="false" outlineLevel="0" collapsed="false">
      <c r="B27" s="2" t="n">
        <v>7</v>
      </c>
      <c r="C27" s="2" t="n">
        <f aca="false">0</f>
        <v>0</v>
      </c>
      <c r="D27" s="2" t="n">
        <f aca="false">C27*(1-D$19)+C26*D$19</f>
        <v>0</v>
      </c>
      <c r="E27" s="2" t="n">
        <f aca="false">D27*(1-E$19)+D26*E$19</f>
        <v>0</v>
      </c>
      <c r="F27" s="2" t="n">
        <f aca="false">E27*(1-F$19)+E26*F$19</f>
        <v>0</v>
      </c>
      <c r="G27" s="2" t="n">
        <f aca="false">F27*(1-G$19)+F26*G$19</f>
        <v>0</v>
      </c>
      <c r="H27" s="2" t="n">
        <f aca="false">G27*(1-H$19)+G26*H$19</f>
        <v>0</v>
      </c>
      <c r="I27" s="2" t="n">
        <f aca="false">H27*(1-I$19)+H26*I$19</f>
        <v>0.447036274657532</v>
      </c>
      <c r="J27" s="2" t="n">
        <f aca="false">I27*(1-J$19)+I26*J$19</f>
        <v>0.403273907599205</v>
      </c>
      <c r="K27" s="2" t="n">
        <f aca="false">J27*(1-K$19)+J26*K$19</f>
        <v>0.311241456573063</v>
      </c>
      <c r="L27" s="2" t="n">
        <f aca="false">K27*(1-L$19)+K26*L$19</f>
        <v>0.139078616028126</v>
      </c>
      <c r="M27" s="2" t="n">
        <f aca="false">L27*(1-M$19)+L26*M$19</f>
        <v>0.0391045937728138</v>
      </c>
      <c r="N27" s="2" t="n">
        <f aca="false">M27*(1-N$19)+M26*N$19</f>
        <v>0.011485800970285</v>
      </c>
      <c r="O27" s="2" t="n">
        <f aca="false">N27*(1-O$19)+N26*O$19</f>
        <v>0.011485800970285</v>
      </c>
    </row>
    <row r="28" customFormat="false" ht="15" hidden="false" customHeight="false" outlineLevel="0" collapsed="false">
      <c r="B28" s="2" t="n">
        <v>8</v>
      </c>
      <c r="C28" s="2" t="n">
        <f aca="false">0</f>
        <v>0</v>
      </c>
      <c r="D28" s="2" t="n">
        <f aca="false">C28*(1-D$19)+C27*D$19</f>
        <v>0</v>
      </c>
      <c r="E28" s="2" t="n">
        <f aca="false">D28*(1-E$19)+D27*E$19</f>
        <v>0</v>
      </c>
      <c r="F28" s="2" t="n">
        <f aca="false">E28*(1-F$19)+E27*F$19</f>
        <v>0</v>
      </c>
      <c r="G28" s="2" t="n">
        <f aca="false">F28*(1-G$19)+F27*G$19</f>
        <v>0</v>
      </c>
      <c r="H28" s="2" t="n">
        <f aca="false">G28*(1-H$19)+G27*H$19</f>
        <v>0</v>
      </c>
      <c r="I28" s="2" t="n">
        <f aca="false">H28*(1-I$19)+H27*I$19</f>
        <v>0</v>
      </c>
      <c r="J28" s="2" t="n">
        <f aca="false">I28*(1-J$19)+I27*J$19</f>
        <v>0.425486318081329</v>
      </c>
      <c r="K28" s="2" t="n">
        <f aca="false">J28*(1-K$19)+J27*K$19</f>
        <v>0.417626895697678</v>
      </c>
      <c r="L28" s="2" t="n">
        <f aca="false">K28*(1-L$19)+K27*L$19</f>
        <v>0.330296490377948</v>
      </c>
      <c r="M28" s="2" t="n">
        <f aca="false">L28*(1-M$19)+L27*M$19</f>
        <v>0.151097387752791</v>
      </c>
      <c r="N28" s="2" t="n">
        <f aca="false">M28*(1-N$19)+M27*N$19</f>
        <v>0.0570427368230312</v>
      </c>
      <c r="O28" s="2" t="n">
        <f aca="false">N28*(1-O$19)+N27*O$19</f>
        <v>0.0570427368230312</v>
      </c>
    </row>
    <row r="29" customFormat="false" ht="15" hidden="false" customHeight="false" outlineLevel="0" collapsed="false">
      <c r="B29" s="2" t="n">
        <v>9</v>
      </c>
      <c r="C29" s="2" t="n">
        <f aca="false">0</f>
        <v>0</v>
      </c>
      <c r="D29" s="2" t="n">
        <f aca="false">C29*(1-D$19)+C28*D$19</f>
        <v>0</v>
      </c>
      <c r="E29" s="2" t="n">
        <f aca="false">D29*(1-E$19)+D28*E$19</f>
        <v>0</v>
      </c>
      <c r="F29" s="2" t="n">
        <f aca="false">E29*(1-F$19)+E28*F$19</f>
        <v>0</v>
      </c>
      <c r="G29" s="2" t="n">
        <f aca="false">F29*(1-G$19)+F28*G$19</f>
        <v>0</v>
      </c>
      <c r="H29" s="2" t="n">
        <f aca="false">G29*(1-H$19)+G28*H$19</f>
        <v>0</v>
      </c>
      <c r="I29" s="2" t="n">
        <f aca="false">H29*(1-I$19)+H28*I$19</f>
        <v>0</v>
      </c>
      <c r="J29" s="2" t="n">
        <f aca="false">I29*(1-J$19)+I28*J$19</f>
        <v>0</v>
      </c>
      <c r="K29" s="2" t="n">
        <f aca="false">J29*(1-K$19)+J28*K$19</f>
        <v>0.15054992320428</v>
      </c>
      <c r="L29" s="2" t="n">
        <f aca="false">K29*(1-L$19)+K28*L$19</f>
        <v>0.369789891110925</v>
      </c>
      <c r="M29" s="2" t="n">
        <f aca="false">L29*(1-M$19)+L28*M$19</f>
        <v>0.332778801038781</v>
      </c>
      <c r="N29" s="2" t="n">
        <f aca="false">M29*(1-N$19)+M28*N$19</f>
        <v>0.180197717026408</v>
      </c>
      <c r="O29" s="2" t="n">
        <f aca="false">N29*(1-O$19)+N28*O$19</f>
        <v>0.180197717026408</v>
      </c>
    </row>
    <row r="30" customFormat="false" ht="15" hidden="false" customHeight="false" outlineLevel="0" collapsed="false">
      <c r="B30" s="2" t="n">
        <v>10</v>
      </c>
      <c r="C30" s="2" t="n">
        <f aca="false">0</f>
        <v>0</v>
      </c>
      <c r="D30" s="2" t="n">
        <f aca="false">C30*(1-D$19)+C29*D$19</f>
        <v>0</v>
      </c>
      <c r="E30" s="2" t="n">
        <f aca="false">D30*(1-E$19)+D29*E$19</f>
        <v>0</v>
      </c>
      <c r="F30" s="2" t="n">
        <f aca="false">E30*(1-F$19)+E29*F$19</f>
        <v>0</v>
      </c>
      <c r="G30" s="2" t="n">
        <f aca="false">F30*(1-G$19)+F29*G$19</f>
        <v>0</v>
      </c>
      <c r="H30" s="2" t="n">
        <f aca="false">G30*(1-H$19)+G29*H$19</f>
        <v>0</v>
      </c>
      <c r="I30" s="2" t="n">
        <f aca="false">H30*(1-I$19)+H29*I$19</f>
        <v>0</v>
      </c>
      <c r="J30" s="2" t="n">
        <f aca="false">I30*(1-J$19)+I29*J$19</f>
        <v>0</v>
      </c>
      <c r="K30" s="2" t="n">
        <f aca="false">J30*(1-K$19)+J29*K$19</f>
        <v>0</v>
      </c>
      <c r="L30" s="2" t="n">
        <f aca="false">K30*(1-L$19)+K29*L$19</f>
        <v>0.123584448421401</v>
      </c>
      <c r="M30" s="2" t="n">
        <f aca="false">L30*(1-M$19)+L29*M$19</f>
        <v>0.354314941276256</v>
      </c>
      <c r="N30" s="2" t="n">
        <f aca="false">M30*(1-N$19)+M29*N$19</f>
        <v>0.3362282940874</v>
      </c>
      <c r="O30" s="2" t="n">
        <f aca="false">N30*(1-O$19)+N29*O$19</f>
        <v>0.3362282940874</v>
      </c>
    </row>
    <row r="31" customFormat="false" ht="15" hidden="false" customHeight="false" outlineLevel="0" collapsed="false">
      <c r="B31" s="2" t="n">
        <v>11</v>
      </c>
      <c r="C31" s="2" t="n">
        <f aca="false">0</f>
        <v>0</v>
      </c>
      <c r="D31" s="2" t="n">
        <f aca="false">C31*(1-D$19)+C30*D$19</f>
        <v>0</v>
      </c>
      <c r="E31" s="2" t="n">
        <f aca="false">D31*(1-E$19)+D30*E$19</f>
        <v>0</v>
      </c>
      <c r="F31" s="2" t="n">
        <f aca="false">E31*(1-F$19)+E30*F$19</f>
        <v>0</v>
      </c>
      <c r="G31" s="2" t="n">
        <f aca="false">F31*(1-G$19)+F30*G$19</f>
        <v>0</v>
      </c>
      <c r="H31" s="2" t="n">
        <f aca="false">G31*(1-H$19)+G30*H$19</f>
        <v>0</v>
      </c>
      <c r="I31" s="2" t="n">
        <f aca="false">H31*(1-I$19)+H30*I$19</f>
        <v>0</v>
      </c>
      <c r="J31" s="2" t="n">
        <f aca="false">I31*(1-J$19)+I30*J$19</f>
        <v>0</v>
      </c>
      <c r="K31" s="2" t="n">
        <f aca="false">J31*(1-K$19)+J30*K$19</f>
        <v>0</v>
      </c>
      <c r="L31" s="2" t="n">
        <f aca="false">K31*(1-L$19)+K30*L$19</f>
        <v>0</v>
      </c>
      <c r="M31" s="2" t="n">
        <f aca="false">L31*(1-M$19)+L30*M$19</f>
        <v>0.11581669512247</v>
      </c>
      <c r="N31" s="2" t="n">
        <f aca="false">M31*(1-N$19)+M30*N$19</f>
        <v>0.316114129378506</v>
      </c>
      <c r="O31" s="2" t="n">
        <f aca="false">N31*(1-O$19)+N30*O$19</f>
        <v>0.316114129378506</v>
      </c>
    </row>
    <row r="32" customFormat="false" ht="15" hidden="false" customHeight="false" outlineLevel="0" collapsed="false">
      <c r="B32" s="2" t="n">
        <v>12</v>
      </c>
      <c r="C32" s="2" t="n">
        <f aca="false">0</f>
        <v>0</v>
      </c>
      <c r="D32" s="2" t="n">
        <f aca="false">C32*(1-D$19)+C31*D$19</f>
        <v>0</v>
      </c>
      <c r="E32" s="2" t="n">
        <f aca="false">D32*(1-E$19)+D31*E$19</f>
        <v>0</v>
      </c>
      <c r="F32" s="2" t="n">
        <f aca="false">E32*(1-F$19)+E31*F$19</f>
        <v>0</v>
      </c>
      <c r="G32" s="2" t="n">
        <f aca="false">F32*(1-G$19)+F31*G$19</f>
        <v>0</v>
      </c>
      <c r="H32" s="2" t="n">
        <f aca="false">G32*(1-H$19)+G31*H$19</f>
        <v>0</v>
      </c>
      <c r="I32" s="2" t="n">
        <f aca="false">H32*(1-I$19)+H31*I$19</f>
        <v>0</v>
      </c>
      <c r="J32" s="2" t="n">
        <f aca="false">I32*(1-J$19)+I31*J$19</f>
        <v>0</v>
      </c>
      <c r="K32" s="2" t="n">
        <f aca="false">J32*(1-K$19)+J31*K$19</f>
        <v>0</v>
      </c>
      <c r="L32" s="2" t="n">
        <f aca="false">K32*(1-L$19)+K31*L$19</f>
        <v>0</v>
      </c>
      <c r="M32" s="2" t="n">
        <f aca="false">L32*(1-M$19)+L31*M$19</f>
        <v>0</v>
      </c>
      <c r="N32" s="2" t="n">
        <f aca="false">M32*(1-N$19)+M31*N$19</f>
        <v>0.0972660690430657</v>
      </c>
      <c r="O32" s="2" t="n">
        <f aca="false">N32*(1-O$19)+N31*O$19</f>
        <v>0.0972660690430657</v>
      </c>
    </row>
    <row r="33" customFormat="false" ht="15" hidden="false" customHeight="false" outlineLevel="0" collapsed="false">
      <c r="B33" s="2" t="n">
        <v>13</v>
      </c>
      <c r="C33" s="2" t="n">
        <f aca="false">0</f>
        <v>0</v>
      </c>
      <c r="D33" s="2" t="n">
        <f aca="false">C33*(1-D$19)+C32*D$19</f>
        <v>0</v>
      </c>
      <c r="E33" s="2" t="n">
        <f aca="false">D33*(1-E$19)+D32*E$19</f>
        <v>0</v>
      </c>
      <c r="F33" s="2" t="n">
        <f aca="false">E33*(1-F$19)+E32*F$19</f>
        <v>0</v>
      </c>
      <c r="G33" s="2" t="n">
        <f aca="false">F33*(1-G$19)+F32*G$19</f>
        <v>0</v>
      </c>
      <c r="H33" s="2" t="n">
        <f aca="false">G33*(1-H$19)+G32*H$19</f>
        <v>0</v>
      </c>
      <c r="I33" s="2" t="n">
        <f aca="false">H33*(1-I$19)+H32*I$19</f>
        <v>0</v>
      </c>
      <c r="J33" s="2" t="n">
        <f aca="false">I33*(1-J$19)+I32*J$19</f>
        <v>0</v>
      </c>
      <c r="K33" s="2" t="n">
        <f aca="false">J33*(1-K$19)+J32*K$19</f>
        <v>0</v>
      </c>
      <c r="L33" s="2" t="n">
        <f aca="false">K33*(1-L$19)+K32*L$19</f>
        <v>0</v>
      </c>
      <c r="M33" s="2" t="n">
        <f aca="false">L33*(1-M$19)+L32*M$19</f>
        <v>0</v>
      </c>
      <c r="N33" s="2" t="n">
        <f aca="false">M33*(1-N$19)+M32*N$19</f>
        <v>0</v>
      </c>
      <c r="O33" s="2" t="n">
        <f aca="false">N33*(1-O$19)+N32*O$19</f>
        <v>0</v>
      </c>
    </row>
    <row r="35" customFormat="false" ht="15" hidden="false" customHeight="false" outlineLevel="0" collapsed="false">
      <c r="A35" s="1" t="s">
        <v>60</v>
      </c>
      <c r="C35" s="2" t="n">
        <f aca="false">Schedule!G4</f>
        <v>0.92201404277756</v>
      </c>
      <c r="D35" s="2" t="n">
        <f aca="false">Schedule!L4</f>
        <v>0.997186410225543</v>
      </c>
      <c r="E35" s="2" t="n">
        <f aca="false">Schedule!Q4</f>
        <v>0.953032884169254</v>
      </c>
      <c r="F35" s="2" t="n">
        <f aca="false">Schedule!V4</f>
        <v>0.949236980529619</v>
      </c>
      <c r="G35" s="2" t="n">
        <f aca="false">Schedule!AA4</f>
        <v>0.899947065522574</v>
      </c>
      <c r="H35" s="2" t="n">
        <f aca="false">Schedule!AF4</f>
        <v>0.97478214446091</v>
      </c>
      <c r="I35" s="2" t="n">
        <f aca="false">Schedule!AK4</f>
        <v>0.715237094620453</v>
      </c>
      <c r="J35" s="2" t="n">
        <f aca="false">Schedule!AP4</f>
        <v>0.943089556476493</v>
      </c>
      <c r="K35" s="2" t="n">
        <f aca="false">Schedule!AU4</f>
        <v>0.669125611959121</v>
      </c>
      <c r="L35" s="2" t="n">
        <f aca="false">Schedule!AZ4</f>
        <v>0.975509096735767</v>
      </c>
      <c r="M35" s="2" t="n">
        <f aca="false">Schedule!BE4</f>
        <v>0.854572993611396</v>
      </c>
      <c r="N35" s="2" t="n">
        <f aca="false">Schedule!BJ4</f>
        <v>0.947249467959255</v>
      </c>
      <c r="O35" s="2" t="n">
        <f aca="false">Schedule!BO4</f>
        <v>0</v>
      </c>
    </row>
    <row r="36" customFormat="false" ht="15" hidden="false" customHeight="false" outlineLevel="0" collapsed="false">
      <c r="B36" s="2" t="n">
        <v>0</v>
      </c>
      <c r="C36" s="2" t="n">
        <f aca="false">1-C$35</f>
        <v>0.0779859572224404</v>
      </c>
      <c r="D36" s="2" t="n">
        <f aca="false">C36*(1-D$35)</f>
        <v>0.000219420491792317</v>
      </c>
      <c r="E36" s="2" t="n">
        <f aca="false">D36*(1-E$35)</f>
        <v>1.0305547653649E-005</v>
      </c>
      <c r="F36" s="2" t="n">
        <f aca="false">E36*(1-F$35)</f>
        <v>5.23140716195126E-007</v>
      </c>
      <c r="G36" s="2" t="n">
        <f aca="false">F36*(1-G$35)</f>
        <v>5.23417637999446E-008</v>
      </c>
      <c r="H36" s="2" t="n">
        <f aca="false">G36*(1-H$35)</f>
        <v>1.31994703816817E-009</v>
      </c>
      <c r="I36" s="2" t="n">
        <f aca="false">H36*(1-I$35)</f>
        <v>3.75871953535896E-010</v>
      </c>
      <c r="J36" s="2" t="n">
        <f aca="false">I36*(1-J$35)</f>
        <v>2.1391039583775E-011</v>
      </c>
      <c r="K36" s="2" t="n">
        <f aca="false">J36*(1-K$35)</f>
        <v>7.07774713183977E-012</v>
      </c>
      <c r="L36" s="2" t="n">
        <f aca="false">K36*(1-L$35)</f>
        <v>1.73340420334593E-013</v>
      </c>
      <c r="M36" s="2" t="n">
        <f aca="false">L36*(1-M$35)</f>
        <v>2.52083784154022E-014</v>
      </c>
      <c r="N36" s="2" t="n">
        <f aca="false">M36*(1-N$35)</f>
        <v>1.32975537329689E-015</v>
      </c>
      <c r="O36" s="2" t="n">
        <f aca="false">N36*(1-O$35)</f>
        <v>1.32975537329689E-015</v>
      </c>
    </row>
    <row r="37" customFormat="false" ht="15" hidden="false" customHeight="false" outlineLevel="0" collapsed="false">
      <c r="B37" s="2" t="n">
        <v>1</v>
      </c>
      <c r="C37" s="2" t="n">
        <f aca="false">C$35</f>
        <v>0.92201404277756</v>
      </c>
      <c r="D37" s="2" t="n">
        <f aca="false">C37*(1-D$35)+C36*D$35</f>
        <v>0.080360706013313</v>
      </c>
      <c r="E37" s="2" t="n">
        <f aca="false">D37*(1-E$35)+D36*E$35</f>
        <v>0.00398342553170646</v>
      </c>
      <c r="F37" s="2" t="n">
        <f aca="false">E37*(1-F$35)+E36*F$35</f>
        <v>0.000211993114762283</v>
      </c>
      <c r="G37" s="2" t="n">
        <f aca="false">F37*(1-G$35)+F36*G$35</f>
        <v>2.16813321733713E-005</v>
      </c>
      <c r="H37" s="2" t="n">
        <f aca="false">G37*(1-H$35)+G36*H$35</f>
        <v>5.97778519404878E-007</v>
      </c>
      <c r="I37" s="2" t="n">
        <f aca="false">H37*(1-I$35)+H36*I$35</f>
        <v>1.71169223043849E-007</v>
      </c>
      <c r="J37" s="2" t="n">
        <f aca="false">I37*(1-J$35)+I36*J$35</f>
        <v>1.00957973149517E-008</v>
      </c>
      <c r="K37" s="2" t="n">
        <f aca="false">J37*(1-K$35)+J36*K$35</f>
        <v>3.35475405082133E-009</v>
      </c>
      <c r="L37" s="2" t="n">
        <f aca="false">K37*(1-L$35)+K36*L$35</f>
        <v>8.90653636454653E-011</v>
      </c>
      <c r="M37" s="2" t="n">
        <f aca="false">L37*(1-M$35)+L36*M$35</f>
        <v>1.31006412497917E-011</v>
      </c>
      <c r="N37" s="2" t="n">
        <f aca="false">M37*(1-N$35)+M36*N$35</f>
        <v>7.14944419043544E-013</v>
      </c>
      <c r="O37" s="2" t="n">
        <f aca="false">N37*(1-O$35)+N36*O$35</f>
        <v>7.14944419043544E-013</v>
      </c>
    </row>
    <row r="38" customFormat="false" ht="15" hidden="false" customHeight="false" outlineLevel="0" collapsed="false">
      <c r="B38" s="2" t="n">
        <v>2</v>
      </c>
      <c r="C38" s="2" t="n">
        <f aca="false">0</f>
        <v>0</v>
      </c>
      <c r="D38" s="2" t="n">
        <f aca="false">C38*(1-D$35)+C37*D$35</f>
        <v>0.919419873494895</v>
      </c>
      <c r="E38" s="2" t="n">
        <f aca="false">D38*(1-E$35)+D37*E$35</f>
        <v>0.11976889512127</v>
      </c>
      <c r="F38" s="2" t="n">
        <f aca="false">E38*(1-F$35)+E37*F$35</f>
        <v>0.00986104557886871</v>
      </c>
      <c r="G38" s="2" t="n">
        <f aca="false">F38*(1-G$35)+F37*G$35</f>
        <v>0.00117740912872277</v>
      </c>
      <c r="H38" s="2" t="n">
        <f aca="false">G38*(1-H$35)+G37*H$35</f>
        <v>5.08263087892648E-005</v>
      </c>
      <c r="I38" s="2" t="n">
        <f aca="false">H38*(1-I$35)+H37*I$35</f>
        <v>1.49010007319947E-005</v>
      </c>
      <c r="J38" s="2" t="n">
        <f aca="false">I38*(1-J$35)+I37*J$35</f>
        <v>1.00945046724477E-006</v>
      </c>
      <c r="K38" s="2" t="n">
        <f aca="false">J38*(1-K$35)+J37*K$35</f>
        <v>3.40756662163776E-007</v>
      </c>
      <c r="L38" s="2" t="n">
        <f aca="false">K38*(1-L$35)+K37*L$35</f>
        <v>1.16180315435835E-008</v>
      </c>
      <c r="M38" s="2" t="n">
        <f aca="false">L38*(1-M$35)+L37*M$35</f>
        <v>1.76568840194931E-009</v>
      </c>
      <c r="N38" s="2" t="n">
        <f aca="false">M38*(1-N$35)+M37*N$35</f>
        <v>1.05550578074789E-010</v>
      </c>
      <c r="O38" s="2" t="n">
        <f aca="false">N38*(1-O$35)+N37*O$35</f>
        <v>1.05550578074789E-010</v>
      </c>
    </row>
    <row r="39" customFormat="false" ht="15" hidden="false" customHeight="false" outlineLevel="0" collapsed="false">
      <c r="B39" s="2" t="n">
        <v>3</v>
      </c>
      <c r="C39" s="2" t="n">
        <f aca="false">0</f>
        <v>0</v>
      </c>
      <c r="D39" s="2" t="n">
        <f aca="false">C39*(1-D$35)+C38*D$35</f>
        <v>0</v>
      </c>
      <c r="E39" s="2" t="n">
        <f aca="false">D39*(1-E$35)+D38*E$35</f>
        <v>0.87623737379937</v>
      </c>
      <c r="F39" s="2" t="n">
        <f aca="false">E39*(1-F$35)+E38*F$35</f>
        <v>0.158169519233136</v>
      </c>
      <c r="G39" s="2" t="n">
        <f aca="false">F39*(1-G$35)+F38*G$35</f>
        <v>0.0246997435758462</v>
      </c>
      <c r="H39" s="2" t="n">
        <f aca="false">G39*(1-H$35)+G38*H$35</f>
        <v>0.00177059196075248</v>
      </c>
      <c r="I39" s="2" t="n">
        <f aca="false">H39*(1-I$35)+H38*I$35</f>
        <v>0.000540551772414262</v>
      </c>
      <c r="J39" s="2" t="n">
        <f aca="false">I39*(1-J$35)+I38*J$35</f>
        <v>4.48160192869064E-005</v>
      </c>
      <c r="K39" s="2" t="n">
        <f aca="false">J39*(1-K$35)+J38*K$35</f>
        <v>1.5503922117621E-005</v>
      </c>
      <c r="L39" s="2" t="n">
        <f aca="false">K39*(1-L$35)+K38*L$35</f>
        <v>7.12116280512943E-007</v>
      </c>
      <c r="M39" s="2" t="n">
        <f aca="false">L39*(1-M$35)+L38*M$35</f>
        <v>1.13489394871657E-007</v>
      </c>
      <c r="N39" s="2" t="n">
        <f aca="false">M39*(1-N$35)+M38*N$35</f>
        <v>7.65917335979039E-009</v>
      </c>
      <c r="O39" s="2" t="n">
        <f aca="false">N39*(1-O$35)+N38*O$35</f>
        <v>7.65917335979039E-009</v>
      </c>
    </row>
    <row r="40" customFormat="false" ht="15" hidden="false" customHeight="false" outlineLevel="0" collapsed="false">
      <c r="B40" s="2" t="n">
        <v>4</v>
      </c>
      <c r="C40" s="2" t="n">
        <f aca="false">0</f>
        <v>0</v>
      </c>
      <c r="D40" s="2" t="n">
        <f aca="false">C40*(1-D$35)+C39*D$35</f>
        <v>0</v>
      </c>
      <c r="E40" s="2" t="n">
        <f aca="false">D40*(1-E$35)+D39*E$35</f>
        <v>0</v>
      </c>
      <c r="F40" s="2" t="n">
        <f aca="false">E40*(1-F$35)+E39*F$35</f>
        <v>0.831756918932517</v>
      </c>
      <c r="G40" s="2" t="n">
        <f aca="false">F40*(1-G$35)+F39*G$35</f>
        <v>0.225563915200078</v>
      </c>
      <c r="H40" s="2" t="n">
        <f aca="false">G40*(1-H$35)+G39*H$35</f>
        <v>0.029765107238845</v>
      </c>
      <c r="I40" s="2" t="n">
        <f aca="false">H40*(1-I$35)+H39*I$35</f>
        <v>0.00974239146603422</v>
      </c>
      <c r="J40" s="2" t="n">
        <f aca="false">I40*(1-J$35)+I39*J$35</f>
        <v>0.00106423255061039</v>
      </c>
      <c r="K40" s="2" t="n">
        <f aca="false">J40*(1-K$35)+J39*K$35</f>
        <v>0.000382114840247319</v>
      </c>
      <c r="L40" s="2" t="n">
        <f aca="false">K40*(1-L$35)+K39*L$35</f>
        <v>2.44825546491472E-005</v>
      </c>
      <c r="M40" s="2" t="n">
        <f aca="false">L40*(1-M$35)+L39*M$35</f>
        <v>4.16897997300824E-006</v>
      </c>
      <c r="N40" s="2" t="n">
        <f aca="false">M40*(1-N$35)+M39*N$35</f>
        <v>3.2741868055459E-007</v>
      </c>
      <c r="O40" s="2" t="n">
        <f aca="false">N40*(1-O$35)+N39*O$35</f>
        <v>3.2741868055459E-007</v>
      </c>
    </row>
    <row r="41" customFormat="false" ht="15" hidden="false" customHeight="false" outlineLevel="0" collapsed="false">
      <c r="B41" s="2" t="n">
        <v>5</v>
      </c>
      <c r="C41" s="2" t="n">
        <f aca="false">0</f>
        <v>0</v>
      </c>
      <c r="D41" s="2" t="n">
        <f aca="false">C41*(1-D$35)+C40*D$35</f>
        <v>0</v>
      </c>
      <c r="E41" s="2" t="n">
        <f aca="false">D41*(1-E$35)+D40*E$35</f>
        <v>0</v>
      </c>
      <c r="F41" s="2" t="n">
        <f aca="false">E41*(1-F$35)+E40*F$35</f>
        <v>0</v>
      </c>
      <c r="G41" s="2" t="n">
        <f aca="false">F41*(1-G$35)+F40*G$35</f>
        <v>0.748537198421416</v>
      </c>
      <c r="H41" s="2" t="n">
        <f aca="false">G41*(1-H$35)+G40*H$35</f>
        <v>0.238752179907157</v>
      </c>
      <c r="I41" s="2" t="n">
        <f aca="false">H41*(1-I$35)+H40*I$35</f>
        <v>0.08927687323864</v>
      </c>
      <c r="J41" s="2" t="n">
        <f aca="false">I41*(1-J$35)+I40*J$35</f>
        <v>0.0142687340991255</v>
      </c>
      <c r="K41" s="2" t="n">
        <f aca="false">J41*(1-K$35)+J40*K$35</f>
        <v>0.00543326391986018</v>
      </c>
      <c r="L41" s="2" t="n">
        <f aca="false">K41*(1-L$35)+K40*L$35</f>
        <v>0.000505822043729339</v>
      </c>
      <c r="M41" s="2" t="n">
        <f aca="false">L41*(1-M$35)+L40*M$35</f>
        <v>9.44823156026998E-005</v>
      </c>
      <c r="N41" s="2" t="n">
        <f aca="false">M41*(1-N$35)+M40*N$35</f>
        <v>8.93305647784883E-006</v>
      </c>
      <c r="O41" s="2" t="n">
        <f aca="false">N41*(1-O$35)+N40*O$35</f>
        <v>8.93305647784883E-006</v>
      </c>
    </row>
    <row r="42" customFormat="false" ht="15" hidden="false" customHeight="false" outlineLevel="0" collapsed="false">
      <c r="B42" s="2" t="n">
        <v>6</v>
      </c>
      <c r="C42" s="2" t="n">
        <f aca="false">0</f>
        <v>0</v>
      </c>
      <c r="D42" s="2" t="n">
        <f aca="false">C42*(1-D$35)+C41*D$35</f>
        <v>0</v>
      </c>
      <c r="E42" s="2" t="n">
        <f aca="false">D42*(1-E$35)+D41*E$35</f>
        <v>0</v>
      </c>
      <c r="F42" s="2" t="n">
        <f aca="false">E42*(1-F$35)+E41*F$35</f>
        <v>0</v>
      </c>
      <c r="G42" s="2" t="n">
        <f aca="false">F42*(1-G$35)+F41*G$35</f>
        <v>0</v>
      </c>
      <c r="H42" s="2" t="n">
        <f aca="false">G42*(1-H$35)+G41*H$35</f>
        <v>0.72966069548599</v>
      </c>
      <c r="I42" s="2" t="n">
        <f aca="false">H42*(1-I$35)+H41*I$35</f>
        <v>0.378544715078946</v>
      </c>
      <c r="J42" s="2" t="n">
        <f aca="false">I42*(1-J$35)+I41*J$35</f>
        <v>0.10573923441486</v>
      </c>
      <c r="K42" s="2" t="n">
        <f aca="false">J42*(1-K$35)+J41*K$35</f>
        <v>0.0445339799148871</v>
      </c>
      <c r="L42" s="2" t="n">
        <f aca="false">K42*(1-L$35)+K41*L$35</f>
        <v>0.00639087577285664</v>
      </c>
      <c r="M42" s="2" t="n">
        <f aca="false">L42*(1-M$35)+L41*M$35</f>
        <v>0.00136166778999242</v>
      </c>
      <c r="N42" s="2" t="n">
        <f aca="false">M42*(1-N$35)+M41*N$35</f>
        <v>0.000161327023571061</v>
      </c>
      <c r="O42" s="2" t="n">
        <f aca="false">N42*(1-O$35)+N41*O$35</f>
        <v>0.000161327023571061</v>
      </c>
    </row>
    <row r="43" customFormat="false" ht="15" hidden="false" customHeight="false" outlineLevel="0" collapsed="false">
      <c r="B43" s="2" t="n">
        <v>7</v>
      </c>
      <c r="C43" s="2" t="n">
        <f aca="false">0</f>
        <v>0</v>
      </c>
      <c r="D43" s="2" t="n">
        <f aca="false">C43*(1-D$35)+C42*D$35</f>
        <v>0</v>
      </c>
      <c r="E43" s="2" t="n">
        <f aca="false">D43*(1-E$35)+D42*E$35</f>
        <v>0</v>
      </c>
      <c r="F43" s="2" t="n">
        <f aca="false">E43*(1-F$35)+E42*F$35</f>
        <v>0</v>
      </c>
      <c r="G43" s="2" t="n">
        <f aca="false">F43*(1-G$35)+F42*G$35</f>
        <v>0</v>
      </c>
      <c r="H43" s="2" t="n">
        <f aca="false">G43*(1-H$35)+G42*H$35</f>
        <v>0</v>
      </c>
      <c r="I43" s="2" t="n">
        <f aca="false">H43*(1-I$35)+H42*I$35</f>
        <v>0.521880395898138</v>
      </c>
      <c r="J43" s="2" t="n">
        <f aca="false">I43*(1-J$35)+I42*J$35</f>
        <v>0.38670201224711</v>
      </c>
      <c r="K43" s="2" t="n">
        <f aca="false">J43*(1-K$35)+J42*K$35</f>
        <v>0.198702621592371</v>
      </c>
      <c r="L43" s="2" t="n">
        <f aca="false">K43*(1-L$35)+K42*L$35</f>
        <v>0.0483097092045886</v>
      </c>
      <c r="M43" s="2" t="n">
        <f aca="false">L43*(1-M$35)+L42*M$35</f>
        <v>0.012487006230136</v>
      </c>
      <c r="N43" s="2" t="n">
        <f aca="false">M43*(1-N$35)+M42*N$35</f>
        <v>0.00194853531184334</v>
      </c>
      <c r="O43" s="2" t="n">
        <f aca="false">N43*(1-O$35)+N42*O$35</f>
        <v>0.00194853531184334</v>
      </c>
    </row>
    <row r="44" customFormat="false" ht="15" hidden="false" customHeight="false" outlineLevel="0" collapsed="false">
      <c r="B44" s="2" t="n">
        <v>8</v>
      </c>
      <c r="C44" s="2" t="n">
        <f aca="false">0</f>
        <v>0</v>
      </c>
      <c r="D44" s="2" t="n">
        <f aca="false">C44*(1-D$35)+C43*D$35</f>
        <v>0</v>
      </c>
      <c r="E44" s="2" t="n">
        <f aca="false">D44*(1-E$35)+D43*E$35</f>
        <v>0</v>
      </c>
      <c r="F44" s="2" t="n">
        <f aca="false">E44*(1-F$35)+E43*F$35</f>
        <v>0</v>
      </c>
      <c r="G44" s="2" t="n">
        <f aca="false">F44*(1-G$35)+F43*G$35</f>
        <v>0</v>
      </c>
      <c r="H44" s="2" t="n">
        <f aca="false">G44*(1-H$35)+G43*H$35</f>
        <v>0</v>
      </c>
      <c r="I44" s="2" t="n">
        <f aca="false">H44*(1-I$35)+H43*I$35</f>
        <v>0</v>
      </c>
      <c r="J44" s="2" t="n">
        <f aca="false">I44*(1-J$35)+I43*J$35</f>
        <v>0.492179951101352</v>
      </c>
      <c r="K44" s="2" t="n">
        <f aca="false">J44*(1-K$35)+J43*K$35</f>
        <v>0.421601960717321</v>
      </c>
      <c r="L44" s="2" t="n">
        <f aca="false">K44*(1-L$35)+K43*L$35</f>
        <v>0.204161627744542</v>
      </c>
      <c r="M44" s="2" t="n">
        <f aca="false">L44*(1-M$35)+L43*M$35</f>
        <v>0.0709747871577746</v>
      </c>
      <c r="N44" s="2" t="n">
        <f aca="false">M44*(1-N$35)+M43*N$35</f>
        <v>0.0155722677919514</v>
      </c>
      <c r="O44" s="2" t="n">
        <f aca="false">N44*(1-O$35)+N43*O$35</f>
        <v>0.0155722677919514</v>
      </c>
    </row>
    <row r="45" customFormat="false" ht="15" hidden="false" customHeight="false" outlineLevel="0" collapsed="false">
      <c r="B45" s="2" t="n">
        <v>9</v>
      </c>
      <c r="C45" s="2" t="n">
        <f aca="false">0</f>
        <v>0</v>
      </c>
      <c r="D45" s="2" t="n">
        <f aca="false">C45*(1-D$35)+C44*D$35</f>
        <v>0</v>
      </c>
      <c r="E45" s="2" t="n">
        <f aca="false">D45*(1-E$35)+D44*E$35</f>
        <v>0</v>
      </c>
      <c r="F45" s="2" t="n">
        <f aca="false">E45*(1-F$35)+E44*F$35</f>
        <v>0</v>
      </c>
      <c r="G45" s="2" t="n">
        <f aca="false">F45*(1-G$35)+F44*G$35</f>
        <v>0</v>
      </c>
      <c r="H45" s="2" t="n">
        <f aca="false">G45*(1-H$35)+G44*H$35</f>
        <v>0</v>
      </c>
      <c r="I45" s="2" t="n">
        <f aca="false">H45*(1-I$35)+H44*I$35</f>
        <v>0</v>
      </c>
      <c r="J45" s="2" t="n">
        <f aca="false">I45*(1-J$35)+I44*J$35</f>
        <v>0</v>
      </c>
      <c r="K45" s="2" t="n">
        <f aca="false">J45*(1-K$35)+J44*K$35</f>
        <v>0.329330210974702</v>
      </c>
      <c r="L45" s="2" t="n">
        <f aca="false">K45*(1-L$35)+K44*L$35</f>
        <v>0.419342142220353</v>
      </c>
      <c r="M45" s="2" t="n">
        <f aca="false">L45*(1-M$35)+L44*M$35</f>
        <v>0.235454685797919</v>
      </c>
      <c r="N45" s="2" t="n">
        <f aca="false">M45*(1-N$35)+M44*N$35</f>
        <v>0.07965118932105</v>
      </c>
      <c r="O45" s="2" t="n">
        <f aca="false">N45*(1-O$35)+N44*O$35</f>
        <v>0.07965118932105</v>
      </c>
    </row>
    <row r="46" customFormat="false" ht="15" hidden="false" customHeight="false" outlineLevel="0" collapsed="false">
      <c r="B46" s="2" t="n">
        <v>10</v>
      </c>
      <c r="C46" s="2" t="n">
        <f aca="false">0</f>
        <v>0</v>
      </c>
      <c r="D46" s="2" t="n">
        <f aca="false">C46*(1-D$35)+C45*D$35</f>
        <v>0</v>
      </c>
      <c r="E46" s="2" t="n">
        <f aca="false">D46*(1-E$35)+D45*E$35</f>
        <v>0</v>
      </c>
      <c r="F46" s="2" t="n">
        <f aca="false">E46*(1-F$35)+E45*F$35</f>
        <v>0</v>
      </c>
      <c r="G46" s="2" t="n">
        <f aca="false">F46*(1-G$35)+F45*G$35</f>
        <v>0</v>
      </c>
      <c r="H46" s="2" t="n">
        <f aca="false">G46*(1-H$35)+G45*H$35</f>
        <v>0</v>
      </c>
      <c r="I46" s="2" t="n">
        <f aca="false">H46*(1-I$35)+H45*I$35</f>
        <v>0</v>
      </c>
      <c r="J46" s="2" t="n">
        <f aca="false">I46*(1-J$35)+I45*J$35</f>
        <v>0</v>
      </c>
      <c r="K46" s="2" t="n">
        <f aca="false">J46*(1-K$35)+J45*K$35</f>
        <v>0</v>
      </c>
      <c r="L46" s="2" t="n">
        <f aca="false">K46*(1-L$35)+K45*L$35</f>
        <v>0.321264616635731</v>
      </c>
      <c r="M46" s="2" t="n">
        <f aca="false">L46*(1-M$35)+L45*M$35</f>
        <v>0.405079021280579</v>
      </c>
      <c r="N46" s="2" t="n">
        <f aca="false">M46*(1-N$35)+M45*N$35</f>
        <v>0.244402459741687</v>
      </c>
      <c r="O46" s="2" t="n">
        <f aca="false">N46*(1-O$35)+N45*O$35</f>
        <v>0.244402459741687</v>
      </c>
    </row>
    <row r="47" customFormat="false" ht="15" hidden="false" customHeight="false" outlineLevel="0" collapsed="false">
      <c r="B47" s="2" t="n">
        <v>11</v>
      </c>
      <c r="C47" s="2" t="n">
        <f aca="false">0</f>
        <v>0</v>
      </c>
      <c r="D47" s="2" t="n">
        <f aca="false">C47*(1-D$35)+C46*D$35</f>
        <v>0</v>
      </c>
      <c r="E47" s="2" t="n">
        <f aca="false">D47*(1-E$35)+D46*E$35</f>
        <v>0</v>
      </c>
      <c r="F47" s="2" t="n">
        <f aca="false">E47*(1-F$35)+E46*F$35</f>
        <v>0</v>
      </c>
      <c r="G47" s="2" t="n">
        <f aca="false">F47*(1-G$35)+F46*G$35</f>
        <v>0</v>
      </c>
      <c r="H47" s="2" t="n">
        <f aca="false">G47*(1-H$35)+G46*H$35</f>
        <v>0</v>
      </c>
      <c r="I47" s="2" t="n">
        <f aca="false">H47*(1-I$35)+H46*I$35</f>
        <v>0</v>
      </c>
      <c r="J47" s="2" t="n">
        <f aca="false">I47*(1-J$35)+I46*J$35</f>
        <v>0</v>
      </c>
      <c r="K47" s="2" t="n">
        <f aca="false">J47*(1-K$35)+J46*K$35</f>
        <v>0</v>
      </c>
      <c r="L47" s="2" t="n">
        <f aca="false">K47*(1-L$35)+K46*L$35</f>
        <v>0</v>
      </c>
      <c r="M47" s="2" t="n">
        <f aca="false">L47*(1-M$35)+L46*M$35</f>
        <v>0.274544065179814</v>
      </c>
      <c r="N47" s="2" t="n">
        <f aca="false">M47*(1-N$35)+M46*N$35</f>
        <v>0.398193232896349</v>
      </c>
      <c r="O47" s="2" t="n">
        <f aca="false">N47*(1-O$35)+N46*O$35</f>
        <v>0.398193232896349</v>
      </c>
    </row>
    <row r="48" customFormat="false" ht="15" hidden="false" customHeight="false" outlineLevel="0" collapsed="false">
      <c r="B48" s="2" t="n">
        <v>12</v>
      </c>
      <c r="C48" s="2" t="n">
        <f aca="false">0</f>
        <v>0</v>
      </c>
      <c r="D48" s="2" t="n">
        <f aca="false">C48*(1-D$35)+C47*D$35</f>
        <v>0</v>
      </c>
      <c r="E48" s="2" t="n">
        <f aca="false">D48*(1-E$35)+D47*E$35</f>
        <v>0</v>
      </c>
      <c r="F48" s="2" t="n">
        <f aca="false">E48*(1-F$35)+E47*F$35</f>
        <v>0</v>
      </c>
      <c r="G48" s="2" t="n">
        <f aca="false">F48*(1-G$35)+F47*G$35</f>
        <v>0</v>
      </c>
      <c r="H48" s="2" t="n">
        <f aca="false">G48*(1-H$35)+G47*H$35</f>
        <v>0</v>
      </c>
      <c r="I48" s="2" t="n">
        <f aca="false">H48*(1-I$35)+H47*I$35</f>
        <v>0</v>
      </c>
      <c r="J48" s="2" t="n">
        <f aca="false">I48*(1-J$35)+I47*J$35</f>
        <v>0</v>
      </c>
      <c r="K48" s="2" t="n">
        <f aca="false">J48*(1-K$35)+J47*K$35</f>
        <v>0</v>
      </c>
      <c r="L48" s="2" t="n">
        <f aca="false">K48*(1-L$35)+K47*L$35</f>
        <v>0</v>
      </c>
      <c r="M48" s="2" t="n">
        <f aca="false">L48*(1-M$35)+L47*M$35</f>
        <v>0</v>
      </c>
      <c r="N48" s="2" t="n">
        <f aca="false">M48*(1-N$35)+M47*N$35</f>
        <v>0.26006171967295</v>
      </c>
      <c r="O48" s="2" t="n">
        <f aca="false">N48*(1-O$35)+N47*O$35</f>
        <v>0.26006171967295</v>
      </c>
    </row>
    <row r="49" customFormat="false" ht="15" hidden="false" customHeight="false" outlineLevel="0" collapsed="false">
      <c r="B49" s="2" t="n">
        <v>13</v>
      </c>
      <c r="C49" s="2" t="n">
        <f aca="false">0</f>
        <v>0</v>
      </c>
      <c r="D49" s="2" t="n">
        <f aca="false">C49*(1-D$35)+C48*D$35</f>
        <v>0</v>
      </c>
      <c r="E49" s="2" t="n">
        <f aca="false">D49*(1-E$35)+D48*E$35</f>
        <v>0</v>
      </c>
      <c r="F49" s="2" t="n">
        <f aca="false">E49*(1-F$35)+E48*F$35</f>
        <v>0</v>
      </c>
      <c r="G49" s="2" t="n">
        <f aca="false">F49*(1-G$35)+F48*G$35</f>
        <v>0</v>
      </c>
      <c r="H49" s="2" t="n">
        <f aca="false">G49*(1-H$35)+G48*H$35</f>
        <v>0</v>
      </c>
      <c r="I49" s="2" t="n">
        <f aca="false">H49*(1-I$35)+H48*I$35</f>
        <v>0</v>
      </c>
      <c r="J49" s="2" t="n">
        <f aca="false">I49*(1-J$35)+I48*J$35</f>
        <v>0</v>
      </c>
      <c r="K49" s="2" t="n">
        <f aca="false">J49*(1-K$35)+J48*K$35</f>
        <v>0</v>
      </c>
      <c r="L49" s="2" t="n">
        <f aca="false">K49*(1-L$35)+K48*L$35</f>
        <v>0</v>
      </c>
      <c r="M49" s="2" t="n">
        <f aca="false">L49*(1-M$35)+L48*M$35</f>
        <v>0</v>
      </c>
      <c r="N49" s="2" t="n">
        <f aca="false">M49*(1-N$35)+M48*N$35</f>
        <v>0</v>
      </c>
      <c r="O49" s="2" t="n">
        <f aca="false">N49*(1-O$35)+N48*O$35</f>
        <v>0</v>
      </c>
    </row>
    <row r="51" customFormat="false" ht="15" hidden="false" customHeight="false" outlineLevel="0" collapsed="false">
      <c r="A51" s="1" t="s">
        <v>61</v>
      </c>
      <c r="C51" s="2" t="n">
        <f aca="false">Schedule!G5</f>
        <v>0.999957747329521</v>
      </c>
      <c r="D51" s="2" t="n">
        <f aca="false">Schedule!L5</f>
        <v>0.988166735580673</v>
      </c>
      <c r="E51" s="2" t="n">
        <f aca="false">Schedule!Q5</f>
        <v>0.873636334484589</v>
      </c>
      <c r="F51" s="2" t="n">
        <f aca="false">Schedule!V5</f>
        <v>0.736061463030662</v>
      </c>
      <c r="G51" s="2" t="n">
        <f aca="false">Schedule!AA5</f>
        <v>0.883712112245511</v>
      </c>
      <c r="H51" s="2" t="n">
        <f aca="false">Schedule!AF5</f>
        <v>0.653117188736853</v>
      </c>
      <c r="I51" s="2" t="n">
        <f aca="false">Schedule!AK5</f>
        <v>0.861592050714903</v>
      </c>
      <c r="J51" s="2" t="n">
        <f aca="false">Schedule!AP5</f>
        <v>0.758036347776927</v>
      </c>
      <c r="K51" s="2" t="n">
        <f aca="false">Schedule!AU5</f>
        <v>0.678138598836346</v>
      </c>
      <c r="L51" s="2" t="n">
        <f aca="false">Schedule!AZ5</f>
        <v>0.800595439528627</v>
      </c>
      <c r="M51" s="2" t="n">
        <f aca="false">Schedule!BE5</f>
        <v>0.759983659318733</v>
      </c>
      <c r="N51" s="2" t="n">
        <f aca="false">Schedule!BJ5</f>
        <v>0.924712013587577</v>
      </c>
      <c r="O51" s="2" t="n">
        <f aca="false">Schedule!BO5</f>
        <v>0</v>
      </c>
    </row>
    <row r="52" customFormat="false" ht="15" hidden="false" customHeight="false" outlineLevel="0" collapsed="false">
      <c r="B52" s="2" t="n">
        <v>0</v>
      </c>
      <c r="C52" s="2" t="n">
        <f aca="false">1-C$51</f>
        <v>4.22526704793036E-005</v>
      </c>
      <c r="D52" s="2" t="n">
        <f aca="false">C52*(1-D$51)</f>
        <v>4.99987022204281E-007</v>
      </c>
      <c r="E52" s="2" t="n">
        <f aca="false">D52*(1-E$51)</f>
        <v>6.31801928358683E-008</v>
      </c>
      <c r="F52" s="2" t="n">
        <f aca="false">E52*(1-F$51)</f>
        <v>1.66756876625397E-008</v>
      </c>
      <c r="G52" s="2" t="n">
        <f aca="false">F52*(1-G$51)</f>
        <v>1.93918049513033E-009</v>
      </c>
      <c r="H52" s="2" t="n">
        <f aca="false">G52*(1-H$51)</f>
        <v>6.72668381697469E-010</v>
      </c>
      <c r="I52" s="2" t="n">
        <f aca="false">H52*(1-I$51)</f>
        <v>9.31026512596717E-011</v>
      </c>
      <c r="J52" s="2" t="n">
        <f aca="false">I52*(1-J$51)</f>
        <v>2.25274575304413E-011</v>
      </c>
      <c r="K52" s="2" t="n">
        <f aca="false">J52*(1-K$51)</f>
        <v>7.25071904540253E-012</v>
      </c>
      <c r="L52" s="2" t="n">
        <f aca="false">K52*(1-L$51)</f>
        <v>1.4458264443499E-012</v>
      </c>
      <c r="M52" s="2" t="n">
        <f aca="false">L52*(1-M$51)</f>
        <v>3.47021972433071E-013</v>
      </c>
      <c r="N52" s="2" t="n">
        <f aca="false">M52*(1-N$51)</f>
        <v>2.61265855453534E-014</v>
      </c>
      <c r="O52" s="2" t="n">
        <f aca="false">N52*(1-O$51)</f>
        <v>2.61265855453534E-014</v>
      </c>
    </row>
    <row r="53" customFormat="false" ht="15" hidden="false" customHeight="false" outlineLevel="0" collapsed="false">
      <c r="B53" s="2" t="n">
        <v>1</v>
      </c>
      <c r="C53" s="2" t="n">
        <f aca="false">C$51</f>
        <v>0.999957747329521</v>
      </c>
      <c r="D53" s="2" t="n">
        <f aca="false">C53*(1-D$51)+C52*D$51</f>
        <v>0.0118745171157616</v>
      </c>
      <c r="E53" s="2" t="n">
        <f aca="false">D53*(1-E$51)+D52*E$51</f>
        <v>0.0015009443158025</v>
      </c>
      <c r="F53" s="2" t="n">
        <f aca="false">E53*(1-F$51)+E52*F$51</f>
        <v>0.000396203551290529</v>
      </c>
      <c r="G53" s="2" t="n">
        <f aca="false">F53*(1-G$51)+F52*G$51</f>
        <v>4.60884106075702E-005</v>
      </c>
      <c r="H53" s="2" t="n">
        <f aca="false">G53*(1-H$51)+G52*H$51</f>
        <v>1.59885439503176E-005</v>
      </c>
      <c r="I53" s="2" t="n">
        <f aca="false">H53*(1-I$51)+H52*I$51</f>
        <v>2.21352114594854E-006</v>
      </c>
      <c r="J53" s="2" t="n">
        <f aca="false">I53*(1-J$51)+I52*J$51</f>
        <v>5.35662235940441E-007</v>
      </c>
      <c r="K53" s="2" t="n">
        <f aca="false">J53*(1-K$51)+J52*K$51</f>
        <v>1.72424274548731E-007</v>
      </c>
      <c r="L53" s="2" t="n">
        <f aca="false">K53*(1-L$51)+K52*L$51</f>
        <v>3.43879915735861E-008</v>
      </c>
      <c r="M53" s="2" t="n">
        <f aca="false">L53*(1-M$51)+L52*M$51</f>
        <v>8.25477870534229E-009</v>
      </c>
      <c r="N53" s="2" t="n">
        <f aca="false">M53*(1-N$51)+M52*N$51</f>
        <v>6.2180656239226E-010</v>
      </c>
      <c r="O53" s="2" t="n">
        <f aca="false">N53*(1-O$51)+N52*O$51</f>
        <v>6.2180656239226E-010</v>
      </c>
    </row>
    <row r="54" customFormat="false" ht="15" hidden="false" customHeight="false" outlineLevel="0" collapsed="false">
      <c r="B54" s="2" t="n">
        <v>2</v>
      </c>
      <c r="C54" s="2" t="n">
        <f aca="false">0</f>
        <v>0</v>
      </c>
      <c r="D54" s="2" t="n">
        <f aca="false">C54*(1-D$51)+C53*D$51</f>
        <v>0.988124982897216</v>
      </c>
      <c r="E54" s="2" t="n">
        <f aca="false">D54*(1-E$51)+D53*E$51</f>
        <v>0.135237104433034</v>
      </c>
      <c r="F54" s="2" t="n">
        <f aca="false">E54*(1-F$51)+E53*F$51</f>
        <v>0.0367990707570416</v>
      </c>
      <c r="G54" s="2" t="n">
        <f aca="false">F54*(1-G$51)+F53*G$51</f>
        <v>0.00462941608685447</v>
      </c>
      <c r="H54" s="2" t="n">
        <f aca="false">G54*(1-H$51)+G53*H$51</f>
        <v>0.00163596599988428</v>
      </c>
      <c r="I54" s="2" t="n">
        <f aca="false">H54*(1-I$51)+H53*I$51</f>
        <v>0.000240206301514226</v>
      </c>
      <c r="J54" s="2" t="n">
        <f aca="false">I54*(1-J$51)+I53*J$51</f>
        <v>5.97991234865807E-005</v>
      </c>
      <c r="K54" s="2" t="n">
        <f aca="false">J54*(1-K$51)+J53*K$51</f>
        <v>1.96102829118794E-005</v>
      </c>
      <c r="L54" s="2" t="n">
        <f aca="false">K54*(1-L$51)+K53*L$51</f>
        <v>4.04842193263033E-006</v>
      </c>
      <c r="M54" s="2" t="n">
        <f aca="false">L54*(1-M$51)+L53*M$51</f>
        <v>9.97821729476431E-007</v>
      </c>
      <c r="N54" s="2" t="n">
        <f aca="false">M54*(1-N$51)+M53*N$51</f>
        <v>8.27572818491792E-008</v>
      </c>
      <c r="O54" s="2" t="n">
        <f aca="false">N54*(1-O$51)+N53*O$51</f>
        <v>8.27572818491792E-008</v>
      </c>
    </row>
    <row r="55" customFormat="false" ht="15" hidden="false" customHeight="false" outlineLevel="0" collapsed="false">
      <c r="B55" s="2" t="n">
        <v>3</v>
      </c>
      <c r="C55" s="2" t="n">
        <f aca="false">0</f>
        <v>0</v>
      </c>
      <c r="D55" s="2" t="n">
        <f aca="false">C55*(1-D$51)+C54*D$51</f>
        <v>0</v>
      </c>
      <c r="E55" s="2" t="n">
        <f aca="false">D55*(1-E$51)+D54*E$51</f>
        <v>0.863261888070971</v>
      </c>
      <c r="F55" s="2" t="n">
        <f aca="false">E55*(1-F$51)+E54*F$51</f>
        <v>0.32739090070385</v>
      </c>
      <c r="G55" s="2" t="n">
        <f aca="false">F55*(1-G$51)+F54*G$51</f>
        <v>0.0705913808602675</v>
      </c>
      <c r="H55" s="2" t="n">
        <f aca="false">G55*(1-H$51)+G54*H$51</f>
        <v>0.0275104878638966</v>
      </c>
      <c r="I55" s="2" t="n">
        <f aca="false">H55*(1-I$51)+H54*I$51</f>
        <v>0.00521720550981464</v>
      </c>
      <c r="J55" s="2" t="n">
        <f aca="false">I55*(1-J$51)+I54*J$51</f>
        <v>0.00144445920706594</v>
      </c>
      <c r="K55" s="2" t="n">
        <f aca="false">J55*(1-K$51)+J54*K$51</f>
        <v>0.000505467758122815</v>
      </c>
      <c r="L55" s="2" t="n">
        <f aca="false">K55*(1-L$51)+K54*L$51</f>
        <v>0.000116492479208047</v>
      </c>
      <c r="M55" s="2" t="n">
        <f aca="false">L55*(1-M$51)+L54*M$51</f>
        <v>3.10368330912306E-005</v>
      </c>
      <c r="N55" s="2" t="n">
        <f aca="false">M55*(1-N$51)+M54*N$51</f>
        <v>3.25939840872281E-006</v>
      </c>
      <c r="O55" s="2" t="n">
        <f aca="false">N55*(1-O$51)+N54*O$51</f>
        <v>3.25939840872281E-006</v>
      </c>
    </row>
    <row r="56" customFormat="false" ht="15" hidden="false" customHeight="false" outlineLevel="0" collapsed="false">
      <c r="B56" s="2" t="n">
        <v>4</v>
      </c>
      <c r="C56" s="2" t="n">
        <f aca="false">0</f>
        <v>0</v>
      </c>
      <c r="D56" s="2" t="n">
        <f aca="false">C56*(1-D$51)+C55*D$51</f>
        <v>0</v>
      </c>
      <c r="E56" s="2" t="n">
        <f aca="false">D56*(1-E$51)+D55*E$51</f>
        <v>0</v>
      </c>
      <c r="F56" s="2" t="n">
        <f aca="false">E56*(1-F$51)+E55*F$51</f>
        <v>0.635413808312131</v>
      </c>
      <c r="G56" s="2" t="n">
        <f aca="false">F56*(1-G$51)+F55*G$51</f>
        <v>0.363210234009613</v>
      </c>
      <c r="H56" s="2" t="n">
        <f aca="false">G56*(1-H$51)+G55*H$51</f>
        <v>0.17209583126931</v>
      </c>
      <c r="I56" s="2" t="n">
        <f aca="false">H56*(1-I$51)+H55*I$51</f>
        <v>0.0475222487413215</v>
      </c>
      <c r="J56" s="2" t="n">
        <f aca="false">I56*(1-J$51)+I55*J$51</f>
        <v>0.015453488277565</v>
      </c>
      <c r="K56" s="2" t="n">
        <f aca="false">J56*(1-K$51)+J55*K$51</f>
        <v>0.00595342493263914</v>
      </c>
      <c r="L56" s="2" t="n">
        <f aca="false">K56*(1-L$51)+K55*L$51</f>
        <v>0.0015918152639741</v>
      </c>
      <c r="M56" s="2" t="n">
        <f aca="false">L56*(1-M$51)+L55*M$51</f>
        <v>0.000470594055331292</v>
      </c>
      <c r="N56" s="2" t="n">
        <f aca="false">M56*(1-N$51)+M55*N$51</f>
        <v>6.41302112667229E-005</v>
      </c>
      <c r="O56" s="2" t="n">
        <f aca="false">N56*(1-O$51)+N55*O$51</f>
        <v>6.41302112667229E-005</v>
      </c>
    </row>
    <row r="57" customFormat="false" ht="15" hidden="false" customHeight="false" outlineLevel="0" collapsed="false">
      <c r="B57" s="2" t="n">
        <v>5</v>
      </c>
      <c r="C57" s="2" t="n">
        <f aca="false">0</f>
        <v>0</v>
      </c>
      <c r="D57" s="2" t="n">
        <f aca="false">C57*(1-D$51)+C56*D$51</f>
        <v>0</v>
      </c>
      <c r="E57" s="2" t="n">
        <f aca="false">D57*(1-E$51)+D56*E$51</f>
        <v>0</v>
      </c>
      <c r="F57" s="2" t="n">
        <f aca="false">E57*(1-F$51)+E56*F$51</f>
        <v>0</v>
      </c>
      <c r="G57" s="2" t="n">
        <f aca="false">F57*(1-G$51)+F56*G$51</f>
        <v>0.561522878693478</v>
      </c>
      <c r="H57" s="2" t="n">
        <f aca="false">G57*(1-H$51)+G56*H$51</f>
        <v>0.432001481706581</v>
      </c>
      <c r="I57" s="2" t="n">
        <f aca="false">H57*(1-I$51)+H56*I$51</f>
        <v>0.208068839353942</v>
      </c>
      <c r="J57" s="2" t="n">
        <f aca="false">I57*(1-J$51)+I56*J$51</f>
        <v>0.0863686881579137</v>
      </c>
      <c r="K57" s="2" t="n">
        <f aca="false">J57*(1-K$51)+J56*K$51</f>
        <v>0.0382783538748546</v>
      </c>
      <c r="L57" s="2" t="n">
        <f aca="false">K57*(1-L$51)+K56*L$51</f>
        <v>0.01239916318063</v>
      </c>
      <c r="M57" s="2" t="n">
        <f aca="false">L57*(1-M$51)+L56*M$51</f>
        <v>0.00418575536339916</v>
      </c>
      <c r="N57" s="2" t="n">
        <f aca="false">M57*(1-N$51)+M56*N$51</f>
        <v>0.000750301069413066</v>
      </c>
      <c r="O57" s="2" t="n">
        <f aca="false">N57*(1-O$51)+N56*O$51</f>
        <v>0.000750301069413066</v>
      </c>
    </row>
    <row r="58" customFormat="false" ht="15" hidden="false" customHeight="false" outlineLevel="0" collapsed="false">
      <c r="B58" s="2" t="n">
        <v>6</v>
      </c>
      <c r="C58" s="2" t="n">
        <f aca="false">0</f>
        <v>0</v>
      </c>
      <c r="D58" s="2" t="n">
        <f aca="false">C58*(1-D$51)+C57*D$51</f>
        <v>0</v>
      </c>
      <c r="E58" s="2" t="n">
        <f aca="false">D58*(1-E$51)+D57*E$51</f>
        <v>0</v>
      </c>
      <c r="F58" s="2" t="n">
        <f aca="false">E58*(1-F$51)+E57*F$51</f>
        <v>0</v>
      </c>
      <c r="G58" s="2" t="n">
        <f aca="false">F58*(1-G$51)+F57*G$51</f>
        <v>0</v>
      </c>
      <c r="H58" s="2" t="n">
        <f aca="false">G58*(1-H$51)+G57*H$51</f>
        <v>0.366740243943709</v>
      </c>
      <c r="I58" s="2" t="n">
        <f aca="false">H58*(1-I$51)+H57*I$51</f>
        <v>0.422968807620015</v>
      </c>
      <c r="J58" s="2" t="n">
        <f aca="false">I58*(1-J$51)+I57*J$51</f>
        <v>0.260066820538224</v>
      </c>
      <c r="K58" s="2" t="n">
        <f aca="false">J58*(1-K$51)+J57*K$51</f>
        <v>0.14227541242535</v>
      </c>
      <c r="L58" s="2" t="n">
        <f aca="false">K58*(1-L$51)+K57*L$51</f>
        <v>0.0590158416254318</v>
      </c>
      <c r="M58" s="2" t="n">
        <f aca="false">L58*(1-M$51)+L57*M$51</f>
        <v>0.0235879277556666</v>
      </c>
      <c r="N58" s="2" t="n">
        <f aca="false">M58*(1-N$51)+M57*N$51</f>
        <v>0.00564650585483969</v>
      </c>
      <c r="O58" s="2" t="n">
        <f aca="false">N58*(1-O$51)+N57*O$51</f>
        <v>0.00564650585483969</v>
      </c>
    </row>
    <row r="59" customFormat="false" ht="15" hidden="false" customHeight="false" outlineLevel="0" collapsed="false">
      <c r="B59" s="2" t="n">
        <v>7</v>
      </c>
      <c r="C59" s="2" t="n">
        <f aca="false">0</f>
        <v>0</v>
      </c>
      <c r="D59" s="2" t="n">
        <f aca="false">C59*(1-D$51)+C58*D$51</f>
        <v>0</v>
      </c>
      <c r="E59" s="2" t="n">
        <f aca="false">D59*(1-E$51)+D58*E$51</f>
        <v>0</v>
      </c>
      <c r="F59" s="2" t="n">
        <f aca="false">E59*(1-F$51)+E58*F$51</f>
        <v>0</v>
      </c>
      <c r="G59" s="2" t="n">
        <f aca="false">F59*(1-G$51)+F58*G$51</f>
        <v>0</v>
      </c>
      <c r="H59" s="2" t="n">
        <f aca="false">G59*(1-H$51)+G58*H$51</f>
        <v>0</v>
      </c>
      <c r="I59" s="2" t="n">
        <f aca="false">H59*(1-I$51)+H58*I$51</f>
        <v>0.315980478859144</v>
      </c>
      <c r="J59" s="2" t="n">
        <f aca="false">I59*(1-J$51)+I58*J$51</f>
        <v>0.397081520847792</v>
      </c>
      <c r="K59" s="2" t="n">
        <f aca="false">J59*(1-K$51)+J58*K$51</f>
        <v>0.304166563959879</v>
      </c>
      <c r="L59" s="2" t="n">
        <f aca="false">K59*(1-L$51)+K58*L$51</f>
        <v>0.174557246341297</v>
      </c>
      <c r="M59" s="2" t="n">
        <f aca="false">L59*(1-M$51)+L58*M$51</f>
        <v>0.0867476667825071</v>
      </c>
      <c r="N59" s="2" t="n">
        <f aca="false">M59*(1-N$51)+M58*N$51</f>
        <v>0.0283430973293316</v>
      </c>
      <c r="O59" s="2" t="n">
        <f aca="false">N59*(1-O$51)+N58*O$51</f>
        <v>0.0283430973293316</v>
      </c>
    </row>
    <row r="60" customFormat="false" ht="15" hidden="false" customHeight="false" outlineLevel="0" collapsed="false">
      <c r="B60" s="2" t="n">
        <v>8</v>
      </c>
      <c r="C60" s="2" t="n">
        <f aca="false">0</f>
        <v>0</v>
      </c>
      <c r="D60" s="2" t="n">
        <f aca="false">C60*(1-D$51)+C59*D$51</f>
        <v>0</v>
      </c>
      <c r="E60" s="2" t="n">
        <f aca="false">D60*(1-E$51)+D59*E$51</f>
        <v>0</v>
      </c>
      <c r="F60" s="2" t="n">
        <f aca="false">E60*(1-F$51)+E59*F$51</f>
        <v>0</v>
      </c>
      <c r="G60" s="2" t="n">
        <f aca="false">F60*(1-G$51)+F59*G$51</f>
        <v>0</v>
      </c>
      <c r="H60" s="2" t="n">
        <f aca="false">G60*(1-H$51)+G59*H$51</f>
        <v>0</v>
      </c>
      <c r="I60" s="2" t="n">
        <f aca="false">H60*(1-I$51)+H59*I$51</f>
        <v>0</v>
      </c>
      <c r="J60" s="2" t="n">
        <f aca="false">I60*(1-J$51)+I59*J$51</f>
        <v>0.23952468816319</v>
      </c>
      <c r="K60" s="2" t="n">
        <f aca="false">J60*(1-K$51)+J59*K$51</f>
        <v>0.346370057917018</v>
      </c>
      <c r="L60" s="2" t="n">
        <f aca="false">K60*(1-L$51)+K59*L$51</f>
        <v>0.312582133122759</v>
      </c>
      <c r="M60" s="2" t="n">
        <f aca="false">L60*(1-M$51)+L59*M$51</f>
        <v>0.20768547458953</v>
      </c>
      <c r="N60" s="2" t="n">
        <f aca="false">M60*(1-N$51)+M59*N$51</f>
        <v>0.0958528308134305</v>
      </c>
      <c r="O60" s="2" t="n">
        <f aca="false">N60*(1-O$51)+N59*O$51</f>
        <v>0.0958528308134305</v>
      </c>
    </row>
    <row r="61" customFormat="false" ht="15" hidden="false" customHeight="false" outlineLevel="0" collapsed="false">
      <c r="B61" s="2" t="n">
        <v>9</v>
      </c>
      <c r="C61" s="2" t="n">
        <f aca="false">0</f>
        <v>0</v>
      </c>
      <c r="D61" s="2" t="n">
        <f aca="false">C61*(1-D$51)+C60*D$51</f>
        <v>0</v>
      </c>
      <c r="E61" s="2" t="n">
        <f aca="false">D61*(1-E$51)+D60*E$51</f>
        <v>0</v>
      </c>
      <c r="F61" s="2" t="n">
        <f aca="false">E61*(1-F$51)+E60*F$51</f>
        <v>0</v>
      </c>
      <c r="G61" s="2" t="n">
        <f aca="false">F61*(1-G$51)+F60*G$51</f>
        <v>0</v>
      </c>
      <c r="H61" s="2" t="n">
        <f aca="false">G61*(1-H$51)+G60*H$51</f>
        <v>0</v>
      </c>
      <c r="I61" s="2" t="n">
        <f aca="false">H61*(1-I$51)+H60*I$51</f>
        <v>0</v>
      </c>
      <c r="J61" s="2" t="n">
        <f aca="false">I61*(1-J$51)+I60*J$51</f>
        <v>0</v>
      </c>
      <c r="K61" s="2" t="n">
        <f aca="false">J61*(1-K$51)+J60*K$51</f>
        <v>0.162430936417698</v>
      </c>
      <c r="L61" s="2" t="n">
        <f aca="false">K61*(1-L$51)+K60*L$51</f>
        <v>0.309691758240956</v>
      </c>
      <c r="M61" s="2" t="n">
        <f aca="false">L61*(1-M$51)+L60*M$51</f>
        <v>0.311888395920432</v>
      </c>
      <c r="N61" s="2" t="n">
        <f aca="false">M61*(1-N$51)+M60*N$51</f>
        <v>0.215530702714826</v>
      </c>
      <c r="O61" s="2" t="n">
        <f aca="false">N61*(1-O$51)+N60*O$51</f>
        <v>0.215530702714826</v>
      </c>
    </row>
    <row r="62" customFormat="false" ht="15" hidden="false" customHeight="false" outlineLevel="0" collapsed="false">
      <c r="B62" s="2" t="n">
        <v>10</v>
      </c>
      <c r="C62" s="2" t="n">
        <f aca="false">0</f>
        <v>0</v>
      </c>
      <c r="D62" s="2" t="n">
        <f aca="false">C62*(1-D$51)+C61*D$51</f>
        <v>0</v>
      </c>
      <c r="E62" s="2" t="n">
        <f aca="false">D62*(1-E$51)+D61*E$51</f>
        <v>0</v>
      </c>
      <c r="F62" s="2" t="n">
        <f aca="false">E62*(1-F$51)+E61*F$51</f>
        <v>0</v>
      </c>
      <c r="G62" s="2" t="n">
        <f aca="false">F62*(1-G$51)+F61*G$51</f>
        <v>0</v>
      </c>
      <c r="H62" s="2" t="n">
        <f aca="false">G62*(1-H$51)+G61*H$51</f>
        <v>0</v>
      </c>
      <c r="I62" s="2" t="n">
        <f aca="false">H62*(1-I$51)+H61*I$51</f>
        <v>0</v>
      </c>
      <c r="J62" s="2" t="n">
        <f aca="false">I62*(1-J$51)+I61*J$51</f>
        <v>0</v>
      </c>
      <c r="K62" s="2" t="n">
        <f aca="false">J62*(1-K$51)+J61*K$51</f>
        <v>0</v>
      </c>
      <c r="L62" s="2" t="n">
        <f aca="false">K62*(1-L$51)+K61*L$51</f>
        <v>0.130041466934374</v>
      </c>
      <c r="M62" s="2" t="n">
        <f aca="false">L62*(1-M$51)+L61*M$51</f>
        <v>0.266572752719227</v>
      </c>
      <c r="N62" s="2" t="n">
        <f aca="false">M62*(1-N$51)+M61*N$51</f>
        <v>0.308476672390829</v>
      </c>
      <c r="O62" s="2" t="n">
        <f aca="false">N62*(1-O$51)+N61*O$51</f>
        <v>0.308476672390829</v>
      </c>
    </row>
    <row r="63" customFormat="false" ht="15" hidden="false" customHeight="false" outlineLevel="0" collapsed="false">
      <c r="B63" s="2" t="n">
        <v>11</v>
      </c>
      <c r="C63" s="2" t="n">
        <f aca="false">0</f>
        <v>0</v>
      </c>
      <c r="D63" s="2" t="n">
        <f aca="false">C63*(1-D$51)+C62*D$51</f>
        <v>0</v>
      </c>
      <c r="E63" s="2" t="n">
        <f aca="false">D63*(1-E$51)+D62*E$51</f>
        <v>0</v>
      </c>
      <c r="F63" s="2" t="n">
        <f aca="false">E63*(1-F$51)+E62*F$51</f>
        <v>0</v>
      </c>
      <c r="G63" s="2" t="n">
        <f aca="false">F63*(1-G$51)+F62*G$51</f>
        <v>0</v>
      </c>
      <c r="H63" s="2" t="n">
        <f aca="false">G63*(1-H$51)+G62*H$51</f>
        <v>0</v>
      </c>
      <c r="I63" s="2" t="n">
        <f aca="false">H63*(1-I$51)+H62*I$51</f>
        <v>0</v>
      </c>
      <c r="J63" s="2" t="n">
        <f aca="false">I63*(1-J$51)+I62*J$51</f>
        <v>0</v>
      </c>
      <c r="K63" s="2" t="n">
        <f aca="false">J63*(1-K$51)+J62*K$51</f>
        <v>0</v>
      </c>
      <c r="L63" s="2" t="n">
        <f aca="false">K63*(1-L$51)+K62*L$51</f>
        <v>0</v>
      </c>
      <c r="M63" s="2" t="n">
        <f aca="false">L63*(1-M$51)+L62*M$51</f>
        <v>0.0988293899039614</v>
      </c>
      <c r="N63" s="2" t="n">
        <f aca="false">M63*(1-N$51)+M62*N$51</f>
        <v>0.253943692698817</v>
      </c>
      <c r="O63" s="2" t="n">
        <f aca="false">N63*(1-O$51)+N62*O$51</f>
        <v>0.253943692698817</v>
      </c>
    </row>
    <row r="64" customFormat="false" ht="15" hidden="false" customHeight="false" outlineLevel="0" collapsed="false">
      <c r="B64" s="2" t="n">
        <v>12</v>
      </c>
      <c r="C64" s="2" t="n">
        <f aca="false">0</f>
        <v>0</v>
      </c>
      <c r="D64" s="2" t="n">
        <f aca="false">C64*(1-D$51)+C63*D$51</f>
        <v>0</v>
      </c>
      <c r="E64" s="2" t="n">
        <f aca="false">D64*(1-E$51)+D63*E$51</f>
        <v>0</v>
      </c>
      <c r="F64" s="2" t="n">
        <f aca="false">E64*(1-F$51)+E63*F$51</f>
        <v>0</v>
      </c>
      <c r="G64" s="2" t="n">
        <f aca="false">F64*(1-G$51)+F63*G$51</f>
        <v>0</v>
      </c>
      <c r="H64" s="2" t="n">
        <f aca="false">G64*(1-H$51)+G63*H$51</f>
        <v>0</v>
      </c>
      <c r="I64" s="2" t="n">
        <f aca="false">H64*(1-I$51)+H63*I$51</f>
        <v>0</v>
      </c>
      <c r="J64" s="2" t="n">
        <f aca="false">I64*(1-J$51)+I63*J$51</f>
        <v>0</v>
      </c>
      <c r="K64" s="2" t="n">
        <f aca="false">J64*(1-K$51)+J63*K$51</f>
        <v>0</v>
      </c>
      <c r="L64" s="2" t="n">
        <f aca="false">K64*(1-L$51)+K63*L$51</f>
        <v>0</v>
      </c>
      <c r="M64" s="2" t="n">
        <f aca="false">L64*(1-M$51)+L63*M$51</f>
        <v>0</v>
      </c>
      <c r="N64" s="2" t="n">
        <f aca="false">M64*(1-N$51)+M63*N$51</f>
        <v>0.0913887241397239</v>
      </c>
      <c r="O64" s="2" t="n">
        <f aca="false">N64*(1-O$51)+N63*O$51</f>
        <v>0.0913887241397239</v>
      </c>
    </row>
    <row r="65" customFormat="false" ht="15" hidden="false" customHeight="false" outlineLevel="0" collapsed="false">
      <c r="B65" s="2" t="n">
        <v>13</v>
      </c>
      <c r="C65" s="2" t="n">
        <f aca="false">0</f>
        <v>0</v>
      </c>
      <c r="D65" s="2" t="n">
        <f aca="false">C65*(1-D$51)+C64*D$51</f>
        <v>0</v>
      </c>
      <c r="E65" s="2" t="n">
        <f aca="false">D65*(1-E$51)+D64*E$51</f>
        <v>0</v>
      </c>
      <c r="F65" s="2" t="n">
        <f aca="false">E65*(1-F$51)+E64*F$51</f>
        <v>0</v>
      </c>
      <c r="G65" s="2" t="n">
        <f aca="false">F65*(1-G$51)+F64*G$51</f>
        <v>0</v>
      </c>
      <c r="H65" s="2" t="n">
        <f aca="false">G65*(1-H$51)+G64*H$51</f>
        <v>0</v>
      </c>
      <c r="I65" s="2" t="n">
        <f aca="false">H65*(1-I$51)+H64*I$51</f>
        <v>0</v>
      </c>
      <c r="J65" s="2" t="n">
        <f aca="false">I65*(1-J$51)+I64*J$51</f>
        <v>0</v>
      </c>
      <c r="K65" s="2" t="n">
        <f aca="false">J65*(1-K$51)+J64*K$51</f>
        <v>0</v>
      </c>
      <c r="L65" s="2" t="n">
        <f aca="false">K65*(1-L$51)+K64*L$51</f>
        <v>0</v>
      </c>
      <c r="M65" s="2" t="n">
        <f aca="false">L65*(1-M$51)+L64*M$51</f>
        <v>0</v>
      </c>
      <c r="N65" s="2" t="n">
        <f aca="false">M65*(1-N$51)+M64*N$51</f>
        <v>0</v>
      </c>
      <c r="O65" s="2" t="n">
        <f aca="false">N65*(1-O$51)+N64*O$51</f>
        <v>0</v>
      </c>
    </row>
    <row r="67" customFormat="false" ht="15" hidden="false" customHeight="false" outlineLevel="0" collapsed="false">
      <c r="A67" s="1" t="s">
        <v>62</v>
      </c>
      <c r="C67" s="2" t="n">
        <f aca="false">Schedule!G6</f>
        <v>0.993679923168582</v>
      </c>
      <c r="D67" s="2" t="n">
        <f aca="false">Schedule!L6</f>
        <v>0.999987017849664</v>
      </c>
      <c r="E67" s="2" t="n">
        <f aca="false">Schedule!Q6</f>
        <v>0.98695938092646</v>
      </c>
      <c r="F67" s="2" t="n">
        <f aca="false">Schedule!V6</f>
        <v>0.926470740390352</v>
      </c>
      <c r="G67" s="2" t="n">
        <f aca="false">Schedule!AA6</f>
        <v>0.901039965198911</v>
      </c>
      <c r="H67" s="2" t="n">
        <f aca="false">Schedule!AF6</f>
        <v>0.809213047147489</v>
      </c>
      <c r="I67" s="2" t="n">
        <f aca="false">Schedule!AK6</f>
        <v>0.391658119153605</v>
      </c>
      <c r="J67" s="2" t="n">
        <f aca="false">Schedule!AP6</f>
        <v>0.653117188736853</v>
      </c>
      <c r="K67" s="2" t="n">
        <f aca="false">Schedule!AU6</f>
        <v>0.916398947013289</v>
      </c>
      <c r="L67" s="2" t="n">
        <f aca="false">Schedule!AZ6</f>
        <v>0.746174582585778</v>
      </c>
      <c r="M67" s="2" t="n">
        <f aca="false">Schedule!BE6</f>
        <v>0.680375828482882</v>
      </c>
      <c r="N67" s="2" t="n">
        <f aca="false">Schedule!BJ6</f>
        <v>0.971691111028076</v>
      </c>
      <c r="O67" s="2" t="n">
        <f aca="false">Schedule!BO6</f>
        <v>0</v>
      </c>
    </row>
    <row r="68" customFormat="false" ht="15" hidden="false" customHeight="false" outlineLevel="0" collapsed="false">
      <c r="B68" s="2" t="n">
        <v>0</v>
      </c>
      <c r="C68" s="2" t="n">
        <f aca="false">1-C$67</f>
        <v>0.00632007683141844</v>
      </c>
      <c r="D68" s="2" t="n">
        <f aca="false">C68*(1-D$67)</f>
        <v>8.20481875609975E-008</v>
      </c>
      <c r="E68" s="2" t="n">
        <f aca="false">D68*(1-E$67)</f>
        <v>1.0699591596573E-009</v>
      </c>
      <c r="F68" s="2" t="n">
        <f aca="false">E68*(1-F$67)</f>
        <v>7.86733048221626E-011</v>
      </c>
      <c r="G68" s="2" t="n">
        <f aca="false">F68*(1-G$67)</f>
        <v>7.78551298311787E-012</v>
      </c>
      <c r="H68" s="2" t="n">
        <f aca="false">G68*(1-H$67)</f>
        <v>1.48537429844272E-012</v>
      </c>
      <c r="I68" s="2" t="n">
        <f aca="false">H68*(1-I$67)</f>
        <v>9.03615394475537E-013</v>
      </c>
      <c r="J68" s="2" t="n">
        <f aca="false">I68*(1-J$67)</f>
        <v>3.13448648336331E-013</v>
      </c>
      <c r="K68" s="2" t="n">
        <f aca="false">J68*(1-K$67)</f>
        <v>2.62046370581787E-014</v>
      </c>
      <c r="L68" s="2" t="n">
        <f aca="false">K68*(1-L$67)</f>
        <v>6.65140293948041E-015</v>
      </c>
      <c r="M68" s="2" t="n">
        <f aca="false">L68*(1-M$67)</f>
        <v>2.12594915395795E-015</v>
      </c>
      <c r="N68" s="2" t="n">
        <f aca="false">M68*(1-N$67)</f>
        <v>6.01832585593522E-017</v>
      </c>
      <c r="O68" s="2" t="n">
        <f aca="false">N68*(1-O$67)</f>
        <v>6.01832585593522E-017</v>
      </c>
    </row>
    <row r="69" customFormat="false" ht="15" hidden="false" customHeight="false" outlineLevel="0" collapsed="false">
      <c r="B69" s="2" t="n">
        <v>1</v>
      </c>
      <c r="C69" s="2" t="n">
        <f aca="false">C$67</f>
        <v>0.993679923168582</v>
      </c>
      <c r="D69" s="2" t="n">
        <f aca="false">C69*(1-D$67)+C68*D$67</f>
        <v>0.00633289488537939</v>
      </c>
      <c r="E69" s="2" t="n">
        <f aca="false">D69*(1-E$67)+D68*E$67</f>
        <v>8.26658480614012E-005</v>
      </c>
      <c r="F69" s="2" t="n">
        <f aca="false">E69*(1-F$67)+E68*F$67</f>
        <v>6.07934988881334E-006</v>
      </c>
      <c r="G69" s="2" t="n">
        <f aca="false">F69*(1-G$67)+F68*G$67</f>
        <v>6.01683564356802E-007</v>
      </c>
      <c r="H69" s="2" t="n">
        <f aca="false">G69*(1-H$67)+G68*H$67</f>
        <v>1.14799673963756E-007</v>
      </c>
      <c r="I69" s="2" t="n">
        <f aca="false">H69*(1-I$67)+H68*I$67</f>
        <v>6.98380313385684E-008</v>
      </c>
      <c r="J69" s="2" t="n">
        <f aca="false">I69*(1-J$67)+I68*J$67</f>
        <v>2.42262028105525E-008</v>
      </c>
      <c r="K69" s="2" t="n">
        <f aca="false">J69*(1-K$67)+J68*K$67</f>
        <v>2.02562330884309E-009</v>
      </c>
      <c r="L69" s="2" t="n">
        <f aca="false">K69*(1-L$67)+K68*L$67</f>
        <v>5.14174235125195E-010</v>
      </c>
      <c r="M69" s="2" t="n">
        <f aca="false">L69*(1-M$67)+L68*M$67</f>
        <v>1.64347039371124E-010</v>
      </c>
      <c r="N69" s="2" t="n">
        <f aca="false">M69*(1-N$67)+M68*N$67</f>
        <v>4.65454785631703E-012</v>
      </c>
      <c r="O69" s="2" t="n">
        <f aca="false">N69*(1-O$67)+N68*O$67</f>
        <v>4.65454785631703E-012</v>
      </c>
    </row>
    <row r="70" customFormat="false" ht="15" hidden="false" customHeight="false" outlineLevel="0" collapsed="false">
      <c r="B70" s="2" t="n">
        <v>2</v>
      </c>
      <c r="C70" s="2" t="n">
        <f aca="false">0</f>
        <v>0</v>
      </c>
      <c r="D70" s="2" t="n">
        <f aca="false">C70*(1-D$67)+C69*D$67</f>
        <v>0.993667023066433</v>
      </c>
      <c r="E70" s="2" t="n">
        <f aca="false">D70*(1-E$67)+D69*E$67</f>
        <v>0.0192083431492938</v>
      </c>
      <c r="F70" s="2" t="n">
        <f aca="false">E70*(1-F$67)+E69*F$67</f>
        <v>0.00148896273955408</v>
      </c>
      <c r="G70" s="2" t="n">
        <f aca="false">F70*(1-G$67)+F69*G$67</f>
        <v>0.000152825541736044</v>
      </c>
      <c r="H70" s="2" t="n">
        <f aca="false">G70*(1-H$67)+G69*H$67</f>
        <v>2.96440096163858E-005</v>
      </c>
      <c r="I70" s="2" t="n">
        <f aca="false">H70*(1-I$67)+H69*I$67</f>
        <v>1.80786547902448E-005</v>
      </c>
      <c r="J70" s="2" t="n">
        <f aca="false">I70*(1-J$67)+I69*J$67</f>
        <v>6.31678701619084E-006</v>
      </c>
      <c r="K70" s="2" t="n">
        <f aca="false">J70*(1-K$67)+J69*K$67</f>
        <v>5.50290912792062E-007</v>
      </c>
      <c r="L70" s="2" t="n">
        <f aca="false">K70*(1-L$67)+K69*L$67</f>
        <v>1.41189289265651E-007</v>
      </c>
      <c r="M70" s="2" t="n">
        <f aca="false">L70*(1-M$67)+L69*M$67</f>
        <v>4.54773413298321E-008</v>
      </c>
      <c r="N70" s="2" t="n">
        <f aca="false">M70*(1-N$67)+M69*N$67</f>
        <v>1.44710756372523E-009</v>
      </c>
      <c r="O70" s="2" t="n">
        <f aca="false">N70*(1-O$67)+N69*O$67</f>
        <v>1.44710756372523E-009</v>
      </c>
    </row>
    <row r="71" customFormat="false" ht="15" hidden="false" customHeight="false" outlineLevel="0" collapsed="false">
      <c r="B71" s="2" t="n">
        <v>3</v>
      </c>
      <c r="C71" s="2" t="n">
        <f aca="false">0</f>
        <v>0</v>
      </c>
      <c r="D71" s="2" t="n">
        <f aca="false">C71*(1-D$67)+C70*D$67</f>
        <v>0</v>
      </c>
      <c r="E71" s="2" t="n">
        <f aca="false">D71*(1-E$67)+D70*E$67</f>
        <v>0.980708989932686</v>
      </c>
      <c r="F71" s="2" t="n">
        <f aca="false">E71*(1-F$67)+E70*F$67</f>
        <v>0.0899067738214746</v>
      </c>
      <c r="G71" s="2" t="n">
        <f aca="false">F71*(1-G$67)+F70*G$67</f>
        <v>0.010238792401257</v>
      </c>
      <c r="H71" s="2" t="n">
        <f aca="false">G71*(1-H$67)+G70*H$67</f>
        <v>0.00207709642543545</v>
      </c>
      <c r="I71" s="2" t="n">
        <f aca="false">H71*(1-I$67)+H70*I$67</f>
        <v>0.00127519506319925</v>
      </c>
      <c r="J71" s="2" t="n">
        <f aca="false">I71*(1-J$67)+I70*J$67</f>
        <v>0.000454150728624192</v>
      </c>
      <c r="K71" s="2" t="n">
        <f aca="false">J71*(1-K$67)+J70*K$67</f>
        <v>4.37561760978091E-005</v>
      </c>
      <c r="L71" s="2" t="n">
        <f aca="false">K71*(1-L$67)+K70*L$67</f>
        <v>1.151704275463E-005</v>
      </c>
      <c r="M71" s="2" t="n">
        <f aca="false">L71*(1-M$67)+L70*M$67</f>
        <v>3.77718702843286E-006</v>
      </c>
      <c r="N71" s="2" t="n">
        <f aca="false">M71*(1-N$67)+M70*N$67</f>
        <v>1.51117896537486E-007</v>
      </c>
      <c r="O71" s="2" t="n">
        <f aca="false">N71*(1-O$67)+N70*O$67</f>
        <v>1.51117896537486E-007</v>
      </c>
    </row>
    <row r="72" customFormat="false" ht="15" hidden="false" customHeight="false" outlineLevel="0" collapsed="false">
      <c r="B72" s="2" t="n">
        <v>4</v>
      </c>
      <c r="C72" s="2" t="n">
        <f aca="false">0</f>
        <v>0</v>
      </c>
      <c r="D72" s="2" t="n">
        <f aca="false">C72*(1-D$67)+C71*D$67</f>
        <v>0</v>
      </c>
      <c r="E72" s="2" t="n">
        <f aca="false">D72*(1-E$67)+D71*E$67</f>
        <v>0</v>
      </c>
      <c r="F72" s="2" t="n">
        <f aca="false">E72*(1-F$67)+E71*F$67</f>
        <v>0.908598184010409</v>
      </c>
      <c r="G72" s="2" t="n">
        <f aca="false">F72*(1-G$67)+F71*G$67</f>
        <v>0.170924504265124</v>
      </c>
      <c r="H72" s="2" t="n">
        <f aca="false">G72*(1-H$67)+G71*H$67</f>
        <v>0.0408955297347007</v>
      </c>
      <c r="I72" s="2" t="n">
        <f aca="false">H72*(1-I$67)+H71*I$67</f>
        <v>0.0256919751563042</v>
      </c>
      <c r="J72" s="2" t="n">
        <f aca="false">I72*(1-J$67)+I71*J$67</f>
        <v>0.00974495638388953</v>
      </c>
      <c r="K72" s="2" t="n">
        <f aca="false">J72*(1-K$67)+J71*K$67</f>
        <v>0.00123087186449927</v>
      </c>
      <c r="L72" s="2" t="n">
        <f aca="false">K72*(1-L$67)+K71*L$67</f>
        <v>0.000345076311225281</v>
      </c>
      <c r="M72" s="2" t="n">
        <f aca="false">L72*(1-M$67)+L71*M$67</f>
        <v>0.000118130647591418</v>
      </c>
      <c r="N72" s="2" t="n">
        <f aca="false">M72*(1-N$67)+M71*N$67</f>
        <v>7.01440644706573E-006</v>
      </c>
      <c r="O72" s="2" t="n">
        <f aca="false">N72*(1-O$67)+N71*O$67</f>
        <v>7.01440644706573E-006</v>
      </c>
    </row>
    <row r="73" customFormat="false" ht="15" hidden="false" customHeight="false" outlineLevel="0" collapsed="false">
      <c r="B73" s="2" t="n">
        <v>5</v>
      </c>
      <c r="C73" s="2" t="n">
        <f aca="false">0</f>
        <v>0</v>
      </c>
      <c r="D73" s="2" t="n">
        <f aca="false">C73*(1-D$67)+C72*D$67</f>
        <v>0</v>
      </c>
      <c r="E73" s="2" t="n">
        <f aca="false">D73*(1-E$67)+D72*E$67</f>
        <v>0</v>
      </c>
      <c r="F73" s="2" t="n">
        <f aca="false">E73*(1-F$67)+E72*F$67</f>
        <v>0</v>
      </c>
      <c r="G73" s="2" t="n">
        <f aca="false">F73*(1-G$67)+F72*G$67</f>
        <v>0.818683276100533</v>
      </c>
      <c r="H73" s="2" t="n">
        <f aca="false">G73*(1-H$67)+G72*H$67</f>
        <v>0.294508426527086</v>
      </c>
      <c r="I73" s="2" t="n">
        <f aca="false">H73*(1-I$67)+H72*I$67</f>
        <v>0.195178876376283</v>
      </c>
      <c r="J73" s="2" t="n">
        <f aca="false">I73*(1-J$67)+I72*J$67</f>
        <v>0.0844840679237697</v>
      </c>
      <c r="K73" s="2" t="n">
        <f aca="false">J73*(1-K$67)+J72*K$67</f>
        <v>0.0159932248079148</v>
      </c>
      <c r="L73" s="2" t="n">
        <f aca="false">K73*(1-L$67)+K72*L$67</f>
        <v>0.00497793226237779</v>
      </c>
      <c r="M73" s="2" t="n">
        <f aca="false">L73*(1-M$67)+L72*M$67</f>
        <v>0.00182584905637055</v>
      </c>
      <c r="N73" s="2" t="n">
        <f aca="false">M73*(1-N$67)+M72*N$67</f>
        <v>0.000166474258420858</v>
      </c>
      <c r="O73" s="2" t="n">
        <f aca="false">N73*(1-O$67)+N72*O$67</f>
        <v>0.000166474258420858</v>
      </c>
    </row>
    <row r="74" customFormat="false" ht="15" hidden="false" customHeight="false" outlineLevel="0" collapsed="false">
      <c r="B74" s="2" t="n">
        <v>6</v>
      </c>
      <c r="C74" s="2" t="n">
        <f aca="false">0</f>
        <v>0</v>
      </c>
      <c r="D74" s="2" t="n">
        <f aca="false">C74*(1-D$67)+C73*D$67</f>
        <v>0</v>
      </c>
      <c r="E74" s="2" t="n">
        <f aca="false">D74*(1-E$67)+D73*E$67</f>
        <v>0</v>
      </c>
      <c r="F74" s="2" t="n">
        <f aca="false">E74*(1-F$67)+E73*F$67</f>
        <v>0</v>
      </c>
      <c r="G74" s="2" t="n">
        <f aca="false">F74*(1-G$67)+F73*G$67</f>
        <v>0</v>
      </c>
      <c r="H74" s="2" t="n">
        <f aca="false">G74*(1-H$67)+G73*H$67</f>
        <v>0.662489188502002</v>
      </c>
      <c r="I74" s="2" t="n">
        <f aca="false">H74*(1-I$67)+H73*I$67</f>
        <v>0.518366535382196</v>
      </c>
      <c r="J74" s="2" t="n">
        <f aca="false">I74*(1-J$67)+I73*J$67</f>
        <v>0.307287120097809</v>
      </c>
      <c r="K74" s="2" t="n">
        <f aca="false">J74*(1-K$67)+J73*K$67</f>
        <v>0.103110637694173</v>
      </c>
      <c r="L74" s="2" t="n">
        <f aca="false">K74*(1-L$67)+K73*L$67</f>
        <v>0.0381058384978164</v>
      </c>
      <c r="M74" s="2" t="n">
        <f aca="false">L74*(1-M$67)+L73*M$67</f>
        <v>0.0155664118469766</v>
      </c>
      <c r="N74" s="2" t="n">
        <f aca="false">M74*(1-N$67)+M73*N$67</f>
        <v>0.00221482912282157</v>
      </c>
      <c r="O74" s="2" t="n">
        <f aca="false">N74*(1-O$67)+N73*O$67</f>
        <v>0.00221482912282157</v>
      </c>
    </row>
    <row r="75" customFormat="false" ht="15" hidden="false" customHeight="false" outlineLevel="0" collapsed="false">
      <c r="B75" s="2" t="n">
        <v>7</v>
      </c>
      <c r="C75" s="2" t="n">
        <f aca="false">0</f>
        <v>0</v>
      </c>
      <c r="D75" s="2" t="n">
        <f aca="false">C75*(1-D$67)+C74*D$67</f>
        <v>0</v>
      </c>
      <c r="E75" s="2" t="n">
        <f aca="false">D75*(1-E$67)+D74*E$67</f>
        <v>0</v>
      </c>
      <c r="F75" s="2" t="n">
        <f aca="false">E75*(1-F$67)+E74*F$67</f>
        <v>0</v>
      </c>
      <c r="G75" s="2" t="n">
        <f aca="false">F75*(1-G$67)+F74*G$67</f>
        <v>0</v>
      </c>
      <c r="H75" s="2" t="n">
        <f aca="false">G75*(1-H$67)+G74*H$67</f>
        <v>0</v>
      </c>
      <c r="I75" s="2" t="n">
        <f aca="false">H75*(1-I$67)+H74*I$67</f>
        <v>0.259469269528292</v>
      </c>
      <c r="J75" s="2" t="n">
        <f aca="false">I75*(1-J$67)+I74*J$67</f>
        <v>0.428559523974452</v>
      </c>
      <c r="K75" s="2" t="n">
        <f aca="false">J75*(1-K$67)+J74*K$67</f>
        <v>0.317425620760127</v>
      </c>
      <c r="L75" s="2" t="n">
        <f aca="false">K75*(1-L$67)+K74*L$67</f>
        <v>0.15750922772901</v>
      </c>
      <c r="M75" s="2" t="n">
        <f aca="false">L75*(1-M$67)+L74*M$67</f>
        <v>0.0762700478571727</v>
      </c>
      <c r="N75" s="2" t="n">
        <f aca="false">M75*(1-N$67)+M74*N$67</f>
        <v>0.0172848643389813</v>
      </c>
      <c r="O75" s="2" t="n">
        <f aca="false">N75*(1-O$67)+N74*O$67</f>
        <v>0.0172848643389813</v>
      </c>
    </row>
    <row r="76" customFormat="false" ht="15" hidden="false" customHeight="false" outlineLevel="0" collapsed="false">
      <c r="B76" s="2" t="n">
        <v>8</v>
      </c>
      <c r="C76" s="2" t="n">
        <f aca="false">0</f>
        <v>0</v>
      </c>
      <c r="D76" s="2" t="n">
        <f aca="false">C76*(1-D$67)+C75*D$67</f>
        <v>0</v>
      </c>
      <c r="E76" s="2" t="n">
        <f aca="false">D76*(1-E$67)+D75*E$67</f>
        <v>0</v>
      </c>
      <c r="F76" s="2" t="n">
        <f aca="false">E76*(1-F$67)+E75*F$67</f>
        <v>0</v>
      </c>
      <c r="G76" s="2" t="n">
        <f aca="false">F76*(1-G$67)+F75*G$67</f>
        <v>0</v>
      </c>
      <c r="H76" s="2" t="n">
        <f aca="false">G76*(1-H$67)+G75*H$67</f>
        <v>0</v>
      </c>
      <c r="I76" s="2" t="n">
        <f aca="false">H76*(1-I$67)+H75*I$67</f>
        <v>0</v>
      </c>
      <c r="J76" s="2" t="n">
        <f aca="false">I76*(1-J$67)+I75*J$67</f>
        <v>0.169463839877923</v>
      </c>
      <c r="K76" s="2" t="n">
        <f aca="false">J76*(1-K$67)+J75*K$67</f>
        <v>0.406898851959669</v>
      </c>
      <c r="L76" s="2" t="n">
        <f aca="false">K76*(1-L$67)+K75*L$67</f>
        <v>0.34013620101675</v>
      </c>
      <c r="M76" s="2" t="n">
        <f aca="false">L76*(1-M$67)+L75*M$67</f>
        <v>0.215881222762783</v>
      </c>
      <c r="N76" s="2" t="n">
        <f aca="false">M76*(1-N$67)+M75*N$67</f>
        <v>0.0802222851068155</v>
      </c>
      <c r="O76" s="2" t="n">
        <f aca="false">N76*(1-O$67)+N75*O$67</f>
        <v>0.0802222851068155</v>
      </c>
    </row>
    <row r="77" customFormat="false" ht="15" hidden="false" customHeight="false" outlineLevel="0" collapsed="false">
      <c r="B77" s="2" t="n">
        <v>9</v>
      </c>
      <c r="C77" s="2" t="n">
        <f aca="false">0</f>
        <v>0</v>
      </c>
      <c r="D77" s="2" t="n">
        <f aca="false">C77*(1-D$67)+C76*D$67</f>
        <v>0</v>
      </c>
      <c r="E77" s="2" t="n">
        <f aca="false">D77*(1-E$67)+D76*E$67</f>
        <v>0</v>
      </c>
      <c r="F77" s="2" t="n">
        <f aca="false">E77*(1-F$67)+E76*F$67</f>
        <v>0</v>
      </c>
      <c r="G77" s="2" t="n">
        <f aca="false">F77*(1-G$67)+F76*G$67</f>
        <v>0</v>
      </c>
      <c r="H77" s="2" t="n">
        <f aca="false">G77*(1-H$67)+G76*H$67</f>
        <v>0</v>
      </c>
      <c r="I77" s="2" t="n">
        <f aca="false">H77*(1-I$67)+H76*I$67</f>
        <v>0</v>
      </c>
      <c r="J77" s="2" t="n">
        <f aca="false">I77*(1-J$67)+I76*J$67</f>
        <v>0</v>
      </c>
      <c r="K77" s="2" t="n">
        <f aca="false">J77*(1-K$67)+J76*K$67</f>
        <v>0.155296484420957</v>
      </c>
      <c r="L77" s="2" t="n">
        <f aca="false">K77*(1-L$67)+K76*L$67</f>
        <v>0.343035775996749</v>
      </c>
      <c r="M77" s="2" t="n">
        <f aca="false">L77*(1-M$67)+L76*M$67</f>
        <v>0.341062975267484</v>
      </c>
      <c r="N77" s="2" t="n">
        <f aca="false">M77*(1-N$67)+M76*N$67</f>
        <v>0.219424979095749</v>
      </c>
      <c r="O77" s="2" t="n">
        <f aca="false">N77*(1-O$67)+N76*O$67</f>
        <v>0.219424979095749</v>
      </c>
    </row>
    <row r="78" customFormat="false" ht="15" hidden="false" customHeight="false" outlineLevel="0" collapsed="false">
      <c r="B78" s="2" t="n">
        <v>10</v>
      </c>
      <c r="C78" s="2" t="n">
        <f aca="false">0</f>
        <v>0</v>
      </c>
      <c r="D78" s="2" t="n">
        <f aca="false">C78*(1-D$67)+C77*D$67</f>
        <v>0</v>
      </c>
      <c r="E78" s="2" t="n">
        <f aca="false">D78*(1-E$67)+D77*E$67</f>
        <v>0</v>
      </c>
      <c r="F78" s="2" t="n">
        <f aca="false">E78*(1-F$67)+E77*F$67</f>
        <v>0</v>
      </c>
      <c r="G78" s="2" t="n">
        <f aca="false">F78*(1-G$67)+F77*G$67</f>
        <v>0</v>
      </c>
      <c r="H78" s="2" t="n">
        <f aca="false">G78*(1-H$67)+G77*H$67</f>
        <v>0</v>
      </c>
      <c r="I78" s="2" t="n">
        <f aca="false">H78*(1-I$67)+H77*I$67</f>
        <v>0</v>
      </c>
      <c r="J78" s="2" t="n">
        <f aca="false">I78*(1-J$67)+I77*J$67</f>
        <v>0</v>
      </c>
      <c r="K78" s="2" t="n">
        <f aca="false">J78*(1-K$67)+J77*K$67</f>
        <v>0</v>
      </c>
      <c r="L78" s="2" t="n">
        <f aca="false">K78*(1-L$67)+K77*L$67</f>
        <v>0.115878289439847</v>
      </c>
      <c r="M78" s="2" t="n">
        <f aca="false">L78*(1-M$67)+L77*M$67</f>
        <v>0.270430752552088</v>
      </c>
      <c r="N78" s="2" t="n">
        <f aca="false">M78*(1-N$67)+M77*N$67</f>
        <v>0.339063455516793</v>
      </c>
      <c r="O78" s="2" t="n">
        <f aca="false">N78*(1-O$67)+N77*O$67</f>
        <v>0.339063455516793</v>
      </c>
    </row>
    <row r="79" customFormat="false" ht="15" hidden="false" customHeight="false" outlineLevel="0" collapsed="false">
      <c r="B79" s="2" t="n">
        <v>11</v>
      </c>
      <c r="C79" s="2" t="n">
        <f aca="false">0</f>
        <v>0</v>
      </c>
      <c r="D79" s="2" t="n">
        <f aca="false">C79*(1-D$67)+C78*D$67</f>
        <v>0</v>
      </c>
      <c r="E79" s="2" t="n">
        <f aca="false">D79*(1-E$67)+D78*E$67</f>
        <v>0</v>
      </c>
      <c r="F79" s="2" t="n">
        <f aca="false">E79*(1-F$67)+E78*F$67</f>
        <v>0</v>
      </c>
      <c r="G79" s="2" t="n">
        <f aca="false">F79*(1-G$67)+F78*G$67</f>
        <v>0</v>
      </c>
      <c r="H79" s="2" t="n">
        <f aca="false">G79*(1-H$67)+G78*H$67</f>
        <v>0</v>
      </c>
      <c r="I79" s="2" t="n">
        <f aca="false">H79*(1-I$67)+H78*I$67</f>
        <v>0</v>
      </c>
      <c r="J79" s="2" t="n">
        <f aca="false">I79*(1-J$67)+I78*J$67</f>
        <v>0</v>
      </c>
      <c r="K79" s="2" t="n">
        <f aca="false">J79*(1-K$67)+J78*K$67</f>
        <v>0</v>
      </c>
      <c r="L79" s="2" t="n">
        <f aca="false">K79*(1-L$67)+K78*L$67</f>
        <v>0</v>
      </c>
      <c r="M79" s="2" t="n">
        <f aca="false">L79*(1-M$67)+L78*M$67</f>
        <v>0.0788407871808148</v>
      </c>
      <c r="N79" s="2" t="n">
        <f aca="false">M79*(1-N$67)+M78*N$67</f>
        <v>0.265007053494258</v>
      </c>
      <c r="O79" s="2" t="n">
        <f aca="false">N79*(1-O$67)+N78*O$67</f>
        <v>0.265007053494258</v>
      </c>
    </row>
    <row r="80" customFormat="false" ht="15" hidden="false" customHeight="false" outlineLevel="0" collapsed="false">
      <c r="B80" s="2" t="n">
        <v>12</v>
      </c>
      <c r="C80" s="2" t="n">
        <f aca="false">0</f>
        <v>0</v>
      </c>
      <c r="D80" s="2" t="n">
        <f aca="false">C80*(1-D$67)+C79*D$67</f>
        <v>0</v>
      </c>
      <c r="E80" s="2" t="n">
        <f aca="false">D80*(1-E$67)+D79*E$67</f>
        <v>0</v>
      </c>
      <c r="F80" s="2" t="n">
        <f aca="false">E80*(1-F$67)+E79*F$67</f>
        <v>0</v>
      </c>
      <c r="G80" s="2" t="n">
        <f aca="false">F80*(1-G$67)+F79*G$67</f>
        <v>0</v>
      </c>
      <c r="H80" s="2" t="n">
        <f aca="false">G80*(1-H$67)+G79*H$67</f>
        <v>0</v>
      </c>
      <c r="I80" s="2" t="n">
        <f aca="false">H80*(1-I$67)+H79*I$67</f>
        <v>0</v>
      </c>
      <c r="J80" s="2" t="n">
        <f aca="false">I80*(1-J$67)+I79*J$67</f>
        <v>0</v>
      </c>
      <c r="K80" s="2" t="n">
        <f aca="false">J80*(1-K$67)+J79*K$67</f>
        <v>0</v>
      </c>
      <c r="L80" s="2" t="n">
        <f aca="false">K80*(1-L$67)+K79*L$67</f>
        <v>0</v>
      </c>
      <c r="M80" s="2" t="n">
        <f aca="false">L80*(1-M$67)+L79*M$67</f>
        <v>0</v>
      </c>
      <c r="N80" s="2" t="n">
        <f aca="false">M80*(1-N$67)+M79*N$67</f>
        <v>0.076608892090054</v>
      </c>
      <c r="O80" s="2" t="n">
        <f aca="false">N80*(1-O$67)+N79*O$67</f>
        <v>0.076608892090054</v>
      </c>
    </row>
    <row r="81" customFormat="false" ht="15" hidden="false" customHeight="false" outlineLevel="0" collapsed="false">
      <c r="B81" s="2" t="n">
        <v>13</v>
      </c>
      <c r="C81" s="2" t="n">
        <f aca="false">0</f>
        <v>0</v>
      </c>
      <c r="D81" s="2" t="n">
        <f aca="false">C81*(1-D$67)+C80*D$67</f>
        <v>0</v>
      </c>
      <c r="E81" s="2" t="n">
        <f aca="false">D81*(1-E$67)+D80*E$67</f>
        <v>0</v>
      </c>
      <c r="F81" s="2" t="n">
        <f aca="false">E81*(1-F$67)+E80*F$67</f>
        <v>0</v>
      </c>
      <c r="G81" s="2" t="n">
        <f aca="false">F81*(1-G$67)+F80*G$67</f>
        <v>0</v>
      </c>
      <c r="H81" s="2" t="n">
        <f aca="false">G81*(1-H$67)+G80*H$67</f>
        <v>0</v>
      </c>
      <c r="I81" s="2" t="n">
        <f aca="false">H81*(1-I$67)+H80*I$67</f>
        <v>0</v>
      </c>
      <c r="J81" s="2" t="n">
        <f aca="false">I81*(1-J$67)+I80*J$67</f>
        <v>0</v>
      </c>
      <c r="K81" s="2" t="n">
        <f aca="false">J81*(1-K$67)+J80*K$67</f>
        <v>0</v>
      </c>
      <c r="L81" s="2" t="n">
        <f aca="false">K81*(1-L$67)+K80*L$67</f>
        <v>0</v>
      </c>
      <c r="M81" s="2" t="n">
        <f aca="false">L81*(1-M$67)+L80*M$67</f>
        <v>0</v>
      </c>
      <c r="N81" s="2" t="n">
        <f aca="false">M81*(1-N$67)+M80*N$67</f>
        <v>0</v>
      </c>
      <c r="O81" s="2" t="n">
        <f aca="false">N81*(1-O$67)+N80*O$67</f>
        <v>0</v>
      </c>
    </row>
    <row r="83" customFormat="false" ht="15" hidden="false" customHeight="false" outlineLevel="0" collapsed="false">
      <c r="A83" s="1" t="s">
        <v>63</v>
      </c>
      <c r="C83" s="2" t="n">
        <f aca="false">Schedule!G7</f>
        <v>0.956597717694268</v>
      </c>
      <c r="D83" s="2" t="n">
        <f aca="false">Schedule!L7</f>
        <v>0.321861401163654</v>
      </c>
      <c r="E83" s="2" t="n">
        <f aca="false">Schedule!Q7</f>
        <v>0.950528531966352</v>
      </c>
      <c r="F83" s="2" t="n">
        <f aca="false">Schedule!V7</f>
        <v>0.574365688155897</v>
      </c>
      <c r="G83" s="2" t="n">
        <f aca="false">Schedule!AA7</f>
        <v>0.598706325682924</v>
      </c>
      <c r="H83" s="2" t="n">
        <f aca="false">Schedule!AF7</f>
        <v>0.736061463030662</v>
      </c>
      <c r="I83" s="2" t="n">
        <f aca="false">Schedule!AK7</f>
        <v>0.708840313211654</v>
      </c>
      <c r="J83" s="2" t="n">
        <f aca="false">Schedule!AP7</f>
        <v>0.899947065522574</v>
      </c>
      <c r="K83" s="2" t="n">
        <f aca="false">Schedule!AU7</f>
        <v>0.620292847240567</v>
      </c>
      <c r="L83" s="2" t="n">
        <f aca="false">Schedule!AZ7</f>
        <v>0.497506626980399</v>
      </c>
      <c r="M83" s="2" t="n">
        <f aca="false">Schedule!BE7</f>
        <v>0.890885311956782</v>
      </c>
      <c r="N83" s="2" t="n">
        <f aca="false">Schedule!BJ7</f>
        <v>0.48504317007409</v>
      </c>
      <c r="O83" s="2" t="n">
        <f aca="false">Schedule!BO7</f>
        <v>0</v>
      </c>
    </row>
    <row r="84" customFormat="false" ht="15" hidden="false" customHeight="false" outlineLevel="0" collapsed="false">
      <c r="B84" s="2" t="n">
        <v>0</v>
      </c>
      <c r="C84" s="2" t="n">
        <f aca="false">1-C$83</f>
        <v>0.0434022823057325</v>
      </c>
      <c r="D84" s="2" t="n">
        <f aca="false">C84*(1-D$83)</f>
        <v>0.029432762909109</v>
      </c>
      <c r="E84" s="2" t="n">
        <f aca="false">D84*(1-E$83)</f>
        <v>0.00145608198939993</v>
      </c>
      <c r="F84" s="2" t="n">
        <f aca="false">E84*(1-F$83)</f>
        <v>0.000619758455546831</v>
      </c>
      <c r="G84" s="2" t="n">
        <f aca="false">F84*(1-G$83)</f>
        <v>0.000248705147815464</v>
      </c>
      <c r="H84" s="2" t="n">
        <f aca="false">G84*(1-H$83)</f>
        <v>6.56428728511565E-005</v>
      </c>
      <c r="I84" s="2" t="n">
        <f aca="false">H84*(1-I$83)</f>
        <v>1.911255829923E-005</v>
      </c>
      <c r="J84" s="2" t="n">
        <f aca="false">I84*(1-J$83)</f>
        <v>1.91226754320884E-006</v>
      </c>
      <c r="K84" s="2" t="n">
        <f aca="false">J84*(1-K$83)</f>
        <v>7.26101664146104E-007</v>
      </c>
      <c r="L84" s="2" t="n">
        <f aca="false">K84*(1-L$83)</f>
        <v>3.64861274371921E-007</v>
      </c>
      <c r="M84" s="2" t="n">
        <f aca="false">L84*(1-M$83)</f>
        <v>3.9811724132143E-008</v>
      </c>
      <c r="N84" s="2" t="n">
        <f aca="false">M84*(1-N$83)</f>
        <v>2.05013192529732E-008</v>
      </c>
      <c r="O84" s="2" t="n">
        <f aca="false">N84*(1-O$83)</f>
        <v>2.05013192529732E-008</v>
      </c>
    </row>
    <row r="85" customFormat="false" ht="15" hidden="false" customHeight="false" outlineLevel="0" collapsed="false">
      <c r="B85" s="2" t="n">
        <v>1</v>
      </c>
      <c r="C85" s="2" t="n">
        <f aca="false">C$83</f>
        <v>0.956597717694268</v>
      </c>
      <c r="D85" s="2" t="n">
        <f aca="false">C85*(1-D$83)+C84*D$83</f>
        <v>0.662675355323861</v>
      </c>
      <c r="E85" s="2" t="n">
        <f aca="false">D85*(1-E$83)+D84*E$83</f>
        <v>0.0607602035772998</v>
      </c>
      <c r="F85" s="2" t="n">
        <f aca="false">E85*(1-F$83)+E84*F$83</f>
        <v>0.0266979509709847</v>
      </c>
      <c r="G85" s="2" t="n">
        <f aca="false">F85*(1-G$83)+F84*G$83</f>
        <v>0.011084772149615</v>
      </c>
      <c r="H85" s="2" t="n">
        <f aca="false">G85*(1-H$83)+G84*H$83</f>
        <v>0.00310876081877214</v>
      </c>
      <c r="I85" s="2" t="n">
        <f aca="false">H85*(1-I$83)+H84*I$83</f>
        <v>0.000951676140845507</v>
      </c>
      <c r="J85" s="2" t="n">
        <f aca="false">I85*(1-J$83)+I84*J$83</f>
        <v>0.000112418281319766</v>
      </c>
      <c r="K85" s="2" t="n">
        <f aca="false">J85*(1-K$83)+J84*K$83</f>
        <v>4.38721913971001E-005</v>
      </c>
      <c r="L85" s="2" t="n">
        <f aca="false">K85*(1-L$83)+K84*L$83</f>
        <v>2.24067258266645E-005</v>
      </c>
      <c r="M85" s="2" t="n">
        <f aca="false">L85*(1-M$83)+L84*M$83</f>
        <v>2.76995244888619E-006</v>
      </c>
      <c r="N85" s="2" t="n">
        <f aca="false">M85*(1-N$83)+M84*N$83</f>
        <v>1.44571633700311E-006</v>
      </c>
      <c r="O85" s="2" t="n">
        <f aca="false">N85*(1-O$83)+N84*O$83</f>
        <v>1.44571633700311E-006</v>
      </c>
    </row>
    <row r="86" customFormat="false" ht="15" hidden="false" customHeight="false" outlineLevel="0" collapsed="false">
      <c r="B86" s="2" t="n">
        <v>2</v>
      </c>
      <c r="C86" s="2" t="n">
        <f aca="false">0</f>
        <v>0</v>
      </c>
      <c r="D86" s="2" t="n">
        <f aca="false">C86*(1-D$83)+C85*D$83</f>
        <v>0.307891881767031</v>
      </c>
      <c r="E86" s="2" t="n">
        <f aca="false">D86*(1-E$83)+D85*E$83</f>
        <v>0.645123696052927</v>
      </c>
      <c r="F86" s="2" t="n">
        <f aca="false">E86*(1-F$83)+E85*F$83</f>
        <v>0.30948535656398</v>
      </c>
      <c r="G86" s="2" t="n">
        <f aca="false">F86*(1-G$83)+F85*G$83</f>
        <v>0.140178748011991</v>
      </c>
      <c r="H86" s="2" t="n">
        <f aca="false">G86*(1-H$83)+G85*H$83</f>
        <v>0.0451576472702855</v>
      </c>
      <c r="I86" s="2" t="n">
        <f aca="false">H86*(1-I$83)+H85*I$83</f>
        <v>0.0153517014277935</v>
      </c>
      <c r="J86" s="2" t="n">
        <f aca="false">I86*(1-J$83)+I85*J$83</f>
        <v>0.00239244092735379</v>
      </c>
      <c r="K86" s="2" t="n">
        <f aca="false">J86*(1-K$83)+J85*K$83</f>
        <v>0.000978159188472375</v>
      </c>
      <c r="L86" s="2" t="n">
        <f aca="false">K86*(1-L$83)+K85*L$83</f>
        <v>0.000513345215925809</v>
      </c>
      <c r="M86" s="2" t="n">
        <f aca="false">L86*(1-M$83)+L85*M$83</f>
        <v>7.5975326022241E-005</v>
      </c>
      <c r="N86" s="2" t="n">
        <f aca="false">M86*(1-N$83)+M85*N$83</f>
        <v>4.04675595577629E-005</v>
      </c>
      <c r="O86" s="2" t="n">
        <f aca="false">N86*(1-O$83)+N85*O$83</f>
        <v>4.04675595577629E-005</v>
      </c>
    </row>
    <row r="87" customFormat="false" ht="15" hidden="false" customHeight="false" outlineLevel="0" collapsed="false">
      <c r="B87" s="2" t="n">
        <v>3</v>
      </c>
      <c r="C87" s="2" t="n">
        <f aca="false">0</f>
        <v>0</v>
      </c>
      <c r="D87" s="2" t="n">
        <f aca="false">C87*(1-D$83)+C86*D$83</f>
        <v>0</v>
      </c>
      <c r="E87" s="2" t="n">
        <f aca="false">D87*(1-E$83)+D86*E$83</f>
        <v>0.292660018380373</v>
      </c>
      <c r="F87" s="2" t="n">
        <f aca="false">E87*(1-F$83)+E86*F$83</f>
        <v>0.495103061156728</v>
      </c>
      <c r="G87" s="2" t="n">
        <f aca="false">F87*(1-G$83)+F86*G$83</f>
        <v>0.383972567258306</v>
      </c>
      <c r="H87" s="2" t="n">
        <f aca="false">G87*(1-H$83)+G86*H$83</f>
        <v>0.204525331986031</v>
      </c>
      <c r="I87" s="2" t="n">
        <f aca="false">H87*(1-I$83)+H86*I$83</f>
        <v>0.0915590924363058</v>
      </c>
      <c r="J87" s="2" t="n">
        <f aca="false">I87*(1-J$83)+I86*J$83</f>
        <v>0.0229764745270638</v>
      </c>
      <c r="K87" s="2" t="n">
        <f aca="false">J87*(1-K$83)+J86*K$83</f>
        <v>0.0102083457178042</v>
      </c>
      <c r="L87" s="2" t="n">
        <f aca="false">K87*(1-L$83)+K86*L$83</f>
        <v>0.0056162667511964</v>
      </c>
      <c r="M87" s="2" t="n">
        <f aca="false">L87*(1-M$83)+L86*M$83</f>
        <v>0.00107014890735588</v>
      </c>
      <c r="N87" s="2" t="n">
        <f aca="false">M87*(1-N$83)+M86*N$83</f>
        <v>0.000587931801861898</v>
      </c>
      <c r="O87" s="2" t="n">
        <f aca="false">N87*(1-O$83)+N86*O$83</f>
        <v>0.000587931801861898</v>
      </c>
    </row>
    <row r="88" customFormat="false" ht="15" hidden="false" customHeight="false" outlineLevel="0" collapsed="false">
      <c r="B88" s="2" t="n">
        <v>4</v>
      </c>
      <c r="C88" s="2" t="n">
        <f aca="false">0</f>
        <v>0</v>
      </c>
      <c r="D88" s="2" t="n">
        <f aca="false">C88*(1-D$83)+C87*D$83</f>
        <v>0</v>
      </c>
      <c r="E88" s="2" t="n">
        <f aca="false">D88*(1-E$83)+D87*E$83</f>
        <v>0</v>
      </c>
      <c r="F88" s="2" t="n">
        <f aca="false">E88*(1-F$83)+E87*F$83</f>
        <v>0.168093872852761</v>
      </c>
      <c r="G88" s="2" t="n">
        <f aca="false">F88*(1-G$83)+F87*G$83</f>
        <v>0.363876342446784</v>
      </c>
      <c r="H88" s="2" t="n">
        <f aca="false">G88*(1-H$83)+G87*H$83</f>
        <v>0.378668399082946</v>
      </c>
      <c r="I88" s="2" t="n">
        <f aca="false">H88*(1-I$83)+H87*I$83</f>
        <v>0.25522877285833</v>
      </c>
      <c r="J88" s="2" t="n">
        <f aca="false">I88*(1-J$83)+I87*J$83</f>
        <v>0.107934724247512</v>
      </c>
      <c r="K88" s="2" t="n">
        <f aca="false">J88*(1-K$83)+J87*K$83</f>
        <v>0.05523572963184</v>
      </c>
      <c r="L88" s="2" t="n">
        <f aca="false">K88*(1-L$83)+K87*L$83</f>
        <v>0.0328343077390166</v>
      </c>
      <c r="M88" s="2" t="n">
        <f aca="false">L88*(1-M$83)+L87*M$83</f>
        <v>0.0085861548027299</v>
      </c>
      <c r="N88" s="2" t="n">
        <f aca="false">M88*(1-N$83)+M87*N$83</f>
        <v>0.00494056747694213</v>
      </c>
      <c r="O88" s="2" t="n">
        <f aca="false">N88*(1-O$83)+N87*O$83</f>
        <v>0.00494056747694213</v>
      </c>
    </row>
    <row r="89" customFormat="false" ht="15" hidden="false" customHeight="false" outlineLevel="0" collapsed="false">
      <c r="B89" s="2" t="n">
        <v>5</v>
      </c>
      <c r="C89" s="2" t="n">
        <f aca="false">0</f>
        <v>0</v>
      </c>
      <c r="D89" s="2" t="n">
        <f aca="false">C89*(1-D$83)+C88*D$83</f>
        <v>0</v>
      </c>
      <c r="E89" s="2" t="n">
        <f aca="false">D89*(1-E$83)+D88*E$83</f>
        <v>0</v>
      </c>
      <c r="F89" s="2" t="n">
        <f aca="false">E89*(1-F$83)+E88*F$83</f>
        <v>0</v>
      </c>
      <c r="G89" s="2" t="n">
        <f aca="false">F89*(1-G$83)+F88*G$83</f>
        <v>0.100638864985489</v>
      </c>
      <c r="H89" s="2" t="n">
        <f aca="false">G89*(1-H$83)+G88*H$83</f>
        <v>0.294397827770151</v>
      </c>
      <c r="I89" s="2" t="n">
        <f aca="false">H89*(1-I$83)+H88*I$83</f>
        <v>0.354132205934037</v>
      </c>
      <c r="J89" s="2" t="n">
        <f aca="false">I89*(1-J$83)+I88*J$83</f>
        <v>0.265124351567447</v>
      </c>
      <c r="K89" s="2" t="n">
        <f aca="false">J89*(1-K$83)+J88*K$83</f>
        <v>0.167620750080481</v>
      </c>
      <c r="L89" s="2" t="n">
        <f aca="false">K89*(1-L$83)+K88*L$83</f>
        <v>0.111708457633954</v>
      </c>
      <c r="M89" s="2" t="n">
        <f aca="false">L89*(1-M$83)+L88*M$83</f>
        <v>0.0414406359994767</v>
      </c>
      <c r="N89" s="2" t="n">
        <f aca="false">M89*(1-N$83)+M88*N$83</f>
        <v>0.025504794288667</v>
      </c>
      <c r="O89" s="2" t="n">
        <f aca="false">N89*(1-O$83)+N88*O$83</f>
        <v>0.025504794288667</v>
      </c>
    </row>
    <row r="90" customFormat="false" ht="15" hidden="false" customHeight="false" outlineLevel="0" collapsed="false">
      <c r="B90" s="2" t="n">
        <v>6</v>
      </c>
      <c r="C90" s="2" t="n">
        <f aca="false">0</f>
        <v>0</v>
      </c>
      <c r="D90" s="2" t="n">
        <f aca="false">C90*(1-D$83)+C89*D$83</f>
        <v>0</v>
      </c>
      <c r="E90" s="2" t="n">
        <f aca="false">D90*(1-E$83)+D89*E$83</f>
        <v>0</v>
      </c>
      <c r="F90" s="2" t="n">
        <f aca="false">E90*(1-F$83)+E89*F$83</f>
        <v>0</v>
      </c>
      <c r="G90" s="2" t="n">
        <f aca="false">F90*(1-G$83)+F89*G$83</f>
        <v>0</v>
      </c>
      <c r="H90" s="2" t="n">
        <f aca="false">G90*(1-H$83)+G89*H$83</f>
        <v>0.0740763901989642</v>
      </c>
      <c r="I90" s="2" t="n">
        <f aca="false">H90*(1-I$83)+H89*I$83</f>
        <v>0.230249107014166</v>
      </c>
      <c r="J90" s="2" t="n">
        <f aca="false">I90*(1-J$83)+I89*J$83</f>
        <v>0.341737338354947</v>
      </c>
      <c r="K90" s="2" t="n">
        <f aca="false">J90*(1-K$83)+J89*K$83</f>
        <v>0.294214850644924</v>
      </c>
      <c r="L90" s="2" t="n">
        <f aca="false">K90*(1-L$83)+K89*L$83</f>
        <v>0.231233446677491</v>
      </c>
      <c r="M90" s="2" t="n">
        <f aca="false">L90*(1-M$83)+L89*M$83</f>
        <v>0.124750389526809</v>
      </c>
      <c r="N90" s="2" t="n">
        <f aca="false">M90*(1-N$83)+M89*N$83</f>
        <v>0.0843415625778205</v>
      </c>
      <c r="O90" s="2" t="n">
        <f aca="false">N90*(1-O$83)+N89*O$83</f>
        <v>0.0843415625778205</v>
      </c>
    </row>
    <row r="91" customFormat="false" ht="15" hidden="false" customHeight="false" outlineLevel="0" collapsed="false">
      <c r="B91" s="2" t="n">
        <v>7</v>
      </c>
      <c r="C91" s="2" t="n">
        <f aca="false">0</f>
        <v>0</v>
      </c>
      <c r="D91" s="2" t="n">
        <f aca="false">C91*(1-D$83)+C90*D$83</f>
        <v>0</v>
      </c>
      <c r="E91" s="2" t="n">
        <f aca="false">D91*(1-E$83)+D90*E$83</f>
        <v>0</v>
      </c>
      <c r="F91" s="2" t="n">
        <f aca="false">E91*(1-F$83)+E90*F$83</f>
        <v>0</v>
      </c>
      <c r="G91" s="2" t="n">
        <f aca="false">F91*(1-G$83)+F90*G$83</f>
        <v>0</v>
      </c>
      <c r="H91" s="2" t="n">
        <f aca="false">G91*(1-H$83)+G90*H$83</f>
        <v>0</v>
      </c>
      <c r="I91" s="2" t="n">
        <f aca="false">H91*(1-I$83)+H90*I$83</f>
        <v>0.0525083316302224</v>
      </c>
      <c r="J91" s="2" t="n">
        <f aca="false">I91*(1-J$83)+I90*J$83</f>
        <v>0.212465620860709</v>
      </c>
      <c r="K91" s="2" t="n">
        <f aca="false">J91*(1-K$83)+J90*K$83</f>
        <v>0.292651942572888</v>
      </c>
      <c r="L91" s="2" t="n">
        <f aca="false">K91*(1-L$83)+K90*L$83</f>
        <v>0.293429499696087</v>
      </c>
      <c r="M91" s="2" t="n">
        <f aca="false">L91*(1-M$83)+L90*M$83</f>
        <v>0.238019949600134</v>
      </c>
      <c r="N91" s="2" t="n">
        <f aca="false">M91*(1-N$83)+M90*N$83</f>
        <v>0.183079323109271</v>
      </c>
      <c r="O91" s="2" t="n">
        <f aca="false">N91*(1-O$83)+N90*O$83</f>
        <v>0.183079323109271</v>
      </c>
    </row>
    <row r="92" customFormat="false" ht="15" hidden="false" customHeight="false" outlineLevel="0" collapsed="false">
      <c r="B92" s="2" t="n">
        <v>8</v>
      </c>
      <c r="C92" s="2" t="n">
        <f aca="false">0</f>
        <v>0</v>
      </c>
      <c r="D92" s="2" t="n">
        <f aca="false">C92*(1-D$83)+C91*D$83</f>
        <v>0</v>
      </c>
      <c r="E92" s="2" t="n">
        <f aca="false">D92*(1-E$83)+D91*E$83</f>
        <v>0</v>
      </c>
      <c r="F92" s="2" t="n">
        <f aca="false">E92*(1-F$83)+E91*F$83</f>
        <v>0</v>
      </c>
      <c r="G92" s="2" t="n">
        <f aca="false">F92*(1-G$83)+F91*G$83</f>
        <v>0</v>
      </c>
      <c r="H92" s="2" t="n">
        <f aca="false">G92*(1-H$83)+G91*H$83</f>
        <v>0</v>
      </c>
      <c r="I92" s="2" t="n">
        <f aca="false">H92*(1-I$83)+H91*I$83</f>
        <v>0</v>
      </c>
      <c r="J92" s="2" t="n">
        <f aca="false">I92*(1-J$83)+I91*J$83</f>
        <v>0.0472547189661048</v>
      </c>
      <c r="K92" s="2" t="n">
        <f aca="false">J92*(1-K$83)+J91*K$83</f>
        <v>0.149733859697491</v>
      </c>
      <c r="L92" s="2" t="n">
        <f aca="false">K92*(1-L$83)+K91*L$83</f>
        <v>0.220836553043335</v>
      </c>
      <c r="M92" s="2" t="n">
        <f aca="false">L92*(1-M$83)+L91*M$83</f>
        <v>0.285508542967934</v>
      </c>
      <c r="N92" s="2" t="n">
        <f aca="false">M92*(1-N$83)+M91*N$83</f>
        <v>0.262474525098457</v>
      </c>
      <c r="O92" s="2" t="n">
        <f aca="false">N92*(1-O$83)+N91*O$83</f>
        <v>0.262474525098457</v>
      </c>
    </row>
    <row r="93" customFormat="false" ht="15" hidden="false" customHeight="false" outlineLevel="0" collapsed="false">
      <c r="B93" s="2" t="n">
        <v>9</v>
      </c>
      <c r="C93" s="2" t="n">
        <f aca="false">0</f>
        <v>0</v>
      </c>
      <c r="D93" s="2" t="n">
        <f aca="false">C93*(1-D$83)+C92*D$83</f>
        <v>0</v>
      </c>
      <c r="E93" s="2" t="n">
        <f aca="false">D93*(1-E$83)+D92*E$83</f>
        <v>0</v>
      </c>
      <c r="F93" s="2" t="n">
        <f aca="false">E93*(1-F$83)+E92*F$83</f>
        <v>0</v>
      </c>
      <c r="G93" s="2" t="n">
        <f aca="false">F93*(1-G$83)+F92*G$83</f>
        <v>0</v>
      </c>
      <c r="H93" s="2" t="n">
        <f aca="false">G93*(1-H$83)+G92*H$83</f>
        <v>0</v>
      </c>
      <c r="I93" s="2" t="n">
        <f aca="false">H93*(1-I$83)+H92*I$83</f>
        <v>0</v>
      </c>
      <c r="J93" s="2" t="n">
        <f aca="false">I93*(1-J$83)+I92*J$83</f>
        <v>0</v>
      </c>
      <c r="K93" s="2" t="n">
        <f aca="false">J93*(1-K$83)+J92*K$83</f>
        <v>0.029311764173038</v>
      </c>
      <c r="L93" s="2" t="n">
        <f aca="false">K93*(1-L$83)+K92*L$83</f>
        <v>0.08922255473132</v>
      </c>
      <c r="M93" s="2" t="n">
        <f aca="false">L93*(1-M$83)+L92*M$83</f>
        <v>0.206475532675399</v>
      </c>
      <c r="N93" s="2" t="n">
        <f aca="false">M93*(1-N$83)+M92*N$83</f>
        <v>0.244809954528189</v>
      </c>
      <c r="O93" s="2" t="n">
        <f aca="false">N93*(1-O$83)+N92*O$83</f>
        <v>0.244809954528189</v>
      </c>
    </row>
    <row r="94" customFormat="false" ht="15" hidden="false" customHeight="false" outlineLevel="0" collapsed="false">
      <c r="B94" s="2" t="n">
        <v>10</v>
      </c>
      <c r="C94" s="2" t="n">
        <f aca="false">0</f>
        <v>0</v>
      </c>
      <c r="D94" s="2" t="n">
        <f aca="false">C94*(1-D$83)+C93*D$83</f>
        <v>0</v>
      </c>
      <c r="E94" s="2" t="n">
        <f aca="false">D94*(1-E$83)+D93*E$83</f>
        <v>0</v>
      </c>
      <c r="F94" s="2" t="n">
        <f aca="false">E94*(1-F$83)+E93*F$83</f>
        <v>0</v>
      </c>
      <c r="G94" s="2" t="n">
        <f aca="false">F94*(1-G$83)+F93*G$83</f>
        <v>0</v>
      </c>
      <c r="H94" s="2" t="n">
        <f aca="false">G94*(1-H$83)+G93*H$83</f>
        <v>0</v>
      </c>
      <c r="I94" s="2" t="n">
        <f aca="false">H94*(1-I$83)+H93*I$83</f>
        <v>0</v>
      </c>
      <c r="J94" s="2" t="n">
        <f aca="false">I94*(1-J$83)+I93*J$83</f>
        <v>0</v>
      </c>
      <c r="K94" s="2" t="n">
        <f aca="false">J94*(1-K$83)+J93*K$83</f>
        <v>0</v>
      </c>
      <c r="L94" s="2" t="n">
        <f aca="false">K94*(1-L$83)+K93*L$83</f>
        <v>0.014582796924573</v>
      </c>
      <c r="M94" s="2" t="n">
        <f aca="false">L94*(1-M$83)+L93*M$83</f>
        <v>0.0810782608426155</v>
      </c>
      <c r="N94" s="2" t="n">
        <f aca="false">M94*(1-N$83)+M93*N$83</f>
        <v>0.141901351091031</v>
      </c>
      <c r="O94" s="2" t="n">
        <f aca="false">N94*(1-O$83)+N93*O$83</f>
        <v>0.141901351091031</v>
      </c>
    </row>
    <row r="95" customFormat="false" ht="15" hidden="false" customHeight="false" outlineLevel="0" collapsed="false">
      <c r="B95" s="2" t="n">
        <v>11</v>
      </c>
      <c r="C95" s="2" t="n">
        <f aca="false">0</f>
        <v>0</v>
      </c>
      <c r="D95" s="2" t="n">
        <f aca="false">C95*(1-D$83)+C94*D$83</f>
        <v>0</v>
      </c>
      <c r="E95" s="2" t="n">
        <f aca="false">D95*(1-E$83)+D94*E$83</f>
        <v>0</v>
      </c>
      <c r="F95" s="2" t="n">
        <f aca="false">E95*(1-F$83)+E94*F$83</f>
        <v>0</v>
      </c>
      <c r="G95" s="2" t="n">
        <f aca="false">F95*(1-G$83)+F94*G$83</f>
        <v>0</v>
      </c>
      <c r="H95" s="2" t="n">
        <f aca="false">G95*(1-H$83)+G94*H$83</f>
        <v>0</v>
      </c>
      <c r="I95" s="2" t="n">
        <f aca="false">H95*(1-I$83)+H94*I$83</f>
        <v>0</v>
      </c>
      <c r="J95" s="2" t="n">
        <f aca="false">I95*(1-J$83)+I94*J$83</f>
        <v>0</v>
      </c>
      <c r="K95" s="2" t="n">
        <f aca="false">J95*(1-K$83)+J94*K$83</f>
        <v>0</v>
      </c>
      <c r="L95" s="2" t="n">
        <f aca="false">K95*(1-L$83)+K94*L$83</f>
        <v>0</v>
      </c>
      <c r="M95" s="2" t="n">
        <f aca="false">L95*(1-M$83)+L94*M$83</f>
        <v>0.0129915995873507</v>
      </c>
      <c r="N95" s="2" t="n">
        <f aca="false">M95*(1-N$83)+M94*N$83</f>
        <v>0.0460165696023651</v>
      </c>
      <c r="O95" s="2" t="n">
        <f aca="false">N95*(1-O$83)+N94*O$83</f>
        <v>0.0460165696023651</v>
      </c>
    </row>
    <row r="96" customFormat="false" ht="15" hidden="false" customHeight="false" outlineLevel="0" collapsed="false">
      <c r="B96" s="2" t="n">
        <v>12</v>
      </c>
      <c r="C96" s="2" t="n">
        <f aca="false">0</f>
        <v>0</v>
      </c>
      <c r="D96" s="2" t="n">
        <f aca="false">C96*(1-D$83)+C95*D$83</f>
        <v>0</v>
      </c>
      <c r="E96" s="2" t="n">
        <f aca="false">D96*(1-E$83)+D95*E$83</f>
        <v>0</v>
      </c>
      <c r="F96" s="2" t="n">
        <f aca="false">E96*(1-F$83)+E95*F$83</f>
        <v>0</v>
      </c>
      <c r="G96" s="2" t="n">
        <f aca="false">F96*(1-G$83)+F95*G$83</f>
        <v>0</v>
      </c>
      <c r="H96" s="2" t="n">
        <f aca="false">G96*(1-H$83)+G95*H$83</f>
        <v>0</v>
      </c>
      <c r="I96" s="2" t="n">
        <f aca="false">H96*(1-I$83)+H95*I$83</f>
        <v>0</v>
      </c>
      <c r="J96" s="2" t="n">
        <f aca="false">I96*(1-J$83)+I95*J$83</f>
        <v>0</v>
      </c>
      <c r="K96" s="2" t="n">
        <f aca="false">J96*(1-K$83)+J95*K$83</f>
        <v>0</v>
      </c>
      <c r="L96" s="2" t="n">
        <f aca="false">K96*(1-L$83)+K95*L$83</f>
        <v>0</v>
      </c>
      <c r="M96" s="2" t="n">
        <f aca="false">L96*(1-M$83)+L95*M$83</f>
        <v>0</v>
      </c>
      <c r="N96" s="2" t="n">
        <f aca="false">M96*(1-N$83)+M95*N$83</f>
        <v>0.0063014866481818</v>
      </c>
      <c r="O96" s="2" t="n">
        <f aca="false">N96*(1-O$83)+N95*O$83</f>
        <v>0.0063014866481818</v>
      </c>
    </row>
    <row r="97" customFormat="false" ht="15" hidden="false" customHeight="false" outlineLevel="0" collapsed="false">
      <c r="B97" s="2" t="n">
        <v>13</v>
      </c>
      <c r="C97" s="2" t="n">
        <f aca="false">0</f>
        <v>0</v>
      </c>
      <c r="D97" s="2" t="n">
        <f aca="false">C97*(1-D$83)+C96*D$83</f>
        <v>0</v>
      </c>
      <c r="E97" s="2" t="n">
        <f aca="false">D97*(1-E$83)+D96*E$83</f>
        <v>0</v>
      </c>
      <c r="F97" s="2" t="n">
        <f aca="false">E97*(1-F$83)+E96*F$83</f>
        <v>0</v>
      </c>
      <c r="G97" s="2" t="n">
        <f aca="false">F97*(1-G$83)+F96*G$83</f>
        <v>0</v>
      </c>
      <c r="H97" s="2" t="n">
        <f aca="false">G97*(1-H$83)+G96*H$83</f>
        <v>0</v>
      </c>
      <c r="I97" s="2" t="n">
        <f aca="false">H97*(1-I$83)+H96*I$83</f>
        <v>0</v>
      </c>
      <c r="J97" s="2" t="n">
        <f aca="false">I97*(1-J$83)+I96*J$83</f>
        <v>0</v>
      </c>
      <c r="K97" s="2" t="n">
        <f aca="false">J97*(1-K$83)+J96*K$83</f>
        <v>0</v>
      </c>
      <c r="L97" s="2" t="n">
        <f aca="false">K97*(1-L$83)+K96*L$83</f>
        <v>0</v>
      </c>
      <c r="M97" s="2" t="n">
        <f aca="false">L97*(1-M$83)+L96*M$83</f>
        <v>0</v>
      </c>
      <c r="N97" s="2" t="n">
        <f aca="false">M97*(1-N$83)+M96*N$83</f>
        <v>0</v>
      </c>
      <c r="O97" s="2" t="n">
        <f aca="false">N97*(1-O$83)+N96*O$83</f>
        <v>0</v>
      </c>
    </row>
    <row r="99" customFormat="false" ht="15" hidden="false" customHeight="false" outlineLevel="0" collapsed="false">
      <c r="A99" s="1" t="s">
        <v>64</v>
      </c>
      <c r="C99" s="2" t="n">
        <f aca="false">Schedule!G8</f>
        <v>0.913479927923957</v>
      </c>
      <c r="D99" s="2" t="n">
        <f aca="false">Schedule!L8</f>
        <v>0.999939415778547</v>
      </c>
      <c r="E99" s="2" t="n">
        <f aca="false">Schedule!Q8</f>
        <v>0.842852337136804</v>
      </c>
      <c r="F99" s="2" t="n">
        <f aca="false">Schedule!V8</f>
        <v>0.993338191208017</v>
      </c>
      <c r="G99" s="2" t="n">
        <f aca="false">Schedule!AA8</f>
        <v>0.655421741610324</v>
      </c>
      <c r="H99" s="2" t="n">
        <f aca="false">Schedule!AF8</f>
        <v>0.832100748402324</v>
      </c>
      <c r="I99" s="2" t="n">
        <f aca="false">Schedule!AK8</f>
        <v>0.873636334484589</v>
      </c>
      <c r="J99" s="2" t="n">
        <f aca="false">Schedule!AP8</f>
        <v>0.841344746068543</v>
      </c>
      <c r="K99" s="2" t="n">
        <f aca="false">Schedule!AU8</f>
        <v>0.330874388040879</v>
      </c>
      <c r="L99" s="2" t="n">
        <f aca="false">Schedule!AZ8</f>
        <v>0.881248288142535</v>
      </c>
      <c r="M99" s="2" t="n">
        <f aca="false">Schedule!BE8</f>
        <v>0.839827703080392</v>
      </c>
      <c r="N99" s="2" t="n">
        <f aca="false">Schedule!BJ8</f>
        <v>0.954246375038259</v>
      </c>
      <c r="O99" s="2" t="n">
        <f aca="false">Schedule!BO8</f>
        <v>0</v>
      </c>
    </row>
    <row r="100" customFormat="false" ht="15" hidden="false" customHeight="false" outlineLevel="0" collapsed="false">
      <c r="B100" s="2" t="n">
        <v>0</v>
      </c>
      <c r="C100" s="2" t="n">
        <f aca="false">1-C$99</f>
        <v>0.0865200720760435</v>
      </c>
      <c r="D100" s="2" t="n">
        <f aca="false">C100*(1-D$99)</f>
        <v>5.24175120680832E-006</v>
      </c>
      <c r="E100" s="2" t="n">
        <f aca="false">D100*(1-E$99)</f>
        <v>8.23728951460264E-007</v>
      </c>
      <c r="F100" s="2" t="n">
        <f aca="false">E100*(1-F$99)</f>
        <v>5.48752477104872E-009</v>
      </c>
      <c r="G100" s="2" t="n">
        <f aca="false">F100*(1-G$99)</f>
        <v>1.89088172847817E-009</v>
      </c>
      <c r="H100" s="2" t="n">
        <f aca="false">G100*(1-H$99)</f>
        <v>3.17477627071206E-010</v>
      </c>
      <c r="I100" s="2" t="n">
        <f aca="false">H100*(1-I$99)</f>
        <v>4.01176366758523E-011</v>
      </c>
      <c r="J100" s="2" t="n">
        <f aca="false">I100*(1-J$99)</f>
        <v>6.36487383393728E-012</v>
      </c>
      <c r="K100" s="2" t="n">
        <f aca="false">J100*(1-K$99)</f>
        <v>4.25890009917588E-012</v>
      </c>
      <c r="L100" s="2" t="n">
        <f aca="false">K100*(1-L$99)</f>
        <v>5.05751677407062E-013</v>
      </c>
      <c r="M100" s="2" t="n">
        <f aca="false">L100*(1-M$99)</f>
        <v>8.1007407841234E-014</v>
      </c>
      <c r="N100" s="2" t="n">
        <f aca="false">M100*(1-N$99)</f>
        <v>3.70638255749063E-015</v>
      </c>
      <c r="O100" s="2" t="n">
        <f aca="false">N100*(1-O$99)</f>
        <v>3.70638255749063E-015</v>
      </c>
    </row>
    <row r="101" customFormat="false" ht="15" hidden="false" customHeight="false" outlineLevel="0" collapsed="false">
      <c r="B101" s="2" t="n">
        <v>1</v>
      </c>
      <c r="C101" s="2" t="n">
        <f aca="false">C$99</f>
        <v>0.913479927923957</v>
      </c>
      <c r="D101" s="2" t="n">
        <f aca="false">C101*(1-D$99)+C100*D$99</f>
        <v>0.0865701727950832</v>
      </c>
      <c r="E101" s="2" t="n">
        <f aca="false">D101*(1-E$99)+D100*E$99</f>
        <v>0.0136087183506657</v>
      </c>
      <c r="F101" s="2" t="n">
        <f aca="false">E101*(1-F$99)+E100*F$99</f>
        <v>9.1476920982771E-005</v>
      </c>
      <c r="G101" s="2" t="n">
        <f aca="false">F101*(1-G$99)+F100*G$99</f>
        <v>3.15245547581358E-005</v>
      </c>
      <c r="H101" s="2" t="n">
        <f aca="false">G101*(1-H$99)+G100*H$99</f>
        <v>5.29452255494237E-006</v>
      </c>
      <c r="I101" s="2" t="n">
        <f aca="false">H101*(1-I$99)+H100*I$99</f>
        <v>6.69312637186933E-007</v>
      </c>
      <c r="J101" s="2" t="n">
        <f aca="false">I101*(1-J$99)+I100*J$99</f>
        <v>1.06223719175268E-007</v>
      </c>
      <c r="K101" s="2" t="n">
        <f aca="false">J101*(1-K$99)+J100*K$99</f>
        <v>7.10791170714597E-008</v>
      </c>
      <c r="L101" s="2" t="n">
        <f aca="false">K101*(1-L$99)+K100*L$99</f>
        <v>8.44451997797476E-009</v>
      </c>
      <c r="M101" s="2" t="n">
        <f aca="false">L101*(1-M$99)+L100*M$99</f>
        <v>1.3530029055253E-009</v>
      </c>
      <c r="N101" s="2" t="n">
        <f aca="false">M101*(1-N$99)+M100*N$99</f>
        <v>6.19820885368347E-011</v>
      </c>
      <c r="O101" s="2" t="n">
        <f aca="false">N101*(1-O$99)+N100*O$99</f>
        <v>6.19820885368347E-011</v>
      </c>
    </row>
    <row r="102" customFormat="false" ht="15" hidden="false" customHeight="false" outlineLevel="0" collapsed="false">
      <c r="B102" s="2" t="n">
        <v>2</v>
      </c>
      <c r="C102" s="2" t="n">
        <f aca="false">0</f>
        <v>0</v>
      </c>
      <c r="D102" s="2" t="n">
        <f aca="false">C102*(1-D$99)+C101*D$99</f>
        <v>0.91342458545371</v>
      </c>
      <c r="E102" s="2" t="n">
        <f aca="false">D102*(1-E$99)+D101*E$99</f>
        <v>0.216508411272507</v>
      </c>
      <c r="F102" s="2" t="n">
        <f aca="false">E102*(1-F$99)+E101*F$99</f>
        <v>0.014960397308863</v>
      </c>
      <c r="G102" s="2" t="n">
        <f aca="false">F102*(1-G$99)+F101*G$99</f>
        <v>0.00521498361237329</v>
      </c>
      <c r="H102" s="2" t="n">
        <f aca="false">G102*(1-H$99)+G101*H$99</f>
        <v>0.000901823451218917</v>
      </c>
      <c r="I102" s="2" t="n">
        <f aca="false">H102*(1-I$99)+H101*I$99</f>
        <v>0.000118583204221527</v>
      </c>
      <c r="J102" s="2" t="n">
        <f aca="false">I102*(1-J$99)+I101*J$99</f>
        <v>1.93769710485467E-005</v>
      </c>
      <c r="K102" s="2" t="n">
        <f aca="false">J102*(1-K$99)+J101*K$99</f>
        <v>1.30007743188505E-005</v>
      </c>
      <c r="L102" s="2" t="n">
        <f aca="false">K102*(1-L$99)+K101*L$99</f>
        <v>1.60650255607797E-006</v>
      </c>
      <c r="M102" s="2" t="n">
        <f aca="false">L102*(1-M$99)+L101*M$99</f>
        <v>2.64409146230949E-007</v>
      </c>
      <c r="N102" s="2" t="n">
        <f aca="false">M102*(1-N$99)+M101*N$99</f>
        <v>1.33887750311188E-008</v>
      </c>
      <c r="O102" s="2" t="n">
        <f aca="false">N102*(1-O$99)+N101*O$99</f>
        <v>1.33887750311188E-008</v>
      </c>
    </row>
    <row r="103" customFormat="false" ht="15" hidden="false" customHeight="false" outlineLevel="0" collapsed="false">
      <c r="B103" s="2" t="n">
        <v>3</v>
      </c>
      <c r="C103" s="2" t="n">
        <f aca="false">0</f>
        <v>0</v>
      </c>
      <c r="D103" s="2" t="n">
        <f aca="false">C103*(1-D$99)+C102*D$99</f>
        <v>0</v>
      </c>
      <c r="E103" s="2" t="n">
        <f aca="false">D103*(1-E$99)+D102*E$99</f>
        <v>0.769882046647876</v>
      </c>
      <c r="F103" s="2" t="n">
        <f aca="false">E103*(1-F$99)+E102*F$99</f>
        <v>0.220194880621902</v>
      </c>
      <c r="G103" s="2" t="n">
        <f aca="false">F103*(1-G$99)+F102*G$99</f>
        <v>0.085679738130375</v>
      </c>
      <c r="H103" s="2" t="n">
        <f aca="false">G103*(1-H$99)+G102*H$99</f>
        <v>0.0187249556759365</v>
      </c>
      <c r="I103" s="2" t="n">
        <f aca="false">H103*(1-I$99)+H102*I$99</f>
        <v>0.00315401977010008</v>
      </c>
      <c r="J103" s="2" t="n">
        <f aca="false">I103*(1-J$99)+I102*J$99</f>
        <v>0.000600171163373818</v>
      </c>
      <c r="K103" s="2" t="n">
        <f aca="false">J103*(1-K$99)+J102*K$99</f>
        <v>0.000408001240410497</v>
      </c>
      <c r="L103" s="2" t="n">
        <f aca="false">K103*(1-L$99)+K102*L$99</f>
        <v>5.990775585173E-005</v>
      </c>
      <c r="M103" s="2" t="n">
        <f aca="false">L103*(1-M$99)+L102*M$99</f>
        <v>1.09447482097345E-005</v>
      </c>
      <c r="N103" s="2" t="n">
        <f aca="false">M103*(1-N$99)+M102*N$99</f>
        <v>7.53073374206723E-007</v>
      </c>
      <c r="O103" s="2" t="n">
        <f aca="false">N103*(1-O$99)+N102*O$99</f>
        <v>7.53073374206723E-007</v>
      </c>
    </row>
    <row r="104" customFormat="false" ht="15" hidden="false" customHeight="false" outlineLevel="0" collapsed="false">
      <c r="B104" s="2" t="n">
        <v>4</v>
      </c>
      <c r="C104" s="2" t="n">
        <f aca="false">0</f>
        <v>0</v>
      </c>
      <c r="D104" s="2" t="n">
        <f aca="false">C104*(1-D$99)+C103*D$99</f>
        <v>0</v>
      </c>
      <c r="E104" s="2" t="n">
        <f aca="false">D104*(1-E$99)+D103*E$99</f>
        <v>0</v>
      </c>
      <c r="F104" s="2" t="n">
        <f aca="false">E104*(1-F$99)+E103*F$99</f>
        <v>0.764753239660727</v>
      </c>
      <c r="G104" s="2" t="n">
        <f aca="false">F104*(1-G$99)+F103*G$99</f>
        <v>0.40783785157104</v>
      </c>
      <c r="H104" s="2" t="n">
        <f aca="false">G104*(1-H$99)+G103*H$99</f>
        <v>0.139769844273182</v>
      </c>
      <c r="I104" s="2" t="n">
        <f aca="false">H104*(1-I$99)+H103*I$99</f>
        <v>0.0340206314909891</v>
      </c>
      <c r="J104" s="2" t="n">
        <f aca="false">I104*(1-J$99)+I103*J$99</f>
        <v>0.00805116989068141</v>
      </c>
      <c r="K104" s="2" t="n">
        <f aca="false">J104*(1-K$99)+J103*K$99</f>
        <v>0.00558582524649014</v>
      </c>
      <c r="L104" s="2" t="n">
        <f aca="false">K104*(1-L$99)+K103*L$99</f>
        <v>0.00102287670482913</v>
      </c>
      <c r="M104" s="2" t="n">
        <f aca="false">L104*(1-M$99)+L103*M$99</f>
        <v>0.000214148704271702</v>
      </c>
      <c r="N104" s="2" t="n">
        <f aca="false">M104*(1-N$99)+M103*N$99</f>
        <v>2.02420658061358E-005</v>
      </c>
      <c r="O104" s="2" t="n">
        <f aca="false">N104*(1-O$99)+N103*O$99</f>
        <v>2.02420658061358E-005</v>
      </c>
    </row>
    <row r="105" customFormat="false" ht="15" hidden="false" customHeight="false" outlineLevel="0" collapsed="false">
      <c r="B105" s="2" t="n">
        <v>5</v>
      </c>
      <c r="C105" s="2" t="n">
        <f aca="false">0</f>
        <v>0</v>
      </c>
      <c r="D105" s="2" t="n">
        <f aca="false">C105*(1-D$99)+C104*D$99</f>
        <v>0</v>
      </c>
      <c r="E105" s="2" t="n">
        <f aca="false">D105*(1-E$99)+D104*E$99</f>
        <v>0</v>
      </c>
      <c r="F105" s="2" t="n">
        <f aca="false">E105*(1-F$99)+E104*F$99</f>
        <v>0</v>
      </c>
      <c r="G105" s="2" t="n">
        <f aca="false">F105*(1-G$99)+F104*G$99</f>
        <v>0.501235900240572</v>
      </c>
      <c r="H105" s="2" t="n">
        <f aca="false">G105*(1-H$99)+G104*H$99</f>
        <v>0.423519314043338</v>
      </c>
      <c r="I105" s="2" t="n">
        <f aca="false">H105*(1-I$99)+H104*I$99</f>
        <v>0.175625467361393</v>
      </c>
      <c r="J105" s="2" t="n">
        <f aca="false">I105*(1-J$99)+I104*J$99</f>
        <v>0.0564869826839303</v>
      </c>
      <c r="K105" s="2" t="n">
        <f aca="false">J105*(1-K$99)+J104*K$99</f>
        <v>0.0404608127667015</v>
      </c>
      <c r="L105" s="2" t="n">
        <f aca="false">K105*(1-L$99)+K104*L$99</f>
        <v>0.00972728971552296</v>
      </c>
      <c r="M105" s="2" t="n">
        <f aca="false">L105*(1-M$99)+L104*M$99</f>
        <v>0.00241708253008889</v>
      </c>
      <c r="N105" s="2" t="n">
        <f aca="false">M105*(1-N$99)+M104*N$99</f>
        <v>0.000314940912353675</v>
      </c>
      <c r="O105" s="2" t="n">
        <f aca="false">N105*(1-O$99)+N104*O$99</f>
        <v>0.000314940912353675</v>
      </c>
    </row>
    <row r="106" customFormat="false" ht="15" hidden="false" customHeight="false" outlineLevel="0" collapsed="false">
      <c r="B106" s="2" t="n">
        <v>6</v>
      </c>
      <c r="C106" s="2" t="n">
        <f aca="false">0</f>
        <v>0</v>
      </c>
      <c r="D106" s="2" t="n">
        <f aca="false">C106*(1-D$99)+C105*D$99</f>
        <v>0</v>
      </c>
      <c r="E106" s="2" t="n">
        <f aca="false">D106*(1-E$99)+D105*E$99</f>
        <v>0</v>
      </c>
      <c r="F106" s="2" t="n">
        <f aca="false">E106*(1-F$99)+E105*F$99</f>
        <v>0</v>
      </c>
      <c r="G106" s="2" t="n">
        <f aca="false">F106*(1-G$99)+F105*G$99</f>
        <v>0</v>
      </c>
      <c r="H106" s="2" t="n">
        <f aca="false">G106*(1-H$99)+G105*H$99</f>
        <v>0.417078767716292</v>
      </c>
      <c r="I106" s="2" t="n">
        <f aca="false">H106*(1-I$99)+H105*I$99</f>
        <v>0.422705463001531</v>
      </c>
      <c r="J106" s="2" t="n">
        <f aca="false">I106*(1-J$99)+I105*J$99</f>
        <v>0.214826006811063</v>
      </c>
      <c r="K106" s="2" t="n">
        <f aca="false">J106*(1-K$99)+J105*K$99</f>
        <v>0.162435679100008</v>
      </c>
      <c r="L106" s="2" t="n">
        <f aca="false">K106*(1-L$99)+K105*L$99</f>
        <v>0.0549455369473671</v>
      </c>
      <c r="M106" s="2" t="n">
        <f aca="false">L106*(1-M$99)+L105*M$99</f>
        <v>0.0169700002373262</v>
      </c>
      <c r="N106" s="2" t="n">
        <f aca="false">M106*(1-N$99)+M105*N$99</f>
        <v>0.0030829312689649</v>
      </c>
      <c r="O106" s="2" t="n">
        <f aca="false">N106*(1-O$99)+N105*O$99</f>
        <v>0.0030829312689649</v>
      </c>
    </row>
    <row r="107" customFormat="false" ht="15" hidden="false" customHeight="false" outlineLevel="0" collapsed="false">
      <c r="B107" s="2" t="n">
        <v>7</v>
      </c>
      <c r="C107" s="2" t="n">
        <f aca="false">0</f>
        <v>0</v>
      </c>
      <c r="D107" s="2" t="n">
        <f aca="false">C107*(1-D$99)+C106*D$99</f>
        <v>0</v>
      </c>
      <c r="E107" s="2" t="n">
        <f aca="false">D107*(1-E$99)+D106*E$99</f>
        <v>0</v>
      </c>
      <c r="F107" s="2" t="n">
        <f aca="false">E107*(1-F$99)+E106*F$99</f>
        <v>0</v>
      </c>
      <c r="G107" s="2" t="n">
        <f aca="false">F107*(1-G$99)+F106*G$99</f>
        <v>0</v>
      </c>
      <c r="H107" s="2" t="n">
        <f aca="false">G107*(1-H$99)+G106*H$99</f>
        <v>0</v>
      </c>
      <c r="I107" s="2" t="n">
        <f aca="false">H107*(1-I$99)+H106*I$99</f>
        <v>0.364375165819011</v>
      </c>
      <c r="J107" s="2" t="n">
        <f aca="false">I107*(1-J$99)+I106*J$99</f>
        <v>0.413451054890141</v>
      </c>
      <c r="K107" s="2" t="n">
        <f aca="false">J107*(1-K$99)+J106*K$99</f>
        <v>0.347731113657385</v>
      </c>
      <c r="L107" s="2" t="n">
        <f aca="false">K107*(1-L$99)+K106*L$99</f>
        <v>0.184439829153069</v>
      </c>
      <c r="M107" s="2" t="n">
        <f aca="false">L107*(1-M$99)+L106*M$99</f>
        <v>0.0756869351679333</v>
      </c>
      <c r="N107" s="2" t="n">
        <f aca="false">M107*(1-N$99)+M106*N$99</f>
        <v>0.0196565128570441</v>
      </c>
      <c r="O107" s="2" t="n">
        <f aca="false">N107*(1-O$99)+N106*O$99</f>
        <v>0.0196565128570441</v>
      </c>
    </row>
    <row r="108" customFormat="false" ht="15" hidden="false" customHeight="false" outlineLevel="0" collapsed="false">
      <c r="B108" s="2" t="n">
        <v>8</v>
      </c>
      <c r="C108" s="2" t="n">
        <f aca="false">0</f>
        <v>0</v>
      </c>
      <c r="D108" s="2" t="n">
        <f aca="false">C108*(1-D$99)+C107*D$99</f>
        <v>0</v>
      </c>
      <c r="E108" s="2" t="n">
        <f aca="false">D108*(1-E$99)+D107*E$99</f>
        <v>0</v>
      </c>
      <c r="F108" s="2" t="n">
        <f aca="false">E108*(1-F$99)+E107*F$99</f>
        <v>0</v>
      </c>
      <c r="G108" s="2" t="n">
        <f aca="false">F108*(1-G$99)+F107*G$99</f>
        <v>0</v>
      </c>
      <c r="H108" s="2" t="n">
        <f aca="false">G108*(1-H$99)+G107*H$99</f>
        <v>0</v>
      </c>
      <c r="I108" s="2" t="n">
        <f aca="false">H108*(1-I$99)+H107*I$99</f>
        <v>0</v>
      </c>
      <c r="J108" s="2" t="n">
        <f aca="false">I108*(1-J$99)+I107*J$99</f>
        <v>0.306565131359679</v>
      </c>
      <c r="K108" s="2" t="n">
        <f aca="false">J108*(1-K$99)+J107*K$99</f>
        <v>0.341930945898005</v>
      </c>
      <c r="L108" s="2" t="n">
        <f aca="false">K108*(1-L$99)+K107*L$99</f>
        <v>0.347042333806899</v>
      </c>
      <c r="M108" s="2" t="n">
        <f aca="false">L108*(1-M$99)+L107*M$99</f>
        <v>0.210484245808354</v>
      </c>
      <c r="N108" s="2" t="n">
        <f aca="false">M108*(1-N$99)+M107*N$99</f>
        <v>0.0818544007648265</v>
      </c>
      <c r="O108" s="2" t="n">
        <f aca="false">N108*(1-O$99)+N107*O$99</f>
        <v>0.0818544007648265</v>
      </c>
    </row>
    <row r="109" customFormat="false" ht="15" hidden="false" customHeight="false" outlineLevel="0" collapsed="false">
      <c r="B109" s="2" t="n">
        <v>9</v>
      </c>
      <c r="C109" s="2" t="n">
        <f aca="false">0</f>
        <v>0</v>
      </c>
      <c r="D109" s="2" t="n">
        <f aca="false">C109*(1-D$99)+C108*D$99</f>
        <v>0</v>
      </c>
      <c r="E109" s="2" t="n">
        <f aca="false">D109*(1-E$99)+D108*E$99</f>
        <v>0</v>
      </c>
      <c r="F109" s="2" t="n">
        <f aca="false">E109*(1-F$99)+E108*F$99</f>
        <v>0</v>
      </c>
      <c r="G109" s="2" t="n">
        <f aca="false">F109*(1-G$99)+F108*G$99</f>
        <v>0</v>
      </c>
      <c r="H109" s="2" t="n">
        <f aca="false">G109*(1-H$99)+G108*H$99</f>
        <v>0</v>
      </c>
      <c r="I109" s="2" t="n">
        <f aca="false">H109*(1-I$99)+H108*I$99</f>
        <v>0</v>
      </c>
      <c r="J109" s="2" t="n">
        <f aca="false">I109*(1-J$99)+I108*J$99</f>
        <v>0</v>
      </c>
      <c r="K109" s="2" t="n">
        <f aca="false">J109*(1-K$99)+J108*K$99</f>
        <v>0.101434550233305</v>
      </c>
      <c r="L109" s="2" t="n">
        <f aca="false">K109*(1-L$99)+K108*L$99</f>
        <v>0.313371587217271</v>
      </c>
      <c r="M109" s="2" t="n">
        <f aca="false">L109*(1-M$99)+L108*M$99</f>
        <v>0.34164921298664</v>
      </c>
      <c r="N109" s="2" t="n">
        <f aca="false">M109*(1-N$99)+M108*N$99</f>
        <v>0.216485518524749</v>
      </c>
      <c r="O109" s="2" t="n">
        <f aca="false">N109*(1-O$99)+N108*O$99</f>
        <v>0.216485518524749</v>
      </c>
    </row>
    <row r="110" customFormat="false" ht="15" hidden="false" customHeight="false" outlineLevel="0" collapsed="false">
      <c r="B110" s="2" t="n">
        <v>10</v>
      </c>
      <c r="C110" s="2" t="n">
        <f aca="false">0</f>
        <v>0</v>
      </c>
      <c r="D110" s="2" t="n">
        <f aca="false">C110*(1-D$99)+C109*D$99</f>
        <v>0</v>
      </c>
      <c r="E110" s="2" t="n">
        <f aca="false">D110*(1-E$99)+D109*E$99</f>
        <v>0</v>
      </c>
      <c r="F110" s="2" t="n">
        <f aca="false">E110*(1-F$99)+E109*F$99</f>
        <v>0</v>
      </c>
      <c r="G110" s="2" t="n">
        <f aca="false">F110*(1-G$99)+F109*G$99</f>
        <v>0</v>
      </c>
      <c r="H110" s="2" t="n">
        <f aca="false">G110*(1-H$99)+G109*H$99</f>
        <v>0</v>
      </c>
      <c r="I110" s="2" t="n">
        <f aca="false">H110*(1-I$99)+H109*I$99</f>
        <v>0</v>
      </c>
      <c r="J110" s="2" t="n">
        <f aca="false">I110*(1-J$99)+I109*J$99</f>
        <v>0</v>
      </c>
      <c r="K110" s="2" t="n">
        <f aca="false">J110*(1-K$99)+J109*K$99</f>
        <v>0</v>
      </c>
      <c r="L110" s="2" t="n">
        <f aca="false">K110*(1-L$99)+K109*L$99</f>
        <v>0.0893890237516085</v>
      </c>
      <c r="M110" s="2" t="n">
        <f aca="false">L110*(1-M$99)+L109*M$99</f>
        <v>0.277495785557034</v>
      </c>
      <c r="N110" s="2" t="n">
        <f aca="false">M110*(1-N$99)+M109*N$99</f>
        <v>0.338713961128015</v>
      </c>
      <c r="O110" s="2" t="n">
        <f aca="false">N110*(1-O$99)+N109*O$99</f>
        <v>0.338713961128015</v>
      </c>
    </row>
    <row r="111" customFormat="false" ht="15" hidden="false" customHeight="false" outlineLevel="0" collapsed="false">
      <c r="B111" s="2" t="n">
        <v>11</v>
      </c>
      <c r="C111" s="2" t="n">
        <f aca="false">0</f>
        <v>0</v>
      </c>
      <c r="D111" s="2" t="n">
        <f aca="false">C111*(1-D$99)+C110*D$99</f>
        <v>0</v>
      </c>
      <c r="E111" s="2" t="n">
        <f aca="false">D111*(1-E$99)+D110*E$99</f>
        <v>0</v>
      </c>
      <c r="F111" s="2" t="n">
        <f aca="false">E111*(1-F$99)+E110*F$99</f>
        <v>0</v>
      </c>
      <c r="G111" s="2" t="n">
        <f aca="false">F111*(1-G$99)+F110*G$99</f>
        <v>0</v>
      </c>
      <c r="H111" s="2" t="n">
        <f aca="false">G111*(1-H$99)+G110*H$99</f>
        <v>0</v>
      </c>
      <c r="I111" s="2" t="n">
        <f aca="false">H111*(1-I$99)+H110*I$99</f>
        <v>0</v>
      </c>
      <c r="J111" s="2" t="n">
        <f aca="false">I111*(1-J$99)+I110*J$99</f>
        <v>0</v>
      </c>
      <c r="K111" s="2" t="n">
        <f aca="false">J111*(1-K$99)+J110*K$99</f>
        <v>0</v>
      </c>
      <c r="L111" s="2" t="n">
        <f aca="false">K111*(1-L$99)+K110*L$99</f>
        <v>0</v>
      </c>
      <c r="M111" s="2" t="n">
        <f aca="false">L111*(1-M$99)+L110*M$99</f>
        <v>0.0750713784979119</v>
      </c>
      <c r="N111" s="2" t="n">
        <f aca="false">M111*(1-N$99)+M110*N$99</f>
        <v>0.268234135153348</v>
      </c>
      <c r="O111" s="2" t="n">
        <f aca="false">N111*(1-O$99)+N110*O$99</f>
        <v>0.268234135153348</v>
      </c>
    </row>
    <row r="112" customFormat="false" ht="15" hidden="false" customHeight="false" outlineLevel="0" collapsed="false">
      <c r="B112" s="2" t="n">
        <v>12</v>
      </c>
      <c r="C112" s="2" t="n">
        <f aca="false">0</f>
        <v>0</v>
      </c>
      <c r="D112" s="2" t="n">
        <f aca="false">C112*(1-D$99)+C111*D$99</f>
        <v>0</v>
      </c>
      <c r="E112" s="2" t="n">
        <f aca="false">D112*(1-E$99)+D111*E$99</f>
        <v>0</v>
      </c>
      <c r="F112" s="2" t="n">
        <f aca="false">E112*(1-F$99)+E111*F$99</f>
        <v>0</v>
      </c>
      <c r="G112" s="2" t="n">
        <f aca="false">F112*(1-G$99)+F111*G$99</f>
        <v>0</v>
      </c>
      <c r="H112" s="2" t="n">
        <f aca="false">G112*(1-H$99)+G111*H$99</f>
        <v>0</v>
      </c>
      <c r="I112" s="2" t="n">
        <f aca="false">H112*(1-I$99)+H111*I$99</f>
        <v>0</v>
      </c>
      <c r="J112" s="2" t="n">
        <f aca="false">I112*(1-J$99)+I111*J$99</f>
        <v>0</v>
      </c>
      <c r="K112" s="2" t="n">
        <f aca="false">J112*(1-K$99)+J111*K$99</f>
        <v>0</v>
      </c>
      <c r="L112" s="2" t="n">
        <f aca="false">K112*(1-L$99)+K111*L$99</f>
        <v>0</v>
      </c>
      <c r="M112" s="2" t="n">
        <f aca="false">L112*(1-M$99)+L111*M$99</f>
        <v>0</v>
      </c>
      <c r="N112" s="2" t="n">
        <f aca="false">M112*(1-N$99)+M111*N$99</f>
        <v>0.0716365908007575</v>
      </c>
      <c r="O112" s="2" t="n">
        <f aca="false">N112*(1-O$99)+N111*O$99</f>
        <v>0.0716365908007575</v>
      </c>
    </row>
    <row r="113" customFormat="false" ht="15" hidden="false" customHeight="false" outlineLevel="0" collapsed="false">
      <c r="B113" s="2" t="n">
        <v>13</v>
      </c>
      <c r="C113" s="2" t="n">
        <f aca="false">0</f>
        <v>0</v>
      </c>
      <c r="D113" s="2" t="n">
        <f aca="false">C113*(1-D$99)+C112*D$99</f>
        <v>0</v>
      </c>
      <c r="E113" s="2" t="n">
        <f aca="false">D113*(1-E$99)+D112*E$99</f>
        <v>0</v>
      </c>
      <c r="F113" s="2" t="n">
        <f aca="false">E113*(1-F$99)+E112*F$99</f>
        <v>0</v>
      </c>
      <c r="G113" s="2" t="n">
        <f aca="false">F113*(1-G$99)+F112*G$99</f>
        <v>0</v>
      </c>
      <c r="H113" s="2" t="n">
        <f aca="false">G113*(1-H$99)+G112*H$99</f>
        <v>0</v>
      </c>
      <c r="I113" s="2" t="n">
        <f aca="false">H113*(1-I$99)+H112*I$99</f>
        <v>0</v>
      </c>
      <c r="J113" s="2" t="n">
        <f aca="false">I113*(1-J$99)+I112*J$99</f>
        <v>0</v>
      </c>
      <c r="K113" s="2" t="n">
        <f aca="false">J113*(1-K$99)+J112*K$99</f>
        <v>0</v>
      </c>
      <c r="L113" s="2" t="n">
        <f aca="false">K113*(1-L$99)+K112*L$99</f>
        <v>0</v>
      </c>
      <c r="M113" s="2" t="n">
        <f aca="false">L113*(1-M$99)+L112*M$99</f>
        <v>0</v>
      </c>
      <c r="N113" s="2" t="n">
        <f aca="false">M113*(1-N$99)+M112*N$99</f>
        <v>0</v>
      </c>
      <c r="O113" s="2" t="n">
        <f aca="false">N113*(1-O$99)+N112*O$99</f>
        <v>0</v>
      </c>
    </row>
    <row r="115" customFormat="false" ht="15" hidden="false" customHeight="false" outlineLevel="0" collapsed="false">
      <c r="A115" s="1" t="s">
        <v>65</v>
      </c>
      <c r="C115" s="2" t="n">
        <f aca="false">Schedule!G9</f>
        <v>0.999567715405495</v>
      </c>
      <c r="D115" s="2" t="n">
        <f aca="false">Schedule!L9</f>
        <v>0.940175672022986</v>
      </c>
      <c r="E115" s="2" t="n">
        <f aca="false">Schedule!Q9</f>
        <v>0.854572993611396</v>
      </c>
      <c r="F115" s="2" t="n">
        <f aca="false">Schedule!V9</f>
        <v>0.999166010641336</v>
      </c>
      <c r="G115" s="2" t="n">
        <f aca="false">Schedule!AA9</f>
        <v>0.877483787656951</v>
      </c>
      <c r="H115" s="2" t="n">
        <f aca="false">Schedule!AF9</f>
        <v>0.887339478704057</v>
      </c>
      <c r="I115" s="2" t="n">
        <f aca="false">Schedule!AK9</f>
        <v>0.845839165719647</v>
      </c>
      <c r="J115" s="2" t="n">
        <f aca="false">Schedule!AP9</f>
        <v>0.822517046276768</v>
      </c>
      <c r="K115" s="2" t="n">
        <f aca="false">Schedule!AU9</f>
        <v>0.945200708300442</v>
      </c>
      <c r="L115" s="2" t="n">
        <f aca="false">Schedule!AZ9</f>
        <v>0.780830170206623</v>
      </c>
      <c r="M115" s="2" t="n">
        <f aca="false">Schedule!BE9</f>
        <v>0.833665030507882</v>
      </c>
      <c r="N115" s="2" t="n">
        <f aca="false">Schedule!BJ9</f>
        <v>0.824137870333926</v>
      </c>
      <c r="O115" s="2" t="n">
        <f aca="false">Schedule!BO9</f>
        <v>0</v>
      </c>
    </row>
    <row r="116" customFormat="false" ht="15" hidden="false" customHeight="false" outlineLevel="0" collapsed="false">
      <c r="B116" s="2" t="n">
        <v>0</v>
      </c>
      <c r="C116" s="2" t="n">
        <f aca="false">1-C$115</f>
        <v>0.00043228459450495</v>
      </c>
      <c r="D116" s="2" t="n">
        <f aca="false">C116*(1-D$115)</f>
        <v>2.58611353610747E-005</v>
      </c>
      <c r="E116" s="2" t="n">
        <f aca="false">D116*(1-E$115)</f>
        <v>3.76090749737158E-006</v>
      </c>
      <c r="F116" s="2" t="n">
        <f aca="false">E116*(1-F$115)</f>
        <v>3.13655683172784E-009</v>
      </c>
      <c r="G116" s="2" t="n">
        <f aca="false">F116*(1-G$115)</f>
        <v>3.84279062822011E-010</v>
      </c>
      <c r="H116" s="2" t="n">
        <f aca="false">G116*(1-H$115)</f>
        <v>4.3293079540644E-011</v>
      </c>
      <c r="I116" s="2" t="n">
        <f aca="false">H116*(1-I$115)</f>
        <v>6.67409726055139E-012</v>
      </c>
      <c r="J116" s="2" t="n">
        <f aca="false">I116*(1-J$115)</f>
        <v>1.18453849523879E-012</v>
      </c>
      <c r="K116" s="2" t="n">
        <f aca="false">J116*(1-K$115)</f>
        <v>6.49118705299461E-014</v>
      </c>
      <c r="L116" s="2" t="n">
        <f aca="false">K116*(1-L$115)</f>
        <v>1.4226723615618E-014</v>
      </c>
      <c r="M116" s="2" t="n">
        <f aca="false">L116*(1-M$115)</f>
        <v>2.36640163857663E-015</v>
      </c>
      <c r="N116" s="2" t="n">
        <f aca="false">M116*(1-N$115)</f>
        <v>4.16160431805373E-016</v>
      </c>
      <c r="O116" s="2" t="n">
        <f aca="false">N116*(1-O$115)</f>
        <v>4.16160431805373E-016</v>
      </c>
    </row>
    <row r="117" customFormat="false" ht="15" hidden="false" customHeight="false" outlineLevel="0" collapsed="false">
      <c r="B117" s="2" t="n">
        <v>1</v>
      </c>
      <c r="C117" s="2" t="n">
        <f aca="false">C$115</f>
        <v>0.999567715405495</v>
      </c>
      <c r="D117" s="2" t="n">
        <f aca="false">C117*(1-D$115)+C116*D$115</f>
        <v>0.0602048903007969</v>
      </c>
      <c r="E117" s="2" t="n">
        <f aca="false">D117*(1-E$115)+D116*E$115</f>
        <v>0.00877751719426293</v>
      </c>
      <c r="F117" s="2" t="n">
        <f aca="false">E117*(1-F$115)+E116*F$115</f>
        <v>1.10781268760461E-005</v>
      </c>
      <c r="G117" s="2" t="n">
        <f aca="false">F117*(1-G$115)+F116*G$115</f>
        <v>1.36000242247781E-006</v>
      </c>
      <c r="H117" s="2" t="n">
        <f aca="false">G117*(1-H$115)+G116*H$115</f>
        <v>1.53559567863377E-007</v>
      </c>
      <c r="I117" s="2" t="n">
        <f aca="false">H117*(1-I$115)+H116*I$115</f>
        <v>2.37094900758288E-008</v>
      </c>
      <c r="J117" s="2" t="n">
        <f aca="false">I117*(1-J$115)+I116*J$115</f>
        <v>4.21351988869507E-009</v>
      </c>
      <c r="K117" s="2" t="n">
        <f aca="false">J117*(1-K$115)+J116*K$115</f>
        <v>2.32017532087199E-010</v>
      </c>
      <c r="L117" s="2" t="n">
        <f aca="false">K117*(1-L$115)+K116*L$115</f>
        <v>5.09019281635452E-011</v>
      </c>
      <c r="M117" s="2" t="n">
        <f aca="false">L117*(1-M$115)+L116*M$115</f>
        <v>8.47863099015034E-012</v>
      </c>
      <c r="N117" s="2" t="n">
        <f aca="false">M117*(1-N$115)+M116*N$115</f>
        <v>1.49302034378738E-012</v>
      </c>
      <c r="O117" s="2" t="n">
        <f aca="false">N117*(1-O$115)+N116*O$115</f>
        <v>1.49302034378738E-012</v>
      </c>
    </row>
    <row r="118" customFormat="false" ht="15" hidden="false" customHeight="false" outlineLevel="0" collapsed="false">
      <c r="B118" s="2" t="n">
        <v>2</v>
      </c>
      <c r="C118" s="2" t="n">
        <f aca="false">0</f>
        <v>0</v>
      </c>
      <c r="D118" s="2" t="n">
        <f aca="false">C118*(1-D$115)+C117*D$115</f>
        <v>0.939769248563842</v>
      </c>
      <c r="E118" s="2" t="n">
        <f aca="false">D118*(1-E$115)+D117*E$115</f>
        <v>0.188117301849106</v>
      </c>
      <c r="F118" s="2" t="n">
        <f aca="false">E118*(1-F$115)+E117*F$115</f>
        <v>0.00892708466625017</v>
      </c>
      <c r="G118" s="2" t="n">
        <f aca="false">F118*(1-G$115)+F117*G$115</f>
        <v>0.00110343347730602</v>
      </c>
      <c r="H118" s="2" t="n">
        <f aca="false">G118*(1-H$115)+G117*H$115</f>
        <v>0.000125520174609289</v>
      </c>
      <c r="I118" s="2" t="n">
        <f aca="false">H118*(1-I$115)+H117*I$115</f>
        <v>1.94801815335535E-005</v>
      </c>
      <c r="J118" s="2" t="n">
        <f aca="false">I118*(1-J$115)+I117*J$115</f>
        <v>3.47690161738574E-006</v>
      </c>
      <c r="K118" s="2" t="n">
        <f aca="false">J118*(1-K$115)+J117*K$115</f>
        <v>1.94514367925019E-007</v>
      </c>
      <c r="L118" s="2" t="n">
        <f aca="false">K118*(1-L$115)+K117*L$115</f>
        <v>4.28128471995633E-008</v>
      </c>
      <c r="M118" s="2" t="n">
        <f aca="false">L118*(1-M$115)+L117*M$115</f>
        <v>7.16370879030546E-009</v>
      </c>
      <c r="N118" s="2" t="n">
        <f aca="false">M118*(1-N$115)+M117*N$115</f>
        <v>1.26681264505826E-009</v>
      </c>
      <c r="O118" s="2" t="n">
        <f aca="false">N118*(1-O$115)+N117*O$115</f>
        <v>1.26681264505826E-009</v>
      </c>
    </row>
    <row r="119" customFormat="false" ht="15" hidden="false" customHeight="false" outlineLevel="0" collapsed="false">
      <c r="B119" s="2" t="n">
        <v>3</v>
      </c>
      <c r="C119" s="2" t="n">
        <f aca="false">0</f>
        <v>0</v>
      </c>
      <c r="D119" s="2" t="n">
        <f aca="false">C119*(1-D$115)+C118*D$115</f>
        <v>0</v>
      </c>
      <c r="E119" s="2" t="n">
        <f aca="false">D119*(1-E$115)+D118*E$115</f>
        <v>0.803101420049134</v>
      </c>
      <c r="F119" s="2" t="n">
        <f aca="false">E119*(1-F$115)+E118*F$115</f>
        <v>0.188630192059432</v>
      </c>
      <c r="G119" s="2" t="n">
        <f aca="false">F119*(1-G$115)+F118*G$115</f>
        <v>0.030943628730339</v>
      </c>
      <c r="H119" s="2" t="n">
        <f aca="false">G119*(1-H$115)+G118*H$115</f>
        <v>0.00446524543008544</v>
      </c>
      <c r="I119" s="2" t="n">
        <f aca="false">H119*(1-I$115)+H118*I$115</f>
        <v>0.000794535840541012</v>
      </c>
      <c r="J119" s="2" t="n">
        <f aca="false">I119*(1-J$115)+I118*J$115</f>
        <v>0.000157039349194104</v>
      </c>
      <c r="K119" s="2" t="n">
        <f aca="false">J119*(1-K$115)+J118*K$115</f>
        <v>1.18920149762404E-005</v>
      </c>
      <c r="L119" s="2" t="n">
        <f aca="false">K119*(1-L$115)+K118*L$115</f>
        <v>2.75825358525743E-006</v>
      </c>
      <c r="M119" s="2" t="n">
        <f aca="false">L119*(1-M$115)+L118*M$115</f>
        <v>4.94485599522073E-007</v>
      </c>
      <c r="N119" s="2" t="n">
        <f aca="false">M119*(1-N$115)+M118*N$115</f>
        <v>9.28651743272919E-008</v>
      </c>
      <c r="O119" s="2" t="n">
        <f aca="false">N119*(1-O$115)+N118*O$115</f>
        <v>9.28651743272919E-008</v>
      </c>
    </row>
    <row r="120" customFormat="false" ht="15" hidden="false" customHeight="false" outlineLevel="0" collapsed="false">
      <c r="B120" s="2" t="n">
        <v>4</v>
      </c>
      <c r="C120" s="2" t="n">
        <f aca="false">0</f>
        <v>0</v>
      </c>
      <c r="D120" s="2" t="n">
        <f aca="false">C120*(1-D$115)+C119*D$115</f>
        <v>0</v>
      </c>
      <c r="E120" s="2" t="n">
        <f aca="false">D120*(1-E$115)+D119*E$115</f>
        <v>0</v>
      </c>
      <c r="F120" s="2" t="n">
        <f aca="false">E120*(1-F$115)+E119*F$115</f>
        <v>0.802431642010885</v>
      </c>
      <c r="G120" s="2" t="n">
        <f aca="false">F120*(1-G$115)+F119*G$115</f>
        <v>0.263830820838156</v>
      </c>
      <c r="H120" s="2" t="n">
        <f aca="false">G120*(1-H$115)+G119*H$115</f>
        <v>0.057180821196354</v>
      </c>
      <c r="I120" s="2" t="n">
        <f aca="false">H120*(1-I$115)+H119*I$115</f>
        <v>0.0125919225697826</v>
      </c>
      <c r="J120" s="2" t="n">
        <f aca="false">I120*(1-J$115)+I119*J$115</f>
        <v>0.00288837088346207</v>
      </c>
      <c r="K120" s="2" t="n">
        <f aca="false">J120*(1-K$115)+J119*K$115</f>
        <v>0.000306714382668655</v>
      </c>
      <c r="L120" s="2" t="n">
        <f aca="false">K120*(1-L$115)+K119*L$115</f>
        <v>7.65081831226674E-005</v>
      </c>
      <c r="M120" s="2" t="n">
        <f aca="false">L120*(1-M$115)+L119*M$115</f>
        <v>1.50254458649084E-005</v>
      </c>
      <c r="N120" s="2" t="n">
        <f aca="false">M120*(1-N$115)+M119*N$115</f>
        <v>3.04993121788601E-006</v>
      </c>
      <c r="O120" s="2" t="n">
        <f aca="false">N120*(1-O$115)+N119*O$115</f>
        <v>3.04993121788601E-006</v>
      </c>
    </row>
    <row r="121" customFormat="false" ht="15" hidden="false" customHeight="false" outlineLevel="0" collapsed="false">
      <c r="B121" s="2" t="n">
        <v>5</v>
      </c>
      <c r="C121" s="2" t="n">
        <f aca="false">0</f>
        <v>0</v>
      </c>
      <c r="D121" s="2" t="n">
        <f aca="false">C121*(1-D$115)+C120*D$115</f>
        <v>0</v>
      </c>
      <c r="E121" s="2" t="n">
        <f aca="false">D121*(1-E$115)+D120*E$115</f>
        <v>0</v>
      </c>
      <c r="F121" s="2" t="n">
        <f aca="false">E121*(1-F$115)+E120*F$115</f>
        <v>0</v>
      </c>
      <c r="G121" s="2" t="n">
        <f aca="false">F121*(1-G$115)+F120*G$115</f>
        <v>0.704120756567498</v>
      </c>
      <c r="H121" s="2" t="n">
        <f aca="false">G121*(1-H$115)+G120*H$115</f>
        <v>0.31343411451878</v>
      </c>
      <c r="I121" s="2" t="n">
        <f aca="false">H121*(1-I$115)+H120*I$115</f>
        <v>0.0966850426820274</v>
      </c>
      <c r="J121" s="2" t="n">
        <f aca="false">I121*(1-J$115)+I120*J$115</f>
        <v>0.0275170179151063</v>
      </c>
      <c r="K121" s="2" t="n">
        <f aca="false">J121*(1-K$115)+J120*K$115</f>
        <v>0.0042380032963146</v>
      </c>
      <c r="L121" s="2" t="n">
        <f aca="false">K121*(1-L$115)+K120*L$115</f>
        <v>0.00116833430474103</v>
      </c>
      <c r="M121" s="2" t="n">
        <f aca="false">L121*(1-M$115)+L120*M$115</f>
        <v>0.000258117047752755</v>
      </c>
      <c r="N121" s="2" t="n">
        <f aca="false">M121*(1-N$115)+M120*N$115</f>
        <v>5.77760526768426E-005</v>
      </c>
      <c r="O121" s="2" t="n">
        <f aca="false">N121*(1-O$115)+N120*O$115</f>
        <v>5.77760526768426E-005</v>
      </c>
    </row>
    <row r="122" customFormat="false" ht="15" hidden="false" customHeight="false" outlineLevel="0" collapsed="false">
      <c r="B122" s="2" t="n">
        <v>6</v>
      </c>
      <c r="C122" s="2" t="n">
        <f aca="false">0</f>
        <v>0</v>
      </c>
      <c r="D122" s="2" t="n">
        <f aca="false">C122*(1-D$115)+C121*D$115</f>
        <v>0</v>
      </c>
      <c r="E122" s="2" t="n">
        <f aca="false">D122*(1-E$115)+D121*E$115</f>
        <v>0</v>
      </c>
      <c r="F122" s="2" t="n">
        <f aca="false">E122*(1-F$115)+E121*F$115</f>
        <v>0</v>
      </c>
      <c r="G122" s="2" t="n">
        <f aca="false">F122*(1-G$115)+F121*G$115</f>
        <v>0</v>
      </c>
      <c r="H122" s="2" t="n">
        <f aca="false">G122*(1-H$115)+G121*H$115</f>
        <v>0.62479414507731</v>
      </c>
      <c r="I122" s="2" t="n">
        <f aca="false">H122*(1-I$115)+H121*I$115</f>
        <v>0.36143363659124</v>
      </c>
      <c r="J122" s="2" t="n">
        <f aca="false">I122*(1-J$115)+I121*J$115</f>
        <v>0.143673405123107</v>
      </c>
      <c r="K122" s="2" t="n">
        <f aca="false">J122*(1-K$115)+J121*K$115</f>
        <v>0.0338823056604844</v>
      </c>
      <c r="L122" s="2" t="n">
        <f aca="false">K122*(1-L$115)+K121*L$115</f>
        <v>0.0107351399998131</v>
      </c>
      <c r="M122" s="2" t="n">
        <f aca="false">L122*(1-M$115)+L121*M$115</f>
        <v>0.00275962863816787</v>
      </c>
      <c r="N122" s="2" t="n">
        <f aca="false">M122*(1-N$115)+M121*N$115</f>
        <v>0.000698038203427525</v>
      </c>
      <c r="O122" s="2" t="n">
        <f aca="false">N122*(1-O$115)+N121*O$115</f>
        <v>0.000698038203427525</v>
      </c>
    </row>
    <row r="123" customFormat="false" ht="15" hidden="false" customHeight="false" outlineLevel="0" collapsed="false">
      <c r="B123" s="2" t="n">
        <v>7</v>
      </c>
      <c r="C123" s="2" t="n">
        <f aca="false">0</f>
        <v>0</v>
      </c>
      <c r="D123" s="2" t="n">
        <f aca="false">C123*(1-D$115)+C122*D$115</f>
        <v>0</v>
      </c>
      <c r="E123" s="2" t="n">
        <f aca="false">D123*(1-E$115)+D122*E$115</f>
        <v>0</v>
      </c>
      <c r="F123" s="2" t="n">
        <f aca="false">E123*(1-F$115)+E122*F$115</f>
        <v>0</v>
      </c>
      <c r="G123" s="2" t="n">
        <f aca="false">F123*(1-G$115)+F122*G$115</f>
        <v>0</v>
      </c>
      <c r="H123" s="2" t="n">
        <f aca="false">G123*(1-H$115)+G122*H$115</f>
        <v>0</v>
      </c>
      <c r="I123" s="2" t="n">
        <f aca="false">H123*(1-I$115)+H122*I$115</f>
        <v>0.528475358418712</v>
      </c>
      <c r="J123" s="2" t="n">
        <f aca="false">I123*(1-J$115)+I122*J$115</f>
        <v>0.391080694776194</v>
      </c>
      <c r="K123" s="2" t="n">
        <f aca="false">J123*(1-K$115)+J122*K$115</f>
        <v>0.157231149357404</v>
      </c>
      <c r="L123" s="2" t="n">
        <f aca="false">K123*(1-L$115)+K122*L$115</f>
        <v>0.0609166507387481</v>
      </c>
      <c r="M123" s="2" t="n">
        <f aca="false">L123*(1-M$115)+L122*M$115</f>
        <v>0.0190820800576423</v>
      </c>
      <c r="N123" s="2" t="n">
        <f aca="false">M123*(1-N$115)+M122*N$115</f>
        <v>0.00563012970616767</v>
      </c>
      <c r="O123" s="2" t="n">
        <f aca="false">N123*(1-O$115)+N122*O$115</f>
        <v>0.00563012970616767</v>
      </c>
    </row>
    <row r="124" customFormat="false" ht="15" hidden="false" customHeight="false" outlineLevel="0" collapsed="false">
      <c r="B124" s="2" t="n">
        <v>8</v>
      </c>
      <c r="C124" s="2" t="n">
        <f aca="false">0</f>
        <v>0</v>
      </c>
      <c r="D124" s="2" t="n">
        <f aca="false">C124*(1-D$115)+C123*D$115</f>
        <v>0</v>
      </c>
      <c r="E124" s="2" t="n">
        <f aca="false">D124*(1-E$115)+D123*E$115</f>
        <v>0</v>
      </c>
      <c r="F124" s="2" t="n">
        <f aca="false">E124*(1-F$115)+E123*F$115</f>
        <v>0</v>
      </c>
      <c r="G124" s="2" t="n">
        <f aca="false">F124*(1-G$115)+F123*G$115</f>
        <v>0</v>
      </c>
      <c r="H124" s="2" t="n">
        <f aca="false">G124*(1-H$115)+G123*H$115</f>
        <v>0</v>
      </c>
      <c r="I124" s="2" t="n">
        <f aca="false">H124*(1-I$115)+H123*I$115</f>
        <v>0</v>
      </c>
      <c r="J124" s="2" t="n">
        <f aca="false">I124*(1-J$115)+I123*J$115</f>
        <v>0.434679990836615</v>
      </c>
      <c r="K124" s="2" t="n">
        <f aca="false">J124*(1-K$115)+J123*K$115</f>
        <v>0.393469905318904</v>
      </c>
      <c r="L124" s="2" t="n">
        <f aca="false">K124*(1-L$115)+K123*L$115</f>
        <v>0.209007557292085</v>
      </c>
      <c r="M124" s="2" t="n">
        <f aca="false">L124*(1-M$115)+L123*M$115</f>
        <v>0.0855493471623575</v>
      </c>
      <c r="N124" s="2" t="n">
        <f aca="false">M124*(1-N$115)+M123*N$115</f>
        <v>0.0307711552037613</v>
      </c>
      <c r="O124" s="2" t="n">
        <f aca="false">N124*(1-O$115)+N123*O$115</f>
        <v>0.0307711552037613</v>
      </c>
    </row>
    <row r="125" customFormat="false" ht="15" hidden="false" customHeight="false" outlineLevel="0" collapsed="false">
      <c r="B125" s="2" t="n">
        <v>9</v>
      </c>
      <c r="C125" s="2" t="n">
        <f aca="false">0</f>
        <v>0</v>
      </c>
      <c r="D125" s="2" t="n">
        <f aca="false">C125*(1-D$115)+C124*D$115</f>
        <v>0</v>
      </c>
      <c r="E125" s="2" t="n">
        <f aca="false">D125*(1-E$115)+D124*E$115</f>
        <v>0</v>
      </c>
      <c r="F125" s="2" t="n">
        <f aca="false">E125*(1-F$115)+E124*F$115</f>
        <v>0</v>
      </c>
      <c r="G125" s="2" t="n">
        <f aca="false">F125*(1-G$115)+F124*G$115</f>
        <v>0</v>
      </c>
      <c r="H125" s="2" t="n">
        <f aca="false">G125*(1-H$115)+G124*H$115</f>
        <v>0</v>
      </c>
      <c r="I125" s="2" t="n">
        <f aca="false">H125*(1-I$115)+H124*I$115</f>
        <v>0</v>
      </c>
      <c r="J125" s="2" t="n">
        <f aca="false">I125*(1-J$115)+I124*J$115</f>
        <v>0</v>
      </c>
      <c r="K125" s="2" t="n">
        <f aca="false">J125*(1-K$115)+J124*K$115</f>
        <v>0.410859835222798</v>
      </c>
      <c r="L125" s="2" t="n">
        <f aca="false">K125*(1-L$115)+K124*L$115</f>
        <v>0.397281253296059</v>
      </c>
      <c r="M125" s="2" t="n">
        <f aca="false">L125*(1-M$115)+L124*M$115</f>
        <v>0.240324056773074</v>
      </c>
      <c r="N125" s="2" t="n">
        <f aca="false">M125*(1-N$115)+M124*N$115</f>
        <v>0.112768357212946</v>
      </c>
      <c r="O125" s="2" t="n">
        <f aca="false">N125*(1-O$115)+N124*O$115</f>
        <v>0.112768357212946</v>
      </c>
    </row>
    <row r="126" customFormat="false" ht="15" hidden="false" customHeight="false" outlineLevel="0" collapsed="false">
      <c r="B126" s="2" t="n">
        <v>10</v>
      </c>
      <c r="C126" s="2" t="n">
        <f aca="false">0</f>
        <v>0</v>
      </c>
      <c r="D126" s="2" t="n">
        <f aca="false">C126*(1-D$115)+C125*D$115</f>
        <v>0</v>
      </c>
      <c r="E126" s="2" t="n">
        <f aca="false">D126*(1-E$115)+D125*E$115</f>
        <v>0</v>
      </c>
      <c r="F126" s="2" t="n">
        <f aca="false">E126*(1-F$115)+E125*F$115</f>
        <v>0</v>
      </c>
      <c r="G126" s="2" t="n">
        <f aca="false">F126*(1-G$115)+F125*G$115</f>
        <v>0</v>
      </c>
      <c r="H126" s="2" t="n">
        <f aca="false">G126*(1-H$115)+G125*H$115</f>
        <v>0</v>
      </c>
      <c r="I126" s="2" t="n">
        <f aca="false">H126*(1-I$115)+H125*I$115</f>
        <v>0</v>
      </c>
      <c r="J126" s="2" t="n">
        <f aca="false">I126*(1-J$115)+I125*J$115</f>
        <v>0</v>
      </c>
      <c r="K126" s="2" t="n">
        <f aca="false">J126*(1-K$115)+J125*K$115</f>
        <v>0</v>
      </c>
      <c r="L126" s="2" t="n">
        <f aca="false">K126*(1-L$115)+K125*L$115</f>
        <v>0.320811755068082</v>
      </c>
      <c r="M126" s="2" t="n">
        <f aca="false">L126*(1-M$115)+L125*M$115</f>
        <v>0.384561701641231</v>
      </c>
      <c r="N126" s="2" t="n">
        <f aca="false">M126*(1-N$115)+M125*N$115</f>
        <v>0.265689996177607</v>
      </c>
      <c r="O126" s="2" t="n">
        <f aca="false">N126*(1-O$115)+N125*O$115</f>
        <v>0.265689996177607</v>
      </c>
    </row>
    <row r="127" customFormat="false" ht="15" hidden="false" customHeight="false" outlineLevel="0" collapsed="false">
      <c r="B127" s="2" t="n">
        <v>11</v>
      </c>
      <c r="C127" s="2" t="n">
        <f aca="false">0</f>
        <v>0</v>
      </c>
      <c r="D127" s="2" t="n">
        <f aca="false">C127*(1-D$115)+C126*D$115</f>
        <v>0</v>
      </c>
      <c r="E127" s="2" t="n">
        <f aca="false">D127*(1-E$115)+D126*E$115</f>
        <v>0</v>
      </c>
      <c r="F127" s="2" t="n">
        <f aca="false">E127*(1-F$115)+E126*F$115</f>
        <v>0</v>
      </c>
      <c r="G127" s="2" t="n">
        <f aca="false">F127*(1-G$115)+F126*G$115</f>
        <v>0</v>
      </c>
      <c r="H127" s="2" t="n">
        <f aca="false">G127*(1-H$115)+G126*H$115</f>
        <v>0</v>
      </c>
      <c r="I127" s="2" t="n">
        <f aca="false">H127*(1-I$115)+H126*I$115</f>
        <v>0</v>
      </c>
      <c r="J127" s="2" t="n">
        <f aca="false">I127*(1-J$115)+I126*J$115</f>
        <v>0</v>
      </c>
      <c r="K127" s="2" t="n">
        <f aca="false">J127*(1-K$115)+J126*K$115</f>
        <v>0</v>
      </c>
      <c r="L127" s="2" t="n">
        <f aca="false">K127*(1-L$115)+K126*L$115</f>
        <v>0</v>
      </c>
      <c r="M127" s="2" t="n">
        <f aca="false">L127*(1-M$115)+L126*M$115</f>
        <v>0.26744954157612</v>
      </c>
      <c r="N127" s="2" t="n">
        <f aca="false">M127*(1-N$115)+M126*N$115</f>
        <v>0.363966107762387</v>
      </c>
      <c r="O127" s="2" t="n">
        <f aca="false">N127*(1-O$115)+N126*O$115</f>
        <v>0.363966107762387</v>
      </c>
    </row>
    <row r="128" customFormat="false" ht="15" hidden="false" customHeight="false" outlineLevel="0" collapsed="false">
      <c r="B128" s="2" t="n">
        <v>12</v>
      </c>
      <c r="C128" s="2" t="n">
        <f aca="false">0</f>
        <v>0</v>
      </c>
      <c r="D128" s="2" t="n">
        <f aca="false">C128*(1-D$115)+C127*D$115</f>
        <v>0</v>
      </c>
      <c r="E128" s="2" t="n">
        <f aca="false">D128*(1-E$115)+D127*E$115</f>
        <v>0</v>
      </c>
      <c r="F128" s="2" t="n">
        <f aca="false">E128*(1-F$115)+E127*F$115</f>
        <v>0</v>
      </c>
      <c r="G128" s="2" t="n">
        <f aca="false">F128*(1-G$115)+F127*G$115</f>
        <v>0</v>
      </c>
      <c r="H128" s="2" t="n">
        <f aca="false">G128*(1-H$115)+G127*H$115</f>
        <v>0</v>
      </c>
      <c r="I128" s="2" t="n">
        <f aca="false">H128*(1-I$115)+H127*I$115</f>
        <v>0</v>
      </c>
      <c r="J128" s="2" t="n">
        <f aca="false">I128*(1-J$115)+I127*J$115</f>
        <v>0</v>
      </c>
      <c r="K128" s="2" t="n">
        <f aca="false">J128*(1-K$115)+J127*K$115</f>
        <v>0</v>
      </c>
      <c r="L128" s="2" t="n">
        <f aca="false">K128*(1-L$115)+K127*L$115</f>
        <v>0</v>
      </c>
      <c r="M128" s="2" t="n">
        <f aca="false">L128*(1-M$115)+L127*M$115</f>
        <v>0</v>
      </c>
      <c r="N128" s="2" t="n">
        <f aca="false">M128*(1-N$115)+M127*N$115</f>
        <v>0.220415295616328</v>
      </c>
      <c r="O128" s="2" t="n">
        <f aca="false">N128*(1-O$115)+N127*O$115</f>
        <v>0.220415295616328</v>
      </c>
    </row>
    <row r="129" customFormat="false" ht="15" hidden="false" customHeight="false" outlineLevel="0" collapsed="false">
      <c r="B129" s="2" t="n">
        <v>13</v>
      </c>
      <c r="C129" s="2" t="n">
        <f aca="false">0</f>
        <v>0</v>
      </c>
      <c r="D129" s="2" t="n">
        <f aca="false">C129*(1-D$115)+C128*D$115</f>
        <v>0</v>
      </c>
      <c r="E129" s="2" t="n">
        <f aca="false">D129*(1-E$115)+D128*E$115</f>
        <v>0</v>
      </c>
      <c r="F129" s="2" t="n">
        <f aca="false">E129*(1-F$115)+E128*F$115</f>
        <v>0</v>
      </c>
      <c r="G129" s="2" t="n">
        <f aca="false">F129*(1-G$115)+F128*G$115</f>
        <v>0</v>
      </c>
      <c r="H129" s="2" t="n">
        <f aca="false">G129*(1-H$115)+G128*H$115</f>
        <v>0</v>
      </c>
      <c r="I129" s="2" t="n">
        <f aca="false">H129*(1-I$115)+H128*I$115</f>
        <v>0</v>
      </c>
      <c r="J129" s="2" t="n">
        <f aca="false">I129*(1-J$115)+I128*J$115</f>
        <v>0</v>
      </c>
      <c r="K129" s="2" t="n">
        <f aca="false">J129*(1-K$115)+J128*K$115</f>
        <v>0</v>
      </c>
      <c r="L129" s="2" t="n">
        <f aca="false">K129*(1-L$115)+K128*L$115</f>
        <v>0</v>
      </c>
      <c r="M129" s="2" t="n">
        <f aca="false">L129*(1-M$115)+L128*M$115</f>
        <v>0</v>
      </c>
      <c r="N129" s="2" t="n">
        <f aca="false">M129*(1-N$115)+M128*N$115</f>
        <v>0</v>
      </c>
      <c r="O129" s="2" t="n">
        <f aca="false">N129*(1-O$115)+N128*O$115</f>
        <v>0</v>
      </c>
    </row>
    <row r="131" customFormat="false" ht="15" hidden="false" customHeight="false" outlineLevel="0" collapsed="false">
      <c r="A131" s="1" t="s">
        <v>66</v>
      </c>
      <c r="C131" s="2" t="n">
        <f aca="false">Schedule!G10</f>
        <v>0.996049249339223</v>
      </c>
      <c r="D131" s="2" t="n">
        <f aca="false">Schedule!L10</f>
        <v>0.876210543248306</v>
      </c>
      <c r="E131" s="2" t="n">
        <f aca="false">Schedule!Q10</f>
        <v>0.872335337703716</v>
      </c>
      <c r="F131" s="2" t="n">
        <f aca="false">Schedule!V10</f>
        <v>0.450261775169887</v>
      </c>
      <c r="G131" s="2" t="n">
        <f aca="false">Schedule!AA10</f>
        <v>0.867038384922096</v>
      </c>
      <c r="H131" s="2" t="n">
        <f aca="false">Schedule!AF10</f>
        <v>0.574365688155897</v>
      </c>
      <c r="I131" s="2" t="n">
        <f aca="false">Schedule!AK10</f>
        <v>0.999577321390645</v>
      </c>
      <c r="J131" s="2" t="n">
        <f aca="false">Schedule!AP10</f>
        <v>0.519938805838372</v>
      </c>
      <c r="K131" s="2" t="n">
        <f aca="false">Schedule!AU10</f>
        <v>0.641510788235092</v>
      </c>
      <c r="L131" s="2" t="n">
        <f aca="false">Schedule!AZ10</f>
        <v>0.648491124483723</v>
      </c>
      <c r="M131" s="2" t="n">
        <f aca="false">Schedule!BE10</f>
        <v>0.490027481804762</v>
      </c>
      <c r="N131" s="2" t="n">
        <f aca="false">Schedule!BJ10</f>
        <v>0.51495682992591</v>
      </c>
      <c r="O131" s="2" t="n">
        <f aca="false">Schedule!BO10</f>
        <v>0</v>
      </c>
    </row>
    <row r="132" customFormat="false" ht="15" hidden="false" customHeight="false" outlineLevel="0" collapsed="false">
      <c r="B132" s="2" t="n">
        <v>0</v>
      </c>
      <c r="C132" s="2" t="n">
        <f aca="false">1-C$131</f>
        <v>0.00395075066077677</v>
      </c>
      <c r="D132" s="2" t="n">
        <f aca="false">C132*(1-D$131)</f>
        <v>0.000489061278058954</v>
      </c>
      <c r="E132" s="2" t="n">
        <f aca="false">D132*(1-E$131)</f>
        <v>6.24358429055853E-005</v>
      </c>
      <c r="F132" s="2" t="n">
        <f aca="false">E132*(1-F$131)</f>
        <v>3.43233694446883E-005</v>
      </c>
      <c r="G132" s="2" t="n">
        <f aca="false">F132*(1-G$131)</f>
        <v>4.56369063628133E-006</v>
      </c>
      <c r="H132" s="2" t="n">
        <f aca="false">G132*(1-H$131)</f>
        <v>1.94246332344298E-006</v>
      </c>
      <c r="I132" s="2" t="n">
        <f aca="false">H132*(1-I$131)</f>
        <v>8.21037696276334E-010</v>
      </c>
      <c r="J132" s="2" t="n">
        <f aca="false">I132*(1-J$131)</f>
        <v>3.94148336926129E-010</v>
      </c>
      <c r="K132" s="2" t="n">
        <f aca="false">J132*(1-K$131)</f>
        <v>1.41297926623097E-010</v>
      </c>
      <c r="L132" s="2" t="n">
        <f aca="false">K132*(1-L$131)</f>
        <v>4.96674753000664E-011</v>
      </c>
      <c r="M132" s="2" t="n">
        <f aca="false">L132*(1-M$131)</f>
        <v>2.53290474511746E-011</v>
      </c>
      <c r="N132" s="2" t="n">
        <f aca="false">M132*(1-N$131)</f>
        <v>1.22856814706748E-011</v>
      </c>
      <c r="O132" s="2" t="n">
        <f aca="false">N132*(1-O$131)</f>
        <v>1.22856814706748E-011</v>
      </c>
    </row>
    <row r="133" customFormat="false" ht="15" hidden="false" customHeight="false" outlineLevel="0" collapsed="false">
      <c r="B133" s="2" t="n">
        <v>1</v>
      </c>
      <c r="C133" s="2" t="n">
        <f aca="false">C$131</f>
        <v>0.996049249339223</v>
      </c>
      <c r="D133" s="2" t="n">
        <f aca="false">C133*(1-D$131)+C132*D$131</f>
        <v>0.126762084856353</v>
      </c>
      <c r="E133" s="2" t="n">
        <f aca="false">D133*(1-E$131)+D132*E$131</f>
        <v>0.0166096641903126</v>
      </c>
      <c r="F133" s="2" t="n">
        <f aca="false">E133*(1-F$131)+E132*F$131</f>
        <v>0.00915907978046763</v>
      </c>
      <c r="G133" s="2" t="n">
        <f aca="false">F133*(1-G$131)+F132*G$131</f>
        <v>0.00124756571904676</v>
      </c>
      <c r="H133" s="2" t="n">
        <f aca="false">G133*(1-H$131)+G132*H$131</f>
        <v>0.000533628003619598</v>
      </c>
      <c r="I133" s="2" t="n">
        <f aca="false">H133*(1-I$131)+H132*I$131</f>
        <v>2.16719542822962E-006</v>
      </c>
      <c r="J133" s="2" t="n">
        <f aca="false">I133*(1-J$131)+I132*J$131</f>
        <v>1.04081331461688E-006</v>
      </c>
      <c r="K133" s="2" t="n">
        <f aca="false">J133*(1-K$131)+J132*K$131</f>
        <v>3.7337319516173E-007</v>
      </c>
      <c r="L133" s="2" t="n">
        <f aca="false">K133*(1-L$131)+K132*L$131</f>
        <v>1.31335622430542E-007</v>
      </c>
      <c r="M133" s="2" t="n">
        <f aca="false">L133*(1-M$131)+L132*M$131</f>
        <v>6.70018965274915E-008</v>
      </c>
      <c r="N133" s="2" t="n">
        <f aca="false">M133*(1-N$131)+M132*N$131</f>
        <v>3.25118556586512E-008</v>
      </c>
      <c r="O133" s="2" t="n">
        <f aca="false">N133*(1-O$131)+N132*O$131</f>
        <v>3.25118556586512E-008</v>
      </c>
    </row>
    <row r="134" customFormat="false" ht="15" hidden="false" customHeight="false" outlineLevel="0" collapsed="false">
      <c r="B134" s="2" t="n">
        <v>2</v>
      </c>
      <c r="C134" s="2" t="n">
        <f aca="false">0</f>
        <v>0</v>
      </c>
      <c r="D134" s="2" t="n">
        <f aca="false">C134*(1-D$131)+C133*D$131</f>
        <v>0.872748853865588</v>
      </c>
      <c r="E134" s="2" t="n">
        <f aca="false">D134*(1-E$131)+D133*E$131</f>
        <v>0.221998233799413</v>
      </c>
      <c r="F134" s="2" t="n">
        <f aca="false">E134*(1-F$131)+E133*F$131</f>
        <v>0.129519611847616</v>
      </c>
      <c r="G134" s="2" t="n">
        <f aca="false">F134*(1-G$131)+F133*G$131</f>
        <v>0.0251624105157515</v>
      </c>
      <c r="H134" s="2" t="n">
        <f aca="false">G134*(1-H$131)+G133*H$131</f>
        <v>0.0114265442269507</v>
      </c>
      <c r="I134" s="2" t="n">
        <f aca="false">H134*(1-I$131)+H133*I$131</f>
        <v>0.000538232206300698</v>
      </c>
      <c r="J134" s="2" t="n">
        <f aca="false">I134*(1-J$131)+I133*J$131</f>
        <v>0.000259511204695933</v>
      </c>
      <c r="K134" s="2" t="n">
        <f aca="false">J134*(1-K$131)+J133*K$131</f>
        <v>9.36996601854721E-005</v>
      </c>
      <c r="L134" s="2" t="n">
        <f aca="false">K134*(1-L$131)+K133*L$131</f>
        <v>3.31783913912351E-005</v>
      </c>
      <c r="M134" s="2" t="n">
        <f aca="false">L134*(1-M$131)+L133*M$131</f>
        <v>1.69844258717863E-005</v>
      </c>
      <c r="N134" s="2" t="n">
        <f aca="false">M134*(1-N$131)+M133*N$131</f>
        <v>8.27268285097442E-006</v>
      </c>
      <c r="O134" s="2" t="n">
        <f aca="false">N134*(1-O$131)+N133*O$131</f>
        <v>8.27268285097442E-006</v>
      </c>
    </row>
    <row r="135" customFormat="false" ht="15" hidden="false" customHeight="false" outlineLevel="0" collapsed="false">
      <c r="B135" s="2" t="n">
        <v>3</v>
      </c>
      <c r="C135" s="2" t="n">
        <f aca="false">0</f>
        <v>0</v>
      </c>
      <c r="D135" s="2" t="n">
        <f aca="false">C135*(1-D$131)+C134*D$131</f>
        <v>0</v>
      </c>
      <c r="E135" s="2" t="n">
        <f aca="false">D135*(1-E$131)+D134*E$131</f>
        <v>0.761329666167369</v>
      </c>
      <c r="F135" s="2" t="n">
        <f aca="false">E135*(1-F$131)+E134*F$131</f>
        <v>0.518489338024455</v>
      </c>
      <c r="G135" s="2" t="n">
        <f aca="false">F135*(1-G$131)+F134*G$131</f>
        <v>0.181237654856498</v>
      </c>
      <c r="H135" s="2" t="n">
        <f aca="false">G135*(1-H$131)+G134*H$131</f>
        <v>0.0915933897366254</v>
      </c>
      <c r="I135" s="2" t="n">
        <f aca="false">H135*(1-I$131)+H134*I$131</f>
        <v>0.0114604290377271</v>
      </c>
      <c r="J135" s="2" t="n">
        <f aca="false">I135*(1-J$131)+I134*J$131</f>
        <v>0.00578155506006361</v>
      </c>
      <c r="K135" s="2" t="n">
        <f aca="false">J135*(1-K$131)+J134*K$131</f>
        <v>0.00223910435373794</v>
      </c>
      <c r="L135" s="2" t="n">
        <f aca="false">K135*(1-L$131)+K134*L$131</f>
        <v>0.000847828451543445</v>
      </c>
      <c r="M135" s="2" t="n">
        <f aca="false">L135*(1-M$131)+L134*M$131</f>
        <v>0.00044862753401496</v>
      </c>
      <c r="N135" s="2" t="n">
        <f aca="false">M135*(1-N$131)+M134*N$131</f>
        <v>0.000226349967386184</v>
      </c>
      <c r="O135" s="2" t="n">
        <f aca="false">N135*(1-O$131)+N134*O$131</f>
        <v>0.000226349967386184</v>
      </c>
    </row>
    <row r="136" customFormat="false" ht="15" hidden="false" customHeight="false" outlineLevel="0" collapsed="false">
      <c r="B136" s="2" t="n">
        <v>4</v>
      </c>
      <c r="C136" s="2" t="n">
        <f aca="false">0</f>
        <v>0</v>
      </c>
      <c r="D136" s="2" t="n">
        <f aca="false">C136*(1-D$131)+C135*D$131</f>
        <v>0</v>
      </c>
      <c r="E136" s="2" t="n">
        <f aca="false">D136*(1-E$131)+D135*E$131</f>
        <v>0</v>
      </c>
      <c r="F136" s="2" t="n">
        <f aca="false">E136*(1-F$131)+E135*F$131</f>
        <v>0.342797646978017</v>
      </c>
      <c r="G136" s="2" t="n">
        <f aca="false">F136*(1-G$131)+F135*G$131</f>
        <v>0.495129087027153</v>
      </c>
      <c r="H136" s="2" t="n">
        <f aca="false">G136*(1-H$131)+G135*H$131</f>
        <v>0.314840618582215</v>
      </c>
      <c r="I136" s="2" t="n">
        <f aca="false">H136*(1-I$131)+H135*I$131</f>
        <v>0.0916877515648563</v>
      </c>
      <c r="J136" s="2" t="n">
        <f aca="false">I136*(1-J$131)+I135*J$131</f>
        <v>0.0499744532944908</v>
      </c>
      <c r="K136" s="2" t="n">
        <f aca="false">J136*(1-K$131)+J135*K$131</f>
        <v>0.0216242323137302</v>
      </c>
      <c r="L136" s="2" t="n">
        <f aca="false">K136*(1-L$131)+K135*L$131</f>
        <v>0.00905314888469397</v>
      </c>
      <c r="M136" s="2" t="n">
        <f aca="false">L136*(1-M$131)+L135*M$131</f>
        <v>0.00503231637543606</v>
      </c>
      <c r="N136" s="2" t="n">
        <f aca="false">M136*(1-N$131)+M135*N$131</f>
        <v>0.00267191450029108</v>
      </c>
      <c r="O136" s="2" t="n">
        <f aca="false">N136*(1-O$131)+N135*O$131</f>
        <v>0.00267191450029108</v>
      </c>
    </row>
    <row r="137" customFormat="false" ht="15" hidden="false" customHeight="false" outlineLevel="0" collapsed="false">
      <c r="B137" s="2" t="n">
        <v>5</v>
      </c>
      <c r="C137" s="2" t="n">
        <f aca="false">0</f>
        <v>0</v>
      </c>
      <c r="D137" s="2" t="n">
        <f aca="false">C137*(1-D$131)+C136*D$131</f>
        <v>0</v>
      </c>
      <c r="E137" s="2" t="n">
        <f aca="false">D137*(1-E$131)+D136*E$131</f>
        <v>0</v>
      </c>
      <c r="F137" s="2" t="n">
        <f aca="false">E137*(1-F$131)+E136*F$131</f>
        <v>0</v>
      </c>
      <c r="G137" s="2" t="n">
        <f aca="false">F137*(1-G$131)+F136*G$131</f>
        <v>0.297218718190915</v>
      </c>
      <c r="H137" s="2" t="n">
        <f aca="false">G137*(1-H$131)+G136*H$131</f>
        <v>0.410891643380728</v>
      </c>
      <c r="I137" s="2" t="n">
        <f aca="false">H137*(1-I$131)+H136*I$131</f>
        <v>0.314881217295804</v>
      </c>
      <c r="J137" s="2" t="n">
        <f aca="false">I137*(1-J$131)+I136*J$131</f>
        <v>0.198834273252727</v>
      </c>
      <c r="K137" s="2" t="n">
        <f aca="false">J137*(1-K$131)+J136*K$131</f>
        <v>0.103339092814785</v>
      </c>
      <c r="L137" s="2" t="n">
        <f aca="false">K137*(1-L$131)+K136*L$131</f>
        <v>0.0503477310414254</v>
      </c>
      <c r="M137" s="2" t="n">
        <f aca="false">L137*(1-M$131)+L136*M$131</f>
        <v>0.0301122509349825</v>
      </c>
      <c r="N137" s="2" t="n">
        <f aca="false">M137*(1-N$131)+M136*N$131</f>
        <v>0.0171971673394492</v>
      </c>
      <c r="O137" s="2" t="n">
        <f aca="false">N137*(1-O$131)+N136*O$131</f>
        <v>0.0171971673394492</v>
      </c>
    </row>
    <row r="138" customFormat="false" ht="15" hidden="false" customHeight="false" outlineLevel="0" collapsed="false">
      <c r="B138" s="2" t="n">
        <v>6</v>
      </c>
      <c r="C138" s="2" t="n">
        <f aca="false">0</f>
        <v>0</v>
      </c>
      <c r="D138" s="2" t="n">
        <f aca="false">C138*(1-D$131)+C137*D$131</f>
        <v>0</v>
      </c>
      <c r="E138" s="2" t="n">
        <f aca="false">D138*(1-E$131)+D137*E$131</f>
        <v>0</v>
      </c>
      <c r="F138" s="2" t="n">
        <f aca="false">E138*(1-F$131)+E137*F$131</f>
        <v>0</v>
      </c>
      <c r="G138" s="2" t="n">
        <f aca="false">F138*(1-G$131)+F137*G$131</f>
        <v>0</v>
      </c>
      <c r="H138" s="2" t="n">
        <f aca="false">G138*(1-H$131)+G137*H$131</f>
        <v>0.170712233606538</v>
      </c>
      <c r="I138" s="2" t="n">
        <f aca="false">H138*(1-I$131)+H137*I$131</f>
        <v>0.410790124681809</v>
      </c>
      <c r="J138" s="2" t="n">
        <f aca="false">I138*(1-J$131)+I137*J$131</f>
        <v>0.360923361906266</v>
      </c>
      <c r="K138" s="2" t="n">
        <f aca="false">J138*(1-K$131)+J137*K$131</f>
        <v>0.256941462879827</v>
      </c>
      <c r="L138" s="2" t="n">
        <f aca="false">K138*(1-L$131)+K137*L$131</f>
        <v>0.157331689192983</v>
      </c>
      <c r="M138" s="2" t="n">
        <f aca="false">L138*(1-M$131)+L137*M$131</f>
        <v>0.104906609586469</v>
      </c>
      <c r="N138" s="2" t="n">
        <f aca="false">M138*(1-N$131)+M137*N$131</f>
        <v>0.0663907437589581</v>
      </c>
      <c r="O138" s="2" t="n">
        <f aca="false">N138*(1-O$131)+N137*O$131</f>
        <v>0.0663907437589581</v>
      </c>
    </row>
    <row r="139" customFormat="false" ht="15" hidden="false" customHeight="false" outlineLevel="0" collapsed="false">
      <c r="B139" s="2" t="n">
        <v>7</v>
      </c>
      <c r="C139" s="2" t="n">
        <f aca="false">0</f>
        <v>0</v>
      </c>
      <c r="D139" s="2" t="n">
        <f aca="false">C139*(1-D$131)+C138*D$131</f>
        <v>0</v>
      </c>
      <c r="E139" s="2" t="n">
        <f aca="false">D139*(1-E$131)+D138*E$131</f>
        <v>0</v>
      </c>
      <c r="F139" s="2" t="n">
        <f aca="false">E139*(1-F$131)+E138*F$131</f>
        <v>0</v>
      </c>
      <c r="G139" s="2" t="n">
        <f aca="false">F139*(1-G$131)+F138*G$131</f>
        <v>0</v>
      </c>
      <c r="H139" s="2" t="n">
        <f aca="false">G139*(1-H$131)+G138*H$131</f>
        <v>0</v>
      </c>
      <c r="I139" s="2" t="n">
        <f aca="false">H139*(1-I$131)+H138*I$131</f>
        <v>0.170640077197038</v>
      </c>
      <c r="J139" s="2" t="n">
        <f aca="false">I139*(1-J$131)+I138*J$131</f>
        <v>0.295503406108298</v>
      </c>
      <c r="K139" s="2" t="n">
        <f aca="false">J139*(1-K$131)+J138*K$131</f>
        <v>0.337471013518557</v>
      </c>
      <c r="L139" s="2" t="n">
        <f aca="false">K139*(1-L$131)+K138*L$131</f>
        <v>0.285248314670678</v>
      </c>
      <c r="M139" s="2" t="n">
        <f aca="false">L139*(1-M$131)+L138*M$131</f>
        <v>0.22256565280688</v>
      </c>
      <c r="N139" s="2" t="n">
        <f aca="false">M139*(1-N$131)+M138*N$131</f>
        <v>0.161976324897982</v>
      </c>
      <c r="O139" s="2" t="n">
        <f aca="false">N139*(1-O$131)+N138*O$131</f>
        <v>0.161976324897982</v>
      </c>
    </row>
    <row r="140" customFormat="false" ht="15" hidden="false" customHeight="false" outlineLevel="0" collapsed="false">
      <c r="B140" s="2" t="n">
        <v>8</v>
      </c>
      <c r="C140" s="2" t="n">
        <f aca="false">0</f>
        <v>0</v>
      </c>
      <c r="D140" s="2" t="n">
        <f aca="false">C140*(1-D$131)+C139*D$131</f>
        <v>0</v>
      </c>
      <c r="E140" s="2" t="n">
        <f aca="false">D140*(1-E$131)+D139*E$131</f>
        <v>0</v>
      </c>
      <c r="F140" s="2" t="n">
        <f aca="false">E140*(1-F$131)+E139*F$131</f>
        <v>0</v>
      </c>
      <c r="G140" s="2" t="n">
        <f aca="false">F140*(1-G$131)+F139*G$131</f>
        <v>0</v>
      </c>
      <c r="H140" s="2" t="n">
        <f aca="false">G140*(1-H$131)+G139*H$131</f>
        <v>0</v>
      </c>
      <c r="I140" s="2" t="n">
        <f aca="false">H140*(1-I$131)+H139*I$131</f>
        <v>0</v>
      </c>
      <c r="J140" s="2" t="n">
        <f aca="false">I140*(1-J$131)+I139*J$131</f>
        <v>0.0887223979659954</v>
      </c>
      <c r="K140" s="2" t="n">
        <f aca="false">J140*(1-K$131)+J139*K$131</f>
        <v>0.221374645491411</v>
      </c>
      <c r="L140" s="2" t="n">
        <f aca="false">K140*(1-L$131)+K139*L$131</f>
        <v>0.296662109741811</v>
      </c>
      <c r="M140" s="2" t="n">
        <f aca="false">L140*(1-M$131)+L139*M$131</f>
        <v>0.291069036485268</v>
      </c>
      <c r="N140" s="2" t="n">
        <f aca="false">M140*(1-N$131)+M139*N$131</f>
        <v>0.255792751187047</v>
      </c>
      <c r="O140" s="2" t="n">
        <f aca="false">N140*(1-O$131)+N139*O$131</f>
        <v>0.255792751187047</v>
      </c>
    </row>
    <row r="141" customFormat="false" ht="15" hidden="false" customHeight="false" outlineLevel="0" collapsed="false">
      <c r="B141" s="2" t="n">
        <v>9</v>
      </c>
      <c r="C141" s="2" t="n">
        <f aca="false">0</f>
        <v>0</v>
      </c>
      <c r="D141" s="2" t="n">
        <f aca="false">C141*(1-D$131)+C140*D$131</f>
        <v>0</v>
      </c>
      <c r="E141" s="2" t="n">
        <f aca="false">D141*(1-E$131)+D140*E$131</f>
        <v>0</v>
      </c>
      <c r="F141" s="2" t="n">
        <f aca="false">E141*(1-F$131)+E140*F$131</f>
        <v>0</v>
      </c>
      <c r="G141" s="2" t="n">
        <f aca="false">F141*(1-G$131)+F140*G$131</f>
        <v>0</v>
      </c>
      <c r="H141" s="2" t="n">
        <f aca="false">G141*(1-H$131)+G140*H$131</f>
        <v>0</v>
      </c>
      <c r="I141" s="2" t="n">
        <f aca="false">H141*(1-I$131)+H140*I$131</f>
        <v>0</v>
      </c>
      <c r="J141" s="2" t="n">
        <f aca="false">I141*(1-J$131)+I140*J$131</f>
        <v>0</v>
      </c>
      <c r="K141" s="2" t="n">
        <f aca="false">J141*(1-K$131)+J140*K$131</f>
        <v>0.0569163754532732</v>
      </c>
      <c r="L141" s="2" t="n">
        <f aca="false">K141*(1-L$131)+K140*L$131</f>
        <v>0.163566103920953</v>
      </c>
      <c r="M141" s="2" t="n">
        <f aca="false">L141*(1-M$131)+L140*M$131</f>
        <v>0.22878680449162</v>
      </c>
      <c r="N141" s="2" t="n">
        <f aca="false">M141*(1-N$131)+M140*N$131</f>
        <v>0.260859465239779</v>
      </c>
      <c r="O141" s="2" t="n">
        <f aca="false">N141*(1-O$131)+N140*O$131</f>
        <v>0.260859465239779</v>
      </c>
    </row>
    <row r="142" customFormat="false" ht="15" hidden="false" customHeight="false" outlineLevel="0" collapsed="false">
      <c r="B142" s="2" t="n">
        <v>10</v>
      </c>
      <c r="C142" s="2" t="n">
        <f aca="false">0</f>
        <v>0</v>
      </c>
      <c r="D142" s="2" t="n">
        <f aca="false">C142*(1-D$131)+C141*D$131</f>
        <v>0</v>
      </c>
      <c r="E142" s="2" t="n">
        <f aca="false">D142*(1-E$131)+D141*E$131</f>
        <v>0</v>
      </c>
      <c r="F142" s="2" t="n">
        <f aca="false">E142*(1-F$131)+E141*F$131</f>
        <v>0</v>
      </c>
      <c r="G142" s="2" t="n">
        <f aca="false">F142*(1-G$131)+F141*G$131</f>
        <v>0</v>
      </c>
      <c r="H142" s="2" t="n">
        <f aca="false">G142*(1-H$131)+G141*H$131</f>
        <v>0</v>
      </c>
      <c r="I142" s="2" t="n">
        <f aca="false">H142*(1-I$131)+H141*I$131</f>
        <v>0</v>
      </c>
      <c r="J142" s="2" t="n">
        <f aca="false">I142*(1-J$131)+I141*J$131</f>
        <v>0</v>
      </c>
      <c r="K142" s="2" t="n">
        <f aca="false">J142*(1-K$131)+J141*K$131</f>
        <v>0</v>
      </c>
      <c r="L142" s="2" t="n">
        <f aca="false">K142*(1-L$131)+K141*L$131</f>
        <v>0.0369097643192309</v>
      </c>
      <c r="M142" s="2" t="n">
        <f aca="false">L142*(1-M$131)+L141*M$131</f>
        <v>0.0989748514688715</v>
      </c>
      <c r="N142" s="2" t="n">
        <f aca="false">M142*(1-N$131)+M141*N$131</f>
        <v>0.165822403283957</v>
      </c>
      <c r="O142" s="2" t="n">
        <f aca="false">N142*(1-O$131)+N141*O$131</f>
        <v>0.165822403283957</v>
      </c>
    </row>
    <row r="143" customFormat="false" ht="15" hidden="false" customHeight="false" outlineLevel="0" collapsed="false">
      <c r="B143" s="2" t="n">
        <v>11</v>
      </c>
      <c r="C143" s="2" t="n">
        <f aca="false">0</f>
        <v>0</v>
      </c>
      <c r="D143" s="2" t="n">
        <f aca="false">C143*(1-D$131)+C142*D$131</f>
        <v>0</v>
      </c>
      <c r="E143" s="2" t="n">
        <f aca="false">D143*(1-E$131)+D142*E$131</f>
        <v>0</v>
      </c>
      <c r="F143" s="2" t="n">
        <f aca="false">E143*(1-F$131)+E142*F$131</f>
        <v>0</v>
      </c>
      <c r="G143" s="2" t="n">
        <f aca="false">F143*(1-G$131)+F142*G$131</f>
        <v>0</v>
      </c>
      <c r="H143" s="2" t="n">
        <f aca="false">G143*(1-H$131)+G142*H$131</f>
        <v>0</v>
      </c>
      <c r="I143" s="2" t="n">
        <f aca="false">H143*(1-I$131)+H142*I$131</f>
        <v>0</v>
      </c>
      <c r="J143" s="2" t="n">
        <f aca="false">I143*(1-J$131)+I142*J$131</f>
        <v>0</v>
      </c>
      <c r="K143" s="2" t="n">
        <f aca="false">J143*(1-K$131)+J142*K$131</f>
        <v>0</v>
      </c>
      <c r="L143" s="2" t="n">
        <f aca="false">K143*(1-L$131)+K142*L$131</f>
        <v>0</v>
      </c>
      <c r="M143" s="2" t="n">
        <f aca="false">L143*(1-M$131)+L142*M$131</f>
        <v>0.01808679886336</v>
      </c>
      <c r="N143" s="2" t="n">
        <f aca="false">M143*(1-N$131)+M142*N$131</f>
        <v>0.0597406540119744</v>
      </c>
      <c r="O143" s="2" t="n">
        <f aca="false">N143*(1-O$131)+N142*O$131</f>
        <v>0.0597406540119744</v>
      </c>
    </row>
    <row r="144" customFormat="false" ht="15" hidden="false" customHeight="false" outlineLevel="0" collapsed="false">
      <c r="B144" s="2" t="n">
        <v>12</v>
      </c>
      <c r="C144" s="2" t="n">
        <f aca="false">0</f>
        <v>0</v>
      </c>
      <c r="D144" s="2" t="n">
        <f aca="false">C144*(1-D$131)+C143*D$131</f>
        <v>0</v>
      </c>
      <c r="E144" s="2" t="n">
        <f aca="false">D144*(1-E$131)+D143*E$131</f>
        <v>0</v>
      </c>
      <c r="F144" s="2" t="n">
        <f aca="false">E144*(1-F$131)+E143*F$131</f>
        <v>0</v>
      </c>
      <c r="G144" s="2" t="n">
        <f aca="false">F144*(1-G$131)+F143*G$131</f>
        <v>0</v>
      </c>
      <c r="H144" s="2" t="n">
        <f aca="false">G144*(1-H$131)+G143*H$131</f>
        <v>0</v>
      </c>
      <c r="I144" s="2" t="n">
        <f aca="false">H144*(1-I$131)+H143*I$131</f>
        <v>0</v>
      </c>
      <c r="J144" s="2" t="n">
        <f aca="false">I144*(1-J$131)+I143*J$131</f>
        <v>0</v>
      </c>
      <c r="K144" s="2" t="n">
        <f aca="false">J144*(1-K$131)+J143*K$131</f>
        <v>0</v>
      </c>
      <c r="L144" s="2" t="n">
        <f aca="false">K144*(1-L$131)+K143*L$131</f>
        <v>0</v>
      </c>
      <c r="M144" s="2" t="n">
        <f aca="false">L144*(1-M$131)+L143*M$131</f>
        <v>0</v>
      </c>
      <c r="N144" s="2" t="n">
        <f aca="false">M144*(1-N$131)+M143*N$131</f>
        <v>0.00931392060618341</v>
      </c>
      <c r="O144" s="2" t="n">
        <f aca="false">N144*(1-O$131)+N143*O$131</f>
        <v>0.00931392060618341</v>
      </c>
    </row>
    <row r="145" customFormat="false" ht="15" hidden="false" customHeight="false" outlineLevel="0" collapsed="false">
      <c r="B145" s="2" t="n">
        <v>13</v>
      </c>
      <c r="C145" s="2" t="n">
        <f aca="false">0</f>
        <v>0</v>
      </c>
      <c r="D145" s="2" t="n">
        <f aca="false">C145*(1-D$131)+C144*D$131</f>
        <v>0</v>
      </c>
      <c r="E145" s="2" t="n">
        <f aca="false">D145*(1-E$131)+D144*E$131</f>
        <v>0</v>
      </c>
      <c r="F145" s="2" t="n">
        <f aca="false">E145*(1-F$131)+E144*F$131</f>
        <v>0</v>
      </c>
      <c r="G145" s="2" t="n">
        <f aca="false">F145*(1-G$131)+F144*G$131</f>
        <v>0</v>
      </c>
      <c r="H145" s="2" t="n">
        <f aca="false">G145*(1-H$131)+G144*H$131</f>
        <v>0</v>
      </c>
      <c r="I145" s="2" t="n">
        <f aca="false">H145*(1-I$131)+H144*I$131</f>
        <v>0</v>
      </c>
      <c r="J145" s="2" t="n">
        <f aca="false">I145*(1-J$131)+I144*J$131</f>
        <v>0</v>
      </c>
      <c r="K145" s="2" t="n">
        <f aca="false">J145*(1-K$131)+J144*K$131</f>
        <v>0</v>
      </c>
      <c r="L145" s="2" t="n">
        <f aca="false">K145*(1-L$131)+K144*L$131</f>
        <v>0</v>
      </c>
      <c r="M145" s="2" t="n">
        <f aca="false">L145*(1-M$131)+L144*M$131</f>
        <v>0</v>
      </c>
      <c r="N145" s="2" t="n">
        <f aca="false">M145*(1-N$131)+M144*N$131</f>
        <v>0</v>
      </c>
      <c r="O145" s="2" t="n">
        <f aca="false">N145*(1-O$131)+N144*O$131</f>
        <v>0</v>
      </c>
    </row>
    <row r="147" customFormat="false" ht="15" hidden="false" customHeight="false" outlineLevel="0" collapsed="false">
      <c r="A147" s="1" t="s">
        <v>67</v>
      </c>
      <c r="C147" s="2" t="n">
        <f aca="false">Schedule!G11</f>
        <v>0.729896500998765</v>
      </c>
      <c r="D147" s="2" t="n">
        <f aca="false">Schedule!L11</f>
        <v>0.977249868051821</v>
      </c>
      <c r="E147" s="2" t="n">
        <f aca="false">Schedule!Q11</f>
        <v>0.534862957283715</v>
      </c>
      <c r="F147" s="2" t="n">
        <f aca="false">Schedule!V11</f>
        <v>0.549738224830113</v>
      </c>
      <c r="G147" s="2" t="n">
        <f aca="false">Schedule!AA11</f>
        <v>0.999811906940459</v>
      </c>
      <c r="H147" s="2" t="n">
        <f aca="false">Schedule!AF11</f>
        <v>0.786329507059644</v>
      </c>
      <c r="I147" s="2" t="n">
        <f aca="false">Schedule!AK11</f>
        <v>0.871025058722846</v>
      </c>
      <c r="J147" s="2" t="n">
        <f aca="false">Schedule!AP11</f>
        <v>0.655421741610324</v>
      </c>
      <c r="K147" s="2" t="n">
        <f aca="false">Schedule!AU11</f>
        <v>0.629772172275028</v>
      </c>
      <c r="L147" s="2" t="n">
        <f aca="false">Schedule!AZ11</f>
        <v>0.502493373019601</v>
      </c>
      <c r="M147" s="2" t="n">
        <f aca="false">Schedule!BE11</f>
        <v>0.51495682992591</v>
      </c>
      <c r="N147" s="2" t="n">
        <f aca="false">Schedule!BJ11</f>
        <v>0.778979131832686</v>
      </c>
      <c r="O147" s="2" t="n">
        <f aca="false">Schedule!BO11</f>
        <v>0</v>
      </c>
    </row>
    <row r="148" customFormat="false" ht="15" hidden="false" customHeight="false" outlineLevel="0" collapsed="false">
      <c r="B148" s="2" t="n">
        <v>0</v>
      </c>
      <c r="C148" s="2" t="n">
        <f aca="false">1-C$147</f>
        <v>0.270103499001235</v>
      </c>
      <c r="D148" s="2" t="n">
        <f aca="false">C148*(1-D$147)</f>
        <v>0.00614489024194299</v>
      </c>
      <c r="E148" s="2" t="n">
        <f aca="false">D148*(1-E$147)</f>
        <v>0.00285821607495352</v>
      </c>
      <c r="F148" s="2" t="n">
        <f aca="false">E148*(1-F$147)</f>
        <v>0.00128694544372768</v>
      </c>
      <c r="G148" s="2" t="n">
        <f aca="false">F148*(1-G$147)</f>
        <v>2.42065505973425E-007</v>
      </c>
      <c r="H148" s="2" t="n">
        <f aca="false">G148*(1-H$147)</f>
        <v>5.17222559851984E-008</v>
      </c>
      <c r="I148" s="2" t="n">
        <f aca="false">H148*(1-I$147)</f>
        <v>6.67087492841291E-009</v>
      </c>
      <c r="J148" s="2" t="n">
        <f aca="false">I148*(1-J$147)</f>
        <v>2.29863846476787E-009</v>
      </c>
      <c r="K148" s="2" t="n">
        <f aca="false">J148*(1-K$147)</f>
        <v>8.51019925536075E-010</v>
      </c>
      <c r="L148" s="2" t="n">
        <f aca="false">K148*(1-L$147)</f>
        <v>4.23388052646563E-010</v>
      </c>
      <c r="M148" s="2" t="n">
        <f aca="false">L148*(1-M$147)</f>
        <v>2.05361483227185E-010</v>
      </c>
      <c r="N148" s="2" t="n">
        <f aca="false">M148*(1-N$147)</f>
        <v>4.53891733109996E-011</v>
      </c>
      <c r="O148" s="2" t="n">
        <f aca="false">N148*(1-O$147)</f>
        <v>4.53891733109996E-011</v>
      </c>
    </row>
    <row r="149" customFormat="false" ht="15" hidden="false" customHeight="false" outlineLevel="0" collapsed="false">
      <c r="B149" s="2" t="n">
        <v>1</v>
      </c>
      <c r="C149" s="2" t="n">
        <f aca="false">C$147</f>
        <v>0.729896500998765</v>
      </c>
      <c r="D149" s="2" t="n">
        <f aca="false">C149*(1-D$147)+C148*D$147</f>
        <v>0.280563850465529</v>
      </c>
      <c r="E149" s="2" t="n">
        <f aca="false">D149*(1-E$147)+D148*E$147</f>
        <v>0.133787313865619</v>
      </c>
      <c r="F149" s="2" t="n">
        <f aca="false">E149*(1-F$147)+E148*F$147</f>
        <v>0.0618105840675704</v>
      </c>
      <c r="G149" s="2" t="n">
        <f aca="false">F149*(1-G$147)+F148*G$147</f>
        <v>0.00129832952009101</v>
      </c>
      <c r="H149" s="2" t="n">
        <f aca="false">G149*(1-H$147)+G148*H$147</f>
        <v>0.00027760505180685</v>
      </c>
      <c r="I149" s="2" t="n">
        <f aca="false">H149*(1-I$147)+H148*I$147</f>
        <v>3.58491466360866E-005</v>
      </c>
      <c r="J149" s="2" t="n">
        <f aca="false">I149*(1-J$147)+I148*J$147</f>
        <v>1.23572087490825E-005</v>
      </c>
      <c r="K149" s="2" t="n">
        <f aca="false">J149*(1-K$147)+J148*K$147</f>
        <v>4.57643017045606E-006</v>
      </c>
      <c r="L149" s="2" t="n">
        <f aca="false">K149*(1-L$147)+K148*L$147</f>
        <v>2.27723196958782E-006</v>
      </c>
      <c r="M149" s="2" t="n">
        <f aca="false">L149*(1-M$147)+L148*M$147</f>
        <v>1.10477384009236E-006</v>
      </c>
      <c r="N149" s="2" t="n">
        <f aca="false">M149*(1-N$147)+M148*N$147</f>
        <v>2.44338045575666E-007</v>
      </c>
      <c r="O149" s="2" t="n">
        <f aca="false">N149*(1-O$147)+N148*O$147</f>
        <v>2.44338045575666E-007</v>
      </c>
    </row>
    <row r="150" customFormat="false" ht="15" hidden="false" customHeight="false" outlineLevel="0" collapsed="false">
      <c r="B150" s="2" t="n">
        <v>2</v>
      </c>
      <c r="C150" s="2" t="n">
        <f aca="false">0</f>
        <v>0</v>
      </c>
      <c r="D150" s="2" t="n">
        <f aca="false">C150*(1-D$147)+C149*D$147</f>
        <v>0.713291259292529</v>
      </c>
      <c r="E150" s="2" t="n">
        <f aca="false">D150*(1-E$147)+D149*E$147</f>
        <v>0.4818413977096</v>
      </c>
      <c r="F150" s="2" t="n">
        <f aca="false">E150*(1-F$147)+E149*F$147</f>
        <v>0.290502763512339</v>
      </c>
      <c r="G150" s="2" t="n">
        <f aca="false">F150*(1-G$147)+F149*G$147</f>
        <v>0.0618535994792954</v>
      </c>
      <c r="H150" s="2" t="n">
        <f aca="false">G150*(1-H$147)+G149*H$147</f>
        <v>0.0142372039024105</v>
      </c>
      <c r="I150" s="2" t="n">
        <f aca="false">H150*(1-I$147)+H149*I$147</f>
        <v>0.00207804349381609</v>
      </c>
      <c r="J150" s="2" t="n">
        <f aca="false">I150*(1-J$147)+I149*J$147</f>
        <v>0.000739544918080614</v>
      </c>
      <c r="K150" s="2" t="n">
        <f aca="false">J150*(1-K$147)+J149*K$147</f>
        <v>0.000281582334723194</v>
      </c>
      <c r="L150" s="2" t="n">
        <f aca="false">K150*(1-L$147)+K149*L$147</f>
        <v>0.000142388703398143</v>
      </c>
      <c r="M150" s="2" t="n">
        <f aca="false">L150*(1-M$147)+L149*M$147</f>
        <v>7.02373442350396E-005</v>
      </c>
      <c r="N150" s="2" t="n">
        <f aca="false">M150*(1-N$147)+M149*N$147</f>
        <v>1.63845145674215E-005</v>
      </c>
      <c r="O150" s="2" t="n">
        <f aca="false">N150*(1-O$147)+N149*O$147</f>
        <v>1.63845145674215E-005</v>
      </c>
    </row>
    <row r="151" customFormat="false" ht="15" hidden="false" customHeight="false" outlineLevel="0" collapsed="false">
      <c r="B151" s="2" t="n">
        <v>3</v>
      </c>
      <c r="C151" s="2" t="n">
        <f aca="false">0</f>
        <v>0</v>
      </c>
      <c r="D151" s="2" t="n">
        <f aca="false">C151*(1-D$147)+C150*D$147</f>
        <v>0</v>
      </c>
      <c r="E151" s="2" t="n">
        <f aca="false">D151*(1-E$147)+D150*E$147</f>
        <v>0.381513072349827</v>
      </c>
      <c r="F151" s="2" t="n">
        <f aca="false">E151*(1-F$147)+E150*F$147</f>
        <v>0.436667387833287</v>
      </c>
      <c r="G151" s="2" t="n">
        <f aca="false">F151*(1-G$147)+F150*G$147</f>
        <v>0.290530256063724</v>
      </c>
      <c r="H151" s="2" t="n">
        <f aca="false">G151*(1-H$147)+G150*H$147</f>
        <v>0.110715053415643</v>
      </c>
      <c r="I151" s="2" t="n">
        <f aca="false">H151*(1-I$147)+H150*I$147</f>
        <v>0.0266804288779258</v>
      </c>
      <c r="J151" s="2" t="n">
        <f aca="false">I151*(1-J$147)+I150*J$147</f>
        <v>0.0105554906017042</v>
      </c>
      <c r="K151" s="2" t="n">
        <f aca="false">J151*(1-K$147)+J150*K$147</f>
        <v>0.00437368116559491</v>
      </c>
      <c r="L151" s="2" t="n">
        <f aca="false">K151*(1-L$147)+K150*L$147</f>
        <v>0.00231742862134061</v>
      </c>
      <c r="M151" s="2" t="n">
        <f aca="false">L151*(1-M$147)+L150*M$147</f>
        <v>0.00119737696023465</v>
      </c>
      <c r="N151" s="2" t="n">
        <f aca="false">M151*(1-N$147)+M150*N$147</f>
        <v>0.000319358720709045</v>
      </c>
      <c r="O151" s="2" t="n">
        <f aca="false">N151*(1-O$147)+N150*O$147</f>
        <v>0.000319358720709045</v>
      </c>
    </row>
    <row r="152" customFormat="false" ht="15" hidden="false" customHeight="false" outlineLevel="0" collapsed="false">
      <c r="B152" s="2" t="n">
        <v>4</v>
      </c>
      <c r="C152" s="2" t="n">
        <f aca="false">0</f>
        <v>0</v>
      </c>
      <c r="D152" s="2" t="n">
        <f aca="false">C152*(1-D$147)+C151*D$147</f>
        <v>0</v>
      </c>
      <c r="E152" s="2" t="n">
        <f aca="false">D152*(1-E$147)+D151*E$147</f>
        <v>0</v>
      </c>
      <c r="F152" s="2" t="n">
        <f aca="false">E152*(1-F$147)+E151*F$147</f>
        <v>0.209732319143076</v>
      </c>
      <c r="G152" s="2" t="n">
        <f aca="false">F152*(1-G$147)+F151*G$147</f>
        <v>0.4366247029219</v>
      </c>
      <c r="H152" s="2" t="n">
        <f aca="false">G152*(1-H$147)+G151*H$147</f>
        <v>0.321746328539759</v>
      </c>
      <c r="I152" s="2" t="n">
        <f aca="false">H152*(1-I$147)+H151*I$147</f>
        <v>0.137932799732419</v>
      </c>
      <c r="J152" s="2" t="n">
        <f aca="false">I152*(1-J$147)+I151*J$147</f>
        <v>0.0650155770686893</v>
      </c>
      <c r="K152" s="2" t="n">
        <f aca="false">J152*(1-K$147)+J151*K$147</f>
        <v>0.0307181301120903</v>
      </c>
      <c r="L152" s="2" t="n">
        <f aca="false">K152*(1-L$147)+K151*L$147</f>
        <v>0.0174802191006231</v>
      </c>
      <c r="M152" s="2" t="n">
        <f aca="false">L152*(1-M$147)+L151*M$147</f>
        <v>0.00967203658258105</v>
      </c>
      <c r="N152" s="2" t="n">
        <f aca="false">M152*(1-N$147)+M151*N$147</f>
        <v>0.00307045358738813</v>
      </c>
      <c r="O152" s="2" t="n">
        <f aca="false">N152*(1-O$147)+N151*O$147</f>
        <v>0.00307045358738813</v>
      </c>
    </row>
    <row r="153" customFormat="false" ht="15" hidden="false" customHeight="false" outlineLevel="0" collapsed="false">
      <c r="B153" s="2" t="n">
        <v>5</v>
      </c>
      <c r="C153" s="2" t="n">
        <f aca="false">0</f>
        <v>0</v>
      </c>
      <c r="D153" s="2" t="n">
        <f aca="false">C153*(1-D$147)+C152*D$147</f>
        <v>0</v>
      </c>
      <c r="E153" s="2" t="n">
        <f aca="false">D153*(1-E$147)+D152*E$147</f>
        <v>0</v>
      </c>
      <c r="F153" s="2" t="n">
        <f aca="false">E153*(1-F$147)+E152*F$147</f>
        <v>0</v>
      </c>
      <c r="G153" s="2" t="n">
        <f aca="false">F153*(1-G$147)+F152*G$147</f>
        <v>0.209692869949484</v>
      </c>
      <c r="H153" s="2" t="n">
        <f aca="false">G153*(1-H$147)+G152*H$147</f>
        <v>0.388136066306825</v>
      </c>
      <c r="I153" s="2" t="n">
        <f aca="false">H153*(1-I$147)+H152*I$147</f>
        <v>0.330308941069672</v>
      </c>
      <c r="J153" s="2" t="n">
        <f aca="false">I153*(1-J$147)+I152*J$147</f>
        <v>0.204221435470136</v>
      </c>
      <c r="K153" s="2" t="n">
        <f aca="false">J153*(1-K$147)+J152*K$147</f>
        <v>0.116553459631247</v>
      </c>
      <c r="L153" s="2" t="n">
        <f aca="false">K153*(1-L$147)+K152*L$147</f>
        <v>0.0734217753769169</v>
      </c>
      <c r="M153" s="2" t="n">
        <f aca="false">L153*(1-M$147)+L152*M$147</f>
        <v>0.0446142888957548</v>
      </c>
      <c r="N153" s="2" t="n">
        <f aca="false">M153*(1-N$147)+M152*N$147</f>
        <v>0.01739500352456</v>
      </c>
      <c r="O153" s="2" t="n">
        <f aca="false">N153*(1-O$147)+N152*O$147</f>
        <v>0.01739500352456</v>
      </c>
    </row>
    <row r="154" customFormat="false" ht="15" hidden="false" customHeight="false" outlineLevel="0" collapsed="false">
      <c r="B154" s="2" t="n">
        <v>6</v>
      </c>
      <c r="C154" s="2" t="n">
        <f aca="false">0</f>
        <v>0</v>
      </c>
      <c r="D154" s="2" t="n">
        <f aca="false">C154*(1-D$147)+C153*D$147</f>
        <v>0</v>
      </c>
      <c r="E154" s="2" t="n">
        <f aca="false">D154*(1-E$147)+D153*E$147</f>
        <v>0</v>
      </c>
      <c r="F154" s="2" t="n">
        <f aca="false">E154*(1-F$147)+E153*F$147</f>
        <v>0</v>
      </c>
      <c r="G154" s="2" t="n">
        <f aca="false">F154*(1-G$147)+F153*G$147</f>
        <v>0</v>
      </c>
      <c r="H154" s="2" t="n">
        <f aca="false">G154*(1-H$147)+G153*H$147</f>
        <v>0.1648876910613</v>
      </c>
      <c r="I154" s="2" t="n">
        <f aca="false">H154*(1-I$147)+H153*I$147</f>
        <v>0.359342620219313</v>
      </c>
      <c r="J154" s="2" t="n">
        <f aca="false">I154*(1-J$147)+I153*J$147</f>
        <v>0.3403133156657</v>
      </c>
      <c r="K154" s="2" t="n">
        <f aca="false">J154*(1-K$147)+J153*K$147</f>
        <v>0.254606436645947</v>
      </c>
      <c r="L154" s="2" t="n">
        <f aca="false">K154*(1-L$147)+K153*L$147</f>
        <v>0.185235730570433</v>
      </c>
      <c r="M154" s="2" t="n">
        <f aca="false">L154*(1-M$147)+L153*M$147</f>
        <v>0.127656370662502</v>
      </c>
      <c r="N154" s="2" t="n">
        <f aca="false">M154*(1-N$147)+M153*N$147</f>
        <v>0.0629683219022623</v>
      </c>
      <c r="O154" s="2" t="n">
        <f aca="false">N154*(1-O$147)+N153*O$147</f>
        <v>0.0629683219022623</v>
      </c>
    </row>
    <row r="155" customFormat="false" ht="15" hidden="false" customHeight="false" outlineLevel="0" collapsed="false">
      <c r="B155" s="2" t="n">
        <v>7</v>
      </c>
      <c r="C155" s="2" t="n">
        <f aca="false">0</f>
        <v>0</v>
      </c>
      <c r="D155" s="2" t="n">
        <f aca="false">C155*(1-D$147)+C154*D$147</f>
        <v>0</v>
      </c>
      <c r="E155" s="2" t="n">
        <f aca="false">D155*(1-E$147)+D154*E$147</f>
        <v>0</v>
      </c>
      <c r="F155" s="2" t="n">
        <f aca="false">E155*(1-F$147)+E154*F$147</f>
        <v>0</v>
      </c>
      <c r="G155" s="2" t="n">
        <f aca="false">F155*(1-G$147)+F154*G$147</f>
        <v>0</v>
      </c>
      <c r="H155" s="2" t="n">
        <f aca="false">G155*(1-H$147)+G154*H$147</f>
        <v>0</v>
      </c>
      <c r="I155" s="2" t="n">
        <f aca="false">H155*(1-I$147)+H154*I$147</f>
        <v>0.143621310789343</v>
      </c>
      <c r="J155" s="2" t="n">
        <f aca="false">I155*(1-J$147)+I154*J$147</f>
        <v>0.285009747118394</v>
      </c>
      <c r="K155" s="2" t="n">
        <f aca="false">J155*(1-K$147)+J154*K$147</f>
        <v>0.319838395616992</v>
      </c>
      <c r="L155" s="2" t="n">
        <f aca="false">K155*(1-L$147)+K154*L$147</f>
        <v>0.287059768524955</v>
      </c>
      <c r="M155" s="2" t="n">
        <f aca="false">L155*(1-M$147)+L154*M$147</f>
        <v>0.234624784729639</v>
      </c>
      <c r="N155" s="2" t="n">
        <f aca="false">M155*(1-N$147)+M154*N$147</f>
        <v>0.151298622406101</v>
      </c>
      <c r="O155" s="2" t="n">
        <f aca="false">N155*(1-O$147)+N154*O$147</f>
        <v>0.151298622406101</v>
      </c>
    </row>
    <row r="156" customFormat="false" ht="15" hidden="false" customHeight="false" outlineLevel="0" collapsed="false">
      <c r="B156" s="2" t="n">
        <v>8</v>
      </c>
      <c r="C156" s="2" t="n">
        <f aca="false">0</f>
        <v>0</v>
      </c>
      <c r="D156" s="2" t="n">
        <f aca="false">C156*(1-D$147)+C155*D$147</f>
        <v>0</v>
      </c>
      <c r="E156" s="2" t="n">
        <f aca="false">D156*(1-E$147)+D155*E$147</f>
        <v>0</v>
      </c>
      <c r="F156" s="2" t="n">
        <f aca="false">E156*(1-F$147)+E155*F$147</f>
        <v>0</v>
      </c>
      <c r="G156" s="2" t="n">
        <f aca="false">F156*(1-G$147)+F155*G$147</f>
        <v>0</v>
      </c>
      <c r="H156" s="2" t="n">
        <f aca="false">G156*(1-H$147)+G155*H$147</f>
        <v>0</v>
      </c>
      <c r="I156" s="2" t="n">
        <f aca="false">H156*(1-I$147)+H155*I$147</f>
        <v>0</v>
      </c>
      <c r="J156" s="2" t="n">
        <f aca="false">I156*(1-J$147)+I155*J$147</f>
        <v>0.0941325296499089</v>
      </c>
      <c r="K156" s="2" t="n">
        <f aca="false">J156*(1-K$147)+J155*K$147</f>
        <v>0.21434168953285</v>
      </c>
      <c r="L156" s="2" t="n">
        <f aca="false">K156*(1-L$147)+K155*L$147</f>
        <v>0.267353085215528</v>
      </c>
      <c r="M156" s="2" t="n">
        <f aca="false">L156*(1-M$147)+L155*M$147</f>
        <v>0.277501176380904</v>
      </c>
      <c r="N156" s="2" t="n">
        <f aca="false">M156*(1-N$147)+M155*N$147</f>
        <v>0.244101362036283</v>
      </c>
      <c r="O156" s="2" t="n">
        <f aca="false">N156*(1-O$147)+N155*O$147</f>
        <v>0.244101362036283</v>
      </c>
    </row>
    <row r="157" customFormat="false" ht="15" hidden="false" customHeight="false" outlineLevel="0" collapsed="false">
      <c r="B157" s="2" t="n">
        <v>9</v>
      </c>
      <c r="C157" s="2" t="n">
        <f aca="false">0</f>
        <v>0</v>
      </c>
      <c r="D157" s="2" t="n">
        <f aca="false">C157*(1-D$147)+C156*D$147</f>
        <v>0</v>
      </c>
      <c r="E157" s="2" t="n">
        <f aca="false">D157*(1-E$147)+D156*E$147</f>
        <v>0</v>
      </c>
      <c r="F157" s="2" t="n">
        <f aca="false">E157*(1-F$147)+E156*F$147</f>
        <v>0</v>
      </c>
      <c r="G157" s="2" t="n">
        <f aca="false">F157*(1-G$147)+F156*G$147</f>
        <v>0</v>
      </c>
      <c r="H157" s="2" t="n">
        <f aca="false">G157*(1-H$147)+G156*H$147</f>
        <v>0</v>
      </c>
      <c r="I157" s="2" t="n">
        <f aca="false">H157*(1-I$147)+H156*I$147</f>
        <v>0</v>
      </c>
      <c r="J157" s="2" t="n">
        <f aca="false">I157*(1-J$147)+I156*J$147</f>
        <v>0</v>
      </c>
      <c r="K157" s="2" t="n">
        <f aca="false">J157*(1-K$147)+J156*K$147</f>
        <v>0.0592820476793666</v>
      </c>
      <c r="L157" s="2" t="n">
        <f aca="false">K157*(1-L$147)+K156*L$147</f>
        <v>0.137198490133535</v>
      </c>
      <c r="M157" s="2" t="n">
        <f aca="false">L157*(1-M$147)+L156*M$147</f>
        <v>0.204222487817248</v>
      </c>
      <c r="N157" s="2" t="n">
        <f aca="false">M157*(1-N$147)+M156*N$147</f>
        <v>0.261305057016403</v>
      </c>
      <c r="O157" s="2" t="n">
        <f aca="false">N157*(1-O$147)+N156*O$147</f>
        <v>0.261305057016403</v>
      </c>
    </row>
    <row r="158" customFormat="false" ht="15" hidden="false" customHeight="false" outlineLevel="0" collapsed="false">
      <c r="B158" s="2" t="n">
        <v>10</v>
      </c>
      <c r="C158" s="2" t="n">
        <f aca="false">0</f>
        <v>0</v>
      </c>
      <c r="D158" s="2" t="n">
        <f aca="false">C158*(1-D$147)+C157*D$147</f>
        <v>0</v>
      </c>
      <c r="E158" s="2" t="n">
        <f aca="false">D158*(1-E$147)+D157*E$147</f>
        <v>0</v>
      </c>
      <c r="F158" s="2" t="n">
        <f aca="false">E158*(1-F$147)+E157*F$147</f>
        <v>0</v>
      </c>
      <c r="G158" s="2" t="n">
        <f aca="false">F158*(1-G$147)+F157*G$147</f>
        <v>0</v>
      </c>
      <c r="H158" s="2" t="n">
        <f aca="false">G158*(1-H$147)+G157*H$147</f>
        <v>0</v>
      </c>
      <c r="I158" s="2" t="n">
        <f aca="false">H158*(1-I$147)+H157*I$147</f>
        <v>0</v>
      </c>
      <c r="J158" s="2" t="n">
        <f aca="false">I158*(1-J$147)+I157*J$147</f>
        <v>0</v>
      </c>
      <c r="K158" s="2" t="n">
        <f aca="false">J158*(1-K$147)+J157*K$147</f>
        <v>0</v>
      </c>
      <c r="L158" s="2" t="n">
        <f aca="false">K158*(1-L$147)+K157*L$147</f>
        <v>0.0297888360979137</v>
      </c>
      <c r="M158" s="2" t="n">
        <f aca="false">L158*(1-M$147)+L157*M$147</f>
        <v>0.0851001710435357</v>
      </c>
      <c r="N158" s="2" t="n">
        <f aca="false">M158*(1-N$147)+M157*N$147</f>
        <v>0.17789396994582</v>
      </c>
      <c r="O158" s="2" t="n">
        <f aca="false">N158*(1-O$147)+N157*O$147</f>
        <v>0.17789396994582</v>
      </c>
    </row>
    <row r="159" customFormat="false" ht="15" hidden="false" customHeight="false" outlineLevel="0" collapsed="false">
      <c r="B159" s="2" t="n">
        <v>11</v>
      </c>
      <c r="C159" s="2" t="n">
        <f aca="false">0</f>
        <v>0</v>
      </c>
      <c r="D159" s="2" t="n">
        <f aca="false">C159*(1-D$147)+C158*D$147</f>
        <v>0</v>
      </c>
      <c r="E159" s="2" t="n">
        <f aca="false">D159*(1-E$147)+D158*E$147</f>
        <v>0</v>
      </c>
      <c r="F159" s="2" t="n">
        <f aca="false">E159*(1-F$147)+E158*F$147</f>
        <v>0</v>
      </c>
      <c r="G159" s="2" t="n">
        <f aca="false">F159*(1-G$147)+F158*G$147</f>
        <v>0</v>
      </c>
      <c r="H159" s="2" t="n">
        <f aca="false">G159*(1-H$147)+G158*H$147</f>
        <v>0</v>
      </c>
      <c r="I159" s="2" t="n">
        <f aca="false">H159*(1-I$147)+H158*I$147</f>
        <v>0</v>
      </c>
      <c r="J159" s="2" t="n">
        <f aca="false">I159*(1-J$147)+I158*J$147</f>
        <v>0</v>
      </c>
      <c r="K159" s="2" t="n">
        <f aca="false">J159*(1-K$147)+J158*K$147</f>
        <v>0</v>
      </c>
      <c r="L159" s="2" t="n">
        <f aca="false">K159*(1-L$147)+K158*L$147</f>
        <v>0</v>
      </c>
      <c r="M159" s="2" t="n">
        <f aca="false">L159*(1-M$147)+L158*M$147</f>
        <v>0.0153399646041642</v>
      </c>
      <c r="N159" s="2" t="n">
        <f aca="false">M159*(1-N$147)+M158*N$147</f>
        <v>0.0696817096527748</v>
      </c>
      <c r="O159" s="2" t="n">
        <f aca="false">N159*(1-O$147)+N158*O$147</f>
        <v>0.0696817096527748</v>
      </c>
    </row>
    <row r="160" customFormat="false" ht="15" hidden="false" customHeight="false" outlineLevel="0" collapsed="false">
      <c r="B160" s="2" t="n">
        <v>12</v>
      </c>
      <c r="C160" s="2" t="n">
        <f aca="false">0</f>
        <v>0</v>
      </c>
      <c r="D160" s="2" t="n">
        <f aca="false">C160*(1-D$147)+C159*D$147</f>
        <v>0</v>
      </c>
      <c r="E160" s="2" t="n">
        <f aca="false">D160*(1-E$147)+D159*E$147</f>
        <v>0</v>
      </c>
      <c r="F160" s="2" t="n">
        <f aca="false">E160*(1-F$147)+E159*F$147</f>
        <v>0</v>
      </c>
      <c r="G160" s="2" t="n">
        <f aca="false">F160*(1-G$147)+F159*G$147</f>
        <v>0</v>
      </c>
      <c r="H160" s="2" t="n">
        <f aca="false">G160*(1-H$147)+G159*H$147</f>
        <v>0</v>
      </c>
      <c r="I160" s="2" t="n">
        <f aca="false">H160*(1-I$147)+H159*I$147</f>
        <v>0</v>
      </c>
      <c r="J160" s="2" t="n">
        <f aca="false">I160*(1-J$147)+I159*J$147</f>
        <v>0</v>
      </c>
      <c r="K160" s="2" t="n">
        <f aca="false">J160*(1-K$147)+J159*K$147</f>
        <v>0</v>
      </c>
      <c r="L160" s="2" t="n">
        <f aca="false">K160*(1-L$147)+K159*L$147</f>
        <v>0</v>
      </c>
      <c r="M160" s="2" t="n">
        <f aca="false">L160*(1-M$147)+L159*M$147</f>
        <v>0</v>
      </c>
      <c r="N160" s="2" t="n">
        <f aca="false">M160*(1-N$147)+M159*N$147</f>
        <v>0.0119495123096959</v>
      </c>
      <c r="O160" s="2" t="n">
        <f aca="false">N160*(1-O$147)+N159*O$147</f>
        <v>0.0119495123096959</v>
      </c>
    </row>
    <row r="161" customFormat="false" ht="15" hidden="false" customHeight="false" outlineLevel="0" collapsed="false">
      <c r="B161" s="2" t="n">
        <v>13</v>
      </c>
      <c r="C161" s="2" t="n">
        <f aca="false">0</f>
        <v>0</v>
      </c>
      <c r="D161" s="2" t="n">
        <f aca="false">C161*(1-D$147)+C160*D$147</f>
        <v>0</v>
      </c>
      <c r="E161" s="2" t="n">
        <f aca="false">D161*(1-E$147)+D160*E$147</f>
        <v>0</v>
      </c>
      <c r="F161" s="2" t="n">
        <f aca="false">E161*(1-F$147)+E160*F$147</f>
        <v>0</v>
      </c>
      <c r="G161" s="2" t="n">
        <f aca="false">F161*(1-G$147)+F160*G$147</f>
        <v>0</v>
      </c>
      <c r="H161" s="2" t="n">
        <f aca="false">G161*(1-H$147)+G160*H$147</f>
        <v>0</v>
      </c>
      <c r="I161" s="2" t="n">
        <f aca="false">H161*(1-I$147)+H160*I$147</f>
        <v>0</v>
      </c>
      <c r="J161" s="2" t="n">
        <f aca="false">I161*(1-J$147)+I160*J$147</f>
        <v>0</v>
      </c>
      <c r="K161" s="2" t="n">
        <f aca="false">J161*(1-K$147)+J160*K$147</f>
        <v>0</v>
      </c>
      <c r="L161" s="2" t="n">
        <f aca="false">K161*(1-L$147)+K160*L$147</f>
        <v>0</v>
      </c>
      <c r="M161" s="2" t="n">
        <f aca="false">L161*(1-M$147)+L160*M$147</f>
        <v>0</v>
      </c>
      <c r="N161" s="2" t="n">
        <f aca="false">M161*(1-N$147)+M160*N$147</f>
        <v>0</v>
      </c>
      <c r="O161" s="2" t="n">
        <f aca="false">N161*(1-O$147)+N160*O$147</f>
        <v>0</v>
      </c>
    </row>
    <row r="163" customFormat="false" ht="15" hidden="false" customHeight="false" outlineLevel="0" collapsed="false">
      <c r="A163" s="1" t="s">
        <v>68</v>
      </c>
      <c r="C163" s="2" t="n">
        <f aca="false">Schedule!G12</f>
        <v>0.994417631593983</v>
      </c>
      <c r="D163" s="2" t="n">
        <f aca="false">Schedule!L12</f>
        <v>0.48255184155421</v>
      </c>
      <c r="E163" s="2" t="n">
        <f aca="false">Schedule!Q12</f>
        <v>0.908446617860336</v>
      </c>
      <c r="F163" s="2" t="n">
        <f aca="false">Schedule!V12</f>
        <v>0.263938536969338</v>
      </c>
      <c r="G163" s="2" t="n">
        <f aca="false">Schedule!AA12</f>
        <v>0.401293674317076</v>
      </c>
      <c r="H163" s="2" t="n">
        <f aca="false">Schedule!AF12</f>
        <v>0.842852337136804</v>
      </c>
      <c r="I163" s="2" t="n">
        <f aca="false">Schedule!AK12</f>
        <v>0.763852515027146</v>
      </c>
      <c r="J163" s="2" t="n">
        <f aca="false">Schedule!AP12</f>
        <v>0.706693239916112</v>
      </c>
      <c r="K163" s="2" t="n">
        <f aca="false">Schedule!AU12</f>
        <v>0.527405690960468</v>
      </c>
      <c r="L163" s="2" t="n">
        <f aca="false">Schedule!AZ12</f>
        <v>0.617911422188953</v>
      </c>
      <c r="M163" s="2" t="n">
        <f aca="false">Schedule!BE12</f>
        <v>0.509972518195238</v>
      </c>
      <c r="N163" s="2" t="n">
        <f aca="false">Schedule!BJ12</f>
        <v>0.522428675027779</v>
      </c>
      <c r="O163" s="2" t="n">
        <f aca="false">Schedule!BO12</f>
        <v>0</v>
      </c>
    </row>
    <row r="164" customFormat="false" ht="15" hidden="false" customHeight="false" outlineLevel="0" collapsed="false">
      <c r="B164" s="2" t="n">
        <v>0</v>
      </c>
      <c r="C164" s="2" t="n">
        <f aca="false">1-C$163</f>
        <v>0.00558236840601678</v>
      </c>
      <c r="D164" s="2" t="n">
        <f aca="false">C164*(1-D$163)</f>
        <v>0.00288858625145934</v>
      </c>
      <c r="E164" s="2" t="n">
        <f aca="false">D164*(1-E$163)</f>
        <v>0.000264459840923238</v>
      </c>
      <c r="F164" s="2" t="n">
        <f aca="false">E164*(1-F$163)</f>
        <v>0.000194658697422815</v>
      </c>
      <c r="G164" s="2" t="n">
        <f aca="false">F164*(1-G$163)</f>
        <v>0.000116543393496237</v>
      </c>
      <c r="H164" s="2" t="n">
        <f aca="false">G164*(1-H$163)</f>
        <v>1.83145219100795E-005</v>
      </c>
      <c r="I164" s="2" t="n">
        <f aca="false">H164*(1-I$163)</f>
        <v>4.32492828754551E-006</v>
      </c>
      <c r="J164" s="2" t="n">
        <f aca="false">I164*(1-J$163)</f>
        <v>1.26853070361513E-006</v>
      </c>
      <c r="K164" s="2" t="n">
        <f aca="false">J164*(1-K$163)</f>
        <v>5.99500391370424E-007</v>
      </c>
      <c r="L164" s="2" t="n">
        <f aca="false">K164*(1-L$163)</f>
        <v>2.29062251935892E-007</v>
      </c>
      <c r="M164" s="2" t="n">
        <f aca="false">L164*(1-M$163)</f>
        <v>1.12246798492673E-007</v>
      </c>
      <c r="N164" s="2" t="n">
        <f aca="false">M164*(1-N$163)</f>
        <v>5.36058522800357E-008</v>
      </c>
      <c r="O164" s="2" t="n">
        <f aca="false">N164*(1-O$163)</f>
        <v>5.36058522800357E-008</v>
      </c>
    </row>
    <row r="165" customFormat="false" ht="15" hidden="false" customHeight="false" outlineLevel="0" collapsed="false">
      <c r="B165" s="2" t="n">
        <v>1</v>
      </c>
      <c r="C165" s="2" t="n">
        <f aca="false">C$163</f>
        <v>0.994417631593983</v>
      </c>
      <c r="D165" s="2" t="n">
        <f aca="false">C165*(1-D$163)+C164*D$163</f>
        <v>0.517253354348888</v>
      </c>
      <c r="E165" s="2" t="n">
        <f aca="false">D165*(1-E$163)+D164*E$163</f>
        <v>0.0499804204242631</v>
      </c>
      <c r="F165" s="2" t="n">
        <f aca="false">E165*(1-F$163)+E164*F$163</f>
        <v>0.0368584625238711</v>
      </c>
      <c r="G165" s="2" t="n">
        <f aca="false">F165*(1-G$163)+F164*G$163</f>
        <v>0.0221455099719152</v>
      </c>
      <c r="H165" s="2" t="n">
        <f aca="false">G165*(1-H$163)+G164*H$163</f>
        <v>0.00357834400658623</v>
      </c>
      <c r="I165" s="2" t="n">
        <f aca="false">H165*(1-I$163)+H164*I$163</f>
        <v>0.00085900653114556</v>
      </c>
      <c r="J165" s="2" t="n">
        <f aca="false">I165*(1-J$163)+I164*J$163</f>
        <v>0.000255008820125134</v>
      </c>
      <c r="K165" s="2" t="n">
        <f aca="false">J165*(1-K$163)+J164*K$163</f>
        <v>0.000121184747458268</v>
      </c>
      <c r="L165" s="2" t="n">
        <f aca="false">K165*(1-L$163)+K164*L$163</f>
        <v>4.66737459481553E-005</v>
      </c>
      <c r="M165" s="2" t="n">
        <f aca="false">L165*(1-M$163)+L164*M$163</f>
        <v>2.29882336468129E-005</v>
      </c>
      <c r="N165" s="2" t="n">
        <f aca="false">M165*(1-N$163)+M164*N$163</f>
        <v>1.10371621476921E-005</v>
      </c>
      <c r="O165" s="2" t="n">
        <f aca="false">N165*(1-O$163)+N164*O$163</f>
        <v>1.10371621476921E-005</v>
      </c>
    </row>
    <row r="166" customFormat="false" ht="15" hidden="false" customHeight="false" outlineLevel="0" collapsed="false">
      <c r="B166" s="2" t="n">
        <v>2</v>
      </c>
      <c r="C166" s="2" t="n">
        <f aca="false">0</f>
        <v>0</v>
      </c>
      <c r="D166" s="2" t="n">
        <f aca="false">C166*(1-D$163)+C165*D$163</f>
        <v>0.479858059399653</v>
      </c>
      <c r="E166" s="2" t="n">
        <f aca="false">D166*(1-E$163)+D165*E$163</f>
        <v>0.513829688620175</v>
      </c>
      <c r="F166" s="2" t="n">
        <f aca="false">E166*(1-F$163)+E165*F$163</f>
        <v>0.391401991398248</v>
      </c>
      <c r="G166" s="2" t="n">
        <f aca="false">F166*(1-G$163)+F165*G$163</f>
        <v>0.249125915990907</v>
      </c>
      <c r="H166" s="2" t="n">
        <f aca="false">G166*(1-H$163)+G165*H$163</f>
        <v>0.0578149502935391</v>
      </c>
      <c r="I166" s="2" t="n">
        <f aca="false">H166*(1-I$163)+H165*I$163</f>
        <v>0.016386182174713</v>
      </c>
      <c r="J166" s="2" t="n">
        <f aca="false">I166*(1-J$163)+I165*J$163</f>
        <v>0.00541323211241379</v>
      </c>
      <c r="K166" s="2" t="n">
        <f aca="false">J166*(1-K$163)+J165*K$163</f>
        <v>0.00269275579281591</v>
      </c>
      <c r="L166" s="2" t="n">
        <f aca="false">K166*(1-L$163)+K165*L$163</f>
        <v>0.00110375267091904</v>
      </c>
      <c r="M166" s="2" t="n">
        <f aca="false">L166*(1-M$163)+L165*M$163</f>
        <v>0.000564671469620522</v>
      </c>
      <c r="N166" s="2" t="n">
        <f aca="false">M166*(1-N$163)+M165*N$163</f>
        <v>0.000281680614366018</v>
      </c>
      <c r="O166" s="2" t="n">
        <f aca="false">N166*(1-O$163)+N165*O$163</f>
        <v>0.000281680614366018</v>
      </c>
    </row>
    <row r="167" customFormat="false" ht="15" hidden="false" customHeight="false" outlineLevel="0" collapsed="false">
      <c r="B167" s="2" t="n">
        <v>3</v>
      </c>
      <c r="C167" s="2" t="n">
        <f aca="false">0</f>
        <v>0</v>
      </c>
      <c r="D167" s="2" t="n">
        <f aca="false">C167*(1-D$163)+C166*D$163</f>
        <v>0</v>
      </c>
      <c r="E167" s="2" t="n">
        <f aca="false">D167*(1-E$163)+D166*E$163</f>
        <v>0.435925431114638</v>
      </c>
      <c r="F167" s="2" t="n">
        <f aca="false">E167*(1-F$163)+E166*F$163</f>
        <v>0.456487366864332</v>
      </c>
      <c r="G167" s="2" t="n">
        <f aca="false">F167*(1-G$163)+F166*G$163</f>
        <v>0.430369017399241</v>
      </c>
      <c r="H167" s="2" t="n">
        <f aca="false">G167*(1-H$163)+G166*H$163</f>
        <v>0.277607845787304</v>
      </c>
      <c r="I167" s="2" t="n">
        <f aca="false">H167*(1-I$163)+H166*I$163</f>
        <v>0.109718489779293</v>
      </c>
      <c r="J167" s="2" t="n">
        <f aca="false">I167*(1-J$163)+I166*J$163</f>
        <v>0.0437611789293652</v>
      </c>
      <c r="K167" s="2" t="n">
        <f aca="false">J167*(1-K$163)+J166*K$163</f>
        <v>0.0235362535414557</v>
      </c>
      <c r="L167" s="2" t="n">
        <f aca="false">K167*(1-L$163)+K166*L$163</f>
        <v>0.0106568182042014</v>
      </c>
      <c r="M167" s="2" t="n">
        <f aca="false">L167*(1-M$163)+L166*M$163</f>
        <v>0.00578501731770928</v>
      </c>
      <c r="N167" s="2" t="n">
        <f aca="false">M167*(1-N$163)+M166*N$163</f>
        <v>0.0030577589531055</v>
      </c>
      <c r="O167" s="2" t="n">
        <f aca="false">N167*(1-O$163)+N166*O$163</f>
        <v>0.0030577589531055</v>
      </c>
    </row>
    <row r="168" customFormat="false" ht="15" hidden="false" customHeight="false" outlineLevel="0" collapsed="false">
      <c r="B168" s="2" t="n">
        <v>4</v>
      </c>
      <c r="C168" s="2" t="n">
        <f aca="false">0</f>
        <v>0</v>
      </c>
      <c r="D168" s="2" t="n">
        <f aca="false">C168*(1-D$163)+C167*D$163</f>
        <v>0</v>
      </c>
      <c r="E168" s="2" t="n">
        <f aca="false">D168*(1-E$163)+D167*E$163</f>
        <v>0</v>
      </c>
      <c r="F168" s="2" t="n">
        <f aca="false">E168*(1-F$163)+E167*F$163</f>
        <v>0.115057520516125</v>
      </c>
      <c r="G168" s="2" t="n">
        <f aca="false">F168*(1-G$163)+F167*G$163</f>
        <v>0.252071158078712</v>
      </c>
      <c r="H168" s="2" t="n">
        <f aca="false">G168*(1-H$163)+G167*H$163</f>
        <v>0.402349925513509</v>
      </c>
      <c r="I168" s="2" t="n">
        <f aca="false">H168*(1-I$163)+H167*I$163</f>
        <v>0.307065374184931</v>
      </c>
      <c r="J168" s="2" t="n">
        <f aca="false">I168*(1-J$163)+I167*J$163</f>
        <v>0.16760166505696</v>
      </c>
      <c r="K168" s="2" t="n">
        <f aca="false">J168*(1-K$163)+J167*K$163</f>
        <v>0.102287487901956</v>
      </c>
      <c r="L168" s="2" t="n">
        <f aca="false">K168*(1-L$163)+K167*L$163</f>
        <v>0.0536262006791236</v>
      </c>
      <c r="M168" s="2" t="n">
        <f aca="false">L168*(1-M$163)+L167*M$163</f>
        <v>0.0317129964930932</v>
      </c>
      <c r="N168" s="2" t="n">
        <f aca="false">M168*(1-N$163)+M167*N$163</f>
        <v>0.0181674766863495</v>
      </c>
      <c r="O168" s="2" t="n">
        <f aca="false">N168*(1-O$163)+N167*O$163</f>
        <v>0.0181674766863495</v>
      </c>
    </row>
    <row r="169" customFormat="false" ht="15" hidden="false" customHeight="false" outlineLevel="0" collapsed="false">
      <c r="B169" s="2" t="n">
        <v>5</v>
      </c>
      <c r="C169" s="2" t="n">
        <f aca="false">0</f>
        <v>0</v>
      </c>
      <c r="D169" s="2" t="n">
        <f aca="false">C169*(1-D$163)+C168*D$163</f>
        <v>0</v>
      </c>
      <c r="E169" s="2" t="n">
        <f aca="false">D169*(1-E$163)+D168*E$163</f>
        <v>0</v>
      </c>
      <c r="F169" s="2" t="n">
        <f aca="false">E169*(1-F$163)+E168*F$163</f>
        <v>0</v>
      </c>
      <c r="G169" s="2" t="n">
        <f aca="false">F169*(1-G$163)+F168*G$163</f>
        <v>0.0461718551657284</v>
      </c>
      <c r="H169" s="2" t="n">
        <f aca="false">G169*(1-H$163)+G168*H$163</f>
        <v>0.219714563840776</v>
      </c>
      <c r="I169" s="2" t="n">
        <f aca="false">H169*(1-I$163)+H168*I$163</f>
        <v>0.359221044187385</v>
      </c>
      <c r="J169" s="2" t="n">
        <f aca="false">I169*(1-J$163)+I168*J$163</f>
        <v>0.322362984773355</v>
      </c>
      <c r="K169" s="2" t="n">
        <f aca="false">J169*(1-K$163)+J168*K$163</f>
        <v>0.240740984014376</v>
      </c>
      <c r="L169" s="2" t="n">
        <f aca="false">K169*(1-L$163)+K168*L$163</f>
        <v>0.155188987324518</v>
      </c>
      <c r="M169" s="2" t="n">
        <f aca="false">L169*(1-M$163)+L168*M$163</f>
        <v>0.10339475726404</v>
      </c>
      <c r="N169" s="2" t="n">
        <f aca="false">M169*(1-N$163)+M168*N$163</f>
        <v>0.0659461499608162</v>
      </c>
      <c r="O169" s="2" t="n">
        <f aca="false">N169*(1-O$163)+N168*O$163</f>
        <v>0.0659461499608162</v>
      </c>
    </row>
    <row r="170" customFormat="false" ht="15" hidden="false" customHeight="false" outlineLevel="0" collapsed="false">
      <c r="B170" s="2" t="n">
        <v>6</v>
      </c>
      <c r="C170" s="2" t="n">
        <f aca="false">0</f>
        <v>0</v>
      </c>
      <c r="D170" s="2" t="n">
        <f aca="false">C170*(1-D$163)+C169*D$163</f>
        <v>0</v>
      </c>
      <c r="E170" s="2" t="n">
        <f aca="false">D170*(1-E$163)+D169*E$163</f>
        <v>0</v>
      </c>
      <c r="F170" s="2" t="n">
        <f aca="false">E170*(1-F$163)+E169*F$163</f>
        <v>0</v>
      </c>
      <c r="G170" s="2" t="n">
        <f aca="false">F170*(1-G$163)+F169*G$163</f>
        <v>0</v>
      </c>
      <c r="H170" s="2" t="n">
        <f aca="false">G170*(1-H$163)+G169*H$163</f>
        <v>0.0389160560363762</v>
      </c>
      <c r="I170" s="2" t="n">
        <f aca="false">H170*(1-I$163)+H169*I$163</f>
        <v>0.177019450935922</v>
      </c>
      <c r="J170" s="2" t="n">
        <f aca="false">I170*(1-J$163)+I169*J$163</f>
        <v>0.305780085188676</v>
      </c>
      <c r="K170" s="2" t="n">
        <f aca="false">J170*(1-K$163)+J169*K$163</f>
        <v>0.314526000802262</v>
      </c>
      <c r="L170" s="2" t="n">
        <f aca="false">K170*(1-L$163)+K169*L$163</f>
        <v>0.268933396142623</v>
      </c>
      <c r="M170" s="2" t="n">
        <f aca="false">L170*(1-M$163)+L169*M$163</f>
        <v>0.210926873547025</v>
      </c>
      <c r="N170" s="2" t="n">
        <f aca="false">M170*(1-N$163)+M169*N$163</f>
        <v>0.154749012514372</v>
      </c>
      <c r="O170" s="2" t="n">
        <f aca="false">N170*(1-O$163)+N169*O$163</f>
        <v>0.154749012514372</v>
      </c>
    </row>
    <row r="171" customFormat="false" ht="15" hidden="false" customHeight="false" outlineLevel="0" collapsed="false">
      <c r="B171" s="2" t="n">
        <v>7</v>
      </c>
      <c r="C171" s="2" t="n">
        <f aca="false">0</f>
        <v>0</v>
      </c>
      <c r="D171" s="2" t="n">
        <f aca="false">C171*(1-D$163)+C170*D$163</f>
        <v>0</v>
      </c>
      <c r="E171" s="2" t="n">
        <f aca="false">D171*(1-E$163)+D170*E$163</f>
        <v>0</v>
      </c>
      <c r="F171" s="2" t="n">
        <f aca="false">E171*(1-F$163)+E170*F$163</f>
        <v>0</v>
      </c>
      <c r="G171" s="2" t="n">
        <f aca="false">F171*(1-G$163)+F170*G$163</f>
        <v>0</v>
      </c>
      <c r="H171" s="2" t="n">
        <f aca="false">G171*(1-H$163)+G170*H$163</f>
        <v>0</v>
      </c>
      <c r="I171" s="2" t="n">
        <f aca="false">H171*(1-I$163)+H170*I$163</f>
        <v>0.0297261272783233</v>
      </c>
      <c r="J171" s="2" t="n">
        <f aca="false">I171*(1-J$163)+I170*J$163</f>
        <v>0.133817323391924</v>
      </c>
      <c r="K171" s="2" t="n">
        <f aca="false">J171*(1-K$163)+J170*K$163</f>
        <v>0.224511462596811</v>
      </c>
      <c r="L171" s="2" t="n">
        <f aca="false">K171*(1-L$163)+K170*L$163</f>
        <v>0.280132473917023</v>
      </c>
      <c r="M171" s="2" t="n">
        <f aca="false">L171*(1-M$163)+L170*M$163</f>
        <v>0.274421252022948</v>
      </c>
      <c r="N171" s="2" t="n">
        <f aca="false">M171*(1-N$163)+M170*N$163</f>
        <v>0.241249968004059</v>
      </c>
      <c r="O171" s="2" t="n">
        <f aca="false">N171*(1-O$163)+N170*O$163</f>
        <v>0.241249968004059</v>
      </c>
    </row>
    <row r="172" customFormat="false" ht="15" hidden="false" customHeight="false" outlineLevel="0" collapsed="false">
      <c r="B172" s="2" t="n">
        <v>8</v>
      </c>
      <c r="C172" s="2" t="n">
        <f aca="false">0</f>
        <v>0</v>
      </c>
      <c r="D172" s="2" t="n">
        <f aca="false">C172*(1-D$163)+C171*D$163</f>
        <v>0</v>
      </c>
      <c r="E172" s="2" t="n">
        <f aca="false">D172*(1-E$163)+D171*E$163</f>
        <v>0</v>
      </c>
      <c r="F172" s="2" t="n">
        <f aca="false">E172*(1-F$163)+E171*F$163</f>
        <v>0</v>
      </c>
      <c r="G172" s="2" t="n">
        <f aca="false">F172*(1-G$163)+F171*G$163</f>
        <v>0</v>
      </c>
      <c r="H172" s="2" t="n">
        <f aca="false">G172*(1-H$163)+G171*H$163</f>
        <v>0</v>
      </c>
      <c r="I172" s="2" t="n">
        <f aca="false">H172*(1-I$163)+H171*I$163</f>
        <v>0</v>
      </c>
      <c r="J172" s="2" t="n">
        <f aca="false">I172*(1-J$163)+I171*J$163</f>
        <v>0.021007253196477</v>
      </c>
      <c r="K172" s="2" t="n">
        <f aca="false">J172*(1-K$163)+J171*K$163</f>
        <v>0.0805039262152057</v>
      </c>
      <c r="L172" s="2" t="n">
        <f aca="false">K172*(1-L$163)+K171*L$163</f>
        <v>0.16948782782669</v>
      </c>
      <c r="M172" s="2" t="n">
        <f aca="false">L172*(1-M$163)+L171*M$163</f>
        <v>0.225913556618198</v>
      </c>
      <c r="N172" s="2" t="n">
        <f aca="false">M172*(1-N$163)+M171*N$163</f>
        <v>0.251255367657153</v>
      </c>
      <c r="O172" s="2" t="n">
        <f aca="false">N172*(1-O$163)+N171*O$163</f>
        <v>0.251255367657153</v>
      </c>
    </row>
    <row r="173" customFormat="false" ht="15" hidden="false" customHeight="false" outlineLevel="0" collapsed="false">
      <c r="B173" s="2" t="n">
        <v>9</v>
      </c>
      <c r="C173" s="2" t="n">
        <f aca="false">0</f>
        <v>0</v>
      </c>
      <c r="D173" s="2" t="n">
        <f aca="false">C173*(1-D$163)+C172*D$163</f>
        <v>0</v>
      </c>
      <c r="E173" s="2" t="n">
        <f aca="false">D173*(1-E$163)+D172*E$163</f>
        <v>0</v>
      </c>
      <c r="F173" s="2" t="n">
        <f aca="false">E173*(1-F$163)+E172*F$163</f>
        <v>0</v>
      </c>
      <c r="G173" s="2" t="n">
        <f aca="false">F173*(1-G$163)+F172*G$163</f>
        <v>0</v>
      </c>
      <c r="H173" s="2" t="n">
        <f aca="false">G173*(1-H$163)+G172*H$163</f>
        <v>0</v>
      </c>
      <c r="I173" s="2" t="n">
        <f aca="false">H173*(1-I$163)+H172*I$163</f>
        <v>0</v>
      </c>
      <c r="J173" s="2" t="n">
        <f aca="false">I173*(1-J$163)+I172*J$163</f>
        <v>0</v>
      </c>
      <c r="K173" s="2" t="n">
        <f aca="false">J173*(1-K$163)+J172*K$163</f>
        <v>0.0110793448872695</v>
      </c>
      <c r="L173" s="2" t="n">
        <f aca="false">K173*(1-L$163)+K172*L$163</f>
        <v>0.0539775866704871</v>
      </c>
      <c r="M173" s="2" t="n">
        <f aca="false">L173*(1-M$163)+L172*M$163</f>
        <v>0.112884635230255</v>
      </c>
      <c r="N173" s="2" t="n">
        <f aca="false">M173*(1-N$163)+M172*N$163</f>
        <v>0.171934184870777</v>
      </c>
      <c r="O173" s="2" t="n">
        <f aca="false">N173*(1-O$163)+N172*O$163</f>
        <v>0.171934184870777</v>
      </c>
    </row>
    <row r="174" customFormat="false" ht="15" hidden="false" customHeight="false" outlineLevel="0" collapsed="false">
      <c r="B174" s="2" t="n">
        <v>10</v>
      </c>
      <c r="C174" s="2" t="n">
        <f aca="false">0</f>
        <v>0</v>
      </c>
      <c r="D174" s="2" t="n">
        <f aca="false">C174*(1-D$163)+C173*D$163</f>
        <v>0</v>
      </c>
      <c r="E174" s="2" t="n">
        <f aca="false">D174*(1-E$163)+D173*E$163</f>
        <v>0</v>
      </c>
      <c r="F174" s="2" t="n">
        <f aca="false">E174*(1-F$163)+E173*F$163</f>
        <v>0</v>
      </c>
      <c r="G174" s="2" t="n">
        <f aca="false">F174*(1-G$163)+F173*G$163</f>
        <v>0</v>
      </c>
      <c r="H174" s="2" t="n">
        <f aca="false">G174*(1-H$163)+G173*H$163</f>
        <v>0</v>
      </c>
      <c r="I174" s="2" t="n">
        <f aca="false">H174*(1-I$163)+H173*I$163</f>
        <v>0</v>
      </c>
      <c r="J174" s="2" t="n">
        <f aca="false">I174*(1-J$163)+I173*J$163</f>
        <v>0</v>
      </c>
      <c r="K174" s="2" t="n">
        <f aca="false">J174*(1-K$163)+J173*K$163</f>
        <v>0</v>
      </c>
      <c r="L174" s="2" t="n">
        <f aca="false">K174*(1-L$163)+K173*L$163</f>
        <v>0.00684605375621457</v>
      </c>
      <c r="M174" s="2" t="n">
        <f aca="false">L174*(1-M$163)+L173*M$163</f>
        <v>0.0308818402829079</v>
      </c>
      <c r="N174" s="2" t="n">
        <f aca="false">M174*(1-N$163)+M173*N$163</f>
        <v>0.0737224517958253</v>
      </c>
      <c r="O174" s="2" t="n">
        <f aca="false">N174*(1-O$163)+N173*O$163</f>
        <v>0.0737224517958253</v>
      </c>
    </row>
    <row r="175" customFormat="false" ht="15" hidden="false" customHeight="false" outlineLevel="0" collapsed="false">
      <c r="B175" s="2" t="n">
        <v>11</v>
      </c>
      <c r="C175" s="2" t="n">
        <f aca="false">0</f>
        <v>0</v>
      </c>
      <c r="D175" s="2" t="n">
        <f aca="false">C175*(1-D$163)+C174*D$163</f>
        <v>0</v>
      </c>
      <c r="E175" s="2" t="n">
        <f aca="false">D175*(1-E$163)+D174*E$163</f>
        <v>0</v>
      </c>
      <c r="F175" s="2" t="n">
        <f aca="false">E175*(1-F$163)+E174*F$163</f>
        <v>0</v>
      </c>
      <c r="G175" s="2" t="n">
        <f aca="false">F175*(1-G$163)+F174*G$163</f>
        <v>0</v>
      </c>
      <c r="H175" s="2" t="n">
        <f aca="false">G175*(1-H$163)+G174*H$163</f>
        <v>0</v>
      </c>
      <c r="I175" s="2" t="n">
        <f aca="false">H175*(1-I$163)+H174*I$163</f>
        <v>0</v>
      </c>
      <c r="J175" s="2" t="n">
        <f aca="false">I175*(1-J$163)+I174*J$163</f>
        <v>0</v>
      </c>
      <c r="K175" s="2" t="n">
        <f aca="false">J175*(1-K$163)+J174*K$163</f>
        <v>0</v>
      </c>
      <c r="L175" s="2" t="n">
        <f aca="false">K175*(1-L$163)+K174*L$163</f>
        <v>0</v>
      </c>
      <c r="M175" s="2" t="n">
        <f aca="false">L175*(1-M$163)+L174*M$163</f>
        <v>0.00349129927375671</v>
      </c>
      <c r="N175" s="2" t="n">
        <f aca="false">M175*(1-N$163)+M174*N$163</f>
        <v>0.0178009033214616</v>
      </c>
      <c r="O175" s="2" t="n">
        <f aca="false">N175*(1-O$163)+N174*O$163</f>
        <v>0.0178009033214616</v>
      </c>
    </row>
    <row r="176" customFormat="false" ht="15" hidden="false" customHeight="false" outlineLevel="0" collapsed="false">
      <c r="B176" s="2" t="n">
        <v>12</v>
      </c>
      <c r="C176" s="2" t="n">
        <f aca="false">0</f>
        <v>0</v>
      </c>
      <c r="D176" s="2" t="n">
        <f aca="false">C176*(1-D$163)+C175*D$163</f>
        <v>0</v>
      </c>
      <c r="E176" s="2" t="n">
        <f aca="false">D176*(1-E$163)+D175*E$163</f>
        <v>0</v>
      </c>
      <c r="F176" s="2" t="n">
        <f aca="false">E176*(1-F$163)+E175*F$163</f>
        <v>0</v>
      </c>
      <c r="G176" s="2" t="n">
        <f aca="false">F176*(1-G$163)+F175*G$163</f>
        <v>0</v>
      </c>
      <c r="H176" s="2" t="n">
        <f aca="false">G176*(1-H$163)+G175*H$163</f>
        <v>0</v>
      </c>
      <c r="I176" s="2" t="n">
        <f aca="false">H176*(1-I$163)+H175*I$163</f>
        <v>0</v>
      </c>
      <c r="J176" s="2" t="n">
        <f aca="false">I176*(1-J$163)+I175*J$163</f>
        <v>0</v>
      </c>
      <c r="K176" s="2" t="n">
        <f aca="false">J176*(1-K$163)+J175*K$163</f>
        <v>0</v>
      </c>
      <c r="L176" s="2" t="n">
        <f aca="false">K176*(1-L$163)+K175*L$163</f>
        <v>0</v>
      </c>
      <c r="M176" s="2" t="n">
        <f aca="false">L176*(1-M$163)+L175*M$163</f>
        <v>0</v>
      </c>
      <c r="N176" s="2" t="n">
        <f aca="false">M176*(1-N$163)+M175*N$163</f>
        <v>0.00182395485371417</v>
      </c>
      <c r="O176" s="2" t="n">
        <f aca="false">N176*(1-O$163)+N175*O$163</f>
        <v>0.00182395485371417</v>
      </c>
    </row>
    <row r="177" customFormat="false" ht="15" hidden="false" customHeight="false" outlineLevel="0" collapsed="false">
      <c r="B177" s="2" t="n">
        <v>13</v>
      </c>
      <c r="C177" s="2" t="n">
        <f aca="false">0</f>
        <v>0</v>
      </c>
      <c r="D177" s="2" t="n">
        <f aca="false">C177*(1-D$163)+C176*D$163</f>
        <v>0</v>
      </c>
      <c r="E177" s="2" t="n">
        <f aca="false">D177*(1-E$163)+D176*E$163</f>
        <v>0</v>
      </c>
      <c r="F177" s="2" t="n">
        <f aca="false">E177*(1-F$163)+E176*F$163</f>
        <v>0</v>
      </c>
      <c r="G177" s="2" t="n">
        <f aca="false">F177*(1-G$163)+F176*G$163</f>
        <v>0</v>
      </c>
      <c r="H177" s="2" t="n">
        <f aca="false">G177*(1-H$163)+G176*H$163</f>
        <v>0</v>
      </c>
      <c r="I177" s="2" t="n">
        <f aca="false">H177*(1-I$163)+H176*I$163</f>
        <v>0</v>
      </c>
      <c r="J177" s="2" t="n">
        <f aca="false">I177*(1-J$163)+I176*J$163</f>
        <v>0</v>
      </c>
      <c r="K177" s="2" t="n">
        <f aca="false">J177*(1-K$163)+J176*K$163</f>
        <v>0</v>
      </c>
      <c r="L177" s="2" t="n">
        <f aca="false">K177*(1-L$163)+K176*L$163</f>
        <v>0</v>
      </c>
      <c r="M177" s="2" t="n">
        <f aca="false">L177*(1-M$163)+L176*M$163</f>
        <v>0</v>
      </c>
      <c r="N177" s="2" t="n">
        <f aca="false">M177*(1-N$163)+M176*N$163</f>
        <v>0</v>
      </c>
      <c r="O177" s="2" t="n">
        <f aca="false">N177*(1-O$163)+N176*O$163</f>
        <v>0</v>
      </c>
    </row>
    <row r="179" customFormat="false" ht="15" hidden="false" customHeight="false" outlineLevel="0" collapsed="false">
      <c r="A179" s="1" t="s">
        <v>69</v>
      </c>
      <c r="C179" s="2" t="n">
        <f aca="false">Schedule!G13</f>
        <v>0.987575754456027</v>
      </c>
      <c r="D179" s="2" t="n">
        <f aca="false">Schedule!L13</f>
        <v>0.911492008562598</v>
      </c>
      <c r="E179" s="2" t="n">
        <f aca="false">Schedule!Q13</f>
        <v>0.97288532087835</v>
      </c>
      <c r="F179" s="2" t="n">
        <f aca="false">Schedule!V13</f>
        <v>0.782672264321914</v>
      </c>
      <c r="G179" s="2" t="n">
        <f aca="false">Schedule!AA13</f>
        <v>0.286887701816365</v>
      </c>
      <c r="H179" s="2" t="n">
        <f aca="false">Schedule!AF13</f>
        <v>0.608341880846395</v>
      </c>
      <c r="I179" s="2" t="n">
        <f aca="false">Schedule!AK13</f>
        <v>0.475082330970753</v>
      </c>
      <c r="J179" s="2" t="n">
        <f aca="false">Schedule!AP13</f>
        <v>0.761922394276321</v>
      </c>
      <c r="K179" s="2" t="n">
        <f aca="false">Schedule!AU13</f>
        <v>0.217327735678086</v>
      </c>
      <c r="L179" s="2" t="n">
        <f aca="false">Schedule!AZ13</f>
        <v>0.253825417414222</v>
      </c>
      <c r="M179" s="2" t="n">
        <f aca="false">Schedule!BE13</f>
        <v>0.825749288119458</v>
      </c>
      <c r="N179" s="2" t="n">
        <f aca="false">Schedule!BJ13</f>
        <v>0.729896500998765</v>
      </c>
      <c r="O179" s="2" t="n">
        <f aca="false">Schedule!BO13</f>
        <v>0</v>
      </c>
    </row>
    <row r="180" customFormat="false" ht="15" hidden="false" customHeight="false" outlineLevel="0" collapsed="false">
      <c r="B180" s="2" t="n">
        <v>0</v>
      </c>
      <c r="C180" s="2" t="n">
        <f aca="false">1-C$179</f>
        <v>0.0124242455439734</v>
      </c>
      <c r="D180" s="2" t="n">
        <f aca="false">C180*(1-D$179)</f>
        <v>0.00109964501822218</v>
      </c>
      <c r="E180" s="2" t="n">
        <f aca="false">D180*(1-E$179)</f>
        <v>2.98165218168149E-005</v>
      </c>
      <c r="F180" s="2" t="n">
        <f aca="false">E180*(1-F$179)</f>
        <v>6.47995717224462E-006</v>
      </c>
      <c r="G180" s="2" t="n">
        <f aca="false">F180*(1-G$179)</f>
        <v>4.62093715123089E-006</v>
      </c>
      <c r="H180" s="2" t="n">
        <f aca="false">G180*(1-H$179)</f>
        <v>1.80982755337811E-006</v>
      </c>
      <c r="I180" s="2" t="n">
        <f aca="false">H180*(1-I$179)</f>
        <v>9.50010460664142E-007</v>
      </c>
      <c r="J180" s="2" t="n">
        <f aca="false">I180*(1-J$179)</f>
        <v>2.26176215887369E-007</v>
      </c>
      <c r="K180" s="2" t="n">
        <f aca="false">J180*(1-K$179)</f>
        <v>1.77021851024329E-007</v>
      </c>
      <c r="L180" s="2" t="n">
        <f aca="false">K180*(1-L$179)</f>
        <v>1.32089205796641E-007</v>
      </c>
      <c r="M180" s="2" t="n">
        <f aca="false">L180*(1-M$179)</f>
        <v>2.30166381418001E-008</v>
      </c>
      <c r="N180" s="2" t="n">
        <f aca="false">M180*(1-N$179)</f>
        <v>6.21687449734549E-009</v>
      </c>
      <c r="O180" s="2" t="n">
        <f aca="false">N180*(1-O$179)</f>
        <v>6.21687449734549E-009</v>
      </c>
    </row>
    <row r="181" customFormat="false" ht="15" hidden="false" customHeight="false" outlineLevel="0" collapsed="false">
      <c r="B181" s="2" t="n">
        <v>1</v>
      </c>
      <c r="C181" s="2" t="n">
        <f aca="false">C$179</f>
        <v>0.987575754456027</v>
      </c>
      <c r="D181" s="2" t="n">
        <f aca="false">C181*(1-D$179)+C180*D$179</f>
        <v>0.0987329469449311</v>
      </c>
      <c r="E181" s="2" t="n">
        <f aca="false">D181*(1-E$179)+D180*E$179</f>
        <v>0.00374694067155203</v>
      </c>
      <c r="F181" s="2" t="n">
        <f aca="false">E181*(1-F$179)+E180*F$179</f>
        <v>0.000837650696513098</v>
      </c>
      <c r="G181" s="2" t="n">
        <f aca="false">F181*(1-G$179)+F180*G$179</f>
        <v>0.000599198033286592</v>
      </c>
      <c r="H181" s="2" t="n">
        <f aca="false">G181*(1-H$179)+G180*H$179</f>
        <v>0.000237491884315419</v>
      </c>
      <c r="I181" s="2" t="n">
        <f aca="false">H181*(1-I$179)+H180*I$179</f>
        <v>0.000125523503420927</v>
      </c>
      <c r="J181" s="2" t="n">
        <f aca="false">I181*(1-J$179)+I180*J$179</f>
        <v>3.06081694012792E-005</v>
      </c>
      <c r="K181" s="2" t="n">
        <f aca="false">J181*(1-K$179)+J180*K$179</f>
        <v>2.4005319616911E-005</v>
      </c>
      <c r="L181" s="2" t="n">
        <f aca="false">K181*(1-L$179)+K180*L$179</f>
        <v>1.79570919902144E-005</v>
      </c>
      <c r="M181" s="2" t="n">
        <f aca="false">L181*(1-M$179)+L180*M$179</f>
        <v>3.23810863025409E-006</v>
      </c>
      <c r="N181" s="2" t="n">
        <f aca="false">M181*(1-N$179)+M180*N$179</f>
        <v>8.91424234822181E-007</v>
      </c>
      <c r="O181" s="2" t="n">
        <f aca="false">N181*(1-O$179)+N180*O$179</f>
        <v>8.91424234822181E-007</v>
      </c>
    </row>
    <row r="182" customFormat="false" ht="15" hidden="false" customHeight="false" outlineLevel="0" collapsed="false">
      <c r="B182" s="2" t="n">
        <v>2</v>
      </c>
      <c r="C182" s="2" t="n">
        <f aca="false">0</f>
        <v>0</v>
      </c>
      <c r="D182" s="2" t="n">
        <f aca="false">C182*(1-D$179)+C181*D$179</f>
        <v>0.900167408036847</v>
      </c>
      <c r="E182" s="2" t="n">
        <f aca="false">D182*(1-E$179)+D181*E$179</f>
        <v>0.120463585194471</v>
      </c>
      <c r="F182" s="2" t="n">
        <f aca="false">E182*(1-F$179)+E181*F$179</f>
        <v>0.029112704741662</v>
      </c>
      <c r="G182" s="2" t="n">
        <f aca="false">F182*(1-G$179)+F181*G$179</f>
        <v>0.0210009394679157</v>
      </c>
      <c r="H182" s="2" t="n">
        <f aca="false">G182*(1-H$179)+G181*H$179</f>
        <v>0.0085897057110316</v>
      </c>
      <c r="I182" s="2" t="n">
        <f aca="false">H182*(1-I$179)+H181*I$179</f>
        <v>0.00462171649746912</v>
      </c>
      <c r="J182" s="2" t="n">
        <f aca="false">I182*(1-J$179)+I181*J$179</f>
        <v>0.0011959663663155</v>
      </c>
      <c r="K182" s="2" t="n">
        <f aca="false">J182*(1-K$179)+J181*K$179</f>
        <v>0.000942701708126239</v>
      </c>
      <c r="L182" s="2" t="n">
        <f aca="false">K182*(1-L$179)+K181*L$179</f>
        <v>0.00070951321383592</v>
      </c>
      <c r="M182" s="2" t="n">
        <f aca="false">L182*(1-M$179)+L181*M$179</f>
        <v>0.000138461238527176</v>
      </c>
      <c r="N182" s="2" t="n">
        <f aca="false">M182*(1-N$179)+M181*N$179</f>
        <v>3.97623491613112E-005</v>
      </c>
      <c r="O182" s="2" t="n">
        <f aca="false">N182*(1-O$179)+N181*O$179</f>
        <v>3.97623491613112E-005</v>
      </c>
    </row>
    <row r="183" customFormat="false" ht="15" hidden="false" customHeight="false" outlineLevel="0" collapsed="false">
      <c r="B183" s="2" t="n">
        <v>3</v>
      </c>
      <c r="C183" s="2" t="n">
        <f aca="false">0</f>
        <v>0</v>
      </c>
      <c r="D183" s="2" t="n">
        <f aca="false">C183*(1-D$179)+C182*D$179</f>
        <v>0</v>
      </c>
      <c r="E183" s="2" t="n">
        <f aca="false">D183*(1-E$179)+D182*E$179</f>
        <v>0.875759657612161</v>
      </c>
      <c r="F183" s="2" t="n">
        <f aca="false">E183*(1-F$179)+E182*F$179</f>
        <v>0.284610370379559</v>
      </c>
      <c r="G183" s="2" t="n">
        <f aca="false">F183*(1-G$179)+F182*G$179</f>
        <v>0.211311232265256</v>
      </c>
      <c r="H183" s="2" t="n">
        <f aca="false">G183*(1-H$179)+G182*H$179</f>
        <v>0.095537510800494</v>
      </c>
      <c r="I183" s="2" t="n">
        <f aca="false">H183*(1-I$179)+H182*I$179</f>
        <v>0.0542301448858015</v>
      </c>
      <c r="J183" s="2" t="n">
        <f aca="false">I183*(1-J$179)+I182*J$179</f>
        <v>0.0164323723518779</v>
      </c>
      <c r="K183" s="2" t="n">
        <f aca="false">J183*(1-K$179)+J182*K$179</f>
        <v>0.0131210787391636</v>
      </c>
      <c r="L183" s="2" t="n">
        <f aca="false">K183*(1-L$179)+K182*L$179</f>
        <v>0.0100298971058328</v>
      </c>
      <c r="M183" s="2" t="n">
        <f aca="false">L183*(1-M$179)+L182*M$179</f>
        <v>0.00233359674201631</v>
      </c>
      <c r="N183" s="2" t="n">
        <f aca="false">M183*(1-N$179)+M182*N$179</f>
        <v>0.00073137501880143</v>
      </c>
      <c r="O183" s="2" t="n">
        <f aca="false">N183*(1-O$179)+N182*O$179</f>
        <v>0.00073137501880143</v>
      </c>
    </row>
    <row r="184" customFormat="false" ht="15" hidden="false" customHeight="false" outlineLevel="0" collapsed="false">
      <c r="B184" s="2" t="n">
        <v>4</v>
      </c>
      <c r="C184" s="2" t="n">
        <f aca="false">0</f>
        <v>0</v>
      </c>
      <c r="D184" s="2" t="n">
        <f aca="false">C184*(1-D$179)+C183*D$179</f>
        <v>0</v>
      </c>
      <c r="E184" s="2" t="n">
        <f aca="false">D184*(1-E$179)+D183*E$179</f>
        <v>0</v>
      </c>
      <c r="F184" s="2" t="n">
        <f aca="false">E184*(1-F$179)+E183*F$179</f>
        <v>0.685432794225094</v>
      </c>
      <c r="G184" s="2" t="n">
        <f aca="false">F184*(1-G$179)+F183*G$179</f>
        <v>0.570441770211583</v>
      </c>
      <c r="H184" s="2" t="n">
        <f aca="false">G184*(1-H$179)+G183*H$179</f>
        <v>0.351967623287937</v>
      </c>
      <c r="I184" s="2" t="n">
        <f aca="false">H184*(1-I$179)+H183*I$179</f>
        <v>0.23014220771631</v>
      </c>
      <c r="J184" s="2" t="n">
        <f aca="false">I184*(1-J$179)+I183*J$179</f>
        <v>0.0961108676224025</v>
      </c>
      <c r="K184" s="2" t="n">
        <f aca="false">J184*(1-K$179)+J183*K$179</f>
        <v>0.0787945206630224</v>
      </c>
      <c r="L184" s="2" t="n">
        <f aca="false">K184*(1-L$179)+K183*L$179</f>
        <v>0.0621249318536702</v>
      </c>
      <c r="M184" s="2" t="n">
        <f aca="false">L184*(1-M$179)+L183*M$179</f>
        <v>0.019107493996085</v>
      </c>
      <c r="N184" s="2" t="n">
        <f aca="false">M184*(1-N$179)+M183*N$179</f>
        <v>0.00686428508222749</v>
      </c>
      <c r="O184" s="2" t="n">
        <f aca="false">N184*(1-O$179)+N183*O$179</f>
        <v>0.00686428508222749</v>
      </c>
    </row>
    <row r="185" customFormat="false" ht="15" hidden="false" customHeight="false" outlineLevel="0" collapsed="false">
      <c r="B185" s="2" t="n">
        <v>5</v>
      </c>
      <c r="C185" s="2" t="n">
        <f aca="false">0</f>
        <v>0</v>
      </c>
      <c r="D185" s="2" t="n">
        <f aca="false">C185*(1-D$179)+C184*D$179</f>
        <v>0</v>
      </c>
      <c r="E185" s="2" t="n">
        <f aca="false">D185*(1-E$179)+D184*E$179</f>
        <v>0</v>
      </c>
      <c r="F185" s="2" t="n">
        <f aca="false">E185*(1-F$179)+E184*F$179</f>
        <v>0</v>
      </c>
      <c r="G185" s="2" t="n">
        <f aca="false">F185*(1-G$179)+F184*G$179</f>
        <v>0.196642239084807</v>
      </c>
      <c r="H185" s="2" t="n">
        <f aca="false">G185*(1-H$179)+G184*H$179</f>
        <v>0.424040148909971</v>
      </c>
      <c r="I185" s="2" t="n">
        <f aca="false">H185*(1-I$179)+H184*I$179</f>
        <v>0.389799765438506</v>
      </c>
      <c r="J185" s="2" t="n">
        <f aca="false">I185*(1-J$179)+I184*J$179</f>
        <v>0.268153096794501</v>
      </c>
      <c r="K185" s="2" t="n">
        <f aca="false">J185*(1-K$179)+J184*K$179</f>
        <v>0.230763548687518</v>
      </c>
      <c r="L185" s="2" t="n">
        <f aca="false">K185*(1-L$179)+K184*L$179</f>
        <v>0.192189946715167</v>
      </c>
      <c r="M185" s="2" t="n">
        <f aca="false">L185*(1-M$179)+L184*M$179</f>
        <v>0.0847888532840394</v>
      </c>
      <c r="N185" s="2" t="n">
        <f aca="false">M185*(1-N$179)+M184*N$179</f>
        <v>0.0368482589589188</v>
      </c>
      <c r="O185" s="2" t="n">
        <f aca="false">N185*(1-O$179)+N184*O$179</f>
        <v>0.0368482589589188</v>
      </c>
    </row>
    <row r="186" customFormat="false" ht="15" hidden="false" customHeight="false" outlineLevel="0" collapsed="false">
      <c r="B186" s="2" t="n">
        <v>6</v>
      </c>
      <c r="C186" s="2" t="n">
        <f aca="false">0</f>
        <v>0</v>
      </c>
      <c r="D186" s="2" t="n">
        <f aca="false">C186*(1-D$179)+C185*D$179</f>
        <v>0</v>
      </c>
      <c r="E186" s="2" t="n">
        <f aca="false">D186*(1-E$179)+D185*E$179</f>
        <v>0</v>
      </c>
      <c r="F186" s="2" t="n">
        <f aca="false">E186*(1-F$179)+E185*F$179</f>
        <v>0</v>
      </c>
      <c r="G186" s="2" t="n">
        <f aca="false">F186*(1-G$179)+F185*G$179</f>
        <v>0</v>
      </c>
      <c r="H186" s="2" t="n">
        <f aca="false">G186*(1-H$179)+G185*H$179</f>
        <v>0.119625709578698</v>
      </c>
      <c r="I186" s="2" t="n">
        <f aca="false">H186*(1-I$179)+H185*I$179</f>
        <v>0.264247630997354</v>
      </c>
      <c r="J186" s="2" t="n">
        <f aca="false">I186*(1-J$179)+I185*J$179</f>
        <v>0.359908613877259</v>
      </c>
      <c r="K186" s="2" t="n">
        <f aca="false">J186*(1-K$179)+J185*K$179</f>
        <v>0.339967595113691</v>
      </c>
      <c r="L186" s="2" t="n">
        <f aca="false">K186*(1-L$179)+K185*L$179</f>
        <v>0.312248832446246</v>
      </c>
      <c r="M186" s="2" t="n">
        <f aca="false">L186*(1-M$179)+L185*M$179</f>
        <v>0.213110293021392</v>
      </c>
      <c r="N186" s="2" t="n">
        <f aca="false">M186*(1-N$179)+M185*N$179</f>
        <v>0.119448923153975</v>
      </c>
      <c r="O186" s="2" t="n">
        <f aca="false">N186*(1-O$179)+N185*O$179</f>
        <v>0.119448923153975</v>
      </c>
    </row>
    <row r="187" customFormat="false" ht="15" hidden="false" customHeight="false" outlineLevel="0" collapsed="false">
      <c r="B187" s="2" t="n">
        <v>7</v>
      </c>
      <c r="C187" s="2" t="n">
        <f aca="false">0</f>
        <v>0</v>
      </c>
      <c r="D187" s="2" t="n">
        <f aca="false">C187*(1-D$179)+C186*D$179</f>
        <v>0</v>
      </c>
      <c r="E187" s="2" t="n">
        <f aca="false">D187*(1-E$179)+D186*E$179</f>
        <v>0</v>
      </c>
      <c r="F187" s="2" t="n">
        <f aca="false">E187*(1-F$179)+E186*F$179</f>
        <v>0</v>
      </c>
      <c r="G187" s="2" t="n">
        <f aca="false">F187*(1-G$179)+F186*G$179</f>
        <v>0</v>
      </c>
      <c r="H187" s="2" t="n">
        <f aca="false">G187*(1-H$179)+G186*H$179</f>
        <v>0</v>
      </c>
      <c r="I187" s="2" t="n">
        <f aca="false">H187*(1-I$179)+H186*I$179</f>
        <v>0.0568320609506781</v>
      </c>
      <c r="J187" s="2" t="n">
        <f aca="false">I187*(1-J$179)+I186*J$179</f>
        <v>0.214866628690829</v>
      </c>
      <c r="K187" s="2" t="n">
        <f aca="false">J187*(1-K$179)+J186*K$179</f>
        <v>0.24638827490965</v>
      </c>
      <c r="L187" s="2" t="n">
        <f aca="false">K187*(1-L$179)+K186*L$179</f>
        <v>0.27014108492178</v>
      </c>
      <c r="M187" s="2" t="n">
        <f aca="false">L187*(1-M$179)+L186*M$179</f>
        <v>0.304911527464421</v>
      </c>
      <c r="N187" s="2" t="n">
        <f aca="false">M187*(1-N$179)+M186*N$179</f>
        <v>0.237906127657087</v>
      </c>
      <c r="O187" s="2" t="n">
        <f aca="false">N187*(1-O$179)+N186*O$179</f>
        <v>0.237906127657087</v>
      </c>
    </row>
    <row r="188" customFormat="false" ht="15" hidden="false" customHeight="false" outlineLevel="0" collapsed="false">
      <c r="B188" s="2" t="n">
        <v>8</v>
      </c>
      <c r="C188" s="2" t="n">
        <f aca="false">0</f>
        <v>0</v>
      </c>
      <c r="D188" s="2" t="n">
        <f aca="false">C188*(1-D$179)+C187*D$179</f>
        <v>0</v>
      </c>
      <c r="E188" s="2" t="n">
        <f aca="false">D188*(1-E$179)+D187*E$179</f>
        <v>0</v>
      </c>
      <c r="F188" s="2" t="n">
        <f aca="false">E188*(1-F$179)+E187*F$179</f>
        <v>0</v>
      </c>
      <c r="G188" s="2" t="n">
        <f aca="false">F188*(1-G$179)+F187*G$179</f>
        <v>0</v>
      </c>
      <c r="H188" s="2" t="n">
        <f aca="false">G188*(1-H$179)+G187*H$179</f>
        <v>0</v>
      </c>
      <c r="I188" s="2" t="n">
        <f aca="false">H188*(1-I$179)+H187*I$179</f>
        <v>0</v>
      </c>
      <c r="J188" s="2" t="n">
        <f aca="false">I188*(1-J$179)+I187*J$179</f>
        <v>0.0433016199511984</v>
      </c>
      <c r="K188" s="2" t="n">
        <f aca="false">J188*(1-K$179)+J187*K$179</f>
        <v>0.0805874548221733</v>
      </c>
      <c r="L188" s="2" t="n">
        <f aca="false">K188*(1-L$179)+K187*L$179</f>
        <v>0.122671917188497</v>
      </c>
      <c r="M188" s="2" t="n">
        <f aca="false">L188*(1-M$179)+L187*M$179</f>
        <v>0.244444477463824</v>
      </c>
      <c r="N188" s="2" t="n">
        <f aca="false">M188*(1-N$179)+M187*N$179</f>
        <v>0.288579165684977</v>
      </c>
      <c r="O188" s="2" t="n">
        <f aca="false">N188*(1-O$179)+N187*O$179</f>
        <v>0.288579165684977</v>
      </c>
    </row>
    <row r="189" customFormat="false" ht="15" hidden="false" customHeight="false" outlineLevel="0" collapsed="false">
      <c r="B189" s="2" t="n">
        <v>9</v>
      </c>
      <c r="C189" s="2" t="n">
        <f aca="false">0</f>
        <v>0</v>
      </c>
      <c r="D189" s="2" t="n">
        <f aca="false">C189*(1-D$179)+C188*D$179</f>
        <v>0</v>
      </c>
      <c r="E189" s="2" t="n">
        <f aca="false">D189*(1-E$179)+D188*E$179</f>
        <v>0</v>
      </c>
      <c r="F189" s="2" t="n">
        <f aca="false">E189*(1-F$179)+E188*F$179</f>
        <v>0</v>
      </c>
      <c r="G189" s="2" t="n">
        <f aca="false">F189*(1-G$179)+F188*G$179</f>
        <v>0</v>
      </c>
      <c r="H189" s="2" t="n">
        <f aca="false">G189*(1-H$179)+G188*H$179</f>
        <v>0</v>
      </c>
      <c r="I189" s="2" t="n">
        <f aca="false">H189*(1-I$179)+H188*I$179</f>
        <v>0</v>
      </c>
      <c r="J189" s="2" t="n">
        <f aca="false">I189*(1-J$179)+I188*J$179</f>
        <v>0</v>
      </c>
      <c r="K189" s="2" t="n">
        <f aca="false">J189*(1-K$179)+J188*K$179</f>
        <v>0.00941064301518696</v>
      </c>
      <c r="L189" s="2" t="n">
        <f aca="false">K189*(1-L$179)+K188*L$179</f>
        <v>0.0274771269823088</v>
      </c>
      <c r="M189" s="2" t="n">
        <f aca="false">L189*(1-M$179)+L188*M$179</f>
        <v>0.10608415722775</v>
      </c>
      <c r="N189" s="2" t="n">
        <f aca="false">M189*(1-N$179)+M188*N$179</f>
        <v>0.207072870845129</v>
      </c>
      <c r="O189" s="2" t="n">
        <f aca="false">N189*(1-O$179)+N188*O$179</f>
        <v>0.207072870845129</v>
      </c>
    </row>
    <row r="190" customFormat="false" ht="15" hidden="false" customHeight="false" outlineLevel="0" collapsed="false">
      <c r="B190" s="2" t="n">
        <v>10</v>
      </c>
      <c r="C190" s="2" t="n">
        <f aca="false">0</f>
        <v>0</v>
      </c>
      <c r="D190" s="2" t="n">
        <f aca="false">C190*(1-D$179)+C189*D$179</f>
        <v>0</v>
      </c>
      <c r="E190" s="2" t="n">
        <f aca="false">D190*(1-E$179)+D189*E$179</f>
        <v>0</v>
      </c>
      <c r="F190" s="2" t="n">
        <f aca="false">E190*(1-F$179)+E189*F$179</f>
        <v>0</v>
      </c>
      <c r="G190" s="2" t="n">
        <f aca="false">F190*(1-G$179)+F189*G$179</f>
        <v>0</v>
      </c>
      <c r="H190" s="2" t="n">
        <f aca="false">G190*(1-H$179)+G189*H$179</f>
        <v>0</v>
      </c>
      <c r="I190" s="2" t="n">
        <f aca="false">H190*(1-I$179)+H189*I$179</f>
        <v>0</v>
      </c>
      <c r="J190" s="2" t="n">
        <f aca="false">I190*(1-J$179)+I189*J$179</f>
        <v>0</v>
      </c>
      <c r="K190" s="2" t="n">
        <f aca="false">J190*(1-K$179)+J189*K$179</f>
        <v>0</v>
      </c>
      <c r="L190" s="2" t="n">
        <f aca="false">K190*(1-L$179)+K189*L$179</f>
        <v>0.00238866039146607</v>
      </c>
      <c r="M190" s="2" t="n">
        <f aca="false">L190*(1-M$179)+L189*M$179</f>
        <v>0.0231054438188633</v>
      </c>
      <c r="N190" s="2" t="n">
        <f aca="false">M190*(1-N$179)+M189*N$179</f>
        <v>0.0836713163933891</v>
      </c>
      <c r="O190" s="2" t="n">
        <f aca="false">N190*(1-O$179)+N189*O$179</f>
        <v>0.0836713163933891</v>
      </c>
    </row>
    <row r="191" customFormat="false" ht="15" hidden="false" customHeight="false" outlineLevel="0" collapsed="false">
      <c r="B191" s="2" t="n">
        <v>11</v>
      </c>
      <c r="C191" s="2" t="n">
        <f aca="false">0</f>
        <v>0</v>
      </c>
      <c r="D191" s="2" t="n">
        <f aca="false">C191*(1-D$179)+C190*D$179</f>
        <v>0</v>
      </c>
      <c r="E191" s="2" t="n">
        <f aca="false">D191*(1-E$179)+D190*E$179</f>
        <v>0</v>
      </c>
      <c r="F191" s="2" t="n">
        <f aca="false">E191*(1-F$179)+E190*F$179</f>
        <v>0</v>
      </c>
      <c r="G191" s="2" t="n">
        <f aca="false">F191*(1-G$179)+F190*G$179</f>
        <v>0</v>
      </c>
      <c r="H191" s="2" t="n">
        <f aca="false">G191*(1-H$179)+G190*H$179</f>
        <v>0</v>
      </c>
      <c r="I191" s="2" t="n">
        <f aca="false">H191*(1-I$179)+H190*I$179</f>
        <v>0</v>
      </c>
      <c r="J191" s="2" t="n">
        <f aca="false">I191*(1-J$179)+I190*J$179</f>
        <v>0</v>
      </c>
      <c r="K191" s="2" t="n">
        <f aca="false">J191*(1-K$179)+J190*K$179</f>
        <v>0</v>
      </c>
      <c r="L191" s="2" t="n">
        <f aca="false">K191*(1-L$179)+K190*L$179</f>
        <v>0</v>
      </c>
      <c r="M191" s="2" t="n">
        <f aca="false">L191*(1-M$179)+L190*M$179</f>
        <v>0.00197243461781225</v>
      </c>
      <c r="N191" s="2" t="n">
        <f aca="false">M191*(1-N$179)+M190*N$179</f>
        <v>0.0173973440892341</v>
      </c>
      <c r="O191" s="2" t="n">
        <f aca="false">N191*(1-O$179)+N190*O$179</f>
        <v>0.0173973440892341</v>
      </c>
    </row>
    <row r="192" customFormat="false" ht="15" hidden="false" customHeight="false" outlineLevel="0" collapsed="false">
      <c r="B192" s="2" t="n">
        <v>12</v>
      </c>
      <c r="C192" s="2" t="n">
        <f aca="false">0</f>
        <v>0</v>
      </c>
      <c r="D192" s="2" t="n">
        <f aca="false">C192*(1-D$179)+C191*D$179</f>
        <v>0</v>
      </c>
      <c r="E192" s="2" t="n">
        <f aca="false">D192*(1-E$179)+D191*E$179</f>
        <v>0</v>
      </c>
      <c r="F192" s="2" t="n">
        <f aca="false">E192*(1-F$179)+E191*F$179</f>
        <v>0</v>
      </c>
      <c r="G192" s="2" t="n">
        <f aca="false">F192*(1-G$179)+F191*G$179</f>
        <v>0</v>
      </c>
      <c r="H192" s="2" t="n">
        <f aca="false">G192*(1-H$179)+G191*H$179</f>
        <v>0</v>
      </c>
      <c r="I192" s="2" t="n">
        <f aca="false">H192*(1-I$179)+H191*I$179</f>
        <v>0</v>
      </c>
      <c r="J192" s="2" t="n">
        <f aca="false">I192*(1-J$179)+I191*J$179</f>
        <v>0</v>
      </c>
      <c r="K192" s="2" t="n">
        <f aca="false">J192*(1-K$179)+J191*K$179</f>
        <v>0</v>
      </c>
      <c r="L192" s="2" t="n">
        <f aca="false">K192*(1-L$179)+K191*L$179</f>
        <v>0</v>
      </c>
      <c r="M192" s="2" t="n">
        <f aca="false">L192*(1-M$179)+L191*M$179</f>
        <v>0</v>
      </c>
      <c r="N192" s="2" t="n">
        <f aca="false">M192*(1-N$179)+M191*N$179</f>
        <v>0.00143967312599</v>
      </c>
      <c r="O192" s="2" t="n">
        <f aca="false">N192*(1-O$179)+N191*O$179</f>
        <v>0.00143967312599</v>
      </c>
    </row>
    <row r="193" customFormat="false" ht="15" hidden="false" customHeight="false" outlineLevel="0" collapsed="false">
      <c r="B193" s="2" t="n">
        <v>13</v>
      </c>
      <c r="C193" s="2" t="n">
        <f aca="false">0</f>
        <v>0</v>
      </c>
      <c r="D193" s="2" t="n">
        <f aca="false">C193*(1-D$179)+C192*D$179</f>
        <v>0</v>
      </c>
      <c r="E193" s="2" t="n">
        <f aca="false">D193*(1-E$179)+D192*E$179</f>
        <v>0</v>
      </c>
      <c r="F193" s="2" t="n">
        <f aca="false">E193*(1-F$179)+E192*F$179</f>
        <v>0</v>
      </c>
      <c r="G193" s="2" t="n">
        <f aca="false">F193*(1-G$179)+F192*G$179</f>
        <v>0</v>
      </c>
      <c r="H193" s="2" t="n">
        <f aca="false">G193*(1-H$179)+G192*H$179</f>
        <v>0</v>
      </c>
      <c r="I193" s="2" t="n">
        <f aca="false">H193*(1-I$179)+H192*I$179</f>
        <v>0</v>
      </c>
      <c r="J193" s="2" t="n">
        <f aca="false">I193*(1-J$179)+I192*J$179</f>
        <v>0</v>
      </c>
      <c r="K193" s="2" t="n">
        <f aca="false">J193*(1-K$179)+J192*K$179</f>
        <v>0</v>
      </c>
      <c r="L193" s="2" t="n">
        <f aca="false">K193*(1-L$179)+K192*L$179</f>
        <v>0</v>
      </c>
      <c r="M193" s="2" t="n">
        <f aca="false">L193*(1-M$179)+L192*M$179</f>
        <v>0</v>
      </c>
      <c r="N193" s="2" t="n">
        <f aca="false">M193*(1-N$179)+M192*N$179</f>
        <v>0</v>
      </c>
      <c r="O193" s="2" t="n">
        <f aca="false">N193*(1-O$179)+N192*O$179</f>
        <v>0</v>
      </c>
    </row>
    <row r="195" customFormat="false" ht="15" hidden="false" customHeight="false" outlineLevel="0" collapsed="false">
      <c r="A195" s="1" t="s">
        <v>70</v>
      </c>
      <c r="C195" s="2" t="n">
        <f aca="false">Schedule!G14</f>
        <v>0.919243340766229</v>
      </c>
      <c r="D195" s="2" t="n">
        <f aca="false">Schedule!L14</f>
        <v>0.731959467197592</v>
      </c>
      <c r="E195" s="2" t="n">
        <f aca="false">Schedule!Q14</f>
        <v>0.754116149619739</v>
      </c>
      <c r="F195" s="2" t="n">
        <f aca="false">Schedule!V14</f>
        <v>0.680375828482883</v>
      </c>
      <c r="G195" s="2" t="n">
        <f aca="false">Schedule!AA14</f>
        <v>0.740131219334939</v>
      </c>
      <c r="H195" s="2" t="n">
        <f aca="false">Schedule!AF14</f>
        <v>0.346882811263147</v>
      </c>
      <c r="I195" s="2" t="n">
        <f aca="false">Schedule!AK14</f>
        <v>0.445317796372433</v>
      </c>
      <c r="J195" s="2" t="n">
        <f aca="false">Schedule!AP14</f>
        <v>0.480061194161628</v>
      </c>
      <c r="K195" s="2" t="n">
        <f aca="false">Schedule!AU14</f>
        <v>0.370227827724972</v>
      </c>
      <c r="L195" s="2" t="n">
        <f aca="false">Schedule!AZ14</f>
        <v>0.629772172275028</v>
      </c>
      <c r="M195" s="2" t="n">
        <f aca="false">Schedule!BE14</f>
        <v>0.998019493377932</v>
      </c>
      <c r="N195" s="2" t="n">
        <f aca="false">Schedule!BJ14</f>
        <v>0.704538857537264</v>
      </c>
      <c r="O195" s="2" t="n">
        <f aca="false">Schedule!BO14</f>
        <v>0</v>
      </c>
    </row>
    <row r="196" customFormat="false" ht="15" hidden="false" customHeight="false" outlineLevel="0" collapsed="false">
      <c r="B196" s="2" t="n">
        <v>0</v>
      </c>
      <c r="C196" s="2" t="n">
        <f aca="false">1-C$195</f>
        <v>0.080756659233771</v>
      </c>
      <c r="D196" s="2" t="n">
        <f aca="false">C196*(1-D$195)</f>
        <v>0.0216460579683625</v>
      </c>
      <c r="E196" s="2" t="n">
        <f aca="false">D196*(1-E$195)</f>
        <v>0.0053224160788153</v>
      </c>
      <c r="F196" s="2" t="n">
        <f aca="false">E196*(1-F$195)</f>
        <v>0.00170117282966073</v>
      </c>
      <c r="G196" s="2" t="n">
        <f aca="false">F196*(1-G$195)</f>
        <v>0.000442081708944464</v>
      </c>
      <c r="H196" s="2" t="n">
        <f aca="false">G196*(1-H$195)</f>
        <v>0.000288731162937792</v>
      </c>
      <c r="I196" s="2" t="n">
        <f aca="false">H196*(1-I$195)</f>
        <v>0.000160154037714285</v>
      </c>
      <c r="J196" s="2" t="n">
        <f aca="false">I196*(1-J$195)</f>
        <v>8.32702991193589E-005</v>
      </c>
      <c r="K196" s="2" t="n">
        <f aca="false">J196*(1-K$195)</f>
        <v>5.244131716239E-005</v>
      </c>
      <c r="L196" s="2" t="n">
        <f aca="false">K196*(1-L$195)</f>
        <v>1.9415234936068E-005</v>
      </c>
      <c r="M196" s="2" t="n">
        <f aca="false">L196*(1-M$195)</f>
        <v>3.84520013598875E-008</v>
      </c>
      <c r="N196" s="2" t="n">
        <f aca="false">M196*(1-N$195)</f>
        <v>1.1361072251771E-008</v>
      </c>
      <c r="O196" s="2" t="n">
        <f aca="false">N196*(1-O$195)</f>
        <v>1.1361072251771E-008</v>
      </c>
    </row>
    <row r="197" customFormat="false" ht="15" hidden="false" customHeight="false" outlineLevel="0" collapsed="false">
      <c r="B197" s="2" t="n">
        <v>1</v>
      </c>
      <c r="C197" s="2" t="n">
        <f aca="false">C$195</f>
        <v>0.919243340766229</v>
      </c>
      <c r="D197" s="2" t="n">
        <f aca="false">C197*(1-D$195)+C196*D$195</f>
        <v>0.305505076099454</v>
      </c>
      <c r="E197" s="2" t="n">
        <f aca="false">D197*(1-E$195)+D196*E$195</f>
        <v>0.0914424063115956</v>
      </c>
      <c r="F197" s="2" t="n">
        <f aca="false">E197*(1-F$195)+E196*F$195</f>
        <v>0.03284844660803</v>
      </c>
      <c r="G197" s="2" t="n">
        <f aca="false">F197*(1-G$195)+F196*G$195</f>
        <v>0.00979537688748637</v>
      </c>
      <c r="H197" s="2" t="n">
        <f aca="false">G197*(1-H$195)+G196*H$195</f>
        <v>0.00655087956137972</v>
      </c>
      <c r="I197" s="2" t="n">
        <f aca="false">H197*(1-I$195)+H196*I$195</f>
        <v>0.0037622334360284</v>
      </c>
      <c r="J197" s="2" t="n">
        <f aca="false">I197*(1-J$195)+I196*J$195</f>
        <v>0.00203301489860873</v>
      </c>
      <c r="K197" s="2" t="n">
        <f aca="false">J197*(1-K$195)+J196*K$195</f>
        <v>0.00131116519092128</v>
      </c>
      <c r="L197" s="2" t="n">
        <f aca="false">K197*(1-L$195)+K196*L$195</f>
        <v>0.000518455922649707</v>
      </c>
      <c r="M197" s="2" t="n">
        <f aca="false">L197*(1-M$195)+L196*M$195</f>
        <v>2.04035883227662E-005</v>
      </c>
      <c r="N197" s="2" t="n">
        <f aca="false">M197*(1-N$195)+M196*N$195</f>
        <v>6.05555844529194E-006</v>
      </c>
      <c r="O197" s="2" t="n">
        <f aca="false">N197*(1-O$195)+N196*O$195</f>
        <v>6.05555844529194E-006</v>
      </c>
    </row>
    <row r="198" customFormat="false" ht="15" hidden="false" customHeight="false" outlineLevel="0" collapsed="false">
      <c r="B198" s="2" t="n">
        <v>2</v>
      </c>
      <c r="C198" s="2" t="n">
        <f aca="false">0</f>
        <v>0</v>
      </c>
      <c r="D198" s="2" t="n">
        <f aca="false">C198*(1-D$195)+C197*D$195</f>
        <v>0.672848865932184</v>
      </c>
      <c r="E198" s="2" t="n">
        <f aca="false">D198*(1-E$195)+D197*E$195</f>
        <v>0.395828981556803</v>
      </c>
      <c r="F198" s="2" t="n">
        <f aca="false">E198*(1-F$195)+E197*F$195</f>
        <v>0.188731713245278</v>
      </c>
      <c r="G198" s="2" t="n">
        <f aca="false">F198*(1-G$195)+F197*G$195</f>
        <v>0.0733576410351382</v>
      </c>
      <c r="H198" s="2" t="n">
        <f aca="false">G198*(1-H$195)+G197*H$195</f>
        <v>0.05130898415735</v>
      </c>
      <c r="I198" s="2" t="n">
        <f aca="false">H198*(1-I$195)+H197*I$195</f>
        <v>0.0313774036488657</v>
      </c>
      <c r="J198" s="2" t="n">
        <f aca="false">I198*(1-J$195)+I197*J$195</f>
        <v>0.0181204320595144</v>
      </c>
      <c r="K198" s="2" t="n">
        <f aca="false">J198*(1-K$195)+J197*K$195</f>
        <v>0.0121644225503268</v>
      </c>
      <c r="L198" s="2" t="n">
        <f aca="false">K198*(1-L$195)+K197*L$195</f>
        <v>0.00532934308683408</v>
      </c>
      <c r="M198" s="2" t="n">
        <f aca="false">L198*(1-M$195)+L197*M$195</f>
        <v>0.000527983916536396</v>
      </c>
      <c r="N198" s="2" t="n">
        <f aca="false">M198*(1-N$195)+M197*N$195</f>
        <v>0.000170373851988376</v>
      </c>
      <c r="O198" s="2" t="n">
        <f aca="false">N198*(1-O$195)+N197*O$195</f>
        <v>0.000170373851988376</v>
      </c>
    </row>
    <row r="199" customFormat="false" ht="15" hidden="false" customHeight="false" outlineLevel="0" collapsed="false">
      <c r="B199" s="2" t="n">
        <v>3</v>
      </c>
      <c r="C199" s="2" t="n">
        <f aca="false">0</f>
        <v>0</v>
      </c>
      <c r="D199" s="2" t="n">
        <f aca="false">C199*(1-D$195)+C198*D$195</f>
        <v>0</v>
      </c>
      <c r="E199" s="2" t="n">
        <f aca="false">D199*(1-E$195)+D198*E$195</f>
        <v>0.507406196052786</v>
      </c>
      <c r="F199" s="2" t="n">
        <f aca="false">E199*(1-F$195)+E198*F$195</f>
        <v>0.431491756300269</v>
      </c>
      <c r="G199" s="2" t="n">
        <f aca="false">F199*(1-G$195)+F198*G$195</f>
        <v>0.251817469628176</v>
      </c>
      <c r="H199" s="2" t="n">
        <f aca="false">G199*(1-H$195)+G198*H$195</f>
        <v>0.189912822588284</v>
      </c>
      <c r="I199" s="2" t="n">
        <f aca="false">H199*(1-I$195)+H198*I$195</f>
        <v>0.12819006668946</v>
      </c>
      <c r="J199" s="2" t="n">
        <f aca="false">I199*(1-J$195)+I198*J$195</f>
        <v>0.0817140640602249</v>
      </c>
      <c r="K199" s="2" t="n">
        <f aca="false">J199*(1-K$195)+J198*K$195</f>
        <v>0.0581699318274605</v>
      </c>
      <c r="L199" s="2" t="n">
        <f aca="false">K199*(1-L$195)+K198*L$195</f>
        <v>0.0291969423133811</v>
      </c>
      <c r="M199" s="2" t="n">
        <f aca="false">L199*(1-M$195)+L198*M$195</f>
        <v>0.00537661302515512</v>
      </c>
      <c r="N199" s="2" t="n">
        <f aca="false">M199*(1-N$195)+M198*N$195</f>
        <v>0.00196056541234696</v>
      </c>
      <c r="O199" s="2" t="n">
        <f aca="false">N199*(1-O$195)+N198*O$195</f>
        <v>0.00196056541234696</v>
      </c>
    </row>
    <row r="200" customFormat="false" ht="15" hidden="false" customHeight="false" outlineLevel="0" collapsed="false">
      <c r="B200" s="2" t="n">
        <v>4</v>
      </c>
      <c r="C200" s="2" t="n">
        <f aca="false">0</f>
        <v>0</v>
      </c>
      <c r="D200" s="2" t="n">
        <f aca="false">C200*(1-D$195)+C199*D$195</f>
        <v>0</v>
      </c>
      <c r="E200" s="2" t="n">
        <f aca="false">D200*(1-E$195)+D199*E$195</f>
        <v>0</v>
      </c>
      <c r="F200" s="2" t="n">
        <f aca="false">E200*(1-F$195)+E199*F$195</f>
        <v>0.345226911016762</v>
      </c>
      <c r="G200" s="2" t="n">
        <f aca="false">F200*(1-G$195)+F199*G$195</f>
        <v>0.409074216142184</v>
      </c>
      <c r="H200" s="2" t="n">
        <f aca="false">G200*(1-H$195)+G199*H$195</f>
        <v>0.354524553821309</v>
      </c>
      <c r="I200" s="2" t="n">
        <f aca="false">H200*(1-I$195)+H199*I$195</f>
        <v>0.281220020411567</v>
      </c>
      <c r="J200" s="2" t="n">
        <f aca="false">I200*(1-J$195)+I199*J$195</f>
        <v>0.207756278085234</v>
      </c>
      <c r="K200" s="2" t="n">
        <f aca="false">J200*(1-K$195)+J199*K$195</f>
        <v>0.161091942985109</v>
      </c>
      <c r="L200" s="2" t="n">
        <f aca="false">K200*(1-L$195)+K199*L$195</f>
        <v>0.096274524443442</v>
      </c>
      <c r="M200" s="2" t="n">
        <f aca="false">L200*(1-M$195)+L199*M$195</f>
        <v>0.029329789908982</v>
      </c>
      <c r="N200" s="2" t="n">
        <f aca="false">M200*(1-N$195)+M199*N$195</f>
        <v>0.0124538460328626</v>
      </c>
      <c r="O200" s="2" t="n">
        <f aca="false">N200*(1-O$195)+N199*O$195</f>
        <v>0.0124538460328626</v>
      </c>
    </row>
    <row r="201" customFormat="false" ht="15" hidden="false" customHeight="false" outlineLevel="0" collapsed="false">
      <c r="B201" s="2" t="n">
        <v>5</v>
      </c>
      <c r="C201" s="2" t="n">
        <f aca="false">0</f>
        <v>0</v>
      </c>
      <c r="D201" s="2" t="n">
        <f aca="false">C201*(1-D$195)+C200*D$195</f>
        <v>0</v>
      </c>
      <c r="E201" s="2" t="n">
        <f aca="false">D201*(1-E$195)+D200*E$195</f>
        <v>0</v>
      </c>
      <c r="F201" s="2" t="n">
        <f aca="false">E201*(1-F$195)+E200*F$195</f>
        <v>0</v>
      </c>
      <c r="G201" s="2" t="n">
        <f aca="false">F201*(1-G$195)+F200*G$195</f>
        <v>0.255513214598071</v>
      </c>
      <c r="H201" s="2" t="n">
        <f aca="false">G201*(1-H$195)+G200*H$195</f>
        <v>0.308780886514077</v>
      </c>
      <c r="I201" s="2" t="n">
        <f aca="false">H201*(1-I$195)+H200*I$195</f>
        <v>0.329151355637327</v>
      </c>
      <c r="J201" s="2" t="n">
        <f aca="false">I201*(1-J$195)+I200*J$195</f>
        <v>0.306141381611088</v>
      </c>
      <c r="K201" s="2" t="n">
        <f aca="false">J201*(1-K$195)+J200*K$195</f>
        <v>0.269716478452214</v>
      </c>
      <c r="L201" s="2" t="n">
        <f aca="false">K201*(1-L$195)+K200*L$195</f>
        <v>0.201307768788729</v>
      </c>
      <c r="M201" s="2" t="n">
        <f aca="false">L201*(1-M$195)+L200*M$195</f>
        <v>0.0964825434794051</v>
      </c>
      <c r="N201" s="2" t="n">
        <f aca="false">M201*(1-N$195)+M200*N$195</f>
        <v>0.0491708191984178</v>
      </c>
      <c r="O201" s="2" t="n">
        <f aca="false">N201*(1-O$195)+N200*O$195</f>
        <v>0.0491708191984178</v>
      </c>
    </row>
    <row r="202" customFormat="false" ht="15" hidden="false" customHeight="false" outlineLevel="0" collapsed="false">
      <c r="B202" s="2" t="n">
        <v>6</v>
      </c>
      <c r="C202" s="2" t="n">
        <f aca="false">0</f>
        <v>0</v>
      </c>
      <c r="D202" s="2" t="n">
        <f aca="false">C202*(1-D$195)+C201*D$195</f>
        <v>0</v>
      </c>
      <c r="E202" s="2" t="n">
        <f aca="false">D202*(1-E$195)+D201*E$195</f>
        <v>0</v>
      </c>
      <c r="F202" s="2" t="n">
        <f aca="false">E202*(1-F$195)+E201*F$195</f>
        <v>0</v>
      </c>
      <c r="G202" s="2" t="n">
        <f aca="false">F202*(1-G$195)+F201*G$195</f>
        <v>0</v>
      </c>
      <c r="H202" s="2" t="n">
        <f aca="false">G202*(1-H$195)+G201*H$195</f>
        <v>0.0886331421946625</v>
      </c>
      <c r="I202" s="2" t="n">
        <f aca="false">H202*(1-I$195)+H201*I$195</f>
        <v>0.186668850571346</v>
      </c>
      <c r="J202" s="2" t="n">
        <f aca="false">I202*(1-J$195)+I201*J$195</f>
        <v>0.255069172100461</v>
      </c>
      <c r="K202" s="2" t="n">
        <f aca="false">J202*(1-K$195)+J201*K$195</f>
        <v>0.273977525284695</v>
      </c>
      <c r="L202" s="2" t="n">
        <f aca="false">K202*(1-L$195)+K201*L$195</f>
        <v>0.271294036564838</v>
      </c>
      <c r="M202" s="2" t="n">
        <f aca="false">L202*(1-M$195)+L201*M$195</f>
        <v>0.201446377055514</v>
      </c>
      <c r="N202" s="2" t="n">
        <f aca="false">M202*(1-N$195)+M201*N$195</f>
        <v>0.127495277665071</v>
      </c>
      <c r="O202" s="2" t="n">
        <f aca="false">N202*(1-O$195)+N201*O$195</f>
        <v>0.127495277665071</v>
      </c>
    </row>
    <row r="203" customFormat="false" ht="15" hidden="false" customHeight="false" outlineLevel="0" collapsed="false">
      <c r="B203" s="2" t="n">
        <v>7</v>
      </c>
      <c r="C203" s="2" t="n">
        <f aca="false">0</f>
        <v>0</v>
      </c>
      <c r="D203" s="2" t="n">
        <f aca="false">C203*(1-D$195)+C202*D$195</f>
        <v>0</v>
      </c>
      <c r="E203" s="2" t="n">
        <f aca="false">D203*(1-E$195)+D202*E$195</f>
        <v>0</v>
      </c>
      <c r="F203" s="2" t="n">
        <f aca="false">E203*(1-F$195)+E202*F$195</f>
        <v>0</v>
      </c>
      <c r="G203" s="2" t="n">
        <f aca="false">F203*(1-G$195)+F202*G$195</f>
        <v>0</v>
      </c>
      <c r="H203" s="2" t="n">
        <f aca="false">G203*(1-H$195)+G202*H$195</f>
        <v>0</v>
      </c>
      <c r="I203" s="2" t="n">
        <f aca="false">H203*(1-I$195)+H202*I$195</f>
        <v>0.0394699155676916</v>
      </c>
      <c r="J203" s="2" t="n">
        <f aca="false">I203*(1-J$195)+I202*J$195</f>
        <v>0.110134412084866</v>
      </c>
      <c r="K203" s="2" t="n">
        <f aca="false">J203*(1-K$195)+J202*K$195</f>
        <v>0.16379329344728</v>
      </c>
      <c r="L203" s="2" t="n">
        <f aca="false">K203*(1-L$195)+K202*L$195</f>
        <v>0.233184256481984</v>
      </c>
      <c r="M203" s="2" t="n">
        <f aca="false">L203*(1-M$195)+L202*M$195</f>
        <v>0.271218559893018</v>
      </c>
      <c r="N203" s="2" t="n">
        <f aca="false">M203*(1-N$195)+M202*N$195</f>
        <v>0.222061345908802</v>
      </c>
      <c r="O203" s="2" t="n">
        <f aca="false">N203*(1-O$195)+N202*O$195</f>
        <v>0.222061345908802</v>
      </c>
    </row>
    <row r="204" customFormat="false" ht="15" hidden="false" customHeight="false" outlineLevel="0" collapsed="false">
      <c r="B204" s="2" t="n">
        <v>8</v>
      </c>
      <c r="C204" s="2" t="n">
        <f aca="false">0</f>
        <v>0</v>
      </c>
      <c r="D204" s="2" t="n">
        <f aca="false">C204*(1-D$195)+C203*D$195</f>
        <v>0</v>
      </c>
      <c r="E204" s="2" t="n">
        <f aca="false">D204*(1-E$195)+D203*E$195</f>
        <v>0</v>
      </c>
      <c r="F204" s="2" t="n">
        <f aca="false">E204*(1-F$195)+E203*F$195</f>
        <v>0</v>
      </c>
      <c r="G204" s="2" t="n">
        <f aca="false">F204*(1-G$195)+F203*G$195</f>
        <v>0</v>
      </c>
      <c r="H204" s="2" t="n">
        <f aca="false">G204*(1-H$195)+G203*H$195</f>
        <v>0</v>
      </c>
      <c r="I204" s="2" t="n">
        <f aca="false">H204*(1-I$195)+H203*I$195</f>
        <v>0</v>
      </c>
      <c r="J204" s="2" t="n">
        <f aca="false">I204*(1-J$195)+I203*J$195</f>
        <v>0.0189479748008846</v>
      </c>
      <c r="K204" s="2" t="n">
        <f aca="false">J204*(1-K$195)+J203*K$195</f>
        <v>0.0527077313945124</v>
      </c>
      <c r="L204" s="2" t="n">
        <f aca="false">K204*(1-L$195)+K203*L$195</f>
        <v>0.122666327116876</v>
      </c>
      <c r="M204" s="2" t="n">
        <f aca="false">L204*(1-M$195)+L203*M$195</f>
        <v>0.232965374991019</v>
      </c>
      <c r="N204" s="2" t="n">
        <f aca="false">M204*(1-N$195)+M203*N$195</f>
        <v>0.259916230179035</v>
      </c>
      <c r="O204" s="2" t="n">
        <f aca="false">N204*(1-O$195)+N203*O$195</f>
        <v>0.259916230179035</v>
      </c>
    </row>
    <row r="205" customFormat="false" ht="15" hidden="false" customHeight="false" outlineLevel="0" collapsed="false">
      <c r="B205" s="2" t="n">
        <v>9</v>
      </c>
      <c r="C205" s="2" t="n">
        <f aca="false">0</f>
        <v>0</v>
      </c>
      <c r="D205" s="2" t="n">
        <f aca="false">C205*(1-D$195)+C204*D$195</f>
        <v>0</v>
      </c>
      <c r="E205" s="2" t="n">
        <f aca="false">D205*(1-E$195)+D204*E$195</f>
        <v>0</v>
      </c>
      <c r="F205" s="2" t="n">
        <f aca="false">E205*(1-F$195)+E204*F$195</f>
        <v>0</v>
      </c>
      <c r="G205" s="2" t="n">
        <f aca="false">F205*(1-G$195)+F204*G$195</f>
        <v>0</v>
      </c>
      <c r="H205" s="2" t="n">
        <f aca="false">G205*(1-H$195)+G204*H$195</f>
        <v>0</v>
      </c>
      <c r="I205" s="2" t="n">
        <f aca="false">H205*(1-I$195)+H204*I$195</f>
        <v>0</v>
      </c>
      <c r="J205" s="2" t="n">
        <f aca="false">I205*(1-J$195)+I204*J$195</f>
        <v>0</v>
      </c>
      <c r="K205" s="2" t="n">
        <f aca="false">J205*(1-K$195)+J204*K$195</f>
        <v>0.00701506755031904</v>
      </c>
      <c r="L205" s="2" t="n">
        <f aca="false">K205*(1-L$195)+K204*L$195</f>
        <v>0.0357910357165093</v>
      </c>
      <c r="M205" s="2" t="n">
        <f aca="false">L205*(1-M$195)+L204*M$195</f>
        <v>0.122494270026964</v>
      </c>
      <c r="N205" s="2" t="n">
        <f aca="false">M205*(1-N$195)+M204*N$195</f>
        <v>0.200325456109219</v>
      </c>
      <c r="O205" s="2" t="n">
        <f aca="false">N205*(1-O$195)+N204*O$195</f>
        <v>0.200325456109219</v>
      </c>
    </row>
    <row r="206" customFormat="false" ht="15" hidden="false" customHeight="false" outlineLevel="0" collapsed="false">
      <c r="B206" s="2" t="n">
        <v>10</v>
      </c>
      <c r="C206" s="2" t="n">
        <f aca="false">0</f>
        <v>0</v>
      </c>
      <c r="D206" s="2" t="n">
        <f aca="false">C206*(1-D$195)+C205*D$195</f>
        <v>0</v>
      </c>
      <c r="E206" s="2" t="n">
        <f aca="false">D206*(1-E$195)+D205*E$195</f>
        <v>0</v>
      </c>
      <c r="F206" s="2" t="n">
        <f aca="false">E206*(1-F$195)+E205*F$195</f>
        <v>0</v>
      </c>
      <c r="G206" s="2" t="n">
        <f aca="false">F206*(1-G$195)+F205*G$195</f>
        <v>0</v>
      </c>
      <c r="H206" s="2" t="n">
        <f aca="false">G206*(1-H$195)+G205*H$195</f>
        <v>0</v>
      </c>
      <c r="I206" s="2" t="n">
        <f aca="false">H206*(1-I$195)+H205*I$195</f>
        <v>0</v>
      </c>
      <c r="J206" s="2" t="n">
        <f aca="false">I206*(1-J$195)+I205*J$195</f>
        <v>0</v>
      </c>
      <c r="K206" s="2" t="n">
        <f aca="false">J206*(1-K$195)+J205*K$195</f>
        <v>0</v>
      </c>
      <c r="L206" s="2" t="n">
        <f aca="false">K206*(1-L$195)+K205*L$195</f>
        <v>0.00441789432982048</v>
      </c>
      <c r="M206" s="2" t="n">
        <f aca="false">L206*(1-M$195)+L205*M$195</f>
        <v>0.0357289010022379</v>
      </c>
      <c r="N206" s="2" t="n">
        <f aca="false">M206*(1-N$195)+M205*N$195</f>
        <v>0.0968584749687173</v>
      </c>
      <c r="O206" s="2" t="n">
        <f aca="false">N206*(1-O$195)+N205*O$195</f>
        <v>0.0968584749687173</v>
      </c>
    </row>
    <row r="207" customFormat="false" ht="15" hidden="false" customHeight="false" outlineLevel="0" collapsed="false">
      <c r="B207" s="2" t="n">
        <v>11</v>
      </c>
      <c r="C207" s="2" t="n">
        <f aca="false">0</f>
        <v>0</v>
      </c>
      <c r="D207" s="2" t="n">
        <f aca="false">C207*(1-D$195)+C206*D$195</f>
        <v>0</v>
      </c>
      <c r="E207" s="2" t="n">
        <f aca="false">D207*(1-E$195)+D206*E$195</f>
        <v>0</v>
      </c>
      <c r="F207" s="2" t="n">
        <f aca="false">E207*(1-F$195)+E206*F$195</f>
        <v>0</v>
      </c>
      <c r="G207" s="2" t="n">
        <f aca="false">F207*(1-G$195)+F206*G$195</f>
        <v>0</v>
      </c>
      <c r="H207" s="2" t="n">
        <f aca="false">G207*(1-H$195)+G206*H$195</f>
        <v>0</v>
      </c>
      <c r="I207" s="2" t="n">
        <f aca="false">H207*(1-I$195)+H206*I$195</f>
        <v>0</v>
      </c>
      <c r="J207" s="2" t="n">
        <f aca="false">I207*(1-J$195)+I206*J$195</f>
        <v>0</v>
      </c>
      <c r="K207" s="2" t="n">
        <f aca="false">J207*(1-K$195)+J206*K$195</f>
        <v>0</v>
      </c>
      <c r="L207" s="2" t="n">
        <f aca="false">K207*(1-L$195)+K206*L$195</f>
        <v>0</v>
      </c>
      <c r="M207" s="2" t="n">
        <f aca="false">L207*(1-M$195)+L206*M$195</f>
        <v>0.00440914466084467</v>
      </c>
      <c r="N207" s="2" t="n">
        <f aca="false">M207*(1-N$195)+M206*N$195</f>
        <v>0.0264751300119553</v>
      </c>
      <c r="O207" s="2" t="n">
        <f aca="false">N207*(1-O$195)+N206*O$195</f>
        <v>0.0264751300119553</v>
      </c>
    </row>
    <row r="208" customFormat="false" ht="15" hidden="false" customHeight="false" outlineLevel="0" collapsed="false">
      <c r="B208" s="2" t="n">
        <v>12</v>
      </c>
      <c r="C208" s="2" t="n">
        <f aca="false">0</f>
        <v>0</v>
      </c>
      <c r="D208" s="2" t="n">
        <f aca="false">C208*(1-D$195)+C207*D$195</f>
        <v>0</v>
      </c>
      <c r="E208" s="2" t="n">
        <f aca="false">D208*(1-E$195)+D207*E$195</f>
        <v>0</v>
      </c>
      <c r="F208" s="2" t="n">
        <f aca="false">E208*(1-F$195)+E207*F$195</f>
        <v>0</v>
      </c>
      <c r="G208" s="2" t="n">
        <f aca="false">F208*(1-G$195)+F207*G$195</f>
        <v>0</v>
      </c>
      <c r="H208" s="2" t="n">
        <f aca="false">G208*(1-H$195)+G207*H$195</f>
        <v>0</v>
      </c>
      <c r="I208" s="2" t="n">
        <f aca="false">H208*(1-I$195)+H207*I$195</f>
        <v>0</v>
      </c>
      <c r="J208" s="2" t="n">
        <f aca="false">I208*(1-J$195)+I207*J$195</f>
        <v>0</v>
      </c>
      <c r="K208" s="2" t="n">
        <f aca="false">J208*(1-K$195)+J207*K$195</f>
        <v>0</v>
      </c>
      <c r="L208" s="2" t="n">
        <f aca="false">K208*(1-L$195)+K207*L$195</f>
        <v>0</v>
      </c>
      <c r="M208" s="2" t="n">
        <f aca="false">L208*(1-M$195)+L207*M$195</f>
        <v>0</v>
      </c>
      <c r="N208" s="2" t="n">
        <f aca="false">M208*(1-N$195)+M207*N$195</f>
        <v>0.00310641374206803</v>
      </c>
      <c r="O208" s="2" t="n">
        <f aca="false">N208*(1-O$195)+N207*O$195</f>
        <v>0.00310641374206803</v>
      </c>
    </row>
    <row r="209" customFormat="false" ht="15" hidden="false" customHeight="false" outlineLevel="0" collapsed="false">
      <c r="B209" s="2" t="n">
        <v>13</v>
      </c>
      <c r="C209" s="2" t="n">
        <f aca="false">0</f>
        <v>0</v>
      </c>
      <c r="D209" s="2" t="n">
        <f aca="false">C209*(1-D$195)+C208*D$195</f>
        <v>0</v>
      </c>
      <c r="E209" s="2" t="n">
        <f aca="false">D209*(1-E$195)+D208*E$195</f>
        <v>0</v>
      </c>
      <c r="F209" s="2" t="n">
        <f aca="false">E209*(1-F$195)+E208*F$195</f>
        <v>0</v>
      </c>
      <c r="G209" s="2" t="n">
        <f aca="false">F209*(1-G$195)+F208*G$195</f>
        <v>0</v>
      </c>
      <c r="H209" s="2" t="n">
        <f aca="false">G209*(1-H$195)+G208*H$195</f>
        <v>0</v>
      </c>
      <c r="I209" s="2" t="n">
        <f aca="false">H209*(1-I$195)+H208*I$195</f>
        <v>0</v>
      </c>
      <c r="J209" s="2" t="n">
        <f aca="false">I209*(1-J$195)+I208*J$195</f>
        <v>0</v>
      </c>
      <c r="K209" s="2" t="n">
        <f aca="false">J209*(1-K$195)+J208*K$195</f>
        <v>0</v>
      </c>
      <c r="L209" s="2" t="n">
        <f aca="false">K209*(1-L$195)+K208*L$195</f>
        <v>0</v>
      </c>
      <c r="M209" s="2" t="n">
        <f aca="false">L209*(1-M$195)+L208*M$195</f>
        <v>0</v>
      </c>
      <c r="N209" s="2" t="n">
        <f aca="false">M209*(1-N$195)+M208*N$195</f>
        <v>0</v>
      </c>
      <c r="O209" s="2" t="n">
        <f aca="false">N209*(1-O$195)+N208*O$195</f>
        <v>0</v>
      </c>
    </row>
    <row r="211" customFormat="false" ht="15" hidden="false" customHeight="false" outlineLevel="0" collapsed="false">
      <c r="A211" s="1" t="s">
        <v>71</v>
      </c>
      <c r="C211" s="2" t="n">
        <f aca="false">Schedule!G15</f>
        <v>0.997898433697209</v>
      </c>
      <c r="D211" s="2" t="n">
        <f aca="false">Schedule!L15</f>
        <v>0.710980018637507</v>
      </c>
      <c r="E211" s="2" t="n">
        <f aca="false">Schedule!Q15</f>
        <v>0.979510874525774</v>
      </c>
      <c r="F211" s="2" t="n">
        <f aca="false">Schedule!V15</f>
        <v>0.425634311844103</v>
      </c>
      <c r="G211" s="2" t="n">
        <f aca="false">Schedule!AA15</f>
        <v>0.698032455319819</v>
      </c>
      <c r="H211" s="2" t="n">
        <f aca="false">Schedule!AF15</f>
        <v>0.717354351502799</v>
      </c>
      <c r="I211" s="2" t="n">
        <f aca="false">Schedule!AK15</f>
        <v>0.554682203627567</v>
      </c>
      <c r="J211" s="2" t="n">
        <f aca="false">Schedule!AP15</f>
        <v>0.554682203627567</v>
      </c>
      <c r="K211" s="2" t="n">
        <f aca="false">Schedule!AU15</f>
        <v>0.819247215233424</v>
      </c>
      <c r="L211" s="2" t="n">
        <f aca="false">Schedule!AZ15</f>
        <v>0.351508875516277</v>
      </c>
      <c r="M211" s="2" t="n">
        <f aca="false">Schedule!BE15</f>
        <v>0.48504317007409</v>
      </c>
      <c r="N211" s="2" t="n">
        <f aca="false">Schedule!BJ15</f>
        <v>0.622669718470157</v>
      </c>
      <c r="O211" s="2" t="n">
        <f aca="false">Schedule!BO15</f>
        <v>0</v>
      </c>
    </row>
    <row r="212" customFormat="false" ht="15" hidden="false" customHeight="false" outlineLevel="0" collapsed="false">
      <c r="B212" s="2" t="n">
        <v>0</v>
      </c>
      <c r="C212" s="2" t="n">
        <f aca="false">1-C$211</f>
        <v>0.00210156630279101</v>
      </c>
      <c r="D212" s="2" t="n">
        <f aca="false">C212*(1-D$211)</f>
        <v>0.000607394653664703</v>
      </c>
      <c r="E212" s="2" t="n">
        <f aca="false">D212*(1-E$211)</f>
        <v>1.24449852713101E-005</v>
      </c>
      <c r="F212" s="2" t="n">
        <f aca="false">E212*(1-F$211)</f>
        <v>7.14797252944601E-006</v>
      </c>
      <c r="G212" s="2" t="n">
        <f aca="false">F212*(1-G$211)</f>
        <v>2.15845571415819E-006</v>
      </c>
      <c r="H212" s="2" t="n">
        <f aca="false">G212*(1-H$211)</f>
        <v>6.10078115080731E-007</v>
      </c>
      <c r="I212" s="2" t="n">
        <f aca="false">H212*(1-I$211)</f>
        <v>2.71678641822799E-007</v>
      </c>
      <c r="J212" s="2" t="n">
        <f aca="false">I212*(1-J$211)</f>
        <v>1.20983334097984E-007</v>
      </c>
      <c r="K212" s="2" t="n">
        <f aca="false">J212*(1-K$211)</f>
        <v>2.18680745485557E-008</v>
      </c>
      <c r="L212" s="2" t="n">
        <f aca="false">K212*(1-L$211)</f>
        <v>1.41812522542868E-008</v>
      </c>
      <c r="M212" s="2" t="n">
        <f aca="false">L212*(1-M$211)</f>
        <v>7.30273270524718E-009</v>
      </c>
      <c r="N212" s="2" t="n">
        <f aca="false">M212*(1-N$211)</f>
        <v>2.75554218760811E-009</v>
      </c>
      <c r="O212" s="2" t="n">
        <f aca="false">N212*(1-O$211)</f>
        <v>2.75554218760811E-009</v>
      </c>
    </row>
    <row r="213" customFormat="false" ht="15" hidden="false" customHeight="false" outlineLevel="0" collapsed="false">
      <c r="B213" s="2" t="n">
        <v>1</v>
      </c>
      <c r="C213" s="2" t="n">
        <f aca="false">C$211</f>
        <v>0.997898433697209</v>
      </c>
      <c r="D213" s="2" t="n">
        <f aca="false">C213*(1-D$211)+C212*D$211</f>
        <v>0.289906758357955</v>
      </c>
      <c r="E213" s="2" t="n">
        <f aca="false">D213*(1-E$211)+D212*E$211</f>
        <v>0.00653488561621561</v>
      </c>
      <c r="F213" s="2" t="n">
        <f aca="false">E213*(1-F$211)+E212*F$211</f>
        <v>0.00375871108671962</v>
      </c>
      <c r="G213" s="2" t="n">
        <f aca="false">F213*(1-G$211)+F212*G$211</f>
        <v>0.00113999827483419</v>
      </c>
      <c r="H213" s="2" t="n">
        <f aca="false">G213*(1-H$211)+G212*H$211</f>
        <v>0.000323763929275276</v>
      </c>
      <c r="I213" s="2" t="n">
        <f aca="false">H213*(1-I$211)+H212*I$211</f>
        <v>0.000144516239003004</v>
      </c>
      <c r="J213" s="2" t="n">
        <f aca="false">I213*(1-J$211)+I212*J$211</f>
        <v>6.45063484005744E-005</v>
      </c>
      <c r="K213" s="2" t="n">
        <f aca="false">J213*(1-K$211)+J212*K$211</f>
        <v>1.17588173680762E-005</v>
      </c>
      <c r="L213" s="2" t="n">
        <f aca="false">K213*(1-L$211)+K212*L$211</f>
        <v>7.63317551991674E-006</v>
      </c>
      <c r="M213" s="2" t="n">
        <f aca="false">L213*(1-M$211)+L212*M$211</f>
        <v>3.93763438755342E-006</v>
      </c>
      <c r="N213" s="2" t="n">
        <f aca="false">M213*(1-N$211)+M212*N$211</f>
        <v>1.49033588253476E-006</v>
      </c>
      <c r="O213" s="2" t="n">
        <f aca="false">N213*(1-O$211)+N212*O$211</f>
        <v>1.49033588253476E-006</v>
      </c>
    </row>
    <row r="214" customFormat="false" ht="15" hidden="false" customHeight="false" outlineLevel="0" collapsed="false">
      <c r="B214" s="2" t="n">
        <v>2</v>
      </c>
      <c r="C214" s="2" t="n">
        <f aca="false">0</f>
        <v>0</v>
      </c>
      <c r="D214" s="2" t="n">
        <f aca="false">C214*(1-D$211)+C213*D$211</f>
        <v>0.70948584698838</v>
      </c>
      <c r="E214" s="2" t="n">
        <f aca="false">D214*(1-E$211)+D213*E$211</f>
        <v>0.298503566951265</v>
      </c>
      <c r="F214" s="2" t="n">
        <f aca="false">E214*(1-F$211)+E213*F$211</f>
        <v>0.174231678191191</v>
      </c>
      <c r="G214" s="2" t="n">
        <f aca="false">F214*(1-G$211)+F213*G$211</f>
        <v>0.0552360143976021</v>
      </c>
      <c r="H214" s="2" t="n">
        <f aca="false">G214*(1-H$211)+G213*H$211</f>
        <v>0.016430001832969</v>
      </c>
      <c r="I214" s="2" t="n">
        <f aca="false">H214*(1-I$211)+H213*I$211</f>
        <v>0.0074961583003983</v>
      </c>
      <c r="J214" s="2" t="n">
        <f aca="false">I214*(1-J$211)+I213*J$211</f>
        <v>0.00341833328150244</v>
      </c>
      <c r="K214" s="2" t="n">
        <f aca="false">J214*(1-K$211)+J213*K$211</f>
        <v>0.000670719906183883</v>
      </c>
      <c r="L214" s="2" t="n">
        <f aca="false">K214*(1-L$211)+K213*L$211</f>
        <v>0.000439089234845257</v>
      </c>
      <c r="M214" s="2" t="n">
        <f aca="false">L214*(1-M$211)+L213*M$211</f>
        <v>0.000229814420082419</v>
      </c>
      <c r="N214" s="2" t="n">
        <f aca="false">M214*(1-N$211)+M213*N$211</f>
        <v>8.91677855248531E-005</v>
      </c>
      <c r="O214" s="2" t="n">
        <f aca="false">N214*(1-O$211)+N213*O$211</f>
        <v>8.91677855248531E-005</v>
      </c>
    </row>
    <row r="215" customFormat="false" ht="15" hidden="false" customHeight="false" outlineLevel="0" collapsed="false">
      <c r="B215" s="2" t="n">
        <v>3</v>
      </c>
      <c r="C215" s="2" t="n">
        <f aca="false">0</f>
        <v>0</v>
      </c>
      <c r="D215" s="2" t="n">
        <f aca="false">C215*(1-D$211)+C214*D$211</f>
        <v>0</v>
      </c>
      <c r="E215" s="2" t="n">
        <f aca="false">D215*(1-E$211)+D214*E$211</f>
        <v>0.694949102447248</v>
      </c>
      <c r="F215" s="2" t="n">
        <f aca="false">E215*(1-F$211)+E214*F$211</f>
        <v>0.526208279762748</v>
      </c>
      <c r="G215" s="2" t="n">
        <f aca="false">F215*(1-G$211)+F214*G$211</f>
        <v>0.280517188352629</v>
      </c>
      <c r="H215" s="2" t="n">
        <f aca="false">G215*(1-H$211)+G214*H$211</f>
        <v>0.118910757904331</v>
      </c>
      <c r="I215" s="2" t="n">
        <f aca="false">H215*(1-I$211)+H214*I$211</f>
        <v>0.0620665062972488</v>
      </c>
      <c r="J215" s="2" t="n">
        <f aca="false">I215*(1-J$211)+I214*J$211</f>
        <v>0.0317973054176326</v>
      </c>
      <c r="K215" s="2" t="n">
        <f aca="false">J215*(1-K$211)+J214*K$211</f>
        <v>0.00854791152392103</v>
      </c>
      <c r="L215" s="2" t="n">
        <f aca="false">K215*(1-L$211)+K214*L$211</f>
        <v>0.00577900875614401</v>
      </c>
      <c r="M215" s="2" t="n">
        <f aca="false">L215*(1-M$211)+L214*M$211</f>
        <v>0.00318891726359274</v>
      </c>
      <c r="N215" s="2" t="n">
        <f aca="false">M215*(1-N$211)+M214*N$211</f>
        <v>0.00134637352909993</v>
      </c>
      <c r="O215" s="2" t="n">
        <f aca="false">N215*(1-O$211)+N214*O$211</f>
        <v>0.00134637352909993</v>
      </c>
    </row>
    <row r="216" customFormat="false" ht="15" hidden="false" customHeight="false" outlineLevel="0" collapsed="false">
      <c r="B216" s="2" t="n">
        <v>4</v>
      </c>
      <c r="C216" s="2" t="n">
        <f aca="false">0</f>
        <v>0</v>
      </c>
      <c r="D216" s="2" t="n">
        <f aca="false">C216*(1-D$211)+C215*D$211</f>
        <v>0</v>
      </c>
      <c r="E216" s="2" t="n">
        <f aca="false">D216*(1-E$211)+D215*E$211</f>
        <v>0</v>
      </c>
      <c r="F216" s="2" t="n">
        <f aca="false">E216*(1-F$211)+E215*F$211</f>
        <v>0.295794182986811</v>
      </c>
      <c r="G216" s="2" t="n">
        <f aca="false">F216*(1-G$211)+F215*G$211</f>
        <v>0.456630700699617</v>
      </c>
      <c r="H216" s="2" t="n">
        <f aca="false">G216*(1-H$211)+G215*H$211</f>
        <v>0.330294906259063</v>
      </c>
      <c r="I216" s="2" t="n">
        <f aca="false">H216*(1-I$211)+H215*I$211</f>
        <v>0.213043881037724</v>
      </c>
      <c r="J216" s="2" t="n">
        <f aca="false">I216*(1-J$211)+I215*J$211</f>
        <v>0.129299418118772</v>
      </c>
      <c r="K216" s="2" t="n">
        <f aca="false">J216*(1-K$211)+J215*K$211</f>
        <v>0.0494210838089881</v>
      </c>
      <c r="L216" s="2" t="n">
        <f aca="false">K216*(1-L$211)+K215*L$211</f>
        <v>0.0350538009802811</v>
      </c>
      <c r="M216" s="2" t="n">
        <f aca="false">L216*(1-M$211)+L215*M$211</f>
        <v>0.0208542629566253</v>
      </c>
      <c r="N216" s="2" t="n">
        <f aca="false">M216*(1-N$211)+M215*N$211</f>
        <v>0.00985458712726673</v>
      </c>
      <c r="O216" s="2" t="n">
        <f aca="false">N216*(1-O$211)+N215*O$211</f>
        <v>0.00985458712726673</v>
      </c>
    </row>
    <row r="217" customFormat="false" ht="15" hidden="false" customHeight="false" outlineLevel="0" collapsed="false">
      <c r="B217" s="2" t="n">
        <v>5</v>
      </c>
      <c r="C217" s="2" t="n">
        <f aca="false">0</f>
        <v>0</v>
      </c>
      <c r="D217" s="2" t="n">
        <f aca="false">C217*(1-D$211)+C216*D$211</f>
        <v>0</v>
      </c>
      <c r="E217" s="2" t="n">
        <f aca="false">D217*(1-E$211)+D216*E$211</f>
        <v>0</v>
      </c>
      <c r="F217" s="2" t="n">
        <f aca="false">E217*(1-F$211)+E216*F$211</f>
        <v>0</v>
      </c>
      <c r="G217" s="2" t="n">
        <f aca="false">F217*(1-G$211)+F216*G$211</f>
        <v>0.206473939819604</v>
      </c>
      <c r="H217" s="2" t="n">
        <f aca="false">G217*(1-H$211)+G216*H$211</f>
        <v>0.385924980794727</v>
      </c>
      <c r="I217" s="2" t="n">
        <f aca="false">H217*(1-I$211)+H216*I$211</f>
        <v>0.355067968463319</v>
      </c>
      <c r="J217" s="2" t="n">
        <f aca="false">I217*(1-J$211)+I216*J$211</f>
        <v>0.276289734681896</v>
      </c>
      <c r="K217" s="2" t="n">
        <f aca="false">J217*(1-K$211)+J216*K$211</f>
        <v>0.155868327171277</v>
      </c>
      <c r="L217" s="2" t="n">
        <f aca="false">K217*(1-L$211)+K216*L$211</f>
        <v>0.118451176355192</v>
      </c>
      <c r="M217" s="2" t="n">
        <f aca="false">L217*(1-M$211)+L216*M$211</f>
        <v>0.0779998490274861</v>
      </c>
      <c r="N217" s="2" t="n">
        <f aca="false">M217*(1-N$211)+M216*N$211</f>
        <v>0.0424170230369311</v>
      </c>
      <c r="O217" s="2" t="n">
        <f aca="false">N217*(1-O$211)+N216*O$211</f>
        <v>0.0424170230369311</v>
      </c>
    </row>
    <row r="218" customFormat="false" ht="15" hidden="false" customHeight="false" outlineLevel="0" collapsed="false">
      <c r="B218" s="2" t="n">
        <v>6</v>
      </c>
      <c r="C218" s="2" t="n">
        <f aca="false">0</f>
        <v>0</v>
      </c>
      <c r="D218" s="2" t="n">
        <f aca="false">C218*(1-D$211)+C217*D$211</f>
        <v>0</v>
      </c>
      <c r="E218" s="2" t="n">
        <f aca="false">D218*(1-E$211)+D217*E$211</f>
        <v>0</v>
      </c>
      <c r="F218" s="2" t="n">
        <f aca="false">E218*(1-F$211)+E217*F$211</f>
        <v>0</v>
      </c>
      <c r="G218" s="2" t="n">
        <f aca="false">F218*(1-G$211)+F217*G$211</f>
        <v>0</v>
      </c>
      <c r="H218" s="2" t="n">
        <f aca="false">G218*(1-H$211)+G217*H$211</f>
        <v>0.14811497920152</v>
      </c>
      <c r="I218" s="2" t="n">
        <f aca="false">H218*(1-I$211)+H217*I$211</f>
        <v>0.280023954929915</v>
      </c>
      <c r="J218" s="2" t="n">
        <f aca="false">I218*(1-J$211)+I217*J$211</f>
        <v>0.32164953372568</v>
      </c>
      <c r="K218" s="2" t="n">
        <f aca="false">J218*(1-K$211)+J217*K$211</f>
        <v>0.284488644675512</v>
      </c>
      <c r="L218" s="2" t="n">
        <f aca="false">K218*(1-L$211)+K217*L$211</f>
        <v>0.239277461501052</v>
      </c>
      <c r="M218" s="2" t="n">
        <f aca="false">L218*(1-M$211)+L217*M$211</f>
        <v>0.180671497125628</v>
      </c>
      <c r="N218" s="2" t="n">
        <f aca="false">M218*(1-N$211)+M217*N$211</f>
        <v>0.116740970909491</v>
      </c>
      <c r="O218" s="2" t="n">
        <f aca="false">N218*(1-O$211)+N217*O$211</f>
        <v>0.116740970909491</v>
      </c>
    </row>
    <row r="219" customFormat="false" ht="15" hidden="false" customHeight="false" outlineLevel="0" collapsed="false">
      <c r="B219" s="2" t="n">
        <v>7</v>
      </c>
      <c r="C219" s="2" t="n">
        <f aca="false">0</f>
        <v>0</v>
      </c>
      <c r="D219" s="2" t="n">
        <f aca="false">C219*(1-D$211)+C218*D$211</f>
        <v>0</v>
      </c>
      <c r="E219" s="2" t="n">
        <f aca="false">D219*(1-E$211)+D218*E$211</f>
        <v>0</v>
      </c>
      <c r="F219" s="2" t="n">
        <f aca="false">E219*(1-F$211)+E218*F$211</f>
        <v>0</v>
      </c>
      <c r="G219" s="2" t="n">
        <f aca="false">F219*(1-G$211)+F218*G$211</f>
        <v>0</v>
      </c>
      <c r="H219" s="2" t="n">
        <f aca="false">G219*(1-H$211)+G218*H$211</f>
        <v>0</v>
      </c>
      <c r="I219" s="2" t="n">
        <f aca="false">H219*(1-I$211)+H218*I$211</f>
        <v>0.0821567430537503</v>
      </c>
      <c r="J219" s="2" t="n">
        <f aca="false">I219*(1-J$211)+I218*J$211</f>
        <v>0.191910164162864</v>
      </c>
      <c r="K219" s="2" t="n">
        <f aca="false">J219*(1-K$211)+J218*K$211</f>
        <v>0.298198781383341</v>
      </c>
      <c r="L219" s="2" t="n">
        <f aca="false">K219*(1-L$211)+K218*L$211</f>
        <v>0.293379546645998</v>
      </c>
      <c r="M219" s="2" t="n">
        <f aca="false">L219*(1-M$211)+L218*M$211</f>
        <v>0.267137699759675</v>
      </c>
      <c r="N219" s="2" t="n">
        <f aca="false">M219*(1-N$211)+M218*N$211</f>
        <v>0.213297813708349</v>
      </c>
      <c r="O219" s="2" t="n">
        <f aca="false">N219*(1-O$211)+N218*O$211</f>
        <v>0.213297813708349</v>
      </c>
    </row>
    <row r="220" customFormat="false" ht="15" hidden="false" customHeight="false" outlineLevel="0" collapsed="false">
      <c r="B220" s="2" t="n">
        <v>8</v>
      </c>
      <c r="C220" s="2" t="n">
        <f aca="false">0</f>
        <v>0</v>
      </c>
      <c r="D220" s="2" t="n">
        <f aca="false">C220*(1-D$211)+C219*D$211</f>
        <v>0</v>
      </c>
      <c r="E220" s="2" t="n">
        <f aca="false">D220*(1-E$211)+D219*E$211</f>
        <v>0</v>
      </c>
      <c r="F220" s="2" t="n">
        <f aca="false">E220*(1-F$211)+E219*F$211</f>
        <v>0</v>
      </c>
      <c r="G220" s="2" t="n">
        <f aca="false">F220*(1-G$211)+F219*G$211</f>
        <v>0</v>
      </c>
      <c r="H220" s="2" t="n">
        <f aca="false">G220*(1-H$211)+G219*H$211</f>
        <v>0</v>
      </c>
      <c r="I220" s="2" t="n">
        <f aca="false">H220*(1-I$211)+H219*I$211</f>
        <v>0</v>
      </c>
      <c r="J220" s="2" t="n">
        <f aca="false">I220*(1-J$211)+I219*J$211</f>
        <v>0.0455708832799181</v>
      </c>
      <c r="K220" s="2" t="n">
        <f aca="false">J220*(1-K$211)+J219*K$211</f>
        <v>0.165458931622533</v>
      </c>
      <c r="L220" s="2" t="n">
        <f aca="false">K220*(1-L$211)+K219*L$211</f>
        <v>0.212118166948155</v>
      </c>
      <c r="M220" s="2" t="n">
        <f aca="false">L220*(1-M$211)+L219*M$211</f>
        <v>0.251533444161391</v>
      </c>
      <c r="N220" s="2" t="n">
        <f aca="false">M220*(1-N$211)+M219*N$211</f>
        <v>0.261249741601711</v>
      </c>
      <c r="O220" s="2" t="n">
        <f aca="false">N220*(1-O$211)+N219*O$211</f>
        <v>0.261249741601711</v>
      </c>
    </row>
    <row r="221" customFormat="false" ht="15" hidden="false" customHeight="false" outlineLevel="0" collapsed="false">
      <c r="B221" s="2" t="n">
        <v>9</v>
      </c>
      <c r="C221" s="2" t="n">
        <f aca="false">0</f>
        <v>0</v>
      </c>
      <c r="D221" s="2" t="n">
        <f aca="false">C221*(1-D$211)+C220*D$211</f>
        <v>0</v>
      </c>
      <c r="E221" s="2" t="n">
        <f aca="false">D221*(1-E$211)+D220*E$211</f>
        <v>0</v>
      </c>
      <c r="F221" s="2" t="n">
        <f aca="false">E221*(1-F$211)+E220*F$211</f>
        <v>0</v>
      </c>
      <c r="G221" s="2" t="n">
        <f aca="false">F221*(1-G$211)+F220*G$211</f>
        <v>0</v>
      </c>
      <c r="H221" s="2" t="n">
        <f aca="false">G221*(1-H$211)+G220*H$211</f>
        <v>0</v>
      </c>
      <c r="I221" s="2" t="n">
        <f aca="false">H221*(1-I$211)+H220*I$211</f>
        <v>0</v>
      </c>
      <c r="J221" s="2" t="n">
        <f aca="false">I221*(1-J$211)+I220*J$211</f>
        <v>0</v>
      </c>
      <c r="K221" s="2" t="n">
        <f aca="false">J221*(1-K$211)+J220*K$211</f>
        <v>0.0373338192228003</v>
      </c>
      <c r="L221" s="2" t="n">
        <f aca="false">K221*(1-L$211)+K220*L$211</f>
        <v>0.0823709334078271</v>
      </c>
      <c r="M221" s="2" t="n">
        <f aca="false">L221*(1-M$211)+L220*M$211</f>
        <v>0.145303942872571</v>
      </c>
      <c r="N221" s="2" t="n">
        <f aca="false">M221*(1-N$211)+M220*N$211</f>
        <v>0.211449836533306</v>
      </c>
      <c r="O221" s="2" t="n">
        <f aca="false">N221*(1-O$211)+N220*O$211</f>
        <v>0.211449836533306</v>
      </c>
    </row>
    <row r="222" customFormat="false" ht="15" hidden="false" customHeight="false" outlineLevel="0" collapsed="false">
      <c r="B222" s="2" t="n">
        <v>10</v>
      </c>
      <c r="C222" s="2" t="n">
        <f aca="false">0</f>
        <v>0</v>
      </c>
      <c r="D222" s="2" t="n">
        <f aca="false">C222*(1-D$211)+C221*D$211</f>
        <v>0</v>
      </c>
      <c r="E222" s="2" t="n">
        <f aca="false">D222*(1-E$211)+D221*E$211</f>
        <v>0</v>
      </c>
      <c r="F222" s="2" t="n">
        <f aca="false">E222*(1-F$211)+E221*F$211</f>
        <v>0</v>
      </c>
      <c r="G222" s="2" t="n">
        <f aca="false">F222*(1-G$211)+F221*G$211</f>
        <v>0</v>
      </c>
      <c r="H222" s="2" t="n">
        <f aca="false">G222*(1-H$211)+G221*H$211</f>
        <v>0</v>
      </c>
      <c r="I222" s="2" t="n">
        <f aca="false">H222*(1-I$211)+H221*I$211</f>
        <v>0</v>
      </c>
      <c r="J222" s="2" t="n">
        <f aca="false">I222*(1-J$211)+I221*J$211</f>
        <v>0</v>
      </c>
      <c r="K222" s="2" t="n">
        <f aca="false">J222*(1-K$211)+J221*K$211</f>
        <v>0</v>
      </c>
      <c r="L222" s="2" t="n">
        <f aca="false">K222*(1-L$211)+K221*L$211</f>
        <v>0.0131231688137345</v>
      </c>
      <c r="M222" s="2" t="n">
        <f aca="false">L222*(1-M$211)+L221*M$211</f>
        <v>0.0467113240729975</v>
      </c>
      <c r="N222" s="2" t="n">
        <f aca="false">M222*(1-N$211)+M221*N$211</f>
        <v>0.108101962264163</v>
      </c>
      <c r="O222" s="2" t="n">
        <f aca="false">N222*(1-O$211)+N221*O$211</f>
        <v>0.108101962264163</v>
      </c>
    </row>
    <row r="223" customFormat="false" ht="15" hidden="false" customHeight="false" outlineLevel="0" collapsed="false">
      <c r="B223" s="2" t="n">
        <v>11</v>
      </c>
      <c r="C223" s="2" t="n">
        <f aca="false">0</f>
        <v>0</v>
      </c>
      <c r="D223" s="2" t="n">
        <f aca="false">C223*(1-D$211)+C222*D$211</f>
        <v>0</v>
      </c>
      <c r="E223" s="2" t="n">
        <f aca="false">D223*(1-E$211)+D222*E$211</f>
        <v>0</v>
      </c>
      <c r="F223" s="2" t="n">
        <f aca="false">E223*(1-F$211)+E222*F$211</f>
        <v>0</v>
      </c>
      <c r="G223" s="2" t="n">
        <f aca="false">F223*(1-G$211)+F222*G$211</f>
        <v>0</v>
      </c>
      <c r="H223" s="2" t="n">
        <f aca="false">G223*(1-H$211)+G222*H$211</f>
        <v>0</v>
      </c>
      <c r="I223" s="2" t="n">
        <f aca="false">H223*(1-I$211)+H222*I$211</f>
        <v>0</v>
      </c>
      <c r="J223" s="2" t="n">
        <f aca="false">I223*(1-J$211)+I222*J$211</f>
        <v>0</v>
      </c>
      <c r="K223" s="2" t="n">
        <f aca="false">J223*(1-K$211)+J222*K$211</f>
        <v>0</v>
      </c>
      <c r="L223" s="2" t="n">
        <f aca="false">K223*(1-L$211)+K222*L$211</f>
        <v>0</v>
      </c>
      <c r="M223" s="2" t="n">
        <f aca="false">L223*(1-M$211)+L222*M$211</f>
        <v>0.00636530340283121</v>
      </c>
      <c r="N223" s="2" t="n">
        <f aca="false">M223*(1-N$211)+M222*N$211</f>
        <v>0.0314875487349148</v>
      </c>
      <c r="O223" s="2" t="n">
        <f aca="false">N223*(1-O$211)+N222*O$211</f>
        <v>0.0314875487349148</v>
      </c>
    </row>
    <row r="224" customFormat="false" ht="15" hidden="false" customHeight="false" outlineLevel="0" collapsed="false">
      <c r="B224" s="2" t="n">
        <v>12</v>
      </c>
      <c r="C224" s="2" t="n">
        <f aca="false">0</f>
        <v>0</v>
      </c>
      <c r="D224" s="2" t="n">
        <f aca="false">C224*(1-D$211)+C223*D$211</f>
        <v>0</v>
      </c>
      <c r="E224" s="2" t="n">
        <f aca="false">D224*(1-E$211)+D223*E$211</f>
        <v>0</v>
      </c>
      <c r="F224" s="2" t="n">
        <f aca="false">E224*(1-F$211)+E223*F$211</f>
        <v>0</v>
      </c>
      <c r="G224" s="2" t="n">
        <f aca="false">F224*(1-G$211)+F223*G$211</f>
        <v>0</v>
      </c>
      <c r="H224" s="2" t="n">
        <f aca="false">G224*(1-H$211)+G223*H$211</f>
        <v>0</v>
      </c>
      <c r="I224" s="2" t="n">
        <f aca="false">H224*(1-I$211)+H223*I$211</f>
        <v>0</v>
      </c>
      <c r="J224" s="2" t="n">
        <f aca="false">I224*(1-J$211)+I223*J$211</f>
        <v>0</v>
      </c>
      <c r="K224" s="2" t="n">
        <f aca="false">J224*(1-K$211)+J223*K$211</f>
        <v>0</v>
      </c>
      <c r="L224" s="2" t="n">
        <f aca="false">K224*(1-L$211)+K223*L$211</f>
        <v>0</v>
      </c>
      <c r="M224" s="2" t="n">
        <f aca="false">L224*(1-M$211)+L223*M$211</f>
        <v>0</v>
      </c>
      <c r="N224" s="2" t="n">
        <f aca="false">M224*(1-N$211)+M223*N$211</f>
        <v>0.00396348167781804</v>
      </c>
      <c r="O224" s="2" t="n">
        <f aca="false">N224*(1-O$211)+N223*O$211</f>
        <v>0.00396348167781804</v>
      </c>
    </row>
    <row r="225" customFormat="false" ht="15" hidden="false" customHeight="false" outlineLevel="0" collapsed="false">
      <c r="B225" s="2" t="n">
        <v>13</v>
      </c>
      <c r="C225" s="2" t="n">
        <f aca="false">0</f>
        <v>0</v>
      </c>
      <c r="D225" s="2" t="n">
        <f aca="false">C225*(1-D$211)+C224*D$211</f>
        <v>0</v>
      </c>
      <c r="E225" s="2" t="n">
        <f aca="false">D225*(1-E$211)+D224*E$211</f>
        <v>0</v>
      </c>
      <c r="F225" s="2" t="n">
        <f aca="false">E225*(1-F$211)+E224*F$211</f>
        <v>0</v>
      </c>
      <c r="G225" s="2" t="n">
        <f aca="false">F225*(1-G$211)+F224*G$211</f>
        <v>0</v>
      </c>
      <c r="H225" s="2" t="n">
        <f aca="false">G225*(1-H$211)+G224*H$211</f>
        <v>0</v>
      </c>
      <c r="I225" s="2" t="n">
        <f aca="false">H225*(1-I$211)+H224*I$211</f>
        <v>0</v>
      </c>
      <c r="J225" s="2" t="n">
        <f aca="false">I225*(1-J$211)+I224*J$211</f>
        <v>0</v>
      </c>
      <c r="K225" s="2" t="n">
        <f aca="false">J225*(1-K$211)+J224*K$211</f>
        <v>0</v>
      </c>
      <c r="L225" s="2" t="n">
        <f aca="false">K225*(1-L$211)+K224*L$211</f>
        <v>0</v>
      </c>
      <c r="M225" s="2" t="n">
        <f aca="false">L225*(1-M$211)+L224*M$211</f>
        <v>0</v>
      </c>
      <c r="N225" s="2" t="n">
        <f aca="false">M225*(1-N$211)+M224*N$211</f>
        <v>0</v>
      </c>
      <c r="O225" s="2" t="n">
        <f aca="false">N225*(1-O$211)+N224*O$211</f>
        <v>0</v>
      </c>
    </row>
    <row r="227" customFormat="false" ht="15" hidden="false" customHeight="false" outlineLevel="0" collapsed="false">
      <c r="A227" s="1" t="s">
        <v>72</v>
      </c>
      <c r="C227" s="2" t="n">
        <f aca="false">Schedule!G16</f>
        <v>0.944503979771754</v>
      </c>
      <c r="D227" s="2" t="n">
        <f aca="false">Schedule!L16</f>
        <v>0.51744815844579</v>
      </c>
      <c r="E227" s="2" t="n">
        <f aca="false">Schedule!Q16</f>
        <v>0.992345806622627</v>
      </c>
      <c r="F227" s="2" t="n">
        <f aca="false">Schedule!V16</f>
        <v>0.620292847240567</v>
      </c>
      <c r="G227" s="2" t="n">
        <f aca="false">Schedule!AA16</f>
        <v>0.698032455319819</v>
      </c>
      <c r="H227" s="2" t="n">
        <f aca="false">Schedule!AF16</f>
        <v>0.581702183505625</v>
      </c>
      <c r="I227" s="2" t="n">
        <f aca="false">Schedule!AK16</f>
        <v>0.346882811263147</v>
      </c>
      <c r="J227" s="2" t="n">
        <f aca="false">Schedule!AP16</f>
        <v>0.769590828396427</v>
      </c>
      <c r="K227" s="2" t="n">
        <f aca="false">Schedule!AU16</f>
        <v>0.860207038932886</v>
      </c>
      <c r="L227" s="2" t="n">
        <f aca="false">Schedule!AZ16</f>
        <v>0.179113175277346</v>
      </c>
      <c r="M227" s="2" t="n">
        <f aca="false">Schedule!BE16</f>
        <v>0.810908738949218</v>
      </c>
      <c r="N227" s="2" t="n">
        <f aca="false">Schedule!BJ16</f>
        <v>0.127664662296284</v>
      </c>
      <c r="O227" s="2" t="n">
        <f aca="false">Schedule!BO16</f>
        <v>0</v>
      </c>
    </row>
    <row r="228" customFormat="false" ht="15" hidden="false" customHeight="false" outlineLevel="0" collapsed="false">
      <c r="B228" s="2" t="n">
        <v>0</v>
      </c>
      <c r="C228" s="2" t="n">
        <f aca="false">1-C$227</f>
        <v>0.0554960202282457</v>
      </c>
      <c r="D228" s="2" t="n">
        <f aca="false">C228*(1-D$227)</f>
        <v>0.0267797067600697</v>
      </c>
      <c r="E228" s="2" t="n">
        <f aca="false">D228*(1-E$227)</f>
        <v>0.000204977054130924</v>
      </c>
      <c r="F228" s="2" t="n">
        <f aca="false">E228*(1-F$227)</f>
        <v>7.78312536050692E-005</v>
      </c>
      <c r="G228" s="2" t="n">
        <f aca="false">F228*(1-G$227)</f>
        <v>2.35025125505032E-005</v>
      </c>
      <c r="H228" s="2" t="n">
        <f aca="false">G228*(1-H$227)</f>
        <v>9.83104968200714E-006</v>
      </c>
      <c r="I228" s="2" t="n">
        <f aca="false">H228*(1-I$227)</f>
        <v>6.42082753064484E-006</v>
      </c>
      <c r="J228" s="2" t="n">
        <f aca="false">I228*(1-J$227)</f>
        <v>1.4794175523453E-006</v>
      </c>
      <c r="K228" s="2" t="n">
        <f aca="false">J228*(1-K$227)</f>
        <v>2.06812160297011E-007</v>
      </c>
      <c r="L228" s="2" t="n">
        <f aca="false">K228*(1-L$227)</f>
        <v>1.69769377580246E-007</v>
      </c>
      <c r="M228" s="2" t="n">
        <f aca="false">L228*(1-M$227)</f>
        <v>3.21019056944551E-008</v>
      </c>
      <c r="N228" s="2" t="n">
        <f aca="false">M228*(1-N$227)</f>
        <v>2.80036267449053E-008</v>
      </c>
      <c r="O228" s="2" t="n">
        <f aca="false">N228*(1-O$227)</f>
        <v>2.80036267449053E-008</v>
      </c>
    </row>
    <row r="229" customFormat="false" ht="15" hidden="false" customHeight="false" outlineLevel="0" collapsed="false">
      <c r="B229" s="2" t="n">
        <v>1</v>
      </c>
      <c r="C229" s="2" t="n">
        <f aca="false">C$227</f>
        <v>0.944503979771754</v>
      </c>
      <c r="D229" s="2" t="n">
        <f aca="false">C229*(1-D$227)+C228*D$227</f>
        <v>0.484488448262316</v>
      </c>
      <c r="E229" s="2" t="n">
        <f aca="false">D229*(1-E$227)+D228*E$227</f>
        <v>0.030283097978042</v>
      </c>
      <c r="F229" s="2" t="n">
        <f aca="false">E229*(1-F$227)+E228*F$227</f>
        <v>0.0116258547105031</v>
      </c>
      <c r="G229" s="2" t="n">
        <f aca="false">F229*(1-G$227)+F228*G$227</f>
        <v>0.00356495954279371</v>
      </c>
      <c r="H229" s="2" t="n">
        <f aca="false">G229*(1-H$227)+G228*H$227</f>
        <v>0.00150488625550989</v>
      </c>
      <c r="I229" s="2" t="n">
        <f aca="false">H229*(1-I$227)+H228*I$227</f>
        <v>0.000986277302718713</v>
      </c>
      <c r="J229" s="2" t="n">
        <f aca="false">I229*(1-J$227)+I228*J$227</f>
        <v>0.000232188746269125</v>
      </c>
      <c r="K229" s="2" t="n">
        <f aca="false">J229*(1-K$227)+J228*K$227</f>
        <v>3.373095775947E-005</v>
      </c>
      <c r="L229" s="2" t="n">
        <f aca="false">K229*(1-L$227)+K228*L$227</f>
        <v>2.77263415927421E-005</v>
      </c>
      <c r="M229" s="2" t="n">
        <f aca="false">L229*(1-M$227)+L228*M$227</f>
        <v>5.38047636798215E-006</v>
      </c>
      <c r="N229" s="2" t="n">
        <f aca="false">M229*(1-N$227)+M228*N$227</f>
        <v>4.69767794842013E-006</v>
      </c>
      <c r="O229" s="2" t="n">
        <f aca="false">N229*(1-O$227)+N228*O$227</f>
        <v>4.69767794842013E-006</v>
      </c>
    </row>
    <row r="230" customFormat="false" ht="15" hidden="false" customHeight="false" outlineLevel="0" collapsed="false">
      <c r="B230" s="2" t="n">
        <v>2</v>
      </c>
      <c r="C230" s="2" t="n">
        <f aca="false">0</f>
        <v>0</v>
      </c>
      <c r="D230" s="2" t="n">
        <f aca="false">C230*(1-D$227)+C229*D$227</f>
        <v>0.488731844977614</v>
      </c>
      <c r="E230" s="2" t="n">
        <f aca="false">D230*(1-E$227)+D229*E$227</f>
        <v>0.484520928041352</v>
      </c>
      <c r="F230" s="2" t="n">
        <f aca="false">E230*(1-F$227)+E229*F$227</f>
        <v>0.202760451107005</v>
      </c>
      <c r="G230" s="2" t="n">
        <f aca="false">F230*(1-G$227)+F229*G$227</f>
        <v>0.0693422994877921</v>
      </c>
      <c r="H230" s="2" t="n">
        <f aca="false">G230*(1-H$227)+G229*H$227</f>
        <v>0.0310794772165948</v>
      </c>
      <c r="I230" s="2" t="n">
        <f aca="false">H230*(1-I$227)+H229*I$227</f>
        <v>0.020820559962056</v>
      </c>
      <c r="J230" s="2" t="n">
        <f aca="false">I230*(1-J$227)+I229*J$227</f>
        <v>0.00555627793960774</v>
      </c>
      <c r="K230" s="2" t="n">
        <f aca="false">J230*(1-K$227)+J229*K$227</f>
        <v>0.00097645893959135</v>
      </c>
      <c r="L230" s="2" t="n">
        <f aca="false">K230*(1-L$227)+K229*L$227</f>
        <v>0.000807603937342639</v>
      </c>
      <c r="M230" s="2" t="n">
        <f aca="false">L230*(1-M$227)+L229*M$227</f>
        <v>0.000175194379638342</v>
      </c>
      <c r="N230" s="2" t="n">
        <f aca="false">M230*(1-N$227)+M229*N$227</f>
        <v>0.000153515145024118</v>
      </c>
      <c r="O230" s="2" t="n">
        <f aca="false">N230*(1-O$227)+N229*O$227</f>
        <v>0.000153515145024118</v>
      </c>
    </row>
    <row r="231" customFormat="false" ht="15" hidden="false" customHeight="false" outlineLevel="0" collapsed="false">
      <c r="B231" s="2" t="n">
        <v>3</v>
      </c>
      <c r="C231" s="2" t="n">
        <f aca="false">0</f>
        <v>0</v>
      </c>
      <c r="D231" s="2" t="n">
        <f aca="false">C231*(1-D$227)+C230*D$227</f>
        <v>0</v>
      </c>
      <c r="E231" s="2" t="n">
        <f aca="false">D231*(1-E$227)+D230*E$227</f>
        <v>0.484990996926475</v>
      </c>
      <c r="F231" s="2" t="n">
        <f aca="false">E231*(1-F$227)+E230*F$227</f>
        <v>0.484699416559323</v>
      </c>
      <c r="G231" s="2" t="n">
        <f aca="false">F231*(1-G$227)+F230*G$227</f>
        <v>0.287896868254312</v>
      </c>
      <c r="H231" s="2" t="n">
        <f aca="false">G231*(1-H$227)+G230*H$227</f>
        <v>0.160763198387697</v>
      </c>
      <c r="I231" s="2" t="n">
        <f aca="false">H231*(1-I$227)+H230*I$227</f>
        <v>0.115778144612799</v>
      </c>
      <c r="J231" s="2" t="n">
        <f aca="false">I231*(1-J$227)+I230*J$227</f>
        <v>0.0426996583789099</v>
      </c>
      <c r="K231" s="2" t="n">
        <f aca="false">J231*(1-K$227)+J230*K$227</f>
        <v>0.0107486610752601</v>
      </c>
      <c r="L231" s="2" t="n">
        <f aca="false">K231*(1-L$227)+K230*L$227</f>
        <v>0.00899833092128841</v>
      </c>
      <c r="M231" s="2" t="n">
        <f aca="false">L231*(1-M$227)+L230*M$227</f>
        <v>0.00235639883165962</v>
      </c>
      <c r="N231" s="2" t="n">
        <f aca="false">M231*(1-N$227)+M230*N$227</f>
        <v>0.00207793610189317</v>
      </c>
      <c r="O231" s="2" t="n">
        <f aca="false">N231*(1-O$227)+N230*O$227</f>
        <v>0.00207793610189317</v>
      </c>
    </row>
    <row r="232" customFormat="false" ht="15" hidden="false" customHeight="false" outlineLevel="0" collapsed="false">
      <c r="B232" s="2" t="n">
        <v>4</v>
      </c>
      <c r="C232" s="2" t="n">
        <f aca="false">0</f>
        <v>0</v>
      </c>
      <c r="D232" s="2" t="n">
        <f aca="false">C232*(1-D$227)+C231*D$227</f>
        <v>0</v>
      </c>
      <c r="E232" s="2" t="n">
        <f aca="false">D232*(1-E$227)+D231*E$227</f>
        <v>0</v>
      </c>
      <c r="F232" s="2" t="n">
        <f aca="false">E232*(1-F$227)+E231*F$227</f>
        <v>0.300836446369564</v>
      </c>
      <c r="G232" s="2" t="n">
        <f aca="false">F232*(1-G$227)+F231*G$227</f>
        <v>0.429178766893516</v>
      </c>
      <c r="H232" s="2" t="n">
        <f aca="false">G232*(1-H$227)+G231*H$227</f>
        <v>0.346994777965271</v>
      </c>
      <c r="I232" s="2" t="n">
        <f aca="false">H232*(1-I$227)+H231*I$227</f>
        <v>0.282394244095425</v>
      </c>
      <c r="J232" s="2" t="n">
        <f aca="false">I232*(1-J$227)+I231*J$227</f>
        <v>0.154168022070409</v>
      </c>
      <c r="K232" s="2" t="n">
        <f aca="false">J232*(1-K$227)+J231*K$227</f>
        <v>0.0582821510046506</v>
      </c>
      <c r="L232" s="2" t="n">
        <f aca="false">K232*(1-L$227)+K231*L$227</f>
        <v>0.0497682766913837</v>
      </c>
      <c r="M232" s="2" t="n">
        <f aca="false">L232*(1-M$227)+L231*M$227</f>
        <v>0.0167075713799277</v>
      </c>
      <c r="N232" s="2" t="n">
        <f aca="false">M232*(1-N$227)+M231*N$227</f>
        <v>0.0148754337829974</v>
      </c>
      <c r="O232" s="2" t="n">
        <f aca="false">N232*(1-O$227)+N231*O$227</f>
        <v>0.0148754337829974</v>
      </c>
    </row>
    <row r="233" customFormat="false" ht="15" hidden="false" customHeight="false" outlineLevel="0" collapsed="false">
      <c r="B233" s="2" t="n">
        <v>5</v>
      </c>
      <c r="C233" s="2" t="n">
        <f aca="false">0</f>
        <v>0</v>
      </c>
      <c r="D233" s="2" t="n">
        <f aca="false">C233*(1-D$227)+C232*D$227</f>
        <v>0</v>
      </c>
      <c r="E233" s="2" t="n">
        <f aca="false">D233*(1-E$227)+D232*E$227</f>
        <v>0</v>
      </c>
      <c r="F233" s="2" t="n">
        <f aca="false">E233*(1-F$227)+E232*F$227</f>
        <v>0</v>
      </c>
      <c r="G233" s="2" t="n">
        <f aca="false">F233*(1-G$227)+F232*G$227</f>
        <v>0.209993603309036</v>
      </c>
      <c r="H233" s="2" t="n">
        <f aca="false">G233*(1-H$227)+G232*H$227</f>
        <v>0.337494091558166</v>
      </c>
      <c r="I233" s="2" t="n">
        <f aca="false">H233*(1-I$227)+H232*I$227</f>
        <v>0.340789716367992</v>
      </c>
      <c r="J233" s="2" t="n">
        <f aca="false">I233*(1-J$227)+I232*J$227</f>
        <v>0.295849096487147</v>
      </c>
      <c r="K233" s="2" t="n">
        <f aca="false">J233*(1-K$227)+J232*K$227</f>
        <v>0.173974038990295</v>
      </c>
      <c r="L233" s="2" t="n">
        <f aca="false">K233*(1-L$227)+K232*L$227</f>
        <v>0.153252097579355</v>
      </c>
      <c r="M233" s="2" t="n">
        <f aca="false">L233*(1-M$227)+L232*M$227</f>
        <v>0.0693361628814436</v>
      </c>
      <c r="N233" s="2" t="n">
        <f aca="false">M233*(1-N$227)+M232*N$227</f>
        <v>0.0626173515202735</v>
      </c>
      <c r="O233" s="2" t="n">
        <f aca="false">N233*(1-O$227)+N232*O$227</f>
        <v>0.0626173515202735</v>
      </c>
    </row>
    <row r="234" customFormat="false" ht="15" hidden="false" customHeight="false" outlineLevel="0" collapsed="false">
      <c r="B234" s="2" t="n">
        <v>6</v>
      </c>
      <c r="C234" s="2" t="n">
        <f aca="false">0</f>
        <v>0</v>
      </c>
      <c r="D234" s="2" t="n">
        <f aca="false">C234*(1-D$227)+C233*D$227</f>
        <v>0</v>
      </c>
      <c r="E234" s="2" t="n">
        <f aca="false">D234*(1-E$227)+D233*E$227</f>
        <v>0</v>
      </c>
      <c r="F234" s="2" t="n">
        <f aca="false">E234*(1-F$227)+E233*F$227</f>
        <v>0</v>
      </c>
      <c r="G234" s="2" t="n">
        <f aca="false">F234*(1-G$227)+F233*G$227</f>
        <v>0</v>
      </c>
      <c r="H234" s="2" t="n">
        <f aca="false">G234*(1-H$227)+G233*H$227</f>
        <v>0.12215373756708</v>
      </c>
      <c r="I234" s="2" t="n">
        <f aca="false">H234*(1-I$227)+H233*I$227</f>
        <v>0.196851604937909</v>
      </c>
      <c r="J234" s="2" t="n">
        <f aca="false">I234*(1-J$227)+I233*J$227</f>
        <v>0.307625055351204</v>
      </c>
      <c r="K234" s="2" t="n">
        <f aca="false">J234*(1-K$227)+J233*K$227</f>
        <v>0.297495292646158</v>
      </c>
      <c r="L234" s="2" t="n">
        <f aca="false">K234*(1-L$227)+K233*L$227</f>
        <v>0.275371008689618</v>
      </c>
      <c r="M234" s="2" t="n">
        <f aca="false">L234*(1-M$227)+L233*M$227</f>
        <v>0.176343716479343</v>
      </c>
      <c r="N234" s="2" t="n">
        <f aca="false">M234*(1-N$227)+M233*N$227</f>
        <v>0.162682633286116</v>
      </c>
      <c r="O234" s="2" t="n">
        <f aca="false">N234*(1-O$227)+N233*O$227</f>
        <v>0.162682633286116</v>
      </c>
    </row>
    <row r="235" customFormat="false" ht="15" hidden="false" customHeight="false" outlineLevel="0" collapsed="false">
      <c r="B235" s="2" t="n">
        <v>7</v>
      </c>
      <c r="C235" s="2" t="n">
        <f aca="false">0</f>
        <v>0</v>
      </c>
      <c r="D235" s="2" t="n">
        <f aca="false">C235*(1-D$227)+C234*D$227</f>
        <v>0</v>
      </c>
      <c r="E235" s="2" t="n">
        <f aca="false">D235*(1-E$227)+D234*E$227</f>
        <v>0</v>
      </c>
      <c r="F235" s="2" t="n">
        <f aca="false">E235*(1-F$227)+E234*F$227</f>
        <v>0</v>
      </c>
      <c r="G235" s="2" t="n">
        <f aca="false">F235*(1-G$227)+F234*G$227</f>
        <v>0</v>
      </c>
      <c r="H235" s="2" t="n">
        <f aca="false">G235*(1-H$227)+G234*H$227</f>
        <v>0</v>
      </c>
      <c r="I235" s="2" t="n">
        <f aca="false">H235*(1-I$227)+H234*I$227</f>
        <v>0.0423730318935695</v>
      </c>
      <c r="J235" s="2" t="n">
        <f aca="false">I235*(1-J$227)+I234*J$227</f>
        <v>0.161258324892261</v>
      </c>
      <c r="K235" s="2" t="n">
        <f aca="false">J235*(1-K$227)+J234*K$227</f>
        <v>0.287164016698636</v>
      </c>
      <c r="L235" s="2" t="n">
        <f aca="false">K235*(1-L$227)+K234*L$227</f>
        <v>0.289014484338263</v>
      </c>
      <c r="M235" s="2" t="n">
        <f aca="false">L235*(1-M$227)+L234*M$227</f>
        <v>0.277950870705136</v>
      </c>
      <c r="N235" s="2" t="n">
        <f aca="false">M235*(1-N$227)+M234*N$227</f>
        <v>0.264979227674014</v>
      </c>
      <c r="O235" s="2" t="n">
        <f aca="false">N235*(1-O$227)+N234*O$227</f>
        <v>0.264979227674014</v>
      </c>
    </row>
    <row r="236" customFormat="false" ht="15" hidden="false" customHeight="false" outlineLevel="0" collapsed="false">
      <c r="B236" s="2" t="n">
        <v>8</v>
      </c>
      <c r="C236" s="2" t="n">
        <f aca="false">0</f>
        <v>0</v>
      </c>
      <c r="D236" s="2" t="n">
        <f aca="false">C236*(1-D$227)+C235*D$227</f>
        <v>0</v>
      </c>
      <c r="E236" s="2" t="n">
        <f aca="false">D236*(1-E$227)+D235*E$227</f>
        <v>0</v>
      </c>
      <c r="F236" s="2" t="n">
        <f aca="false">E236*(1-F$227)+E235*F$227</f>
        <v>0</v>
      </c>
      <c r="G236" s="2" t="n">
        <f aca="false">F236*(1-G$227)+F235*G$227</f>
        <v>0</v>
      </c>
      <c r="H236" s="2" t="n">
        <f aca="false">G236*(1-H$227)+G235*H$227</f>
        <v>0</v>
      </c>
      <c r="I236" s="2" t="n">
        <f aca="false">H236*(1-I$227)+H235*I$227</f>
        <v>0</v>
      </c>
      <c r="J236" s="2" t="n">
        <f aca="false">I236*(1-J$227)+I235*J$227</f>
        <v>0.0326098967166403</v>
      </c>
      <c r="K236" s="2" t="n">
        <f aca="false">J236*(1-K$227)+J235*K$227</f>
        <v>0.143274180180961</v>
      </c>
      <c r="L236" s="2" t="n">
        <f aca="false">K236*(1-L$227)+K235*L$227</f>
        <v>0.16904674568978</v>
      </c>
      <c r="M236" s="2" t="n">
        <f aca="false">L236*(1-M$227)+L235*M$227</f>
        <v>0.266329633351811</v>
      </c>
      <c r="N236" s="2" t="n">
        <f aca="false">M236*(1-N$227)+M235*N$227</f>
        <v>0.267813254693988</v>
      </c>
      <c r="O236" s="2" t="n">
        <f aca="false">N236*(1-O$227)+N235*O$227</f>
        <v>0.267813254693988</v>
      </c>
    </row>
    <row r="237" customFormat="false" ht="15" hidden="false" customHeight="false" outlineLevel="0" collapsed="false">
      <c r="B237" s="2" t="n">
        <v>9</v>
      </c>
      <c r="C237" s="2" t="n">
        <f aca="false">0</f>
        <v>0</v>
      </c>
      <c r="D237" s="2" t="n">
        <f aca="false">C237*(1-D$227)+C236*D$227</f>
        <v>0</v>
      </c>
      <c r="E237" s="2" t="n">
        <f aca="false">D237*(1-E$227)+D236*E$227</f>
        <v>0</v>
      </c>
      <c r="F237" s="2" t="n">
        <f aca="false">E237*(1-F$227)+E236*F$227</f>
        <v>0</v>
      </c>
      <c r="G237" s="2" t="n">
        <f aca="false">F237*(1-G$227)+F236*G$227</f>
        <v>0</v>
      </c>
      <c r="H237" s="2" t="n">
        <f aca="false">G237*(1-H$227)+G236*H$227</f>
        <v>0</v>
      </c>
      <c r="I237" s="2" t="n">
        <f aca="false">H237*(1-I$227)+H236*I$227</f>
        <v>0</v>
      </c>
      <c r="J237" s="2" t="n">
        <f aca="false">I237*(1-J$227)+I236*J$227</f>
        <v>0</v>
      </c>
      <c r="K237" s="2" t="n">
        <f aca="false">J237*(1-K$227)+J236*K$227</f>
        <v>0.0280512626945284</v>
      </c>
      <c r="L237" s="2" t="n">
        <f aca="false">K237*(1-L$227)+K236*L$227</f>
        <v>0.0486892053102429</v>
      </c>
      <c r="M237" s="2" t="n">
        <f aca="false">L237*(1-M$227)+L236*M$227</f>
        <v>0.146288186602443</v>
      </c>
      <c r="N237" s="2" t="n">
        <f aca="false">M237*(1-N$227)+M236*N$227</f>
        <v>0.161613237363258</v>
      </c>
      <c r="O237" s="2" t="n">
        <f aca="false">N237*(1-O$227)+N236*O$227</f>
        <v>0.161613237363258</v>
      </c>
    </row>
    <row r="238" customFormat="false" ht="15" hidden="false" customHeight="false" outlineLevel="0" collapsed="false">
      <c r="B238" s="2" t="n">
        <v>10</v>
      </c>
      <c r="C238" s="2" t="n">
        <f aca="false">0</f>
        <v>0</v>
      </c>
      <c r="D238" s="2" t="n">
        <f aca="false">C238*(1-D$227)+C237*D$227</f>
        <v>0</v>
      </c>
      <c r="E238" s="2" t="n">
        <f aca="false">D238*(1-E$227)+D237*E$227</f>
        <v>0</v>
      </c>
      <c r="F238" s="2" t="n">
        <f aca="false">E238*(1-F$227)+E237*F$227</f>
        <v>0</v>
      </c>
      <c r="G238" s="2" t="n">
        <f aca="false">F238*(1-G$227)+F237*G$227</f>
        <v>0</v>
      </c>
      <c r="H238" s="2" t="n">
        <f aca="false">G238*(1-H$227)+G237*H$227</f>
        <v>0</v>
      </c>
      <c r="I238" s="2" t="n">
        <f aca="false">H238*(1-I$227)+H237*I$227</f>
        <v>0</v>
      </c>
      <c r="J238" s="2" t="n">
        <f aca="false">I238*(1-J$227)+I237*J$227</f>
        <v>0</v>
      </c>
      <c r="K238" s="2" t="n">
        <f aca="false">J238*(1-K$227)+J237*K$227</f>
        <v>0</v>
      </c>
      <c r="L238" s="2" t="n">
        <f aca="false">K238*(1-L$227)+K237*L$227</f>
        <v>0.00502435073175594</v>
      </c>
      <c r="M238" s="2" t="n">
        <f aca="false">L238*(1-M$227)+L237*M$227</f>
        <v>0.0404325628943978</v>
      </c>
      <c r="N238" s="2" t="n">
        <f aca="false">M238*(1-N$227)+M237*N$227</f>
        <v>0.0539465853472478</v>
      </c>
      <c r="O238" s="2" t="n">
        <f aca="false">N238*(1-O$227)+N237*O$227</f>
        <v>0.0539465853472478</v>
      </c>
    </row>
    <row r="239" customFormat="false" ht="15" hidden="false" customHeight="false" outlineLevel="0" collapsed="false">
      <c r="B239" s="2" t="n">
        <v>11</v>
      </c>
      <c r="C239" s="2" t="n">
        <f aca="false">0</f>
        <v>0</v>
      </c>
      <c r="D239" s="2" t="n">
        <f aca="false">C239*(1-D$227)+C238*D$227</f>
        <v>0</v>
      </c>
      <c r="E239" s="2" t="n">
        <f aca="false">D239*(1-E$227)+D238*E$227</f>
        <v>0</v>
      </c>
      <c r="F239" s="2" t="n">
        <f aca="false">E239*(1-F$227)+E238*F$227</f>
        <v>0</v>
      </c>
      <c r="G239" s="2" t="n">
        <f aca="false">F239*(1-G$227)+F238*G$227</f>
        <v>0</v>
      </c>
      <c r="H239" s="2" t="n">
        <f aca="false">G239*(1-H$227)+G238*H$227</f>
        <v>0</v>
      </c>
      <c r="I239" s="2" t="n">
        <f aca="false">H239*(1-I$227)+H238*I$227</f>
        <v>0</v>
      </c>
      <c r="J239" s="2" t="n">
        <f aca="false">I239*(1-J$227)+I238*J$227</f>
        <v>0</v>
      </c>
      <c r="K239" s="2" t="n">
        <f aca="false">J239*(1-K$227)+J238*K$227</f>
        <v>0</v>
      </c>
      <c r="L239" s="2" t="n">
        <f aca="false">K239*(1-L$227)+K238*L$227</f>
        <v>0</v>
      </c>
      <c r="M239" s="2" t="n">
        <f aca="false">L239*(1-M$227)+L238*M$227</f>
        <v>0.00407428991592678</v>
      </c>
      <c r="N239" s="2" t="n">
        <f aca="false">M239*(1-N$227)+M238*N$227</f>
        <v>0.00871595655739938</v>
      </c>
      <c r="O239" s="2" t="n">
        <f aca="false">N239*(1-O$227)+N238*O$227</f>
        <v>0.00871595655739938</v>
      </c>
    </row>
    <row r="240" customFormat="false" ht="15" hidden="false" customHeight="false" outlineLevel="0" collapsed="false">
      <c r="B240" s="2" t="n">
        <v>12</v>
      </c>
      <c r="C240" s="2" t="n">
        <f aca="false">0</f>
        <v>0</v>
      </c>
      <c r="D240" s="2" t="n">
        <f aca="false">C240*(1-D$227)+C239*D$227</f>
        <v>0</v>
      </c>
      <c r="E240" s="2" t="n">
        <f aca="false">D240*(1-E$227)+D239*E$227</f>
        <v>0</v>
      </c>
      <c r="F240" s="2" t="n">
        <f aca="false">E240*(1-F$227)+E239*F$227</f>
        <v>0</v>
      </c>
      <c r="G240" s="2" t="n">
        <f aca="false">F240*(1-G$227)+F239*G$227</f>
        <v>0</v>
      </c>
      <c r="H240" s="2" t="n">
        <f aca="false">G240*(1-H$227)+G239*H$227</f>
        <v>0</v>
      </c>
      <c r="I240" s="2" t="n">
        <f aca="false">H240*(1-I$227)+H239*I$227</f>
        <v>0</v>
      </c>
      <c r="J240" s="2" t="n">
        <f aca="false">I240*(1-J$227)+I239*J$227</f>
        <v>0</v>
      </c>
      <c r="K240" s="2" t="n">
        <f aca="false">J240*(1-K$227)+J239*K$227</f>
        <v>0</v>
      </c>
      <c r="L240" s="2" t="n">
        <f aca="false">K240*(1-L$227)+K239*L$227</f>
        <v>0</v>
      </c>
      <c r="M240" s="2" t="n">
        <f aca="false">L240*(1-M$227)+L239*M$227</f>
        <v>0</v>
      </c>
      <c r="N240" s="2" t="n">
        <f aca="false">M240*(1-N$227)+M239*N$227</f>
        <v>0.000520142846213947</v>
      </c>
      <c r="O240" s="2" t="n">
        <f aca="false">N240*(1-O$227)+N239*O$227</f>
        <v>0.000520142846213947</v>
      </c>
    </row>
    <row r="241" customFormat="false" ht="15" hidden="false" customHeight="false" outlineLevel="0" collapsed="false">
      <c r="B241" s="2" t="n">
        <v>13</v>
      </c>
      <c r="C241" s="2" t="n">
        <f aca="false">0</f>
        <v>0</v>
      </c>
      <c r="D241" s="2" t="n">
        <f aca="false">C241*(1-D$227)+C240*D$227</f>
        <v>0</v>
      </c>
      <c r="E241" s="2" t="n">
        <f aca="false">D241*(1-E$227)+D240*E$227</f>
        <v>0</v>
      </c>
      <c r="F241" s="2" t="n">
        <f aca="false">E241*(1-F$227)+E240*F$227</f>
        <v>0</v>
      </c>
      <c r="G241" s="2" t="n">
        <f aca="false">F241*(1-G$227)+F240*G$227</f>
        <v>0</v>
      </c>
      <c r="H241" s="2" t="n">
        <f aca="false">G241*(1-H$227)+G240*H$227</f>
        <v>0</v>
      </c>
      <c r="I241" s="2" t="n">
        <f aca="false">H241*(1-I$227)+H240*I$227</f>
        <v>0</v>
      </c>
      <c r="J241" s="2" t="n">
        <f aca="false">I241*(1-J$227)+I240*J$227</f>
        <v>0</v>
      </c>
      <c r="K241" s="2" t="n">
        <f aca="false">J241*(1-K$227)+J240*K$227</f>
        <v>0</v>
      </c>
      <c r="L241" s="2" t="n">
        <f aca="false">K241*(1-L$227)+K240*L$227</f>
        <v>0</v>
      </c>
      <c r="M241" s="2" t="n">
        <f aca="false">L241*(1-M$227)+L240*M$227</f>
        <v>0</v>
      </c>
      <c r="N241" s="2" t="n">
        <f aca="false">M241*(1-N$227)+M240*N$227</f>
        <v>0</v>
      </c>
      <c r="O241" s="2" t="n">
        <f aca="false">N241*(1-O$227)+N240*O$227</f>
        <v>0</v>
      </c>
    </row>
    <row r="243" customFormat="false" ht="15" hidden="false" customHeight="false" outlineLevel="0" collapsed="false">
      <c r="A243" s="1" t="s">
        <v>73</v>
      </c>
      <c r="C243" s="2" t="n">
        <f aca="false">Schedule!G17</f>
        <v>0.632129993928523</v>
      </c>
      <c r="D243" s="2" t="n">
        <f aca="false">Schedule!L17</f>
        <v>0.996467343138058</v>
      </c>
      <c r="E243" s="2" t="n">
        <f aca="false">Schedule!Q17</f>
        <v>0.465137042716285</v>
      </c>
      <c r="F243" s="2" t="n">
        <f aca="false">Schedule!V17</f>
        <v>0.470107355947105</v>
      </c>
      <c r="G243" s="2" t="n">
        <f aca="false">Schedule!AA17</f>
        <v>0.603532007320995</v>
      </c>
      <c r="H243" s="2" t="n">
        <f aca="false">Schedule!AF17</f>
        <v>0.58901036286873</v>
      </c>
      <c r="I243" s="2" t="n">
        <f aca="false">Schedule!AK17</f>
        <v>0.291159686788346</v>
      </c>
      <c r="J243" s="2" t="n">
        <f aca="false">Schedule!AP17</f>
        <v>0.680375828482882</v>
      </c>
      <c r="K243" s="2" t="n">
        <f aca="false">Schedule!AU17</f>
        <v>0.321861401163654</v>
      </c>
      <c r="L243" s="2" t="n">
        <f aca="false">Schedule!AZ17</f>
        <v>0.382088577811047</v>
      </c>
      <c r="M243" s="2" t="n">
        <f aca="false">Schedule!BE17</f>
        <v>0.998902517622562</v>
      </c>
      <c r="N243" s="2" t="n">
        <f aca="false">Schedule!BJ17</f>
        <v>0.812595116901775</v>
      </c>
      <c r="O243" s="2" t="n">
        <f aca="false">Schedule!BO17</f>
        <v>0</v>
      </c>
    </row>
    <row r="244" customFormat="false" ht="15" hidden="false" customHeight="false" outlineLevel="0" collapsed="false">
      <c r="B244" s="2" t="n">
        <v>0</v>
      </c>
      <c r="C244" s="2" t="n">
        <f aca="false">1-C$243</f>
        <v>0.367870006071477</v>
      </c>
      <c r="D244" s="2" t="n">
        <f aca="false">C244*(1-D$243)</f>
        <v>0.0012995585012509</v>
      </c>
      <c r="E244" s="2" t="n">
        <f aca="false">D244*(1-E$243)</f>
        <v>0.000695085703142249</v>
      </c>
      <c r="F244" s="2" t="n">
        <f aca="false">E244*(1-F$243)</f>
        <v>0.000368320801081412</v>
      </c>
      <c r="G244" s="2" t="n">
        <f aca="false">F244*(1-G$243)</f>
        <v>0.000146027408666671</v>
      </c>
      <c r="H244" s="2" t="n">
        <f aca="false">G244*(1-H$243)</f>
        <v>6.00157516991347E-005</v>
      </c>
      <c r="I244" s="2" t="n">
        <f aca="false">H244*(1-I$243)</f>
        <v>4.25415842320475E-005</v>
      </c>
      <c r="J244" s="2" t="n">
        <f aca="false">I244*(1-J$243)</f>
        <v>1.35973186151939E-005</v>
      </c>
      <c r="K244" s="2" t="n">
        <f aca="false">J244*(1-K$243)</f>
        <v>9.22086659363892E-006</v>
      </c>
      <c r="L244" s="2" t="n">
        <f aca="false">K244*(1-L$243)</f>
        <v>5.69767879069003E-006</v>
      </c>
      <c r="M244" s="2" t="n">
        <f aca="false">L244*(1-M$243)</f>
        <v>6.25310206508398E-009</v>
      </c>
      <c r="N244" s="2" t="n">
        <f aca="false">M244*(1-N$243)</f>
        <v>1.17186186150833E-009</v>
      </c>
      <c r="O244" s="2" t="n">
        <f aca="false">N244*(1-O$243)</f>
        <v>1.17186186150833E-009</v>
      </c>
    </row>
    <row r="245" customFormat="false" ht="15" hidden="false" customHeight="false" outlineLevel="0" collapsed="false">
      <c r="B245" s="2" t="n">
        <v>1</v>
      </c>
      <c r="C245" s="2" t="n">
        <f aca="false">C$243</f>
        <v>0.632129993928523</v>
      </c>
      <c r="D245" s="2" t="n">
        <f aca="false">C245*(1-D$243)+C244*D$243</f>
        <v>0.368803545930917</v>
      </c>
      <c r="E245" s="2" t="n">
        <f aca="false">D245*(1-E$243)+D244*E$243</f>
        <v>0.197863828031439</v>
      </c>
      <c r="F245" s="2" t="n">
        <f aca="false">E245*(1-F$243)+E244*F$243</f>
        <v>0.105173351900068</v>
      </c>
      <c r="G245" s="2" t="n">
        <f aca="false">F245*(1-G$243)+F244*G$243</f>
        <v>0.0419201611035572</v>
      </c>
      <c r="H245" s="2" t="n">
        <f aca="false">G245*(1-H$243)+G244*H$243</f>
        <v>0.0173147634574029</v>
      </c>
      <c r="I245" s="2" t="n">
        <f aca="false">H245*(1-I$243)+H244*I$243</f>
        <v>0.0122908765197982</v>
      </c>
      <c r="J245" s="2" t="n">
        <f aca="false">I245*(1-J$243)+I244*J$243</f>
        <v>0.00395740549047656</v>
      </c>
      <c r="K245" s="2" t="n">
        <f aca="false">J245*(1-K$243)+J244*K$243</f>
        <v>0.00268804586636059</v>
      </c>
      <c r="L245" s="2" t="n">
        <f aca="false">K245*(1-L$243)+K244*L$243</f>
        <v>0.00166449743199496</v>
      </c>
      <c r="M245" s="2" t="n">
        <f aca="false">L245*(1-M$243)+L244*M$243</f>
        <v>7.51818228753005E-006</v>
      </c>
      <c r="N245" s="2" t="n">
        <f aca="false">M245*(1-N$243)+M244*N$243</f>
        <v>1.41402531290929E-006</v>
      </c>
      <c r="O245" s="2" t="n">
        <f aca="false">N245*(1-O$243)+N244*O$243</f>
        <v>1.41402531290929E-006</v>
      </c>
    </row>
    <row r="246" customFormat="false" ht="15" hidden="false" customHeight="false" outlineLevel="0" collapsed="false">
      <c r="B246" s="2" t="n">
        <v>2</v>
      </c>
      <c r="C246" s="2" t="n">
        <f aca="false">0</f>
        <v>0</v>
      </c>
      <c r="D246" s="2" t="n">
        <f aca="false">C246*(1-D$243)+C245*D$243</f>
        <v>0.629896895567832</v>
      </c>
      <c r="E246" s="2" t="n">
        <f aca="false">D246*(1-E$243)+D245*E$243</f>
        <v>0.508452707044829</v>
      </c>
      <c r="F246" s="2" t="n">
        <f aca="false">E246*(1-F$243)+E245*F$243</f>
        <v>0.362442590345269</v>
      </c>
      <c r="G246" s="2" t="n">
        <f aca="false">F246*(1-G$243)+F245*G$243</f>
        <v>0.207172370444493</v>
      </c>
      <c r="H246" s="2" t="n">
        <f aca="false">G246*(1-H$243)+G245*H$243</f>
        <v>0.109837106655729</v>
      </c>
      <c r="I246" s="2" t="n">
        <f aca="false">H246*(1-I$243)+H245*I$243</f>
        <v>0.0828983301891805</v>
      </c>
      <c r="J246" s="2" t="n">
        <f aca="false">I246*(1-J$243)+I245*J$243</f>
        <v>0.0348587254018078</v>
      </c>
      <c r="K246" s="2" t="n">
        <f aca="false">J246*(1-K$243)+J245*K$243</f>
        <v>0.0249127832773404</v>
      </c>
      <c r="L246" s="2" t="n">
        <f aca="false">K246*(1-L$243)+K245*L$243</f>
        <v>0.0164209649677552</v>
      </c>
      <c r="M246" s="2" t="n">
        <f aca="false">L246*(1-M$243)+L245*M$243</f>
        <v>0.00168069239506869</v>
      </c>
      <c r="N246" s="2" t="n">
        <f aca="false">M246*(1-N$243)+M245*N$243</f>
        <v>0.000321079200036747</v>
      </c>
      <c r="O246" s="2" t="n">
        <f aca="false">N246*(1-O$243)+N245*O$243</f>
        <v>0.000321079200036747</v>
      </c>
    </row>
    <row r="247" customFormat="false" ht="15" hidden="false" customHeight="false" outlineLevel="0" collapsed="false">
      <c r="B247" s="2" t="n">
        <v>3</v>
      </c>
      <c r="C247" s="2" t="n">
        <f aca="false">0</f>
        <v>0</v>
      </c>
      <c r="D247" s="2" t="n">
        <f aca="false">C247*(1-D$243)+C246*D$243</f>
        <v>0</v>
      </c>
      <c r="E247" s="2" t="n">
        <f aca="false">D247*(1-E$243)+D246*E$243</f>
        <v>0.29298837922059</v>
      </c>
      <c r="F247" s="2" t="n">
        <f aca="false">E247*(1-F$243)+E246*F$243</f>
        <v>0.394279744674963</v>
      </c>
      <c r="G247" s="2" t="n">
        <f aca="false">F247*(1-G$243)+F246*G$243</f>
        <v>0.375065003014974</v>
      </c>
      <c r="H247" s="2" t="n">
        <f aca="false">G247*(1-H$243)+G246*H$243</f>
        <v>0.276174502581649</v>
      </c>
      <c r="I247" s="2" t="n">
        <f aca="false">H247*(1-I$243)+H246*I$243</f>
        <v>0.227743758482669</v>
      </c>
      <c r="J247" s="2" t="n">
        <f aca="false">I247*(1-J$243)+I246*J$243</f>
        <v>0.129194430205529</v>
      </c>
      <c r="K247" s="2" t="n">
        <f aca="false">J247*(1-K$243)+J246*K$243</f>
        <v>0.0988314080776423</v>
      </c>
      <c r="L247" s="2" t="n">
        <f aca="false">K247*(1-L$243)+K246*L$243</f>
        <v>0.0705879458539466</v>
      </c>
      <c r="M247" s="2" t="n">
        <f aca="false">L247*(1-M$243)+L246*M$243</f>
        <v>0.0164804122747168</v>
      </c>
      <c r="N247" s="2" t="n">
        <f aca="false">M247*(1-N$243)+M246*N$243</f>
        <v>0.00445423216900061</v>
      </c>
      <c r="O247" s="2" t="n">
        <f aca="false">N247*(1-O$243)+N246*O$243</f>
        <v>0.00445423216900061</v>
      </c>
    </row>
    <row r="248" customFormat="false" ht="15" hidden="false" customHeight="false" outlineLevel="0" collapsed="false">
      <c r="B248" s="2" t="n">
        <v>4</v>
      </c>
      <c r="C248" s="2" t="n">
        <f aca="false">0</f>
        <v>0</v>
      </c>
      <c r="D248" s="2" t="n">
        <f aca="false">C248*(1-D$243)+C247*D$243</f>
        <v>0</v>
      </c>
      <c r="E248" s="2" t="n">
        <f aca="false">D248*(1-E$243)+D247*E$243</f>
        <v>0</v>
      </c>
      <c r="F248" s="2" t="n">
        <f aca="false">E248*(1-F$243)+E247*F$243</f>
        <v>0.137735992278619</v>
      </c>
      <c r="G248" s="2" t="n">
        <f aca="false">F248*(1-G$243)+F247*G$243</f>
        <v>0.292568358128045</v>
      </c>
      <c r="H248" s="2" t="n">
        <f aca="false">G248*(1-H$243)+G247*H$243</f>
        <v>0.341159736868348</v>
      </c>
      <c r="I248" s="2" t="n">
        <f aca="false">H248*(1-I$243)+H247*I$243</f>
        <v>0.322238656407565</v>
      </c>
      <c r="J248" s="2" t="n">
        <f aca="false">I248*(1-J$243)+I247*J$243</f>
        <v>0.257946611944508</v>
      </c>
      <c r="K248" s="2" t="n">
        <f aca="false">J248*(1-K$243)+J247*K$243</f>
        <v>0.216506254327123</v>
      </c>
      <c r="L248" s="2" t="n">
        <f aca="false">K248*(1-L$243)+K247*L$243</f>
        <v>0.171544039679525</v>
      </c>
      <c r="M248" s="2" t="n">
        <f aca="false">L248*(1-M$243)+L247*M$243</f>
        <v>0.0706987433878151</v>
      </c>
      <c r="N248" s="2" t="n">
        <f aca="false">M248*(1-N$243)+M247*N$243</f>
        <v>0.0266411922787478</v>
      </c>
      <c r="O248" s="2" t="n">
        <f aca="false">N248*(1-O$243)+N247*O$243</f>
        <v>0.0266411922787478</v>
      </c>
    </row>
    <row r="249" customFormat="false" ht="15" hidden="false" customHeight="false" outlineLevel="0" collapsed="false">
      <c r="B249" s="2" t="n">
        <v>5</v>
      </c>
      <c r="C249" s="2" t="n">
        <f aca="false">0</f>
        <v>0</v>
      </c>
      <c r="D249" s="2" t="n">
        <f aca="false">C249*(1-D$243)+C248*D$243</f>
        <v>0</v>
      </c>
      <c r="E249" s="2" t="n">
        <f aca="false">D249*(1-E$243)+D248*E$243</f>
        <v>0</v>
      </c>
      <c r="F249" s="2" t="n">
        <f aca="false">E249*(1-F$243)+E248*F$243</f>
        <v>0</v>
      </c>
      <c r="G249" s="2" t="n">
        <f aca="false">F249*(1-G$243)+F248*G$243</f>
        <v>0.0831280799002641</v>
      </c>
      <c r="H249" s="2" t="n">
        <f aca="false">G249*(1-H$243)+G248*H$243</f>
        <v>0.206490574178537</v>
      </c>
      <c r="I249" s="2" t="n">
        <f aca="false">H249*(1-I$243)+H248*I$243</f>
        <v>0.245700805407351</v>
      </c>
      <c r="J249" s="2" t="n">
        <f aca="false">I249*(1-J$243)+I248*J$243</f>
        <v>0.297775309191921</v>
      </c>
      <c r="K249" s="2" t="n">
        <f aca="false">J249*(1-K$243)+J248*K$243</f>
        <v>0.284955988889346</v>
      </c>
      <c r="L249" s="2" t="n">
        <f aca="false">K249*(1-L$243)+K248*L$243</f>
        <v>0.258802127158923</v>
      </c>
      <c r="M249" s="2" t="n">
        <f aca="false">L249*(1-M$243)+L248*M$243</f>
        <v>0.171639803892823</v>
      </c>
      <c r="N249" s="2" t="n">
        <f aca="false">M249*(1-N$243)+M248*N$243</f>
        <v>0.0896155910315669</v>
      </c>
      <c r="O249" s="2" t="n">
        <f aca="false">N249*(1-O$243)+N248*O$243</f>
        <v>0.0896155910315669</v>
      </c>
    </row>
    <row r="250" customFormat="false" ht="15" hidden="false" customHeight="false" outlineLevel="0" collapsed="false">
      <c r="B250" s="2" t="n">
        <v>6</v>
      </c>
      <c r="C250" s="2" t="n">
        <f aca="false">0</f>
        <v>0</v>
      </c>
      <c r="D250" s="2" t="n">
        <f aca="false">C250*(1-D$243)+C249*D$243</f>
        <v>0</v>
      </c>
      <c r="E250" s="2" t="n">
        <f aca="false">D250*(1-E$243)+D249*E$243</f>
        <v>0</v>
      </c>
      <c r="F250" s="2" t="n">
        <f aca="false">E250*(1-F$243)+E249*F$243</f>
        <v>0</v>
      </c>
      <c r="G250" s="2" t="n">
        <f aca="false">F250*(1-G$243)+F249*G$243</f>
        <v>0</v>
      </c>
      <c r="H250" s="2" t="n">
        <f aca="false">G250*(1-H$243)+G249*H$243</f>
        <v>0.0489633005066353</v>
      </c>
      <c r="I250" s="2" t="n">
        <f aca="false">H250*(1-I$243)+H249*I$243</f>
        <v>0.0948288921695683</v>
      </c>
      <c r="J250" s="2" t="n">
        <f aca="false">I250*(1-J$243)+I249*J$243</f>
        <v>0.197478495133522</v>
      </c>
      <c r="K250" s="2" t="n">
        <f aca="false">J250*(1-K$243)+J249*K$243</f>
        <v>0.229760168238609</v>
      </c>
      <c r="L250" s="2" t="n">
        <f aca="false">K250*(1-L$243)+K249*L$243</f>
        <v>0.250849860852163</v>
      </c>
      <c r="M250" s="2" t="n">
        <f aca="false">L250*(1-M$243)+L249*M$243</f>
        <v>0.25879339968679</v>
      </c>
      <c r="N250" s="2" t="n">
        <f aca="false">M250*(1-N$243)+M249*N$243</f>
        <v>0.187972813324181</v>
      </c>
      <c r="O250" s="2" t="n">
        <f aca="false">N250*(1-O$243)+N249*O$243</f>
        <v>0.187972813324181</v>
      </c>
    </row>
    <row r="251" customFormat="false" ht="15" hidden="false" customHeight="false" outlineLevel="0" collapsed="false">
      <c r="B251" s="2" t="n">
        <v>7</v>
      </c>
      <c r="C251" s="2" t="n">
        <f aca="false">0</f>
        <v>0</v>
      </c>
      <c r="D251" s="2" t="n">
        <f aca="false">C251*(1-D$243)+C250*D$243</f>
        <v>0</v>
      </c>
      <c r="E251" s="2" t="n">
        <f aca="false">D251*(1-E$243)+D250*E$243</f>
        <v>0</v>
      </c>
      <c r="F251" s="2" t="n">
        <f aca="false">E251*(1-F$243)+E250*F$243</f>
        <v>0</v>
      </c>
      <c r="G251" s="2" t="n">
        <f aca="false">F251*(1-G$243)+F250*G$243</f>
        <v>0</v>
      </c>
      <c r="H251" s="2" t="n">
        <f aca="false">G251*(1-H$243)+G250*H$243</f>
        <v>0</v>
      </c>
      <c r="I251" s="2" t="n">
        <f aca="false">H251*(1-I$243)+H250*I$243</f>
        <v>0.0142561392396356</v>
      </c>
      <c r="J251" s="2" t="n">
        <f aca="false">I251*(1-J$243)+I250*J$243</f>
        <v>0.0690758927674851</v>
      </c>
      <c r="K251" s="2" t="n">
        <f aca="false">J251*(1-K$243)+J250*K$243</f>
        <v>0.110403734278077</v>
      </c>
      <c r="L251" s="2" t="n">
        <f aca="false">K251*(1-L$243)+K250*L$243</f>
        <v>0.156008464382655</v>
      </c>
      <c r="M251" s="2" t="n">
        <f aca="false">L251*(1-M$243)+L250*M$243</f>
        <v>0.250745774090886</v>
      </c>
      <c r="N251" s="2" t="n">
        <f aca="false">M251*(1-N$243)+M250*N$243</f>
        <v>0.257285235352772</v>
      </c>
      <c r="O251" s="2" t="n">
        <f aca="false">N251*(1-O$243)+N250*O$243</f>
        <v>0.257285235352772</v>
      </c>
    </row>
    <row r="252" customFormat="false" ht="15" hidden="false" customHeight="false" outlineLevel="0" collapsed="false">
      <c r="B252" s="2" t="n">
        <v>8</v>
      </c>
      <c r="C252" s="2" t="n">
        <f aca="false">0</f>
        <v>0</v>
      </c>
      <c r="D252" s="2" t="n">
        <f aca="false">C252*(1-D$243)+C251*D$243</f>
        <v>0</v>
      </c>
      <c r="E252" s="2" t="n">
        <f aca="false">D252*(1-E$243)+D251*E$243</f>
        <v>0</v>
      </c>
      <c r="F252" s="2" t="n">
        <f aca="false">E252*(1-F$243)+E251*F$243</f>
        <v>0</v>
      </c>
      <c r="G252" s="2" t="n">
        <f aca="false">F252*(1-G$243)+F251*G$243</f>
        <v>0</v>
      </c>
      <c r="H252" s="2" t="n">
        <f aca="false">G252*(1-H$243)+G251*H$243</f>
        <v>0</v>
      </c>
      <c r="I252" s="2" t="n">
        <f aca="false">H252*(1-I$243)+H251*I$243</f>
        <v>0</v>
      </c>
      <c r="J252" s="2" t="n">
        <f aca="false">I252*(1-J$243)+I251*J$243</f>
        <v>0.00969953254613441</v>
      </c>
      <c r="K252" s="2" t="n">
        <f aca="false">J252*(1-K$243)+J251*K$243</f>
        <v>0.0288104910429762</v>
      </c>
      <c r="L252" s="2" t="n">
        <f aca="false">K252*(1-L$243)+K251*L$243</f>
        <v>0.0599863373096669</v>
      </c>
      <c r="M252" s="2" t="n">
        <f aca="false">L252*(1-M$243)+L251*M$243</f>
        <v>0.155903081790348</v>
      </c>
      <c r="N252" s="2" t="n">
        <f aca="false">M252*(1-N$243)+M251*N$243</f>
        <v>0.232971790427583</v>
      </c>
      <c r="O252" s="2" t="n">
        <f aca="false">N252*(1-O$243)+N251*O$243</f>
        <v>0.232971790427583</v>
      </c>
    </row>
    <row r="253" customFormat="false" ht="15" hidden="false" customHeight="false" outlineLevel="0" collapsed="false">
      <c r="B253" s="2" t="n">
        <v>9</v>
      </c>
      <c r="C253" s="2" t="n">
        <f aca="false">0</f>
        <v>0</v>
      </c>
      <c r="D253" s="2" t="n">
        <f aca="false">C253*(1-D$243)+C252*D$243</f>
        <v>0</v>
      </c>
      <c r="E253" s="2" t="n">
        <f aca="false">D253*(1-E$243)+D252*E$243</f>
        <v>0</v>
      </c>
      <c r="F253" s="2" t="n">
        <f aca="false">E253*(1-F$243)+E252*F$243</f>
        <v>0</v>
      </c>
      <c r="G253" s="2" t="n">
        <f aca="false">F253*(1-G$243)+F252*G$243</f>
        <v>0</v>
      </c>
      <c r="H253" s="2" t="n">
        <f aca="false">G253*(1-H$243)+G252*H$243</f>
        <v>0</v>
      </c>
      <c r="I253" s="2" t="n">
        <f aca="false">H253*(1-I$243)+H252*I$243</f>
        <v>0</v>
      </c>
      <c r="J253" s="2" t="n">
        <f aca="false">I253*(1-J$243)+I252*J$243</f>
        <v>0</v>
      </c>
      <c r="K253" s="2" t="n">
        <f aca="false">J253*(1-K$243)+J252*K$243</f>
        <v>0.00312190513593129</v>
      </c>
      <c r="L253" s="2" t="n">
        <f aca="false">K253*(1-L$243)+K252*L$243</f>
        <v>0.012937220391131</v>
      </c>
      <c r="M253" s="2" t="n">
        <f aca="false">L253*(1-M$243)+L252*M$243</f>
        <v>0.0599347017329748</v>
      </c>
      <c r="N253" s="2" t="n">
        <f aca="false">M253*(1-N$243)+M252*N$243</f>
        <v>0.13791813874457</v>
      </c>
      <c r="O253" s="2" t="n">
        <f aca="false">N253*(1-O$243)+N252*O$243</f>
        <v>0.13791813874457</v>
      </c>
    </row>
    <row r="254" customFormat="false" ht="15" hidden="false" customHeight="false" outlineLevel="0" collapsed="false">
      <c r="B254" s="2" t="n">
        <v>10</v>
      </c>
      <c r="C254" s="2" t="n">
        <f aca="false">0</f>
        <v>0</v>
      </c>
      <c r="D254" s="2" t="n">
        <f aca="false">C254*(1-D$243)+C253*D$243</f>
        <v>0</v>
      </c>
      <c r="E254" s="2" t="n">
        <f aca="false">D254*(1-E$243)+D253*E$243</f>
        <v>0</v>
      </c>
      <c r="F254" s="2" t="n">
        <f aca="false">E254*(1-F$243)+E253*F$243</f>
        <v>0</v>
      </c>
      <c r="G254" s="2" t="n">
        <f aca="false">F254*(1-G$243)+F253*G$243</f>
        <v>0</v>
      </c>
      <c r="H254" s="2" t="n">
        <f aca="false">G254*(1-H$243)+G253*H$243</f>
        <v>0</v>
      </c>
      <c r="I254" s="2" t="n">
        <f aca="false">H254*(1-I$243)+H253*I$243</f>
        <v>0</v>
      </c>
      <c r="J254" s="2" t="n">
        <f aca="false">I254*(1-J$243)+I253*J$243</f>
        <v>0</v>
      </c>
      <c r="K254" s="2" t="n">
        <f aca="false">J254*(1-K$243)+J253*K$243</f>
        <v>0</v>
      </c>
      <c r="L254" s="2" t="n">
        <f aca="false">K254*(1-L$243)+K253*L$243</f>
        <v>0.00119284429344899</v>
      </c>
      <c r="M254" s="2" t="n">
        <f aca="false">L254*(1-M$243)+L253*M$243</f>
        <v>0.0129243311453298</v>
      </c>
      <c r="N254" s="2" t="n">
        <f aca="false">M254*(1-N$243)+M253*N$243</f>
        <v>0.0511247287285929</v>
      </c>
      <c r="O254" s="2" t="n">
        <f aca="false">N254*(1-O$243)+N253*O$243</f>
        <v>0.0511247287285929</v>
      </c>
    </row>
    <row r="255" customFormat="false" ht="15" hidden="false" customHeight="false" outlineLevel="0" collapsed="false">
      <c r="B255" s="2" t="n">
        <v>11</v>
      </c>
      <c r="C255" s="2" t="n">
        <f aca="false">0</f>
        <v>0</v>
      </c>
      <c r="D255" s="2" t="n">
        <f aca="false">C255*(1-D$243)+C254*D$243</f>
        <v>0</v>
      </c>
      <c r="E255" s="2" t="n">
        <f aca="false">D255*(1-E$243)+D254*E$243</f>
        <v>0</v>
      </c>
      <c r="F255" s="2" t="n">
        <f aca="false">E255*(1-F$243)+E254*F$243</f>
        <v>0</v>
      </c>
      <c r="G255" s="2" t="n">
        <f aca="false">F255*(1-G$243)+F254*G$243</f>
        <v>0</v>
      </c>
      <c r="H255" s="2" t="n">
        <f aca="false">G255*(1-H$243)+G254*H$243</f>
        <v>0</v>
      </c>
      <c r="I255" s="2" t="n">
        <f aca="false">H255*(1-I$243)+H254*I$243</f>
        <v>0</v>
      </c>
      <c r="J255" s="2" t="n">
        <f aca="false">I255*(1-J$243)+I254*J$243</f>
        <v>0</v>
      </c>
      <c r="K255" s="2" t="n">
        <f aca="false">J255*(1-K$243)+J254*K$243</f>
        <v>0</v>
      </c>
      <c r="L255" s="2" t="n">
        <f aca="false">K255*(1-L$243)+K254*L$243</f>
        <v>0</v>
      </c>
      <c r="M255" s="2" t="n">
        <f aca="false">L255*(1-M$243)+L254*M$243</f>
        <v>0.0011915351678579</v>
      </c>
      <c r="N255" s="2" t="n">
        <f aca="false">M255*(1-N$243)+M254*N$243</f>
        <v>0.0107255478867563</v>
      </c>
      <c r="O255" s="2" t="n">
        <f aca="false">N255*(1-O$243)+N254*O$243</f>
        <v>0.0107255478867563</v>
      </c>
    </row>
    <row r="256" customFormat="false" ht="15" hidden="false" customHeight="false" outlineLevel="0" collapsed="false">
      <c r="B256" s="2" t="n">
        <v>12</v>
      </c>
      <c r="C256" s="2" t="n">
        <f aca="false">0</f>
        <v>0</v>
      </c>
      <c r="D256" s="2" t="n">
        <f aca="false">C256*(1-D$243)+C255*D$243</f>
        <v>0</v>
      </c>
      <c r="E256" s="2" t="n">
        <f aca="false">D256*(1-E$243)+D255*E$243</f>
        <v>0</v>
      </c>
      <c r="F256" s="2" t="n">
        <f aca="false">E256*(1-F$243)+E255*F$243</f>
        <v>0</v>
      </c>
      <c r="G256" s="2" t="n">
        <f aca="false">F256*(1-G$243)+F255*G$243</f>
        <v>0</v>
      </c>
      <c r="H256" s="2" t="n">
        <f aca="false">G256*(1-H$243)+G255*H$243</f>
        <v>0</v>
      </c>
      <c r="I256" s="2" t="n">
        <f aca="false">H256*(1-I$243)+H255*I$243</f>
        <v>0</v>
      </c>
      <c r="J256" s="2" t="n">
        <f aca="false">I256*(1-J$243)+I255*J$243</f>
        <v>0</v>
      </c>
      <c r="K256" s="2" t="n">
        <f aca="false">J256*(1-K$243)+J255*K$243</f>
        <v>0</v>
      </c>
      <c r="L256" s="2" t="n">
        <f aca="false">K256*(1-L$243)+K255*L$243</f>
        <v>0</v>
      </c>
      <c r="M256" s="2" t="n">
        <f aca="false">L256*(1-M$243)+L255*M$243</f>
        <v>0</v>
      </c>
      <c r="N256" s="2" t="n">
        <f aca="false">M256*(1-N$243)+M255*N$243</f>
        <v>0.000968235659018068</v>
      </c>
      <c r="O256" s="2" t="n">
        <f aca="false">N256*(1-O$243)+N255*O$243</f>
        <v>0.000968235659018068</v>
      </c>
    </row>
    <row r="257" customFormat="false" ht="15" hidden="false" customHeight="false" outlineLevel="0" collapsed="false">
      <c r="B257" s="2" t="n">
        <v>13</v>
      </c>
      <c r="C257" s="2" t="n">
        <f aca="false">0</f>
        <v>0</v>
      </c>
      <c r="D257" s="2" t="n">
        <f aca="false">C257*(1-D$243)+C256*D$243</f>
        <v>0</v>
      </c>
      <c r="E257" s="2" t="n">
        <f aca="false">D257*(1-E$243)+D256*E$243</f>
        <v>0</v>
      </c>
      <c r="F257" s="2" t="n">
        <f aca="false">E257*(1-F$243)+E256*F$243</f>
        <v>0</v>
      </c>
      <c r="G257" s="2" t="n">
        <f aca="false">F257*(1-G$243)+F256*G$243</f>
        <v>0</v>
      </c>
      <c r="H257" s="2" t="n">
        <f aca="false">G257*(1-H$243)+G256*H$243</f>
        <v>0</v>
      </c>
      <c r="I257" s="2" t="n">
        <f aca="false">H257*(1-I$243)+H256*I$243</f>
        <v>0</v>
      </c>
      <c r="J257" s="2" t="n">
        <f aca="false">I257*(1-J$243)+I256*J$243</f>
        <v>0</v>
      </c>
      <c r="K257" s="2" t="n">
        <f aca="false">J257*(1-K$243)+J256*K$243</f>
        <v>0</v>
      </c>
      <c r="L257" s="2" t="n">
        <f aca="false">K257*(1-L$243)+K256*L$243</f>
        <v>0</v>
      </c>
      <c r="M257" s="2" t="n">
        <f aca="false">L257*(1-M$243)+L256*M$243</f>
        <v>0</v>
      </c>
      <c r="N257" s="2" t="n">
        <f aca="false">M257*(1-N$243)+M256*N$243</f>
        <v>0</v>
      </c>
      <c r="O257" s="2" t="n">
        <f aca="false">N257*(1-O$243)+N256*O$243</f>
        <v>0</v>
      </c>
    </row>
    <row r="259" customFormat="false" ht="15" hidden="false" customHeight="false" outlineLevel="0" collapsed="false">
      <c r="A259" s="1" t="s">
        <v>74</v>
      </c>
      <c r="C259" s="2" t="n">
        <f aca="false">Schedule!G18</f>
        <v>0.953642817347679</v>
      </c>
      <c r="D259" s="2" t="n">
        <f aca="false">Schedule!L18</f>
        <v>0.922921399447928</v>
      </c>
      <c r="E259" s="2" t="n">
        <f aca="false">Schedule!Q18</f>
        <v>0.975147849694135</v>
      </c>
      <c r="F259" s="2" t="n">
        <f aca="false">Schedule!V18</f>
        <v>0.824137870333926</v>
      </c>
      <c r="G259" s="2" t="n">
        <f aca="false">Schedule!AA18</f>
        <v>0.704538857537264</v>
      </c>
      <c r="H259" s="2" t="n">
        <f aca="false">Schedule!AF18</f>
        <v>0.524917669029247</v>
      </c>
      <c r="I259" s="2" t="n">
        <f aca="false">Schedule!AK18</f>
        <v>0.418297816494375</v>
      </c>
      <c r="J259" s="2" t="n">
        <f aca="false">Schedule!AP18</f>
        <v>0.904266222788901</v>
      </c>
      <c r="K259" s="2" t="n">
        <f aca="false">Schedule!AU18</f>
        <v>0.447788771872615</v>
      </c>
      <c r="L259" s="2" t="n">
        <f aca="false">Schedule!AZ18</f>
        <v>0.782672264321914</v>
      </c>
      <c r="M259" s="2" t="n">
        <f aca="false">Schedule!BE18</f>
        <v>0.841344746068543</v>
      </c>
      <c r="N259" s="2" t="n">
        <f aca="false">Schedule!BJ18</f>
        <v>0.702377225633592</v>
      </c>
      <c r="O259" s="2" t="n">
        <f aca="false">Schedule!BO18</f>
        <v>0</v>
      </c>
    </row>
    <row r="260" customFormat="false" ht="15" hidden="false" customHeight="false" outlineLevel="0" collapsed="false">
      <c r="B260" s="2" t="n">
        <v>0</v>
      </c>
      <c r="C260" s="2" t="n">
        <f aca="false">1-C$259</f>
        <v>0.0463571826523206</v>
      </c>
      <c r="D260" s="2" t="n">
        <f aca="false">C260*(1-D$259)</f>
        <v>0.00357314676437765</v>
      </c>
      <c r="E260" s="2" t="n">
        <f aca="false">D260*(1-E$259)</f>
        <v>8.88003804532289E-005</v>
      </c>
      <c r="F260" s="2" t="n">
        <f aca="false">E260*(1-F$259)</f>
        <v>1.56166240216624E-005</v>
      </c>
      <c r="G260" s="2" t="n">
        <f aca="false">F260*(1-G$259)</f>
        <v>4.61410557485139E-006</v>
      </c>
      <c r="H260" s="2" t="n">
        <f aca="false">G260*(1-H$259)</f>
        <v>2.19208003184554E-006</v>
      </c>
      <c r="I260" s="2" t="n">
        <f aca="false">H260*(1-I$259)</f>
        <v>1.27513774094363E-006</v>
      </c>
      <c r="J260" s="2" t="n">
        <f aca="false">I260*(1-J$259)</f>
        <v>1.22073752404961E-007</v>
      </c>
      <c r="K260" s="2" t="n">
        <f aca="false">J260*(1-K$259)</f>
        <v>6.7410496737662E-008</v>
      </c>
      <c r="L260" s="2" t="n">
        <f aca="false">K260*(1-L$259)</f>
        <v>1.46501706169311E-008</v>
      </c>
      <c r="M260" s="2" t="n">
        <f aca="false">L260*(1-M$259)</f>
        <v>2.32432653936837E-009</v>
      </c>
      <c r="N260" s="2" t="n">
        <f aca="false">M260*(1-N$259)</f>
        <v>6.91772513180285E-010</v>
      </c>
      <c r="O260" s="2" t="n">
        <f aca="false">N260*(1-O$259)</f>
        <v>6.91772513180285E-010</v>
      </c>
    </row>
    <row r="261" customFormat="false" ht="15" hidden="false" customHeight="false" outlineLevel="0" collapsed="false">
      <c r="B261" s="2" t="n">
        <v>1</v>
      </c>
      <c r="C261" s="2" t="n">
        <f aca="false">C$259</f>
        <v>0.953642817347679</v>
      </c>
      <c r="D261" s="2" t="n">
        <f aca="false">C261*(1-D$259)+C260*D$259</f>
        <v>0.116289489675637</v>
      </c>
      <c r="E261" s="2" t="n">
        <f aca="false">D261*(1-E$259)+D260*E$259</f>
        <v>0.0063743902603357</v>
      </c>
      <c r="F261" s="2" t="n">
        <f aca="false">E261*(1-F$259)+E260*F$259</f>
        <v>0.00119419760293688</v>
      </c>
      <c r="G261" s="2" t="n">
        <f aca="false">F261*(1-G$259)+F260*G$259</f>
        <v>0.000363841506536803</v>
      </c>
      <c r="H261" s="2" t="n">
        <f aca="false">G261*(1-H$259)+G260*H$259</f>
        <v>0.000175276696572421</v>
      </c>
      <c r="I261" s="2" t="n">
        <f aca="false">H261*(1-I$259)+H260*I$259</f>
        <v>0.000102875779404732</v>
      </c>
      <c r="J261" s="2" t="n">
        <f aca="false">I261*(1-J$259)+I260*J$259</f>
        <v>1.10017509344894E-005</v>
      </c>
      <c r="K261" s="2" t="n">
        <f aca="false">J261*(1-K$259)+J260*K$259</f>
        <v>6.1299536507533E-006</v>
      </c>
      <c r="L261" s="2" t="n">
        <f aca="false">K261*(1-L$259)+K260*L$259</f>
        <v>1.38496927285056E-006</v>
      </c>
      <c r="M261" s="2" t="n">
        <f aca="false">L261*(1-M$259)+L260*M$259</f>
        <v>2.32058495748934E-007</v>
      </c>
      <c r="N261" s="2" t="n">
        <f aca="false">M261*(1-N$259)+M260*N$259</f>
        <v>7.0698447346281E-008</v>
      </c>
      <c r="O261" s="2" t="n">
        <f aca="false">N261*(1-O$259)+N260*O$259</f>
        <v>7.0698447346281E-008</v>
      </c>
    </row>
    <row r="262" customFormat="false" ht="15" hidden="false" customHeight="false" outlineLevel="0" collapsed="false">
      <c r="B262" s="2" t="n">
        <v>2</v>
      </c>
      <c r="C262" s="2" t="n">
        <f aca="false">0</f>
        <v>0</v>
      </c>
      <c r="D262" s="2" t="n">
        <f aca="false">C262*(1-D$259)+C261*D$259</f>
        <v>0.880137363559985</v>
      </c>
      <c r="E262" s="2" t="n">
        <f aca="false">D262*(1-E$259)+D261*E$259</f>
        <v>0.135272751848226</v>
      </c>
      <c r="F262" s="2" t="n">
        <f aca="false">E262*(1-F$259)+E261*F$259</f>
        <v>0.0290427306396498</v>
      </c>
      <c r="G262" s="2" t="n">
        <f aca="false">F262*(1-G$259)+F261*G$259</f>
        <v>0.00942235698987534</v>
      </c>
      <c r="H262" s="2" t="n">
        <f aca="false">G262*(1-H$259)+G261*H$259</f>
        <v>0.00466738215749593</v>
      </c>
      <c r="I262" s="2" t="n">
        <f aca="false">H262*(1-I$259)+H261*I$259</f>
        <v>0.00278834425172917</v>
      </c>
      <c r="J262" s="2" t="n">
        <f aca="false">I262*(1-J$259)+I261*J$259</f>
        <v>0.000359965819841669</v>
      </c>
      <c r="K262" s="2" t="n">
        <f aca="false">J262*(1-K$259)+J261*K$259</f>
        <v>0.000203703627998052</v>
      </c>
      <c r="L262" s="2" t="n">
        <f aca="false">K262*(1-L$259)+K261*L$259</f>
        <v>4.90681929262512E-005</v>
      </c>
      <c r="M262" s="2" t="n">
        <f aca="false">L262*(1-M$259)+L261*M$259</f>
        <v>8.9501632298513E-006</v>
      </c>
      <c r="N262" s="2" t="n">
        <f aca="false">M262*(1-N$259)+M261*N$259</f>
        <v>2.8267650139294E-006</v>
      </c>
      <c r="O262" s="2" t="n">
        <f aca="false">N262*(1-O$259)+N261*O$259</f>
        <v>2.8267650139294E-006</v>
      </c>
    </row>
    <row r="263" customFormat="false" ht="15" hidden="false" customHeight="false" outlineLevel="0" collapsed="false">
      <c r="B263" s="2" t="n">
        <v>3</v>
      </c>
      <c r="C263" s="2" t="n">
        <f aca="false">0</f>
        <v>0</v>
      </c>
      <c r="D263" s="2" t="n">
        <f aca="false">C263*(1-D$259)+C262*D$259</f>
        <v>0</v>
      </c>
      <c r="E263" s="2" t="n">
        <f aca="false">D263*(1-E$259)+D262*E$259</f>
        <v>0.858264057510985</v>
      </c>
      <c r="F263" s="2" t="n">
        <f aca="false">E263*(1-F$259)+E262*F$259</f>
        <v>0.262419542592135</v>
      </c>
      <c r="G263" s="2" t="n">
        <f aca="false">F263*(1-G$259)+F262*G$259</f>
        <v>0.0979965101234421</v>
      </c>
      <c r="H263" s="2" t="n">
        <f aca="false">G263*(1-H$259)+G262*H$259</f>
        <v>0.0515023721243306</v>
      </c>
      <c r="I263" s="2" t="n">
        <f aca="false">H263*(1-I$259)+H262*I$259</f>
        <v>0.0319113980856677</v>
      </c>
      <c r="J263" s="2" t="n">
        <f aca="false">I263*(1-J$259)+I262*J$259</f>
        <v>0.00557640419917427</v>
      </c>
      <c r="K263" s="2" t="n">
        <f aca="false">J263*(1-K$259)+J262*K$259</f>
        <v>0.00324054166374375</v>
      </c>
      <c r="L263" s="2" t="n">
        <f aca="false">K263*(1-L$259)+K262*L$259</f>
        <v>0.00086369276192775</v>
      </c>
      <c r="M263" s="2" t="n">
        <f aca="false">L263*(1-M$259)+L262*M$259</f>
        <v>0.000178312660779988</v>
      </c>
      <c r="N263" s="2" t="n">
        <f aca="false">M263*(1-N$259)+M262*N$259</f>
        <v>5.93562996243469E-005</v>
      </c>
      <c r="O263" s="2" t="n">
        <f aca="false">N263*(1-O$259)+N262*O$259</f>
        <v>5.93562996243469E-005</v>
      </c>
    </row>
    <row r="264" customFormat="false" ht="15" hidden="false" customHeight="false" outlineLevel="0" collapsed="false">
      <c r="B264" s="2" t="n">
        <v>4</v>
      </c>
      <c r="C264" s="2" t="n">
        <f aca="false">0</f>
        <v>0</v>
      </c>
      <c r="D264" s="2" t="n">
        <f aca="false">C264*(1-D$259)+C263*D$259</f>
        <v>0</v>
      </c>
      <c r="E264" s="2" t="n">
        <f aca="false">D264*(1-E$259)+D263*E$259</f>
        <v>0</v>
      </c>
      <c r="F264" s="2" t="n">
        <f aca="false">E264*(1-F$259)+E263*F$259</f>
        <v>0.707327912541257</v>
      </c>
      <c r="G264" s="2" t="n">
        <f aca="false">F264*(1-G$259)+F263*G$259</f>
        <v>0.393872677868536</v>
      </c>
      <c r="H264" s="2" t="n">
        <f aca="false">G264*(1-H$259)+G263*H$259</f>
        <v>0.238562049574475</v>
      </c>
      <c r="I264" s="2" t="n">
        <f aca="false">H264*(1-I$259)+H263*I$259</f>
        <v>0.160315394942937</v>
      </c>
      <c r="J264" s="2" t="n">
        <f aca="false">I264*(1-J$259)+I263*J$259</f>
        <v>0.0442039977138162</v>
      </c>
      <c r="K264" s="2" t="n">
        <f aca="false">J264*(1-K$259)+J263*K$259</f>
        <v>0.0269069950535001</v>
      </c>
      <c r="L264" s="2" t="n">
        <f aca="false">K264*(1-L$259)+K263*L$259</f>
        <v>0.00838391839047045</v>
      </c>
      <c r="M264" s="2" t="n">
        <f aca="false">L264*(1-M$259)+L263*M$259</f>
        <v>0.00205681606864604</v>
      </c>
      <c r="N264" s="2" t="n">
        <f aca="false">M264*(1-N$259)+M263*N$259</f>
        <v>0.000737398056685835</v>
      </c>
      <c r="O264" s="2" t="n">
        <f aca="false">N264*(1-O$259)+N263*O$259</f>
        <v>0.000737398056685835</v>
      </c>
    </row>
    <row r="265" customFormat="false" ht="15" hidden="false" customHeight="false" outlineLevel="0" collapsed="false">
      <c r="B265" s="2" t="n">
        <v>5</v>
      </c>
      <c r="C265" s="2" t="n">
        <f aca="false">0</f>
        <v>0</v>
      </c>
      <c r="D265" s="2" t="n">
        <f aca="false">C265*(1-D$259)+C264*D$259</f>
        <v>0</v>
      </c>
      <c r="E265" s="2" t="n">
        <f aca="false">D265*(1-E$259)+D264*E$259</f>
        <v>0</v>
      </c>
      <c r="F265" s="2" t="n">
        <f aca="false">E265*(1-F$259)+E264*F$259</f>
        <v>0</v>
      </c>
      <c r="G265" s="2" t="n">
        <f aca="false">F265*(1-G$259)+F264*G$259</f>
        <v>0.498339999406035</v>
      </c>
      <c r="H265" s="2" t="n">
        <f aca="false">G265*(1-H$259)+G264*H$259</f>
        <v>0.443503256494842</v>
      </c>
      <c r="I265" s="2" t="n">
        <f aca="false">H265*(1-I$259)+H264*I$259</f>
        <v>0.357776797130331</v>
      </c>
      <c r="J265" s="2" t="n">
        <f aca="false">I265*(1-J$259)+I264*J$259</f>
        <v>0.179219120827736</v>
      </c>
      <c r="K265" s="2" t="n">
        <f aca="false">J265*(1-K$259)+J264*K$259</f>
        <v>0.118760864664324</v>
      </c>
      <c r="L265" s="2" t="n">
        <f aca="false">K265*(1-L$259)+K264*L$259</f>
        <v>0.0468693885492906</v>
      </c>
      <c r="M265" s="2" t="n">
        <f aca="false">L265*(1-M$259)+L264*M$259</f>
        <v>0.0144898404311896</v>
      </c>
      <c r="N265" s="2" t="n">
        <f aca="false">M265*(1-N$259)+M264*N$259</f>
        <v>0.00575716727319138</v>
      </c>
      <c r="O265" s="2" t="n">
        <f aca="false">N265*(1-O$259)+N264*O$259</f>
        <v>0.00575716727319138</v>
      </c>
    </row>
    <row r="266" customFormat="false" ht="15" hidden="false" customHeight="false" outlineLevel="0" collapsed="false">
      <c r="B266" s="2" t="n">
        <v>6</v>
      </c>
      <c r="C266" s="2" t="n">
        <f aca="false">0</f>
        <v>0</v>
      </c>
      <c r="D266" s="2" t="n">
        <f aca="false">C266*(1-D$259)+C265*D$259</f>
        <v>0</v>
      </c>
      <c r="E266" s="2" t="n">
        <f aca="false">D266*(1-E$259)+D265*E$259</f>
        <v>0</v>
      </c>
      <c r="F266" s="2" t="n">
        <f aca="false">E266*(1-F$259)+E265*F$259</f>
        <v>0</v>
      </c>
      <c r="G266" s="2" t="n">
        <f aca="false">F266*(1-G$259)+F265*G$259</f>
        <v>0</v>
      </c>
      <c r="H266" s="2" t="n">
        <f aca="false">G266*(1-H$259)+G265*H$259</f>
        <v>0.261587470872252</v>
      </c>
      <c r="I266" s="2" t="n">
        <f aca="false">H266*(1-I$259)+H265*I$259</f>
        <v>0.33768244678404</v>
      </c>
      <c r="J266" s="2" t="n">
        <f aca="false">I266*(1-J$259)+I265*J$259</f>
        <v>0.355853089071077</v>
      </c>
      <c r="K266" s="2" t="n">
        <f aca="false">J266*(1-K$259)+J265*K$259</f>
        <v>0.276758381360405</v>
      </c>
      <c r="L266" s="2" t="n">
        <f aca="false">K266*(1-L$259)+K265*L$259</f>
        <v>0.153098107210644</v>
      </c>
      <c r="M266" s="2" t="n">
        <f aca="false">L266*(1-M$259)+L265*M$259</f>
        <v>0.0637231328833209</v>
      </c>
      <c r="N266" s="2" t="n">
        <f aca="false">M266*(1-N$259)+M265*N$259</f>
        <v>0.0291427895219856</v>
      </c>
      <c r="O266" s="2" t="n">
        <f aca="false">N266*(1-O$259)+N265*O$259</f>
        <v>0.0291427895219856</v>
      </c>
    </row>
    <row r="267" customFormat="false" ht="15" hidden="false" customHeight="false" outlineLevel="0" collapsed="false">
      <c r="B267" s="2" t="n">
        <v>7</v>
      </c>
      <c r="C267" s="2" t="n">
        <f aca="false">0</f>
        <v>0</v>
      </c>
      <c r="D267" s="2" t="n">
        <f aca="false">C267*(1-D$259)+C266*D$259</f>
        <v>0</v>
      </c>
      <c r="E267" s="2" t="n">
        <f aca="false">D267*(1-E$259)+D266*E$259</f>
        <v>0</v>
      </c>
      <c r="F267" s="2" t="n">
        <f aca="false">E267*(1-F$259)+E266*F$259</f>
        <v>0</v>
      </c>
      <c r="G267" s="2" t="n">
        <f aca="false">F267*(1-G$259)+F266*G$259</f>
        <v>0</v>
      </c>
      <c r="H267" s="2" t="n">
        <f aca="false">G267*(1-H$259)+G266*H$259</f>
        <v>0</v>
      </c>
      <c r="I267" s="2" t="n">
        <f aca="false">H267*(1-I$259)+H266*I$259</f>
        <v>0.109421467888149</v>
      </c>
      <c r="J267" s="2" t="n">
        <f aca="false">I267*(1-J$259)+I266*J$259</f>
        <v>0.315830161084434</v>
      </c>
      <c r="K267" s="2" t="n">
        <f aca="false">J267*(1-K$259)+J266*K$259</f>
        <v>0.333751978854319</v>
      </c>
      <c r="L267" s="2" t="n">
        <f aca="false">K267*(1-L$259)+K266*L$259</f>
        <v>0.289144670851906</v>
      </c>
      <c r="M267" s="2" t="n">
        <f aca="false">L267*(1-M$259)+L266*M$259</f>
        <v>0.17468260931165</v>
      </c>
      <c r="N267" s="2" t="n">
        <f aca="false">M267*(1-N$259)+M266*N$259</f>
        <v>0.0967472001001643</v>
      </c>
      <c r="O267" s="2" t="n">
        <f aca="false">N267*(1-O$259)+N266*O$259</f>
        <v>0.0967472001001643</v>
      </c>
    </row>
    <row r="268" customFormat="false" ht="15" hidden="false" customHeight="false" outlineLevel="0" collapsed="false">
      <c r="B268" s="2" t="n">
        <v>8</v>
      </c>
      <c r="C268" s="2" t="n">
        <f aca="false">0</f>
        <v>0</v>
      </c>
      <c r="D268" s="2" t="n">
        <f aca="false">C268*(1-D$259)+C267*D$259</f>
        <v>0</v>
      </c>
      <c r="E268" s="2" t="n">
        <f aca="false">D268*(1-E$259)+D267*E$259</f>
        <v>0</v>
      </c>
      <c r="F268" s="2" t="n">
        <f aca="false">E268*(1-F$259)+E267*F$259</f>
        <v>0</v>
      </c>
      <c r="G268" s="2" t="n">
        <f aca="false">F268*(1-G$259)+F267*G$259</f>
        <v>0</v>
      </c>
      <c r="H268" s="2" t="n">
        <f aca="false">G268*(1-H$259)+G267*H$259</f>
        <v>0</v>
      </c>
      <c r="I268" s="2" t="n">
        <f aca="false">H268*(1-I$259)+H267*I$259</f>
        <v>0</v>
      </c>
      <c r="J268" s="2" t="n">
        <f aca="false">I268*(1-J$259)+I267*J$259</f>
        <v>0.0989461374592336</v>
      </c>
      <c r="K268" s="2" t="n">
        <f aca="false">J268*(1-K$259)+J267*K$259</f>
        <v>0.196064368037153</v>
      </c>
      <c r="L268" s="2" t="n">
        <f aca="false">K268*(1-L$259)+K267*L$259</f>
        <v>0.303828642164499</v>
      </c>
      <c r="M268" s="2" t="n">
        <f aca="false">L268*(1-M$259)+L267*M$259</f>
        <v>0.291474360049227</v>
      </c>
      <c r="N268" s="2" t="n">
        <f aca="false">M268*(1-N$259)+M267*N$259</f>
        <v>0.209442494189278</v>
      </c>
      <c r="O268" s="2" t="n">
        <f aca="false">N268*(1-O$259)+N267*O$259</f>
        <v>0.209442494189278</v>
      </c>
    </row>
    <row r="269" customFormat="false" ht="15" hidden="false" customHeight="false" outlineLevel="0" collapsed="false">
      <c r="B269" s="2" t="n">
        <v>9</v>
      </c>
      <c r="C269" s="2" t="n">
        <f aca="false">0</f>
        <v>0</v>
      </c>
      <c r="D269" s="2" t="n">
        <f aca="false">C269*(1-D$259)+C268*D$259</f>
        <v>0</v>
      </c>
      <c r="E269" s="2" t="n">
        <f aca="false">D269*(1-E$259)+D268*E$259</f>
        <v>0</v>
      </c>
      <c r="F269" s="2" t="n">
        <f aca="false">E269*(1-F$259)+E268*F$259</f>
        <v>0</v>
      </c>
      <c r="G269" s="2" t="n">
        <f aca="false">F269*(1-G$259)+F268*G$259</f>
        <v>0</v>
      </c>
      <c r="H269" s="2" t="n">
        <f aca="false">G269*(1-H$259)+G268*H$259</f>
        <v>0</v>
      </c>
      <c r="I269" s="2" t="n">
        <f aca="false">H269*(1-I$259)+H268*I$259</f>
        <v>0</v>
      </c>
      <c r="J269" s="2" t="n">
        <f aca="false">I269*(1-J$259)+I268*J$259</f>
        <v>0</v>
      </c>
      <c r="K269" s="2" t="n">
        <f aca="false">J269*(1-K$259)+J268*K$259</f>
        <v>0.0443069693744092</v>
      </c>
      <c r="L269" s="2" t="n">
        <f aca="false">K269*(1-L$259)+K268*L$259</f>
        <v>0.163083276213383</v>
      </c>
      <c r="M269" s="2" t="n">
        <f aca="false">L269*(1-M$259)+L268*M$259</f>
        <v>0.281498650389849</v>
      </c>
      <c r="N269" s="2" t="n">
        <f aca="false">M269*(1-N$259)+M268*N$259</f>
        <v>0.288505361664129</v>
      </c>
      <c r="O269" s="2" t="n">
        <f aca="false">N269*(1-O$259)+N268*O$259</f>
        <v>0.288505361664129</v>
      </c>
    </row>
    <row r="270" customFormat="false" ht="15" hidden="false" customHeight="false" outlineLevel="0" collapsed="false">
      <c r="B270" s="2" t="n">
        <v>10</v>
      </c>
      <c r="C270" s="2" t="n">
        <f aca="false">0</f>
        <v>0</v>
      </c>
      <c r="D270" s="2" t="n">
        <f aca="false">C270*(1-D$259)+C269*D$259</f>
        <v>0</v>
      </c>
      <c r="E270" s="2" t="n">
        <f aca="false">D270*(1-E$259)+D269*E$259</f>
        <v>0</v>
      </c>
      <c r="F270" s="2" t="n">
        <f aca="false">E270*(1-F$259)+E269*F$259</f>
        <v>0</v>
      </c>
      <c r="G270" s="2" t="n">
        <f aca="false">F270*(1-G$259)+F269*G$259</f>
        <v>0</v>
      </c>
      <c r="H270" s="2" t="n">
        <f aca="false">G270*(1-H$259)+G269*H$259</f>
        <v>0</v>
      </c>
      <c r="I270" s="2" t="n">
        <f aca="false">H270*(1-I$259)+H269*I$259</f>
        <v>0</v>
      </c>
      <c r="J270" s="2" t="n">
        <f aca="false">I270*(1-J$259)+I269*J$259</f>
        <v>0</v>
      </c>
      <c r="K270" s="2" t="n">
        <f aca="false">J270*(1-K$259)+J269*K$259</f>
        <v>0</v>
      </c>
      <c r="L270" s="2" t="n">
        <f aca="false">K270*(1-L$259)+K269*L$259</f>
        <v>0.0346778360455106</v>
      </c>
      <c r="M270" s="2" t="n">
        <f aca="false">L270*(1-M$259)+L269*M$259</f>
        <v>0.142711078497368</v>
      </c>
      <c r="N270" s="2" t="n">
        <f aca="false">M270*(1-N$259)+M269*N$259</f>
        <v>0.240192308195631</v>
      </c>
      <c r="O270" s="2" t="n">
        <f aca="false">N270*(1-O$259)+N269*O$259</f>
        <v>0.240192308195631</v>
      </c>
    </row>
    <row r="271" customFormat="false" ht="15" hidden="false" customHeight="false" outlineLevel="0" collapsed="false">
      <c r="B271" s="2" t="n">
        <v>11</v>
      </c>
      <c r="C271" s="2" t="n">
        <f aca="false">0</f>
        <v>0</v>
      </c>
      <c r="D271" s="2" t="n">
        <f aca="false">C271*(1-D$259)+C270*D$259</f>
        <v>0</v>
      </c>
      <c r="E271" s="2" t="n">
        <f aca="false">D271*(1-E$259)+D270*E$259</f>
        <v>0</v>
      </c>
      <c r="F271" s="2" t="n">
        <f aca="false">E271*(1-F$259)+E270*F$259</f>
        <v>0</v>
      </c>
      <c r="G271" s="2" t="n">
        <f aca="false">F271*(1-G$259)+F270*G$259</f>
        <v>0</v>
      </c>
      <c r="H271" s="2" t="n">
        <f aca="false">G271*(1-H$259)+G270*H$259</f>
        <v>0</v>
      </c>
      <c r="I271" s="2" t="n">
        <f aca="false">H271*(1-I$259)+H270*I$259</f>
        <v>0</v>
      </c>
      <c r="J271" s="2" t="n">
        <f aca="false">I271*(1-J$259)+I270*J$259</f>
        <v>0</v>
      </c>
      <c r="K271" s="2" t="n">
        <f aca="false">J271*(1-K$259)+J270*K$259</f>
        <v>0</v>
      </c>
      <c r="L271" s="2" t="n">
        <f aca="false">K271*(1-L$259)+K270*L$259</f>
        <v>0</v>
      </c>
      <c r="M271" s="2" t="n">
        <f aca="false">L271*(1-M$259)+L270*M$259</f>
        <v>0.0291760151619167</v>
      </c>
      <c r="N271" s="2" t="n">
        <f aca="false">M271*(1-N$259)+M270*N$259</f>
        <v>0.108920457959605</v>
      </c>
      <c r="O271" s="2" t="n">
        <f aca="false">N271*(1-O$259)+N270*O$259</f>
        <v>0.108920457959605</v>
      </c>
    </row>
    <row r="272" customFormat="false" ht="15" hidden="false" customHeight="false" outlineLevel="0" collapsed="false">
      <c r="B272" s="2" t="n">
        <v>12</v>
      </c>
      <c r="C272" s="2" t="n">
        <f aca="false">0</f>
        <v>0</v>
      </c>
      <c r="D272" s="2" t="n">
        <f aca="false">C272*(1-D$259)+C271*D$259</f>
        <v>0</v>
      </c>
      <c r="E272" s="2" t="n">
        <f aca="false">D272*(1-E$259)+D271*E$259</f>
        <v>0</v>
      </c>
      <c r="F272" s="2" t="n">
        <f aca="false">E272*(1-F$259)+E271*F$259</f>
        <v>0</v>
      </c>
      <c r="G272" s="2" t="n">
        <f aca="false">F272*(1-G$259)+F271*G$259</f>
        <v>0</v>
      </c>
      <c r="H272" s="2" t="n">
        <f aca="false">G272*(1-H$259)+G271*H$259</f>
        <v>0</v>
      </c>
      <c r="I272" s="2" t="n">
        <f aca="false">H272*(1-I$259)+H271*I$259</f>
        <v>0</v>
      </c>
      <c r="J272" s="2" t="n">
        <f aca="false">I272*(1-J$259)+I271*J$259</f>
        <v>0</v>
      </c>
      <c r="K272" s="2" t="n">
        <f aca="false">J272*(1-K$259)+J271*K$259</f>
        <v>0</v>
      </c>
      <c r="L272" s="2" t="n">
        <f aca="false">K272*(1-L$259)+K271*L$259</f>
        <v>0</v>
      </c>
      <c r="M272" s="2" t="n">
        <f aca="false">L272*(1-M$259)+L271*M$259</f>
        <v>0</v>
      </c>
      <c r="N272" s="2" t="n">
        <f aca="false">M272*(1-N$259)+M271*N$259</f>
        <v>0.0204925685844706</v>
      </c>
      <c r="O272" s="2" t="n">
        <f aca="false">N272*(1-O$259)+N271*O$259</f>
        <v>0.0204925685844706</v>
      </c>
    </row>
    <row r="273" customFormat="false" ht="15" hidden="false" customHeight="false" outlineLevel="0" collapsed="false">
      <c r="B273" s="2" t="n">
        <v>13</v>
      </c>
      <c r="C273" s="2" t="n">
        <f aca="false">0</f>
        <v>0</v>
      </c>
      <c r="D273" s="2" t="n">
        <f aca="false">C273*(1-D$259)+C272*D$259</f>
        <v>0</v>
      </c>
      <c r="E273" s="2" t="n">
        <f aca="false">D273*(1-E$259)+D272*E$259</f>
        <v>0</v>
      </c>
      <c r="F273" s="2" t="n">
        <f aca="false">E273*(1-F$259)+E272*F$259</f>
        <v>0</v>
      </c>
      <c r="G273" s="2" t="n">
        <f aca="false">F273*(1-G$259)+F272*G$259</f>
        <v>0</v>
      </c>
      <c r="H273" s="2" t="n">
        <f aca="false">G273*(1-H$259)+G272*H$259</f>
        <v>0</v>
      </c>
      <c r="I273" s="2" t="n">
        <f aca="false">H273*(1-I$259)+H272*I$259</f>
        <v>0</v>
      </c>
      <c r="J273" s="2" t="n">
        <f aca="false">I273*(1-J$259)+I272*J$259</f>
        <v>0</v>
      </c>
      <c r="K273" s="2" t="n">
        <f aca="false">J273*(1-K$259)+J272*K$259</f>
        <v>0</v>
      </c>
      <c r="L273" s="2" t="n">
        <f aca="false">K273*(1-L$259)+K272*L$259</f>
        <v>0</v>
      </c>
      <c r="M273" s="2" t="n">
        <f aca="false">L273*(1-M$259)+L272*M$259</f>
        <v>0</v>
      </c>
      <c r="N273" s="2" t="n">
        <f aca="false">M273*(1-N$259)+M272*N$259</f>
        <v>0</v>
      </c>
      <c r="O273" s="2" t="n">
        <f aca="false">N273*(1-O$259)+N272*O$259</f>
        <v>0</v>
      </c>
    </row>
    <row r="275" customFormat="false" ht="15" hidden="false" customHeight="false" outlineLevel="0" collapsed="false">
      <c r="A275" s="1" t="s">
        <v>75</v>
      </c>
      <c r="C275" s="2" t="n">
        <f aca="false">Schedule!G19</f>
        <v>0.921098604654847</v>
      </c>
      <c r="D275" s="2" t="n">
        <f aca="false">Schedule!L19</f>
        <v>0.949236980529619</v>
      </c>
      <c r="E275" s="2" t="n">
        <f aca="false">Schedule!Q19</f>
        <v>0.990129909481329</v>
      </c>
      <c r="F275" s="2" t="n">
        <f aca="false">Schedule!V19</f>
        <v>0.77525034005542</v>
      </c>
      <c r="G275" s="2" t="n">
        <f aca="false">Schedule!AA19</f>
        <v>0.391658119153605</v>
      </c>
      <c r="H275" s="2" t="n">
        <f aca="false">Schedule!AF19</f>
        <v>0.591439705940164</v>
      </c>
      <c r="I275" s="2" t="n">
        <f aca="false">Schedule!AK19</f>
        <v>0.833665030507882</v>
      </c>
      <c r="J275" s="2" t="n">
        <f aca="false">Schedule!AP19</f>
        <v>0.598706325682924</v>
      </c>
      <c r="K275" s="2" t="n">
        <f aca="false">Schedule!AU19</f>
        <v>0.552211228127385</v>
      </c>
      <c r="L275" s="2" t="n">
        <f aca="false">Schedule!AZ19</f>
        <v>0.756080498111392</v>
      </c>
      <c r="M275" s="2" t="n">
        <f aca="false">Schedule!BE19</f>
        <v>0.319624171517118</v>
      </c>
      <c r="N275" s="2" t="n">
        <f aca="false">Schedule!BJ19</f>
        <v>0.160172296919609</v>
      </c>
      <c r="O275" s="2" t="n">
        <f aca="false">Schedule!BO19</f>
        <v>0</v>
      </c>
    </row>
    <row r="276" customFormat="false" ht="15" hidden="false" customHeight="false" outlineLevel="0" collapsed="false">
      <c r="B276" s="2" t="n">
        <v>0</v>
      </c>
      <c r="C276" s="2" t="n">
        <f aca="false">1-C$275</f>
        <v>0.0789013953451527</v>
      </c>
      <c r="D276" s="2" t="n">
        <f aca="false">C276*(1-D$275)</f>
        <v>0.00400527306814625</v>
      </c>
      <c r="E276" s="2" t="n">
        <f aca="false">D276*(1-E$275)</f>
        <v>3.95324077345975E-005</v>
      </c>
      <c r="F276" s="2" t="n">
        <f aca="false">E276*(1-F$275)</f>
        <v>8.88489519514125E-006</v>
      </c>
      <c r="G276" s="2" t="n">
        <f aca="false">F276*(1-G$275)</f>
        <v>5.40505385413533E-006</v>
      </c>
      <c r="H276" s="2" t="n">
        <f aca="false">G276*(1-H$275)</f>
        <v>2.20829039205478E-006</v>
      </c>
      <c r="I276" s="2" t="n">
        <f aca="false">H276*(1-I$275)</f>
        <v>3.6731591499217E-007</v>
      </c>
      <c r="J276" s="2" t="n">
        <f aca="false">I276*(1-J$275)</f>
        <v>1.47401553162347E-007</v>
      </c>
      <c r="K276" s="2" t="n">
        <f aca="false">J276*(1-K$275)</f>
        <v>6.60047604626833E-008</v>
      </c>
      <c r="L276" s="2" t="n">
        <f aca="false">K276*(1-L$275)</f>
        <v>1.60998482943346E-008</v>
      </c>
      <c r="M276" s="2" t="n">
        <f aca="false">L276*(1-M$275)</f>
        <v>1.09539476217066E-008</v>
      </c>
      <c r="N276" s="2" t="n">
        <f aca="false">M276*(1-N$275)</f>
        <v>9.1994286708008E-009</v>
      </c>
      <c r="O276" s="2" t="n">
        <f aca="false">N276*(1-O$275)</f>
        <v>9.1994286708008E-009</v>
      </c>
    </row>
    <row r="277" customFormat="false" ht="15" hidden="false" customHeight="false" outlineLevel="0" collapsed="false">
      <c r="B277" s="2" t="n">
        <v>1</v>
      </c>
      <c r="C277" s="2" t="n">
        <f aca="false">C$275</f>
        <v>0.921098604654847</v>
      </c>
      <c r="D277" s="2" t="n">
        <f aca="false">C277*(1-D$275)+C276*D$275</f>
        <v>0.121653868679242</v>
      </c>
      <c r="E277" s="2" t="n">
        <f aca="false">D277*(1-E$275)+D276*E$275</f>
        <v>0.00516647535622225</v>
      </c>
      <c r="F277" s="2" t="n">
        <f aca="false">E277*(1-F$275)+E276*F$275</f>
        <v>0.00119181109196246</v>
      </c>
      <c r="G277" s="2" t="n">
        <f aca="false">F277*(1-G$275)+F276*G$275</f>
        <v>0.000728508442639043</v>
      </c>
      <c r="H277" s="2" t="n">
        <f aca="false">G277*(1-H$275)+G276*H$275</f>
        <v>0.000300836387011761</v>
      </c>
      <c r="I277" s="2" t="n">
        <f aca="false">H277*(1-I$275)+H276*I$275</f>
        <v>5.18805857327831E-005</v>
      </c>
      <c r="J277" s="2" t="n">
        <f aca="false">I277*(1-J$275)+I276*J$275</f>
        <v>2.10392652362604E-005</v>
      </c>
      <c r="K277" s="2" t="n">
        <f aca="false">J277*(1-K$275)+J276*K$275</f>
        <v>9.50254353394693E-006</v>
      </c>
      <c r="L277" s="2" t="n">
        <f aca="false">K277*(1-L$275)+K276*L$275</f>
        <v>2.3677605976435E-006</v>
      </c>
      <c r="M277" s="2" t="n">
        <f aca="false">L277*(1-M$275)+L276*M$275</f>
        <v>1.61611297894345E-006</v>
      </c>
      <c r="N277" s="2" t="n">
        <f aca="false">M277*(1-N$275)+M276*N$275</f>
        <v>1.35901096997539E-006</v>
      </c>
      <c r="O277" s="2" t="n">
        <f aca="false">N277*(1-O$275)+N276*O$275</f>
        <v>1.35901096997539E-006</v>
      </c>
    </row>
    <row r="278" customFormat="false" ht="15" hidden="false" customHeight="false" outlineLevel="0" collapsed="false">
      <c r="B278" s="2" t="n">
        <v>2</v>
      </c>
      <c r="C278" s="2" t="n">
        <f aca="false">0</f>
        <v>0</v>
      </c>
      <c r="D278" s="2" t="n">
        <f aca="false">C278*(1-D$275)+C277*D$275</f>
        <v>0.874340858252612</v>
      </c>
      <c r="E278" s="2" t="n">
        <f aca="false">D278*(1-E$275)+D277*E$275</f>
        <v>0.129082957398557</v>
      </c>
      <c r="F278" s="2" t="n">
        <f aca="false">E278*(1-F$275)+E277*F$275</f>
        <v>0.0330166625567655</v>
      </c>
      <c r="G278" s="2" t="n">
        <f aca="false">F278*(1-G$275)+F277*G$275</f>
        <v>0.0205522010897179</v>
      </c>
      <c r="H278" s="2" t="n">
        <f aca="false">G278*(1-H$275)+G277*H$275</f>
        <v>0.00882768213988139</v>
      </c>
      <c r="I278" s="2" t="n">
        <f aca="false">H278*(1-I$275)+H277*I$275</f>
        <v>0.00171914901517933</v>
      </c>
      <c r="J278" s="2" t="n">
        <f aca="false">I278*(1-J$275)+I277*J$275</f>
        <v>0.000720944859858249</v>
      </c>
      <c r="K278" s="2" t="n">
        <f aca="false">J278*(1-K$275)+J277*K$275</f>
        <v>0.000334449131878814</v>
      </c>
      <c r="L278" s="2" t="n">
        <f aca="false">K278*(1-L$275)+K277*L$275</f>
        <v>8.87633535034294E-005</v>
      </c>
      <c r="M278" s="2" t="n">
        <f aca="false">L278*(1-M$275)+L277*M$275</f>
        <v>6.11492336981874E-005</v>
      </c>
      <c r="N278" s="2" t="n">
        <f aca="false">M278*(1-N$275)+M277*N$275</f>
        <v>5.16136770097938E-005</v>
      </c>
      <c r="O278" s="2" t="n">
        <f aca="false">N278*(1-O$275)+N277*O$275</f>
        <v>5.16136770097938E-005</v>
      </c>
    </row>
    <row r="279" customFormat="false" ht="15" hidden="false" customHeight="false" outlineLevel="0" collapsed="false">
      <c r="B279" s="2" t="n">
        <v>3</v>
      </c>
      <c r="C279" s="2" t="n">
        <f aca="false">0</f>
        <v>0</v>
      </c>
      <c r="D279" s="2" t="n">
        <f aca="false">C279*(1-D$275)+C278*D$275</f>
        <v>0</v>
      </c>
      <c r="E279" s="2" t="n">
        <f aca="false">D279*(1-E$275)+D278*E$275</f>
        <v>0.865711034837487</v>
      </c>
      <c r="F279" s="2" t="n">
        <f aca="false">E279*(1-F$275)+E278*F$275</f>
        <v>0.294639867308586</v>
      </c>
      <c r="G279" s="2" t="n">
        <f aca="false">F279*(1-G$275)+F278*G$275</f>
        <v>0.192173015008549</v>
      </c>
      <c r="H279" s="2" t="n">
        <f aca="false">G279*(1-H$275)+G278*H$275</f>
        <v>0.090669651291184</v>
      </c>
      <c r="I279" s="2" t="n">
        <f aca="false">H279*(1-I$275)+H278*I$275</f>
        <v>0.0224408635818382</v>
      </c>
      <c r="J279" s="2" t="n">
        <f aca="false">I279*(1-J$275)+I278*J$275</f>
        <v>0.0100346419917836</v>
      </c>
      <c r="K279" s="2" t="n">
        <f aca="false">J279*(1-K$275)+J278*K$275</f>
        <v>0.00489151386015658</v>
      </c>
      <c r="L279" s="2" t="n">
        <f aca="false">K279*(1-L$275)+K278*L$275</f>
        <v>0.00144600609047447</v>
      </c>
      <c r="M279" s="2" t="n">
        <f aca="false">L279*(1-M$275)+L278*M$275</f>
        <v>0.00101219850512248</v>
      </c>
      <c r="N279" s="2" t="n">
        <f aca="false">M279*(1-N$275)+M278*N$275</f>
        <v>0.000859866758834729</v>
      </c>
      <c r="O279" s="2" t="n">
        <f aca="false">N279*(1-O$275)+N278*O$275</f>
        <v>0.000859866758834729</v>
      </c>
    </row>
    <row r="280" customFormat="false" ht="15" hidden="false" customHeight="false" outlineLevel="0" collapsed="false">
      <c r="B280" s="2" t="n">
        <v>4</v>
      </c>
      <c r="C280" s="2" t="n">
        <f aca="false">0</f>
        <v>0</v>
      </c>
      <c r="D280" s="2" t="n">
        <f aca="false">C280*(1-D$275)+C279*D$275</f>
        <v>0</v>
      </c>
      <c r="E280" s="2" t="n">
        <f aca="false">D280*(1-E$275)+D279*E$275</f>
        <v>0</v>
      </c>
      <c r="F280" s="2" t="n">
        <f aca="false">E280*(1-F$275)+E279*F$275</f>
        <v>0.671142774147491</v>
      </c>
      <c r="G280" s="2" t="n">
        <f aca="false">F280*(1-G$275)+F279*G$275</f>
        <v>0.5236823537991</v>
      </c>
      <c r="H280" s="2" t="n">
        <f aca="false">G280*(1-H$275)+G279*H$275</f>
        <v>0.327614567948399</v>
      </c>
      <c r="I280" s="2" t="n">
        <f aca="false">H280*(1-I$275)+H279*I$275</f>
        <v>0.130081876774674</v>
      </c>
      <c r="J280" s="2" t="n">
        <f aca="false">I280*(1-J$275)+I279*J$275</f>
        <v>0.0656365212732043</v>
      </c>
      <c r="K280" s="2" t="n">
        <f aca="false">J280*(1-K$275)+J279*K$275</f>
        <v>0.0349325392290204</v>
      </c>
      <c r="L280" s="2" t="n">
        <f aca="false">K280*(1-L$275)+K279*L$275</f>
        <v>0.0122191058043529</v>
      </c>
      <c r="M280" s="2" t="n">
        <f aca="false">L280*(1-M$275)+L279*M$275</f>
        <v>0.0087757627336332</v>
      </c>
      <c r="N280" s="2" t="n">
        <f aca="false">M280*(1-N$275)+M279*N$275</f>
        <v>0.00753225481886973</v>
      </c>
      <c r="O280" s="2" t="n">
        <f aca="false">N280*(1-O$275)+N279*O$275</f>
        <v>0.00753225481886973</v>
      </c>
    </row>
    <row r="281" customFormat="false" ht="15" hidden="false" customHeight="false" outlineLevel="0" collapsed="false">
      <c r="B281" s="2" t="n">
        <v>5</v>
      </c>
      <c r="C281" s="2" t="n">
        <f aca="false">0</f>
        <v>0</v>
      </c>
      <c r="D281" s="2" t="n">
        <f aca="false">C281*(1-D$275)+C280*D$275</f>
        <v>0</v>
      </c>
      <c r="E281" s="2" t="n">
        <f aca="false">D281*(1-E$275)+D280*E$275</f>
        <v>0</v>
      </c>
      <c r="F281" s="2" t="n">
        <f aca="false">E281*(1-F$275)+E280*F$275</f>
        <v>0</v>
      </c>
      <c r="G281" s="2" t="n">
        <f aca="false">F281*(1-G$275)+F280*G$275</f>
        <v>0.262858516606139</v>
      </c>
      <c r="H281" s="2" t="n">
        <f aca="false">G281*(1-H$275)+G280*H$275</f>
        <v>0.417120090177729</v>
      </c>
      <c r="I281" s="2" t="n">
        <f aca="false">H281*(1-I$275)+H280*I$275</f>
        <v>0.342502466257791</v>
      </c>
      <c r="J281" s="2" t="n">
        <f aca="false">I281*(1-J$275)+I280*J$275</f>
        <v>0.215324915628953</v>
      </c>
      <c r="K281" s="2" t="n">
        <f aca="false">J281*(1-K$275)+J280*K$275</f>
        <v>0.132665303545349</v>
      </c>
      <c r="L281" s="2" t="n">
        <f aca="false">K281*(1-L$275)+K280*L$275</f>
        <v>0.058771466419256</v>
      </c>
      <c r="M281" s="2" t="n">
        <f aca="false">L281*(1-M$275)+L280*M$275</f>
        <v>0.0438922067255515</v>
      </c>
      <c r="N281" s="2" t="n">
        <f aca="false">M281*(1-N$275)+M280*N$275</f>
        <v>0.0382675252317172</v>
      </c>
      <c r="O281" s="2" t="n">
        <f aca="false">N281*(1-O$275)+N280*O$275</f>
        <v>0.0382675252317172</v>
      </c>
    </row>
    <row r="282" customFormat="false" ht="15" hidden="false" customHeight="false" outlineLevel="0" collapsed="false">
      <c r="B282" s="2" t="n">
        <v>6</v>
      </c>
      <c r="C282" s="2" t="n">
        <f aca="false">0</f>
        <v>0</v>
      </c>
      <c r="D282" s="2" t="n">
        <f aca="false">C282*(1-D$275)+C281*D$275</f>
        <v>0</v>
      </c>
      <c r="E282" s="2" t="n">
        <f aca="false">D282*(1-E$275)+D281*E$275</f>
        <v>0</v>
      </c>
      <c r="F282" s="2" t="n">
        <f aca="false">E282*(1-F$275)+E281*F$275</f>
        <v>0</v>
      </c>
      <c r="G282" s="2" t="n">
        <f aca="false">F282*(1-G$275)+F281*G$275</f>
        <v>0</v>
      </c>
      <c r="H282" s="2" t="n">
        <f aca="false">G282*(1-H$275)+G281*H$275</f>
        <v>0.155464963765403</v>
      </c>
      <c r="I282" s="2" t="n">
        <f aca="false">H282*(1-I$275)+H281*I$275</f>
        <v>0.373597692708479</v>
      </c>
      <c r="J282" s="2" t="n">
        <f aca="false">I282*(1-J$275)+I281*J$275</f>
        <v>0.354980783933909</v>
      </c>
      <c r="K282" s="2" t="n">
        <f aca="false">J282*(1-K$275)+J281*K$275</f>
        <v>0.277861245382033</v>
      </c>
      <c r="L282" s="2" t="n">
        <f aca="false">K282*(1-L$275)+K281*L$275</f>
        <v>0.1680814253544</v>
      </c>
      <c r="M282" s="2" t="n">
        <f aca="false">L282*(1-M$275)+L281*M$275</f>
        <v>0.133143320291185</v>
      </c>
      <c r="N282" s="2" t="n">
        <f aca="false">M282*(1-N$275)+M281*N$275</f>
        <v>0.118847764428744</v>
      </c>
      <c r="O282" s="2" t="n">
        <f aca="false">N282*(1-O$275)+N281*O$275</f>
        <v>0.118847764428744</v>
      </c>
    </row>
    <row r="283" customFormat="false" ht="15" hidden="false" customHeight="false" outlineLevel="0" collapsed="false">
      <c r="B283" s="2" t="n">
        <v>7</v>
      </c>
      <c r="C283" s="2" t="n">
        <f aca="false">0</f>
        <v>0</v>
      </c>
      <c r="D283" s="2" t="n">
        <f aca="false">C283*(1-D$275)+C282*D$275</f>
        <v>0</v>
      </c>
      <c r="E283" s="2" t="n">
        <f aca="false">D283*(1-E$275)+D282*E$275</f>
        <v>0</v>
      </c>
      <c r="F283" s="2" t="n">
        <f aca="false">E283*(1-F$275)+E282*F$275</f>
        <v>0</v>
      </c>
      <c r="G283" s="2" t="n">
        <f aca="false">F283*(1-G$275)+F282*G$275</f>
        <v>0</v>
      </c>
      <c r="H283" s="2" t="n">
        <f aca="false">G283*(1-H$275)+G282*H$275</f>
        <v>0</v>
      </c>
      <c r="I283" s="2" t="n">
        <f aca="false">H283*(1-I$275)+H282*I$275</f>
        <v>0.129605703760391</v>
      </c>
      <c r="J283" s="2" t="n">
        <f aca="false">I283*(1-J$275)+I282*J$275</f>
        <v>0.275685250959569</v>
      </c>
      <c r="K283" s="2" t="n">
        <f aca="false">J283*(1-K$275)+J282*K$275</f>
        <v>0.319473134608345</v>
      </c>
      <c r="L283" s="2" t="n">
        <f aca="false">K283*(1-L$275)+K282*L$275</f>
        <v>0.288011196674759</v>
      </c>
      <c r="M283" s="2" t="n">
        <f aca="false">L283*(1-M$275)+L282*M$275</f>
        <v>0.249678742876252</v>
      </c>
      <c r="N283" s="2" t="n">
        <f aca="false">M283*(1-N$275)+M282*N$275</f>
        <v>0.231012996568305</v>
      </c>
      <c r="O283" s="2" t="n">
        <f aca="false">N283*(1-O$275)+N282*O$275</f>
        <v>0.231012996568305</v>
      </c>
    </row>
    <row r="284" customFormat="false" ht="15" hidden="false" customHeight="false" outlineLevel="0" collapsed="false">
      <c r="B284" s="2" t="n">
        <v>8</v>
      </c>
      <c r="C284" s="2" t="n">
        <f aca="false">0</f>
        <v>0</v>
      </c>
      <c r="D284" s="2" t="n">
        <f aca="false">C284*(1-D$275)+C283*D$275</f>
        <v>0</v>
      </c>
      <c r="E284" s="2" t="n">
        <f aca="false">D284*(1-E$275)+D283*E$275</f>
        <v>0</v>
      </c>
      <c r="F284" s="2" t="n">
        <f aca="false">E284*(1-F$275)+E283*F$275</f>
        <v>0</v>
      </c>
      <c r="G284" s="2" t="n">
        <f aca="false">F284*(1-G$275)+F283*G$275</f>
        <v>0</v>
      </c>
      <c r="H284" s="2" t="n">
        <f aca="false">G284*(1-H$275)+G283*H$275</f>
        <v>0</v>
      </c>
      <c r="I284" s="2" t="n">
        <f aca="false">H284*(1-I$275)+H283*I$275</f>
        <v>0</v>
      </c>
      <c r="J284" s="2" t="n">
        <f aca="false">I284*(1-J$275)+I283*J$275</f>
        <v>0.0775957546859333</v>
      </c>
      <c r="K284" s="2" t="n">
        <f aca="false">J284*(1-K$275)+J283*K$275</f>
        <v>0.186982998702333</v>
      </c>
      <c r="L284" s="2" t="n">
        <f aca="false">K284*(1-L$275)+K283*L$275</f>
        <v>0.287156206652996</v>
      </c>
      <c r="M284" s="2" t="n">
        <f aca="false">L284*(1-M$275)+L283*M$275</f>
        <v>0.287429482130358</v>
      </c>
      <c r="N284" s="2" t="n">
        <f aca="false">M284*(1-N$275)+M283*N$275</f>
        <v>0.281382859513614</v>
      </c>
      <c r="O284" s="2" t="n">
        <f aca="false">N284*(1-O$275)+N283*O$275</f>
        <v>0.281382859513614</v>
      </c>
    </row>
    <row r="285" customFormat="false" ht="15" hidden="false" customHeight="false" outlineLevel="0" collapsed="false">
      <c r="B285" s="2" t="n">
        <v>9</v>
      </c>
      <c r="C285" s="2" t="n">
        <f aca="false">0</f>
        <v>0</v>
      </c>
      <c r="D285" s="2" t="n">
        <f aca="false">C285*(1-D$275)+C284*D$275</f>
        <v>0</v>
      </c>
      <c r="E285" s="2" t="n">
        <f aca="false">D285*(1-E$275)+D284*E$275</f>
        <v>0</v>
      </c>
      <c r="F285" s="2" t="n">
        <f aca="false">E285*(1-F$275)+E284*F$275</f>
        <v>0</v>
      </c>
      <c r="G285" s="2" t="n">
        <f aca="false">F285*(1-G$275)+F284*G$275</f>
        <v>0</v>
      </c>
      <c r="H285" s="2" t="n">
        <f aca="false">G285*(1-H$275)+G284*H$275</f>
        <v>0</v>
      </c>
      <c r="I285" s="2" t="n">
        <f aca="false">H285*(1-I$275)+H284*I$275</f>
        <v>0</v>
      </c>
      <c r="J285" s="2" t="n">
        <f aca="false">I285*(1-J$275)+I284*J$275</f>
        <v>0</v>
      </c>
      <c r="K285" s="2" t="n">
        <f aca="false">J285*(1-K$275)+J284*K$275</f>
        <v>0.0428492469925905</v>
      </c>
      <c r="L285" s="2" t="n">
        <f aca="false">K285*(1-L$275)+K284*L$275</f>
        <v>0.151825965779956</v>
      </c>
      <c r="M285" s="2" t="n">
        <f aca="false">L285*(1-M$275)+L284*M$275</f>
        <v>0.195080781900213</v>
      </c>
      <c r="N285" s="2" t="n">
        <f aca="false">M285*(1-N$275)+M284*N$275</f>
        <v>0.209872485333616</v>
      </c>
      <c r="O285" s="2" t="n">
        <f aca="false">N285*(1-O$275)+N284*O$275</f>
        <v>0.209872485333616</v>
      </c>
    </row>
    <row r="286" customFormat="false" ht="15" hidden="false" customHeight="false" outlineLevel="0" collapsed="false">
      <c r="B286" s="2" t="n">
        <v>10</v>
      </c>
      <c r="C286" s="2" t="n">
        <f aca="false">0</f>
        <v>0</v>
      </c>
      <c r="D286" s="2" t="n">
        <f aca="false">C286*(1-D$275)+C285*D$275</f>
        <v>0</v>
      </c>
      <c r="E286" s="2" t="n">
        <f aca="false">D286*(1-E$275)+D285*E$275</f>
        <v>0</v>
      </c>
      <c r="F286" s="2" t="n">
        <f aca="false">E286*(1-F$275)+E285*F$275</f>
        <v>0</v>
      </c>
      <c r="G286" s="2" t="n">
        <f aca="false">F286*(1-G$275)+F285*G$275</f>
        <v>0</v>
      </c>
      <c r="H286" s="2" t="n">
        <f aca="false">G286*(1-H$275)+G285*H$275</f>
        <v>0</v>
      </c>
      <c r="I286" s="2" t="n">
        <f aca="false">H286*(1-I$275)+H285*I$275</f>
        <v>0</v>
      </c>
      <c r="J286" s="2" t="n">
        <f aca="false">I286*(1-J$275)+I285*J$275</f>
        <v>0</v>
      </c>
      <c r="K286" s="2" t="n">
        <f aca="false">J286*(1-K$275)+J285*K$275</f>
        <v>0</v>
      </c>
      <c r="L286" s="2" t="n">
        <f aca="false">K286*(1-L$275)+K285*L$275</f>
        <v>0.0323974800098559</v>
      </c>
      <c r="M286" s="2" t="n">
        <f aca="false">L286*(1-M$275)+L285*M$275</f>
        <v>0.070569710829668</v>
      </c>
      <c r="N286" s="2" t="n">
        <f aca="false">M286*(1-N$275)+M285*N$275</f>
        <v>0.0905129350749579</v>
      </c>
      <c r="O286" s="2" t="n">
        <f aca="false">N286*(1-O$275)+N285*O$275</f>
        <v>0.0905129350749579</v>
      </c>
    </row>
    <row r="287" customFormat="false" ht="15" hidden="false" customHeight="false" outlineLevel="0" collapsed="false">
      <c r="B287" s="2" t="n">
        <v>11</v>
      </c>
      <c r="C287" s="2" t="n">
        <f aca="false">0</f>
        <v>0</v>
      </c>
      <c r="D287" s="2" t="n">
        <f aca="false">C287*(1-D$275)+C286*D$275</f>
        <v>0</v>
      </c>
      <c r="E287" s="2" t="n">
        <f aca="false">D287*(1-E$275)+D286*E$275</f>
        <v>0</v>
      </c>
      <c r="F287" s="2" t="n">
        <f aca="false">E287*(1-F$275)+E286*F$275</f>
        <v>0</v>
      </c>
      <c r="G287" s="2" t="n">
        <f aca="false">F287*(1-G$275)+F286*G$275</f>
        <v>0</v>
      </c>
      <c r="H287" s="2" t="n">
        <f aca="false">G287*(1-H$275)+G286*H$275</f>
        <v>0</v>
      </c>
      <c r="I287" s="2" t="n">
        <f aca="false">H287*(1-I$275)+H286*I$275</f>
        <v>0</v>
      </c>
      <c r="J287" s="2" t="n">
        <f aca="false">I287*(1-J$275)+I286*J$275</f>
        <v>0</v>
      </c>
      <c r="K287" s="2" t="n">
        <f aca="false">J287*(1-K$275)+J286*K$275</f>
        <v>0</v>
      </c>
      <c r="L287" s="2" t="n">
        <f aca="false">K287*(1-L$275)+K286*L$275</f>
        <v>0</v>
      </c>
      <c r="M287" s="2" t="n">
        <f aca="false">L287*(1-M$275)+L286*M$275</f>
        <v>0.0103550177073926</v>
      </c>
      <c r="N287" s="2" t="n">
        <f aca="false">M287*(1-N$275)+M286*N$275</f>
        <v>0.0199997434130968</v>
      </c>
      <c r="O287" s="2" t="n">
        <f aca="false">N287*(1-O$275)+N286*O$275</f>
        <v>0.0199997434130968</v>
      </c>
    </row>
    <row r="288" customFormat="false" ht="15" hidden="false" customHeight="false" outlineLevel="0" collapsed="false">
      <c r="B288" s="2" t="n">
        <v>12</v>
      </c>
      <c r="C288" s="2" t="n">
        <f aca="false">0</f>
        <v>0</v>
      </c>
      <c r="D288" s="2" t="n">
        <f aca="false">C288*(1-D$275)+C287*D$275</f>
        <v>0</v>
      </c>
      <c r="E288" s="2" t="n">
        <f aca="false">D288*(1-E$275)+D287*E$275</f>
        <v>0</v>
      </c>
      <c r="F288" s="2" t="n">
        <f aca="false">E288*(1-F$275)+E287*F$275</f>
        <v>0</v>
      </c>
      <c r="G288" s="2" t="n">
        <f aca="false">F288*(1-G$275)+F287*G$275</f>
        <v>0</v>
      </c>
      <c r="H288" s="2" t="n">
        <f aca="false">G288*(1-H$275)+G287*H$275</f>
        <v>0</v>
      </c>
      <c r="I288" s="2" t="n">
        <f aca="false">H288*(1-I$275)+H287*I$275</f>
        <v>0</v>
      </c>
      <c r="J288" s="2" t="n">
        <f aca="false">I288*(1-J$275)+I287*J$275</f>
        <v>0</v>
      </c>
      <c r="K288" s="2" t="n">
        <f aca="false">J288*(1-K$275)+J287*K$275</f>
        <v>0</v>
      </c>
      <c r="L288" s="2" t="n">
        <f aca="false">K288*(1-L$275)+K287*L$275</f>
        <v>0</v>
      </c>
      <c r="M288" s="2" t="n">
        <f aca="false">L288*(1-M$275)+L287*M$275</f>
        <v>0</v>
      </c>
      <c r="N288" s="2" t="n">
        <f aca="false">M288*(1-N$275)+M287*N$275</f>
        <v>0.00165858697083628</v>
      </c>
      <c r="O288" s="2" t="n">
        <f aca="false">N288*(1-O$275)+N287*O$275</f>
        <v>0.00165858697083628</v>
      </c>
    </row>
    <row r="289" customFormat="false" ht="15" hidden="false" customHeight="false" outlineLevel="0" collapsed="false">
      <c r="B289" s="2" t="n">
        <v>13</v>
      </c>
      <c r="C289" s="2" t="n">
        <f aca="false">0</f>
        <v>0</v>
      </c>
      <c r="D289" s="2" t="n">
        <f aca="false">C289*(1-D$275)+C288*D$275</f>
        <v>0</v>
      </c>
      <c r="E289" s="2" t="n">
        <f aca="false">D289*(1-E$275)+D288*E$275</f>
        <v>0</v>
      </c>
      <c r="F289" s="2" t="n">
        <f aca="false">E289*(1-F$275)+E288*F$275</f>
        <v>0</v>
      </c>
      <c r="G289" s="2" t="n">
        <f aca="false">F289*(1-G$275)+F288*G$275</f>
        <v>0</v>
      </c>
      <c r="H289" s="2" t="n">
        <f aca="false">G289*(1-H$275)+G288*H$275</f>
        <v>0</v>
      </c>
      <c r="I289" s="2" t="n">
        <f aca="false">H289*(1-I$275)+H288*I$275</f>
        <v>0</v>
      </c>
      <c r="J289" s="2" t="n">
        <f aca="false">I289*(1-J$275)+I288*J$275</f>
        <v>0</v>
      </c>
      <c r="K289" s="2" t="n">
        <f aca="false">J289*(1-K$275)+J288*K$275</f>
        <v>0</v>
      </c>
      <c r="L289" s="2" t="n">
        <f aca="false">K289*(1-L$275)+K288*L$275</f>
        <v>0</v>
      </c>
      <c r="M289" s="2" t="n">
        <f aca="false">L289*(1-M$275)+L288*M$275</f>
        <v>0</v>
      </c>
      <c r="N289" s="2" t="n">
        <f aca="false">M289*(1-N$275)+M288*N$275</f>
        <v>0</v>
      </c>
      <c r="O289" s="2" t="n">
        <f aca="false">N289*(1-O$275)+N288*O$275</f>
        <v>0</v>
      </c>
    </row>
    <row r="291" customFormat="false" ht="15" hidden="false" customHeight="false" outlineLevel="0" collapsed="false">
      <c r="A291" s="1" t="s">
        <v>76</v>
      </c>
      <c r="C291" s="2" t="n">
        <f aca="false">Schedule!G20</f>
        <v>0.999909352978562</v>
      </c>
      <c r="D291" s="2" t="n">
        <f aca="false">Schedule!L20</f>
        <v>0.725746882249927</v>
      </c>
      <c r="E291" s="2" t="n">
        <f aca="false">Schedule!Q20</f>
        <v>0.947249467959255</v>
      </c>
      <c r="F291" s="2" t="n">
        <f aca="false">Schedule!V20</f>
        <v>0.693659420714973</v>
      </c>
      <c r="G291" s="2" t="n">
        <f aca="false">Schedule!AA20</f>
        <v>0.567003355806672</v>
      </c>
      <c r="H291" s="2" t="n">
        <f aca="false">Schedule!AF20</f>
        <v>0.425634311844103</v>
      </c>
      <c r="I291" s="2" t="n">
        <f aca="false">Schedule!AK20</f>
        <v>0.41098963713127</v>
      </c>
      <c r="J291" s="2" t="n">
        <f aca="false">Schedule!AP20</f>
        <v>0.675894892863138</v>
      </c>
      <c r="K291" s="2" t="n">
        <f aca="false">Schedule!AU20</f>
        <v>0.379707152759433</v>
      </c>
      <c r="L291" s="2" t="n">
        <f aca="false">Schedule!AZ20</f>
        <v>0.199404560471373</v>
      </c>
      <c r="M291" s="2" t="n">
        <f aca="false">Schedule!BE20</f>
        <v>0.786329507059644</v>
      </c>
      <c r="N291" s="2" t="n">
        <f aca="false">Schedule!BJ20</f>
        <v>0.477571324972222</v>
      </c>
      <c r="O291" s="2" t="n">
        <f aca="false">Schedule!BO20</f>
        <v>0</v>
      </c>
    </row>
    <row r="292" customFormat="false" ht="15" hidden="false" customHeight="false" outlineLevel="0" collapsed="false">
      <c r="B292" s="2" t="n">
        <v>0</v>
      </c>
      <c r="C292" s="2" t="n">
        <f aca="false">1-C$291</f>
        <v>9.06470214376842E-005</v>
      </c>
      <c r="D292" s="2" t="n">
        <f aca="false">C292*(1-D$291)</f>
        <v>2.48602282440427E-005</v>
      </c>
      <c r="E292" s="2" t="n">
        <f aca="false">D292*(1-E$291)</f>
        <v>1.3113902665276E-006</v>
      </c>
      <c r="F292" s="2" t="n">
        <f aca="false">E292*(1-F$291)</f>
        <v>4.01732053916811E-007</v>
      </c>
      <c r="G292" s="2" t="n">
        <f aca="false">F292*(1-G$291)</f>
        <v>1.73948631210872E-007</v>
      </c>
      <c r="H292" s="2" t="n">
        <f aca="false">G292*(1-H$291)</f>
        <v>9.99101252692091E-008</v>
      </c>
      <c r="I292" s="2" t="n">
        <f aca="false">H292*(1-I$291)</f>
        <v>5.88480991390771E-008</v>
      </c>
      <c r="J292" s="2" t="n">
        <f aca="false">I292*(1-J$291)</f>
        <v>1.90729694762713E-008</v>
      </c>
      <c r="K292" s="2" t="n">
        <f aca="false">J292*(1-K$291)</f>
        <v>1.18308265417687E-008</v>
      </c>
      <c r="L292" s="2" t="n">
        <f aca="false">K292*(1-L$291)</f>
        <v>9.47170577519428E-009</v>
      </c>
      <c r="M292" s="2" t="n">
        <f aca="false">L292*(1-M$291)</f>
        <v>2.02382404197178E-009</v>
      </c>
      <c r="N292" s="2" t="n">
        <f aca="false">M292*(1-N$291)</f>
        <v>1.05730371273668E-009</v>
      </c>
      <c r="O292" s="2" t="n">
        <f aca="false">N292*(1-O$291)</f>
        <v>1.05730371273668E-009</v>
      </c>
    </row>
    <row r="293" customFormat="false" ht="15" hidden="false" customHeight="false" outlineLevel="0" collapsed="false">
      <c r="B293" s="2" t="n">
        <v>1</v>
      </c>
      <c r="C293" s="2" t="n">
        <f aca="false">C$291</f>
        <v>0.999909352978562</v>
      </c>
      <c r="D293" s="2" t="n">
        <f aca="false">C293*(1-D$291)+C292*D$291</f>
        <v>0.274294044315023</v>
      </c>
      <c r="E293" s="2" t="n">
        <f aca="false">D293*(1-E$291)+D292*E$291</f>
        <v>0.0144927056112026</v>
      </c>
      <c r="F293" s="2" t="n">
        <f aca="false">E293*(1-F$291)+E292*F$291</f>
        <v>0.00444061349055578</v>
      </c>
      <c r="G293" s="2" t="n">
        <f aca="false">F293*(1-G$291)+F292*G$291</f>
        <v>0.00192299852299298</v>
      </c>
      <c r="H293" s="2" t="n">
        <f aca="false">G293*(1-H$291)+G292*H$291</f>
        <v>0.00110457840848758</v>
      </c>
      <c r="I293" s="2" t="n">
        <f aca="false">H293*(1-I$291)+H292*I$291</f>
        <v>0.000650649191226363</v>
      </c>
      <c r="J293" s="2" t="n">
        <f aca="false">I293*(1-J$291)+I292*J$291</f>
        <v>0.000210918500960596</v>
      </c>
      <c r="K293" s="2" t="n">
        <f aca="false">J293*(1-K$291)+J292*K$291</f>
        <v>0.000130838479639495</v>
      </c>
      <c r="L293" s="2" t="n">
        <f aca="false">K293*(1-L$291)+K292*L$291</f>
        <v>0.000104751049235005</v>
      </c>
      <c r="M293" s="2" t="n">
        <f aca="false">L293*(1-M$291)+L292*M$291</f>
        <v>2.23896562077963E-005</v>
      </c>
      <c r="N293" s="2" t="n">
        <f aca="false">M293*(1-N$291)+M292*N$291</f>
        <v>1.16979649472957E-005</v>
      </c>
      <c r="O293" s="2" t="n">
        <f aca="false">N293*(1-O$291)+N292*O$291</f>
        <v>1.16979649472957E-005</v>
      </c>
    </row>
    <row r="294" customFormat="false" ht="15" hidden="false" customHeight="false" outlineLevel="0" collapsed="false">
      <c r="B294" s="2" t="n">
        <v>2</v>
      </c>
      <c r="C294" s="2" t="n">
        <f aca="false">0</f>
        <v>0</v>
      </c>
      <c r="D294" s="2" t="n">
        <f aca="false">C294*(1-D$291)+C293*D$291</f>
        <v>0.725681095456733</v>
      </c>
      <c r="E294" s="2" t="n">
        <f aca="false">D294*(1-E$291)+D293*E$291</f>
        <v>0.298104951419051</v>
      </c>
      <c r="F294" s="2" t="n">
        <f aca="false">E294*(1-F$291)+E293*F$291</f>
        <v>0.101374645284306</v>
      </c>
      <c r="G294" s="2" t="n">
        <f aca="false">F294*(1-G$291)+F293*G$291</f>
        <v>0.0464127239653792</v>
      </c>
      <c r="H294" s="2" t="n">
        <f aca="false">G294*(1-H$291)+G293*H$291</f>
        <v>0.027476370292576</v>
      </c>
      <c r="I294" s="2" t="n">
        <f aca="false">H294*(1-I$291)+H293*I$291</f>
        <v>0.0166378371156331</v>
      </c>
      <c r="J294" s="2" t="n">
        <f aca="false">I294*(1-J$291)+I293*J$291</f>
        <v>0.00583217844628337</v>
      </c>
      <c r="K294" s="2" t="n">
        <f aca="false">J294*(1-K$291)+J293*K$291</f>
        <v>0.00369774583752421</v>
      </c>
      <c r="L294" s="2" t="n">
        <f aca="false">K294*(1-L$291)+K293*L$291</f>
        <v>0.00298648824358311</v>
      </c>
      <c r="M294" s="2" t="n">
        <f aca="false">L294*(1-M$291)+L293*M$291</f>
        <v>0.000720493256075923</v>
      </c>
      <c r="N294" s="2" t="n">
        <f aca="false">M294*(1-N$291)+M293*N$291</f>
        <v>0.000387098994919024</v>
      </c>
      <c r="O294" s="2" t="n">
        <f aca="false">N294*(1-O$291)+N293*O$291</f>
        <v>0.000387098994919024</v>
      </c>
    </row>
    <row r="295" customFormat="false" ht="15" hidden="false" customHeight="false" outlineLevel="0" collapsed="false">
      <c r="B295" s="2" t="n">
        <v>3</v>
      </c>
      <c r="C295" s="2" t="n">
        <f aca="false">0</f>
        <v>0</v>
      </c>
      <c r="D295" s="2" t="n">
        <f aca="false">C295*(1-D$291)+C294*D$291</f>
        <v>0</v>
      </c>
      <c r="E295" s="2" t="n">
        <f aca="false">D295*(1-E$291)+D294*E$291</f>
        <v>0.68740103157948</v>
      </c>
      <c r="F295" s="2" t="n">
        <f aca="false">E295*(1-F$291)+E294*F$291</f>
        <v>0.417362138128787</v>
      </c>
      <c r="G295" s="2" t="n">
        <f aca="false">F295*(1-G$291)+F294*G$291</f>
        <v>0.23819616929303</v>
      </c>
      <c r="H295" s="2" t="n">
        <f aca="false">G295*(1-H$291)+G294*H$291</f>
        <v>0.156566554517904</v>
      </c>
      <c r="I295" s="2" t="n">
        <f aca="false">H295*(1-I$291)+H294*I$291</f>
        <v>0.103511826545928</v>
      </c>
      <c r="J295" s="2" t="n">
        <f aca="false">I295*(1-J$291)+I294*J$291</f>
        <v>0.0447941407673454</v>
      </c>
      <c r="K295" s="2" t="n">
        <f aca="false">J295*(1-K$291)+J294*K$291</f>
        <v>0.0300000049884946</v>
      </c>
      <c r="L295" s="2" t="n">
        <f aca="false">K295*(1-L$291)+K294*L$291</f>
        <v>0.0247552145630912</v>
      </c>
      <c r="M295" s="2" t="n">
        <f aca="false">L295*(1-M$291)+L294*M$291</f>
        <v>0.00763782272695611</v>
      </c>
      <c r="N295" s="2" t="n">
        <f aca="false">M295*(1-N$291)+M294*N$291</f>
        <v>0.00433430452627846</v>
      </c>
      <c r="O295" s="2" t="n">
        <f aca="false">N295*(1-O$291)+N294*O$291</f>
        <v>0.00433430452627846</v>
      </c>
    </row>
    <row r="296" customFormat="false" ht="15" hidden="false" customHeight="false" outlineLevel="0" collapsed="false">
      <c r="B296" s="2" t="n">
        <v>4</v>
      </c>
      <c r="C296" s="2" t="n">
        <f aca="false">0</f>
        <v>0</v>
      </c>
      <c r="D296" s="2" t="n">
        <f aca="false">C296*(1-D$291)+C295*D$291</f>
        <v>0</v>
      </c>
      <c r="E296" s="2" t="n">
        <f aca="false">D296*(1-E$291)+D295*E$291</f>
        <v>0</v>
      </c>
      <c r="F296" s="2" t="n">
        <f aca="false">E296*(1-F$291)+E295*F$291</f>
        <v>0.476822201364297</v>
      </c>
      <c r="G296" s="2" t="n">
        <f aca="false">F296*(1-G$291)+F295*G$291</f>
        <v>0.443108145973286</v>
      </c>
      <c r="H296" s="2" t="n">
        <f aca="false">G296*(1-H$291)+G295*H$291</f>
        <v>0.35589057779037</v>
      </c>
      <c r="I296" s="2" t="n">
        <f aca="false">H296*(1-I$291)+H295*I$291</f>
        <v>0.273970469794074</v>
      </c>
      <c r="J296" s="2" t="n">
        <f aca="false">I296*(1-J$291)+I295*J$291</f>
        <v>0.158758343378272</v>
      </c>
      <c r="K296" s="2" t="n">
        <f aca="false">J296*(1-K$291)+J295*K$291</f>
        <v>0.115485320488378</v>
      </c>
      <c r="L296" s="2" t="n">
        <f aca="false">K296*(1-L$291)+K295*L$291</f>
        <v>0.0984391587243673</v>
      </c>
      <c r="M296" s="2" t="n">
        <f aca="false">L296*(1-M$291)+L295*M$291</f>
        <v>0.0404992992338207</v>
      </c>
      <c r="N296" s="2" t="n">
        <f aca="false">M296*(1-N$291)+M295*N$291</f>
        <v>0.0248056003578939</v>
      </c>
      <c r="O296" s="2" t="n">
        <f aca="false">N296*(1-O$291)+N295*O$291</f>
        <v>0.0248056003578939</v>
      </c>
    </row>
    <row r="297" customFormat="false" ht="15" hidden="false" customHeight="false" outlineLevel="0" collapsed="false">
      <c r="B297" s="2" t="n">
        <v>5</v>
      </c>
      <c r="C297" s="2" t="n">
        <f aca="false">0</f>
        <v>0</v>
      </c>
      <c r="D297" s="2" t="n">
        <f aca="false">C297*(1-D$291)+C296*D$291</f>
        <v>0</v>
      </c>
      <c r="E297" s="2" t="n">
        <f aca="false">D297*(1-E$291)+D296*E$291</f>
        <v>0</v>
      </c>
      <c r="F297" s="2" t="n">
        <f aca="false">E297*(1-F$291)+E296*F$291</f>
        <v>0</v>
      </c>
      <c r="G297" s="2" t="n">
        <f aca="false">F297*(1-G$291)+F296*G$291</f>
        <v>0.270359788296681</v>
      </c>
      <c r="H297" s="2" t="n">
        <f aca="false">G297*(1-H$291)+G296*H$291</f>
        <v>0.343887416638562</v>
      </c>
      <c r="I297" s="2" t="n">
        <f aca="false">H297*(1-I$291)+H296*I$291</f>
        <v>0.348820591484772</v>
      </c>
      <c r="J297" s="2" t="n">
        <f aca="false">I297*(1-J$291)+I296*J$291</f>
        <v>0.298229776503845</v>
      </c>
      <c r="K297" s="2" t="n">
        <f aca="false">J297*(1-K$291)+J296*K$291</f>
        <v>0.245271475740456</v>
      </c>
      <c r="L297" s="2" t="n">
        <f aca="false">K297*(1-L$291)+K296*L$291</f>
        <v>0.219391524497146</v>
      </c>
      <c r="M297" s="2" t="n">
        <f aca="false">L297*(1-M$291)+L296*M$291</f>
        <v>0.124283110341339</v>
      </c>
      <c r="N297" s="2" t="n">
        <f aca="false">M297*(1-N$291)+M296*N$291</f>
        <v>0.0842703646594993</v>
      </c>
      <c r="O297" s="2" t="n">
        <f aca="false">N297*(1-O$291)+N296*O$291</f>
        <v>0.0842703646594993</v>
      </c>
    </row>
    <row r="298" customFormat="false" ht="15" hidden="false" customHeight="false" outlineLevel="0" collapsed="false">
      <c r="B298" s="2" t="n">
        <v>6</v>
      </c>
      <c r="C298" s="2" t="n">
        <f aca="false">0</f>
        <v>0</v>
      </c>
      <c r="D298" s="2" t="n">
        <f aca="false">C298*(1-D$291)+C297*D$291</f>
        <v>0</v>
      </c>
      <c r="E298" s="2" t="n">
        <f aca="false">D298*(1-E$291)+D297*E$291</f>
        <v>0</v>
      </c>
      <c r="F298" s="2" t="n">
        <f aca="false">E298*(1-F$291)+E297*F$291</f>
        <v>0</v>
      </c>
      <c r="G298" s="2" t="n">
        <f aca="false">F298*(1-G$291)+F297*G$291</f>
        <v>0</v>
      </c>
      <c r="H298" s="2" t="n">
        <f aca="false">G298*(1-H$291)+G297*H$291</f>
        <v>0.115074402441975</v>
      </c>
      <c r="I298" s="2" t="n">
        <f aca="false">H298*(1-I$291)+H297*I$291</f>
        <v>0.209114180117542</v>
      </c>
      <c r="J298" s="2" t="n">
        <f aca="false">I298*(1-J$291)+I297*J$291</f>
        <v>0.303541030060889</v>
      </c>
      <c r="K298" s="2" t="n">
        <f aca="false">J298*(1-K$291)+J297*K$291</f>
        <v>0.301524309095161</v>
      </c>
      <c r="L298" s="2" t="n">
        <f aca="false">K298*(1-L$291)+K297*L$291</f>
        <v>0.290307237584796</v>
      </c>
      <c r="M298" s="2" t="n">
        <f aca="false">L298*(1-M$291)+L297*M$291</f>
        <v>0.234544119869801</v>
      </c>
      <c r="N298" s="2" t="n">
        <f aca="false">M298*(1-N$291)+M297*N$291</f>
        <v>0.181886623456519</v>
      </c>
      <c r="O298" s="2" t="n">
        <f aca="false">N298*(1-O$291)+N297*O$291</f>
        <v>0.181886623456519</v>
      </c>
    </row>
    <row r="299" customFormat="false" ht="15" hidden="false" customHeight="false" outlineLevel="0" collapsed="false">
      <c r="B299" s="2" t="n">
        <v>7</v>
      </c>
      <c r="C299" s="2" t="n">
        <f aca="false">0</f>
        <v>0</v>
      </c>
      <c r="D299" s="2" t="n">
        <f aca="false">C299*(1-D$291)+C298*D$291</f>
        <v>0</v>
      </c>
      <c r="E299" s="2" t="n">
        <f aca="false">D299*(1-E$291)+D298*E$291</f>
        <v>0</v>
      </c>
      <c r="F299" s="2" t="n">
        <f aca="false">E299*(1-F$291)+E298*F$291</f>
        <v>0</v>
      </c>
      <c r="G299" s="2" t="n">
        <f aca="false">F299*(1-G$291)+F298*G$291</f>
        <v>0</v>
      </c>
      <c r="H299" s="2" t="n">
        <f aca="false">G299*(1-H$291)+G298*H$291</f>
        <v>0</v>
      </c>
      <c r="I299" s="2" t="n">
        <f aca="false">H299*(1-I$291)+H298*I$291</f>
        <v>0.0472943869027251</v>
      </c>
      <c r="J299" s="2" t="n">
        <f aca="false">I299*(1-J$291)+I298*J$291</f>
        <v>0.156667558700789</v>
      </c>
      <c r="K299" s="2" t="n">
        <f aca="false">J299*(1-K$291)+J298*K$291</f>
        <v>0.212436466326827</v>
      </c>
      <c r="L299" s="2" t="n">
        <f aca="false">K299*(1-L$291)+K298*L$291</f>
        <v>0.230200988457389</v>
      </c>
      <c r="M299" s="2" t="n">
        <f aca="false">L299*(1-M$291)+L298*M$291</f>
        <v>0.277464305704947</v>
      </c>
      <c r="N299" s="2" t="n">
        <f aca="false">M299*(1-N$291)+M298*N$291</f>
        <v>0.256966855687603</v>
      </c>
      <c r="O299" s="2" t="n">
        <f aca="false">N299*(1-O$291)+N298*O$291</f>
        <v>0.256966855687603</v>
      </c>
    </row>
    <row r="300" customFormat="false" ht="15" hidden="false" customHeight="false" outlineLevel="0" collapsed="false">
      <c r="B300" s="2" t="n">
        <v>8</v>
      </c>
      <c r="C300" s="2" t="n">
        <f aca="false">0</f>
        <v>0</v>
      </c>
      <c r="D300" s="2" t="n">
        <f aca="false">C300*(1-D$291)+C299*D$291</f>
        <v>0</v>
      </c>
      <c r="E300" s="2" t="n">
        <f aca="false">D300*(1-E$291)+D299*E$291</f>
        <v>0</v>
      </c>
      <c r="F300" s="2" t="n">
        <f aca="false">E300*(1-F$291)+E299*F$291</f>
        <v>0</v>
      </c>
      <c r="G300" s="2" t="n">
        <f aca="false">F300*(1-G$291)+F299*G$291</f>
        <v>0</v>
      </c>
      <c r="H300" s="2" t="n">
        <f aca="false">G300*(1-H$291)+G299*H$291</f>
        <v>0</v>
      </c>
      <c r="I300" s="2" t="n">
        <f aca="false">H300*(1-I$291)+H299*I$291</f>
        <v>0</v>
      </c>
      <c r="J300" s="2" t="n">
        <f aca="false">I300*(1-J$291)+I299*J$291</f>
        <v>0.0319660345686452</v>
      </c>
      <c r="K300" s="2" t="n">
        <f aca="false">J300*(1-K$291)+J299*K$291</f>
        <v>0.0793160952416233</v>
      </c>
      <c r="L300" s="2" t="n">
        <f aca="false">K300*(1-L$291)+K299*L$291</f>
        <v>0.105860904327654</v>
      </c>
      <c r="M300" s="2" t="n">
        <f aca="false">L300*(1-M$291)+L299*M$291</f>
        <v>0.203633181389143</v>
      </c>
      <c r="N300" s="2" t="n">
        <f aca="false">M300*(1-N$291)+M299*N$291</f>
        <v>0.238892809252831</v>
      </c>
      <c r="O300" s="2" t="n">
        <f aca="false">N300*(1-O$291)+N299*O$291</f>
        <v>0.238892809252831</v>
      </c>
    </row>
    <row r="301" customFormat="false" ht="15" hidden="false" customHeight="false" outlineLevel="0" collapsed="false">
      <c r="B301" s="2" t="n">
        <v>9</v>
      </c>
      <c r="C301" s="2" t="n">
        <f aca="false">0</f>
        <v>0</v>
      </c>
      <c r="D301" s="2" t="n">
        <f aca="false">C301*(1-D$291)+C300*D$291</f>
        <v>0</v>
      </c>
      <c r="E301" s="2" t="n">
        <f aca="false">D301*(1-E$291)+D300*E$291</f>
        <v>0</v>
      </c>
      <c r="F301" s="2" t="n">
        <f aca="false">E301*(1-F$291)+E300*F$291</f>
        <v>0</v>
      </c>
      <c r="G301" s="2" t="n">
        <f aca="false">F301*(1-G$291)+F300*G$291</f>
        <v>0</v>
      </c>
      <c r="H301" s="2" t="n">
        <f aca="false">G301*(1-H$291)+G300*H$291</f>
        <v>0</v>
      </c>
      <c r="I301" s="2" t="n">
        <f aca="false">H301*(1-I$291)+H300*I$291</f>
        <v>0</v>
      </c>
      <c r="J301" s="2" t="n">
        <f aca="false">I301*(1-J$291)+I300*J$291</f>
        <v>0</v>
      </c>
      <c r="K301" s="2" t="n">
        <f aca="false">J301*(1-K$291)+J300*K$291</f>
        <v>0.0121377319710699</v>
      </c>
      <c r="L301" s="2" t="n">
        <f aca="false">K301*(1-L$291)+K300*L$291</f>
        <v>0.0255334039722208</v>
      </c>
      <c r="M301" s="2" t="n">
        <f aca="false">L301*(1-M$291)+L300*M$291</f>
        <v>0.0886972877300423</v>
      </c>
      <c r="N301" s="2" t="n">
        <f aca="false">M301*(1-N$291)+M300*N$291</f>
        <v>0.143587374751686</v>
      </c>
      <c r="O301" s="2" t="n">
        <f aca="false">N301*(1-O$291)+N300*O$291</f>
        <v>0.143587374751686</v>
      </c>
    </row>
    <row r="302" customFormat="false" ht="15" hidden="false" customHeight="false" outlineLevel="0" collapsed="false">
      <c r="B302" s="2" t="n">
        <v>10</v>
      </c>
      <c r="C302" s="2" t="n">
        <f aca="false">0</f>
        <v>0</v>
      </c>
      <c r="D302" s="2" t="n">
        <f aca="false">C302*(1-D$291)+C301*D$291</f>
        <v>0</v>
      </c>
      <c r="E302" s="2" t="n">
        <f aca="false">D302*(1-E$291)+D301*E$291</f>
        <v>0</v>
      </c>
      <c r="F302" s="2" t="n">
        <f aca="false">E302*(1-F$291)+E301*F$291</f>
        <v>0</v>
      </c>
      <c r="G302" s="2" t="n">
        <f aca="false">F302*(1-G$291)+F301*G$291</f>
        <v>0</v>
      </c>
      <c r="H302" s="2" t="n">
        <f aca="false">G302*(1-H$291)+G301*H$291</f>
        <v>0</v>
      </c>
      <c r="I302" s="2" t="n">
        <f aca="false">H302*(1-I$291)+H301*I$291</f>
        <v>0</v>
      </c>
      <c r="J302" s="2" t="n">
        <f aca="false">I302*(1-J$291)+I301*J$291</f>
        <v>0</v>
      </c>
      <c r="K302" s="2" t="n">
        <f aca="false">J302*(1-K$291)+J301*K$291</f>
        <v>0</v>
      </c>
      <c r="L302" s="2" t="n">
        <f aca="false">K302*(1-L$291)+K301*L$291</f>
        <v>0.00242031910881052</v>
      </c>
      <c r="M302" s="2" t="n">
        <f aca="false">L302*(1-M$291)+L301*M$291</f>
        <v>0.0205948197360836</v>
      </c>
      <c r="N302" s="2" t="n">
        <f aca="false">M302*(1-N$291)+M301*N$291</f>
        <v>0.0531186056098368</v>
      </c>
      <c r="O302" s="2" t="n">
        <f aca="false">N302*(1-O$291)+N301*O$291</f>
        <v>0.0531186056098368</v>
      </c>
    </row>
    <row r="303" customFormat="false" ht="15" hidden="false" customHeight="false" outlineLevel="0" collapsed="false">
      <c r="B303" s="2" t="n">
        <v>11</v>
      </c>
      <c r="C303" s="2" t="n">
        <f aca="false">0</f>
        <v>0</v>
      </c>
      <c r="D303" s="2" t="n">
        <f aca="false">C303*(1-D$291)+C302*D$291</f>
        <v>0</v>
      </c>
      <c r="E303" s="2" t="n">
        <f aca="false">D303*(1-E$291)+D302*E$291</f>
        <v>0</v>
      </c>
      <c r="F303" s="2" t="n">
        <f aca="false">E303*(1-F$291)+E302*F$291</f>
        <v>0</v>
      </c>
      <c r="G303" s="2" t="n">
        <f aca="false">F303*(1-G$291)+F302*G$291</f>
        <v>0</v>
      </c>
      <c r="H303" s="2" t="n">
        <f aca="false">G303*(1-H$291)+G302*H$291</f>
        <v>0</v>
      </c>
      <c r="I303" s="2" t="n">
        <f aca="false">H303*(1-I$291)+H302*I$291</f>
        <v>0</v>
      </c>
      <c r="J303" s="2" t="n">
        <f aca="false">I303*(1-J$291)+I302*J$291</f>
        <v>0</v>
      </c>
      <c r="K303" s="2" t="n">
        <f aca="false">J303*(1-K$291)+J302*K$291</f>
        <v>0</v>
      </c>
      <c r="L303" s="2" t="n">
        <f aca="false">K303*(1-L$291)+K302*L$291</f>
        <v>0</v>
      </c>
      <c r="M303" s="2" t="n">
        <f aca="false">L303*(1-M$291)+L302*M$291</f>
        <v>0.00190316833175801</v>
      </c>
      <c r="N303" s="2" t="n">
        <f aca="false">M303*(1-N$291)+M302*N$291</f>
        <v>0.0108297650588407</v>
      </c>
      <c r="O303" s="2" t="n">
        <f aca="false">N303*(1-O$291)+N302*O$291</f>
        <v>0.0108297650588407</v>
      </c>
    </row>
    <row r="304" customFormat="false" ht="15" hidden="false" customHeight="false" outlineLevel="0" collapsed="false">
      <c r="B304" s="2" t="n">
        <v>12</v>
      </c>
      <c r="C304" s="2" t="n">
        <f aca="false">0</f>
        <v>0</v>
      </c>
      <c r="D304" s="2" t="n">
        <f aca="false">C304*(1-D$291)+C303*D$291</f>
        <v>0</v>
      </c>
      <c r="E304" s="2" t="n">
        <f aca="false">D304*(1-E$291)+D303*E$291</f>
        <v>0</v>
      </c>
      <c r="F304" s="2" t="n">
        <f aca="false">E304*(1-F$291)+E303*F$291</f>
        <v>0</v>
      </c>
      <c r="G304" s="2" t="n">
        <f aca="false">F304*(1-G$291)+F303*G$291</f>
        <v>0</v>
      </c>
      <c r="H304" s="2" t="n">
        <f aca="false">G304*(1-H$291)+G303*H$291</f>
        <v>0</v>
      </c>
      <c r="I304" s="2" t="n">
        <f aca="false">H304*(1-I$291)+H303*I$291</f>
        <v>0</v>
      </c>
      <c r="J304" s="2" t="n">
        <f aca="false">I304*(1-J$291)+I303*J$291</f>
        <v>0</v>
      </c>
      <c r="K304" s="2" t="n">
        <f aca="false">J304*(1-K$291)+J303*K$291</f>
        <v>0</v>
      </c>
      <c r="L304" s="2" t="n">
        <f aca="false">K304*(1-L$291)+K303*L$291</f>
        <v>0</v>
      </c>
      <c r="M304" s="2" t="n">
        <f aca="false">L304*(1-M$291)+L303*M$291</f>
        <v>0</v>
      </c>
      <c r="N304" s="2" t="n">
        <f aca="false">M304*(1-N$291)+M303*N$291</f>
        <v>0.000908898621842846</v>
      </c>
      <c r="O304" s="2" t="n">
        <f aca="false">N304*(1-O$291)+N303*O$291</f>
        <v>0.000908898621842846</v>
      </c>
    </row>
    <row r="305" customFormat="false" ht="15" hidden="false" customHeight="false" outlineLevel="0" collapsed="false">
      <c r="B305" s="2" t="n">
        <v>13</v>
      </c>
      <c r="C305" s="2" t="n">
        <f aca="false">0</f>
        <v>0</v>
      </c>
      <c r="D305" s="2" t="n">
        <f aca="false">C305*(1-D$291)+C304*D$291</f>
        <v>0</v>
      </c>
      <c r="E305" s="2" t="n">
        <f aca="false">D305*(1-E$291)+D304*E$291</f>
        <v>0</v>
      </c>
      <c r="F305" s="2" t="n">
        <f aca="false">E305*(1-F$291)+E304*F$291</f>
        <v>0</v>
      </c>
      <c r="G305" s="2" t="n">
        <f aca="false">F305*(1-G$291)+F304*G$291</f>
        <v>0</v>
      </c>
      <c r="H305" s="2" t="n">
        <f aca="false">G305*(1-H$291)+G304*H$291</f>
        <v>0</v>
      </c>
      <c r="I305" s="2" t="n">
        <f aca="false">H305*(1-I$291)+H304*I$291</f>
        <v>0</v>
      </c>
      <c r="J305" s="2" t="n">
        <f aca="false">I305*(1-J$291)+I304*J$291</f>
        <v>0</v>
      </c>
      <c r="K305" s="2" t="n">
        <f aca="false">J305*(1-K$291)+J304*K$291</f>
        <v>0</v>
      </c>
      <c r="L305" s="2" t="n">
        <f aca="false">K305*(1-L$291)+K304*L$291</f>
        <v>0</v>
      </c>
      <c r="M305" s="2" t="n">
        <f aca="false">L305*(1-M$291)+L304*M$291</f>
        <v>0</v>
      </c>
      <c r="N305" s="2" t="n">
        <f aca="false">M305*(1-N$291)+M304*N$291</f>
        <v>0</v>
      </c>
      <c r="O305" s="2" t="n">
        <f aca="false">N305*(1-O$291)+N304*O$291</f>
        <v>0</v>
      </c>
    </row>
    <row r="307" customFormat="false" ht="15" hidden="false" customHeight="false" outlineLevel="0" collapsed="false">
      <c r="A307" s="1" t="s">
        <v>77</v>
      </c>
      <c r="C307" s="2" t="n">
        <f aca="false">Schedule!G21</f>
        <v>0.931558598391246</v>
      </c>
      <c r="D307" s="2" t="n">
        <f aca="false">Schedule!L21</f>
        <v>0.996845270501399</v>
      </c>
      <c r="E307" s="2" t="n">
        <f aca="false">Schedule!Q21</f>
        <v>0.529892644052895</v>
      </c>
      <c r="F307" s="2" t="n">
        <f aca="false">Schedule!V21</f>
        <v>0.529892644052895</v>
      </c>
      <c r="G307" s="2" t="n">
        <f aca="false">Schedule!AA21</f>
        <v>0.432996644193328</v>
      </c>
      <c r="H307" s="2" t="n">
        <f aca="false">Schedule!AF21</f>
        <v>0.625041951918781</v>
      </c>
      <c r="I307" s="2" t="n">
        <f aca="false">Schedule!AK21</f>
        <v>0.263938536969338</v>
      </c>
      <c r="J307" s="2" t="n">
        <f aca="false">Schedule!AP21</f>
        <v>0.241963652223073</v>
      </c>
      <c r="K307" s="2" t="n">
        <f aca="false">Schedule!AU21</f>
        <v>0.472594309039532</v>
      </c>
      <c r="L307" s="2" t="n">
        <f aca="false">Schedule!AZ21</f>
        <v>0.680375828482882</v>
      </c>
      <c r="M307" s="2" t="n">
        <f aca="false">Schedule!BE21</f>
        <v>0.689258625618694</v>
      </c>
      <c r="N307" s="2" t="n">
        <f aca="false">Schedule!BJ21</f>
        <v>0.58901036286873</v>
      </c>
      <c r="O307" s="2" t="n">
        <f aca="false">Schedule!BO21</f>
        <v>0</v>
      </c>
    </row>
    <row r="308" customFormat="false" ht="15" hidden="false" customHeight="false" outlineLevel="0" collapsed="false">
      <c r="B308" s="2" t="n">
        <v>0</v>
      </c>
      <c r="C308" s="2" t="n">
        <f aca="false">1-C$307</f>
        <v>0.0684414016087538</v>
      </c>
      <c r="D308" s="2" t="n">
        <f aca="false">C308*(1-D$307)</f>
        <v>0.000215914108580746</v>
      </c>
      <c r="E308" s="2" t="n">
        <f aca="false">D308*(1-E$307)</f>
        <v>0.000101502810696571</v>
      </c>
      <c r="F308" s="2" t="n">
        <f aca="false">E308*(1-F$307)</f>
        <v>4.77172179577644E-005</v>
      </c>
      <c r="G308" s="2" t="n">
        <f aca="false">F308*(1-G$307)</f>
        <v>2.70558227118108E-005</v>
      </c>
      <c r="H308" s="2" t="n">
        <f aca="false">G308*(1-H$307)</f>
        <v>1.01447984732521E-005</v>
      </c>
      <c r="I308" s="2" t="n">
        <f aca="false">H308*(1-I$307)</f>
        <v>7.46719520637316E-006</v>
      </c>
      <c r="J308" s="2" t="n">
        <f aca="false">I308*(1-J$307)</f>
        <v>5.66040538237649E-006</v>
      </c>
      <c r="K308" s="2" t="n">
        <f aca="false">J308*(1-K$307)</f>
        <v>2.98533001180862E-006</v>
      </c>
      <c r="L308" s="2" t="n">
        <f aca="false">K308*(1-L$307)</f>
        <v>9.54183631729519E-007</v>
      </c>
      <c r="M308" s="2" t="n">
        <f aca="false">L308*(1-M$307)</f>
        <v>2.96504333135776E-007</v>
      </c>
      <c r="N308" s="2" t="n">
        <f aca="false">M308*(1-N$307)</f>
        <v>1.21860208283322E-007</v>
      </c>
      <c r="O308" s="2" t="n">
        <f aca="false">N308*(1-O$307)</f>
        <v>1.21860208283322E-007</v>
      </c>
    </row>
    <row r="309" customFormat="false" ht="15" hidden="false" customHeight="false" outlineLevel="0" collapsed="false">
      <c r="B309" s="2" t="n">
        <v>1</v>
      </c>
      <c r="C309" s="2" t="n">
        <f aca="false">C$307</f>
        <v>0.931558598391246</v>
      </c>
      <c r="D309" s="2" t="n">
        <f aca="false">C309*(1-D$307)+C308*D$307</f>
        <v>0.0711643028901935</v>
      </c>
      <c r="E309" s="2" t="n">
        <f aca="false">D309*(1-E$307)+D308*E$307</f>
        <v>0.033569273567412</v>
      </c>
      <c r="F309" s="2" t="n">
        <f aca="false">E309*(1-F$307)+E308*F$307</f>
        <v>0.0158349480305799</v>
      </c>
      <c r="G309" s="2" t="n">
        <f aca="false">F309*(1-G$307)+F308*G$307</f>
        <v>0.00899913006760901</v>
      </c>
      <c r="H309" s="2" t="n">
        <f aca="false">G309*(1-H$307)+G308*H$307</f>
        <v>0.00339120726881824</v>
      </c>
      <c r="I309" s="2" t="n">
        <f aca="false">H309*(1-I$307)+H308*I$307</f>
        <v>0.00249881458699345</v>
      </c>
      <c r="J309" s="2" t="n">
        <f aca="false">I309*(1-J$307)+I308*J$307</f>
        <v>0.00189599907312022</v>
      </c>
      <c r="K309" s="2" t="n">
        <f aca="false">J309*(1-K$307)+J308*K$307</f>
        <v>0.00100263577658995</v>
      </c>
      <c r="L309" s="2" t="n">
        <f aca="false">K309*(1-L$307)+K308*L$307</f>
        <v>0.000322497775806062</v>
      </c>
      <c r="M309" s="2" t="n">
        <f aca="false">L309*(1-M$307)+L308*M$307</f>
        <v>0.000100871081387484</v>
      </c>
      <c r="N309" s="2" t="n">
        <f aca="false">M309*(1-N$307)+M308*N$307</f>
        <v>4.16316132613332E-005</v>
      </c>
      <c r="O309" s="2" t="n">
        <f aca="false">N309*(1-O$307)+N308*O$307</f>
        <v>4.16316132613332E-005</v>
      </c>
    </row>
    <row r="310" customFormat="false" ht="15" hidden="false" customHeight="false" outlineLevel="0" collapsed="false">
      <c r="B310" s="2" t="n">
        <v>2</v>
      </c>
      <c r="C310" s="2" t="n">
        <f aca="false">0</f>
        <v>0</v>
      </c>
      <c r="D310" s="2" t="n">
        <f aca="false">C310*(1-D$307)+C309*D$307</f>
        <v>0.928619783001226</v>
      </c>
      <c r="E310" s="2" t="n">
        <f aca="false">D310*(1-E$307)+D309*E$307</f>
        <v>0.474260431487547</v>
      </c>
      <c r="F310" s="2" t="n">
        <f aca="false">E310*(1-F$307)+E309*F$307</f>
        <v>0.240741428606515</v>
      </c>
      <c r="G310" s="2" t="n">
        <f aca="false">F310*(1-G$307)+F309*G$307</f>
        <v>0.143357677259803</v>
      </c>
      <c r="H310" s="2" t="n">
        <f aca="false">G310*(1-H$307)+G309*H$307</f>
        <v>0.0593779486658224</v>
      </c>
      <c r="I310" s="2" t="n">
        <f aca="false">H310*(1-I$307)+H309*I$307</f>
        <v>0.0446008900518164</v>
      </c>
      <c r="J310" s="2" t="n">
        <f aca="false">I310*(1-J$307)+I309*J$307</f>
        <v>0.0344137181061764</v>
      </c>
      <c r="K310" s="2" t="n">
        <f aca="false">J310*(1-K$307)+J309*K$307</f>
        <v>0.0190460291482076</v>
      </c>
      <c r="L310" s="2" t="n">
        <f aca="false">K310*(1-L$307)+K309*L$307</f>
        <v>0.00676974043435069</v>
      </c>
      <c r="M310" s="2" t="n">
        <f aca="false">L310*(1-M$307)+L309*M$307</f>
        <v>0.002325922820492</v>
      </c>
      <c r="N310" s="2" t="n">
        <f aca="false">M310*(1-N$307)+M309*N$307</f>
        <v>0.00101534428824035</v>
      </c>
      <c r="O310" s="2" t="n">
        <f aca="false">N310*(1-O$307)+N309*O$307</f>
        <v>0.00101534428824035</v>
      </c>
    </row>
    <row r="311" customFormat="false" ht="15" hidden="false" customHeight="false" outlineLevel="0" collapsed="false">
      <c r="B311" s="2" t="n">
        <v>3</v>
      </c>
      <c r="C311" s="2" t="n">
        <f aca="false">0</f>
        <v>0</v>
      </c>
      <c r="D311" s="2" t="n">
        <f aca="false">C311*(1-D$307)+C310*D$307</f>
        <v>0</v>
      </c>
      <c r="E311" s="2" t="n">
        <f aca="false">D311*(1-E$307)+D310*E$307</f>
        <v>0.492068792134345</v>
      </c>
      <c r="F311" s="2" t="n">
        <f aca="false">E311*(1-F$307)+E310*F$307</f>
        <v>0.482632272824965</v>
      </c>
      <c r="G311" s="2" t="n">
        <f aca="false">F311*(1-G$307)+F310*G$307</f>
        <v>0.377894349017285</v>
      </c>
      <c r="H311" s="2" t="n">
        <f aca="false">G311*(1-H$307)+G310*H$307</f>
        <v>0.231299089905454</v>
      </c>
      <c r="I311" s="2" t="n">
        <f aca="false">H311*(1-I$307)+H310*I$307</f>
        <v>0.185922475412567</v>
      </c>
      <c r="J311" s="2" t="n">
        <f aca="false">I311*(1-J$307)+I310*J$307</f>
        <v>0.151727788480725</v>
      </c>
      <c r="K311" s="2" t="n">
        <f aca="false">J311*(1-K$307)+J310*K$307</f>
        <v>0.0962858264514501</v>
      </c>
      <c r="L311" s="2" t="n">
        <f aca="false">K311*(1-L$307)+K310*L$307</f>
        <v>0.0437337353694066</v>
      </c>
      <c r="M311" s="2" t="n">
        <f aca="false">L311*(1-M$307)+L310*M$307</f>
        <v>0.0182559830230936</v>
      </c>
      <c r="N311" s="2" t="n">
        <f aca="false">M311*(1-N$307)+M310*N$307</f>
        <v>0.00887301248263852</v>
      </c>
      <c r="O311" s="2" t="n">
        <f aca="false">N311*(1-O$307)+N310*O$307</f>
        <v>0.00887301248263852</v>
      </c>
    </row>
    <row r="312" customFormat="false" ht="15" hidden="false" customHeight="false" outlineLevel="0" collapsed="false">
      <c r="B312" s="2" t="n">
        <v>4</v>
      </c>
      <c r="C312" s="2" t="n">
        <f aca="false">0</f>
        <v>0</v>
      </c>
      <c r="D312" s="2" t="n">
        <f aca="false">C312*(1-D$307)+C311*D$307</f>
        <v>0</v>
      </c>
      <c r="E312" s="2" t="n">
        <f aca="false">D312*(1-E$307)+D311*E$307</f>
        <v>0</v>
      </c>
      <c r="F312" s="2" t="n">
        <f aca="false">E312*(1-F$307)+E311*F$307</f>
        <v>0.260743633319982</v>
      </c>
      <c r="G312" s="2" t="n">
        <f aca="false">F312*(1-G$307)+F311*G$307</f>
        <v>0.356820669610263</v>
      </c>
      <c r="H312" s="2" t="n">
        <f aca="false">G312*(1-H$307)+G311*H$307</f>
        <v>0.369992603320939</v>
      </c>
      <c r="I312" s="2" t="n">
        <f aca="false">H312*(1-I$307)+H311*I$307</f>
        <v>0.333386040302918</v>
      </c>
      <c r="J312" s="2" t="n">
        <f aca="false">I312*(1-J$307)+I311*J$307</f>
        <v>0.297705217572215</v>
      </c>
      <c r="K312" s="2" t="n">
        <f aca="false">J312*(1-K$307)+J311*K$307</f>
        <v>0.228717115335355</v>
      </c>
      <c r="L312" s="2" t="n">
        <f aca="false">K312*(1-L$307)+K311*L$307</f>
        <v>0.138614067443912</v>
      </c>
      <c r="M312" s="2" t="n">
        <f aca="false">L312*(1-M$307)+L311*M$307</f>
        <v>0.0732169801599932</v>
      </c>
      <c r="N312" s="2" t="n">
        <f aca="false">M312*(1-N$307)+M311*N$307</f>
        <v>0.0408443832927607</v>
      </c>
      <c r="O312" s="2" t="n">
        <f aca="false">N312*(1-O$307)+N311*O$307</f>
        <v>0.0408443832927607</v>
      </c>
    </row>
    <row r="313" customFormat="false" ht="15" hidden="false" customHeight="false" outlineLevel="0" collapsed="false">
      <c r="B313" s="2" t="n">
        <v>5</v>
      </c>
      <c r="C313" s="2" t="n">
        <f aca="false">0</f>
        <v>0</v>
      </c>
      <c r="D313" s="2" t="n">
        <f aca="false">C313*(1-D$307)+C312*D$307</f>
        <v>0</v>
      </c>
      <c r="E313" s="2" t="n">
        <f aca="false">D313*(1-E$307)+D312*E$307</f>
        <v>0</v>
      </c>
      <c r="F313" s="2" t="n">
        <f aca="false">E313*(1-F$307)+E312*F$307</f>
        <v>0</v>
      </c>
      <c r="G313" s="2" t="n">
        <f aca="false">F313*(1-G$307)+F312*G$307</f>
        <v>0.112901118222328</v>
      </c>
      <c r="H313" s="2" t="n">
        <f aca="false">G313*(1-H$307)+G312*H$307</f>
        <v>0.265361070732996</v>
      </c>
      <c r="I313" s="2" t="n">
        <f aca="false">H313*(1-I$307)+H312*I$307</f>
        <v>0.292977364365117</v>
      </c>
      <c r="J313" s="2" t="n">
        <f aca="false">I313*(1-J$307)+I312*J$307</f>
        <v>0.302754795176526</v>
      </c>
      <c r="K313" s="2" t="n">
        <f aca="false">J313*(1-K$307)+J312*K$307</f>
        <v>0.300368393537675</v>
      </c>
      <c r="L313" s="2" t="n">
        <f aca="false">K313*(1-L$307)+K312*L$307</f>
        <v>0.251618595768914</v>
      </c>
      <c r="M313" s="2" t="n">
        <f aca="false">L313*(1-M$307)+L312*M$307</f>
        <v>0.173729249886935</v>
      </c>
      <c r="N313" s="2" t="n">
        <f aca="false">M313*(1-N$307)+M312*N$307</f>
        <v>0.114526481422309</v>
      </c>
      <c r="O313" s="2" t="n">
        <f aca="false">N313*(1-O$307)+N312*O$307</f>
        <v>0.114526481422309</v>
      </c>
    </row>
    <row r="314" customFormat="false" ht="15" hidden="false" customHeight="false" outlineLevel="0" collapsed="false">
      <c r="B314" s="2" t="n">
        <v>6</v>
      </c>
      <c r="C314" s="2" t="n">
        <f aca="false">0</f>
        <v>0</v>
      </c>
      <c r="D314" s="2" t="n">
        <f aca="false">C314*(1-D$307)+C313*D$307</f>
        <v>0</v>
      </c>
      <c r="E314" s="2" t="n">
        <f aca="false">D314*(1-E$307)+D313*E$307</f>
        <v>0</v>
      </c>
      <c r="F314" s="2" t="n">
        <f aca="false">E314*(1-F$307)+E313*F$307</f>
        <v>0</v>
      </c>
      <c r="G314" s="2" t="n">
        <f aca="false">F314*(1-G$307)+F313*G$307</f>
        <v>0</v>
      </c>
      <c r="H314" s="2" t="n">
        <f aca="false">G314*(1-H$307)+G313*H$307</f>
        <v>0.070567935307497</v>
      </c>
      <c r="I314" s="2" t="n">
        <f aca="false">H314*(1-I$307)+H313*I$307</f>
        <v>0.121981350483373</v>
      </c>
      <c r="J314" s="2" t="n">
        <f aca="false">I314*(1-J$307)+I313*J$307</f>
        <v>0.163356170517787</v>
      </c>
      <c r="K314" s="2" t="n">
        <f aca="false">J314*(1-K$307)+J313*K$307</f>
        <v>0.229235167219445</v>
      </c>
      <c r="L314" s="2" t="n">
        <f aca="false">K314*(1-L$307)+K313*L$307</f>
        <v>0.277632495008371</v>
      </c>
      <c r="M314" s="2" t="n">
        <f aca="false">L314*(1-M$307)+L313*M$307</f>
        <v>0.2597021905716</v>
      </c>
      <c r="N314" s="2" t="n">
        <f aca="false">M314*(1-N$307)+M313*N$307</f>
        <v>0.209063237582033</v>
      </c>
      <c r="O314" s="2" t="n">
        <f aca="false">N314*(1-O$307)+N313*O$307</f>
        <v>0.209063237582033</v>
      </c>
    </row>
    <row r="315" customFormat="false" ht="15" hidden="false" customHeight="false" outlineLevel="0" collapsed="false">
      <c r="B315" s="2" t="n">
        <v>7</v>
      </c>
      <c r="C315" s="2" t="n">
        <f aca="false">0</f>
        <v>0</v>
      </c>
      <c r="D315" s="2" t="n">
        <f aca="false">C315*(1-D$307)+C314*D$307</f>
        <v>0</v>
      </c>
      <c r="E315" s="2" t="n">
        <f aca="false">D315*(1-E$307)+D314*E$307</f>
        <v>0</v>
      </c>
      <c r="F315" s="2" t="n">
        <f aca="false">E315*(1-F$307)+E314*F$307</f>
        <v>0</v>
      </c>
      <c r="G315" s="2" t="n">
        <f aca="false">F315*(1-G$307)+F314*G$307</f>
        <v>0</v>
      </c>
      <c r="H315" s="2" t="n">
        <f aca="false">G315*(1-H$307)+G314*H$307</f>
        <v>0</v>
      </c>
      <c r="I315" s="2" t="n">
        <f aca="false">H315*(1-I$307)+H314*I$307</f>
        <v>0.0186255976020076</v>
      </c>
      <c r="J315" s="2" t="n">
        <f aca="false">I315*(1-J$307)+I314*J$307</f>
        <v>0.0436339330474483</v>
      </c>
      <c r="K315" s="2" t="n">
        <f aca="false">J315*(1-K$307)+J314*K$307</f>
        <v>0.10021398114141</v>
      </c>
      <c r="L315" s="2" t="n">
        <f aca="false">K315*(1-L$307)+K314*L$307</f>
        <v>0.187996877511097</v>
      </c>
      <c r="M315" s="2" t="n">
        <f aca="false">L315*(1-M$307)+L314*M$307</f>
        <v>0.249779000033751</v>
      </c>
      <c r="N315" s="2" t="n">
        <f aca="false">M315*(1-N$307)+M314*N$307</f>
        <v>0.255623862093265</v>
      </c>
      <c r="O315" s="2" t="n">
        <f aca="false">N315*(1-O$307)+N314*O$307</f>
        <v>0.255623862093265</v>
      </c>
    </row>
    <row r="316" customFormat="false" ht="15" hidden="false" customHeight="false" outlineLevel="0" collapsed="false">
      <c r="B316" s="2" t="n">
        <v>8</v>
      </c>
      <c r="C316" s="2" t="n">
        <f aca="false">0</f>
        <v>0</v>
      </c>
      <c r="D316" s="2" t="n">
        <f aca="false">C316*(1-D$307)+C315*D$307</f>
        <v>0</v>
      </c>
      <c r="E316" s="2" t="n">
        <f aca="false">D316*(1-E$307)+D315*E$307</f>
        <v>0</v>
      </c>
      <c r="F316" s="2" t="n">
        <f aca="false">E316*(1-F$307)+E315*F$307</f>
        <v>0</v>
      </c>
      <c r="G316" s="2" t="n">
        <f aca="false">F316*(1-G$307)+F315*G$307</f>
        <v>0</v>
      </c>
      <c r="H316" s="2" t="n">
        <f aca="false">G316*(1-H$307)+G315*H$307</f>
        <v>0</v>
      </c>
      <c r="I316" s="2" t="n">
        <f aca="false">H316*(1-I$307)+H315*I$307</f>
        <v>0</v>
      </c>
      <c r="J316" s="2" t="n">
        <f aca="false">I316*(1-J$307)+I315*J$307</f>
        <v>0.00450671762061907</v>
      </c>
      <c r="K316" s="2" t="n">
        <f aca="false">J316*(1-K$307)+J315*K$307</f>
        <v>0.0229980169599023</v>
      </c>
      <c r="L316" s="2" t="n">
        <f aca="false">K316*(1-L$307)+K315*L$307</f>
        <v>0.0755338925620001</v>
      </c>
      <c r="M316" s="2" t="n">
        <f aca="false">L316*(1-M$307)+L315*M$307</f>
        <v>0.153049975000991</v>
      </c>
      <c r="N316" s="2" t="n">
        <f aca="false">M316*(1-N$307)+M315*N$307</f>
        <v>0.210024373135476</v>
      </c>
      <c r="O316" s="2" t="n">
        <f aca="false">N316*(1-O$307)+N315*O$307</f>
        <v>0.210024373135476</v>
      </c>
    </row>
    <row r="317" customFormat="false" ht="15" hidden="false" customHeight="false" outlineLevel="0" collapsed="false">
      <c r="B317" s="2" t="n">
        <v>9</v>
      </c>
      <c r="C317" s="2" t="n">
        <f aca="false">0</f>
        <v>0</v>
      </c>
      <c r="D317" s="2" t="n">
        <f aca="false">C317*(1-D$307)+C316*D$307</f>
        <v>0</v>
      </c>
      <c r="E317" s="2" t="n">
        <f aca="false">D317*(1-E$307)+D316*E$307</f>
        <v>0</v>
      </c>
      <c r="F317" s="2" t="n">
        <f aca="false">E317*(1-F$307)+E316*F$307</f>
        <v>0</v>
      </c>
      <c r="G317" s="2" t="n">
        <f aca="false">F317*(1-G$307)+F316*G$307</f>
        <v>0</v>
      </c>
      <c r="H317" s="2" t="n">
        <f aca="false">G317*(1-H$307)+G316*H$307</f>
        <v>0</v>
      </c>
      <c r="I317" s="2" t="n">
        <f aca="false">H317*(1-I$307)+H316*I$307</f>
        <v>0</v>
      </c>
      <c r="J317" s="2" t="n">
        <f aca="false">I317*(1-J$307)+I316*J$307</f>
        <v>0</v>
      </c>
      <c r="K317" s="2" t="n">
        <f aca="false">J317*(1-K$307)+J316*K$307</f>
        <v>0.00212984909995275</v>
      </c>
      <c r="L317" s="2" t="n">
        <f aca="false">K317*(1-L$307)+K316*L$307</f>
        <v>0.0163280460965858</v>
      </c>
      <c r="M317" s="2" t="n">
        <f aca="false">L317*(1-M$307)+L316*M$307</f>
        <v>0.0571361864599287</v>
      </c>
      <c r="N317" s="2" t="n">
        <f aca="false">M317*(1-N$307)+M316*N$307</f>
        <v>0.113630401852614</v>
      </c>
      <c r="O317" s="2" t="n">
        <f aca="false">N317*(1-O$307)+N316*O$307</f>
        <v>0.113630401852614</v>
      </c>
    </row>
    <row r="318" customFormat="false" ht="15" hidden="false" customHeight="false" outlineLevel="0" collapsed="false">
      <c r="B318" s="2" t="n">
        <v>10</v>
      </c>
      <c r="C318" s="2" t="n">
        <f aca="false">0</f>
        <v>0</v>
      </c>
      <c r="D318" s="2" t="n">
        <f aca="false">C318*(1-D$307)+C317*D$307</f>
        <v>0</v>
      </c>
      <c r="E318" s="2" t="n">
        <f aca="false">D318*(1-E$307)+D317*E$307</f>
        <v>0</v>
      </c>
      <c r="F318" s="2" t="n">
        <f aca="false">E318*(1-F$307)+E317*F$307</f>
        <v>0</v>
      </c>
      <c r="G318" s="2" t="n">
        <f aca="false">F318*(1-G$307)+F317*G$307</f>
        <v>0</v>
      </c>
      <c r="H318" s="2" t="n">
        <f aca="false">G318*(1-H$307)+G317*H$307</f>
        <v>0</v>
      </c>
      <c r="I318" s="2" t="n">
        <f aca="false">H318*(1-I$307)+H317*I$307</f>
        <v>0</v>
      </c>
      <c r="J318" s="2" t="n">
        <f aca="false">I318*(1-J$307)+I317*J$307</f>
        <v>0</v>
      </c>
      <c r="K318" s="2" t="n">
        <f aca="false">J318*(1-K$307)+J317*K$307</f>
        <v>0</v>
      </c>
      <c r="L318" s="2" t="n">
        <f aca="false">K318*(1-L$307)+K317*L$307</f>
        <v>0.00144909784592388</v>
      </c>
      <c r="M318" s="2" t="n">
        <f aca="false">L318*(1-M$307)+L317*M$307</f>
        <v>0.0117045412678268</v>
      </c>
      <c r="N318" s="2" t="n">
        <f aca="false">M318*(1-N$307)+M317*N$307</f>
        <v>0.0384642510881501</v>
      </c>
      <c r="O318" s="2" t="n">
        <f aca="false">N318*(1-O$307)+N317*O$307</f>
        <v>0.0384642510881501</v>
      </c>
    </row>
    <row r="319" customFormat="false" ht="15" hidden="false" customHeight="false" outlineLevel="0" collapsed="false">
      <c r="B319" s="2" t="n">
        <v>11</v>
      </c>
      <c r="C319" s="2" t="n">
        <f aca="false">0</f>
        <v>0</v>
      </c>
      <c r="D319" s="2" t="n">
        <f aca="false">C319*(1-D$307)+C318*D$307</f>
        <v>0</v>
      </c>
      <c r="E319" s="2" t="n">
        <f aca="false">D319*(1-E$307)+D318*E$307</f>
        <v>0</v>
      </c>
      <c r="F319" s="2" t="n">
        <f aca="false">E319*(1-F$307)+E318*F$307</f>
        <v>0</v>
      </c>
      <c r="G319" s="2" t="n">
        <f aca="false">F319*(1-G$307)+F318*G$307</f>
        <v>0</v>
      </c>
      <c r="H319" s="2" t="n">
        <f aca="false">G319*(1-H$307)+G318*H$307</f>
        <v>0</v>
      </c>
      <c r="I319" s="2" t="n">
        <f aca="false">H319*(1-I$307)+H318*I$307</f>
        <v>0</v>
      </c>
      <c r="J319" s="2" t="n">
        <f aca="false">I319*(1-J$307)+I318*J$307</f>
        <v>0</v>
      </c>
      <c r="K319" s="2" t="n">
        <f aca="false">J319*(1-K$307)+J318*K$307</f>
        <v>0</v>
      </c>
      <c r="L319" s="2" t="n">
        <f aca="false">K319*(1-L$307)+K318*L$307</f>
        <v>0</v>
      </c>
      <c r="M319" s="2" t="n">
        <f aca="false">L319*(1-M$307)+L318*M$307</f>
        <v>0.000998803189668501</v>
      </c>
      <c r="N319" s="2" t="n">
        <f aca="false">M319*(1-N$307)+M318*N$307</f>
        <v>0.00730459385986209</v>
      </c>
      <c r="O319" s="2" t="n">
        <f aca="false">N319*(1-O$307)+N318*O$307</f>
        <v>0.00730459385986209</v>
      </c>
    </row>
    <row r="320" customFormat="false" ht="15" hidden="false" customHeight="false" outlineLevel="0" collapsed="false">
      <c r="B320" s="2" t="n">
        <v>12</v>
      </c>
      <c r="C320" s="2" t="n">
        <f aca="false">0</f>
        <v>0</v>
      </c>
      <c r="D320" s="2" t="n">
        <f aca="false">C320*(1-D$307)+C319*D$307</f>
        <v>0</v>
      </c>
      <c r="E320" s="2" t="n">
        <f aca="false">D320*(1-E$307)+D319*E$307</f>
        <v>0</v>
      </c>
      <c r="F320" s="2" t="n">
        <f aca="false">E320*(1-F$307)+E319*F$307</f>
        <v>0</v>
      </c>
      <c r="G320" s="2" t="n">
        <f aca="false">F320*(1-G$307)+F319*G$307</f>
        <v>0</v>
      </c>
      <c r="H320" s="2" t="n">
        <f aca="false">G320*(1-H$307)+G319*H$307</f>
        <v>0</v>
      </c>
      <c r="I320" s="2" t="n">
        <f aca="false">H320*(1-I$307)+H319*I$307</f>
        <v>0</v>
      </c>
      <c r="J320" s="2" t="n">
        <f aca="false">I320*(1-J$307)+I319*J$307</f>
        <v>0</v>
      </c>
      <c r="K320" s="2" t="n">
        <f aca="false">J320*(1-K$307)+J319*K$307</f>
        <v>0</v>
      </c>
      <c r="L320" s="2" t="n">
        <f aca="false">K320*(1-L$307)+K319*L$307</f>
        <v>0</v>
      </c>
      <c r="M320" s="2" t="n">
        <f aca="false">L320*(1-M$307)+L319*M$307</f>
        <v>0</v>
      </c>
      <c r="N320" s="2" t="n">
        <f aca="false">M320*(1-N$307)+M319*N$307</f>
        <v>0.000588305429181088</v>
      </c>
      <c r="O320" s="2" t="n">
        <f aca="false">N320*(1-O$307)+N319*O$307</f>
        <v>0.000588305429181088</v>
      </c>
    </row>
    <row r="321" customFormat="false" ht="15" hidden="false" customHeight="false" outlineLevel="0" collapsed="false">
      <c r="B321" s="2" t="n">
        <v>13</v>
      </c>
      <c r="C321" s="2" t="n">
        <f aca="false">0</f>
        <v>0</v>
      </c>
      <c r="D321" s="2" t="n">
        <f aca="false">C321*(1-D$307)+C320*D$307</f>
        <v>0</v>
      </c>
      <c r="E321" s="2" t="n">
        <f aca="false">D321*(1-E$307)+D320*E$307</f>
        <v>0</v>
      </c>
      <c r="F321" s="2" t="n">
        <f aca="false">E321*(1-F$307)+E320*F$307</f>
        <v>0</v>
      </c>
      <c r="G321" s="2" t="n">
        <f aca="false">F321*(1-G$307)+F320*G$307</f>
        <v>0</v>
      </c>
      <c r="H321" s="2" t="n">
        <f aca="false">G321*(1-H$307)+G320*H$307</f>
        <v>0</v>
      </c>
      <c r="I321" s="2" t="n">
        <f aca="false">H321*(1-I$307)+H320*I$307</f>
        <v>0</v>
      </c>
      <c r="J321" s="2" t="n">
        <f aca="false">I321*(1-J$307)+I320*J$307</f>
        <v>0</v>
      </c>
      <c r="K321" s="2" t="n">
        <f aca="false">J321*(1-K$307)+J320*K$307</f>
        <v>0</v>
      </c>
      <c r="L321" s="2" t="n">
        <f aca="false">K321*(1-L$307)+K320*L$307</f>
        <v>0</v>
      </c>
      <c r="M321" s="2" t="n">
        <f aca="false">L321*(1-M$307)+L320*M$307</f>
        <v>0</v>
      </c>
      <c r="N321" s="2" t="n">
        <f aca="false">M321*(1-N$307)+M320*N$307</f>
        <v>0</v>
      </c>
      <c r="O321" s="2" t="n">
        <f aca="false">N321*(1-O$307)+N320*O$307</f>
        <v>0</v>
      </c>
    </row>
    <row r="323" customFormat="false" ht="15" hidden="false" customHeight="false" outlineLevel="0" collapsed="false">
      <c r="A323" s="1" t="s">
        <v>78</v>
      </c>
      <c r="C323" s="2" t="n">
        <f aca="false">Schedule!G22</f>
        <v>0.999183647687171</v>
      </c>
      <c r="D323" s="2" t="n">
        <f aca="false">Schedule!L22</f>
        <v>0.689258625618694</v>
      </c>
      <c r="E323" s="2" t="n">
        <f aca="false">Schedule!Q22</f>
        <v>0.933192798731142</v>
      </c>
      <c r="F323" s="2" t="n">
        <f aca="false">Schedule!V22</f>
        <v>0.574365688155897</v>
      </c>
      <c r="G323" s="2" t="n">
        <f aca="false">Schedule!AA22</f>
        <v>0.867038384922096</v>
      </c>
      <c r="H323" s="2" t="n">
        <f aca="false">Schedule!AF22</f>
        <v>0.284762905379547</v>
      </c>
      <c r="I323" s="2" t="n">
        <f aca="false">Schedule!AK22</f>
        <v>0.74817251669986</v>
      </c>
      <c r="J323" s="2" t="n">
        <f aca="false">Schedule!AP22</f>
        <v>0.782672264321914</v>
      </c>
      <c r="K323" s="2" t="n">
        <f aca="false">Schedule!AU22</f>
        <v>0.564543935862038</v>
      </c>
      <c r="L323" s="2" t="n">
        <f aca="false">Schedule!AZ22</f>
        <v>0.802337456877308</v>
      </c>
      <c r="M323" s="2" t="n">
        <f aca="false">Schedule!BE22</f>
        <v>0.715237094620453</v>
      </c>
      <c r="N323" s="2" t="n">
        <f aca="false">Schedule!BJ22</f>
        <v>0.815939874653241</v>
      </c>
      <c r="O323" s="2" t="n">
        <f aca="false">Schedule!BO22</f>
        <v>0</v>
      </c>
    </row>
    <row r="324" customFormat="false" ht="15" hidden="false" customHeight="false" outlineLevel="0" collapsed="false">
      <c r="B324" s="2" t="n">
        <v>0</v>
      </c>
      <c r="C324" s="2" t="n">
        <f aca="false">1-C$323</f>
        <v>0.000816352312828617</v>
      </c>
      <c r="D324" s="2" t="n">
        <f aca="false">C324*(1-D$323)</f>
        <v>0.000253674439667722</v>
      </c>
      <c r="E324" s="2" t="n">
        <f aca="false">D324*(1-E$323)</f>
        <v>1.69472793476463E-005</v>
      </c>
      <c r="F324" s="2" t="n">
        <f aca="false">E324*(1-F$323)</f>
        <v>7.21334358276521E-006</v>
      </c>
      <c r="G324" s="2" t="n">
        <f aca="false">F324*(1-G$323)</f>
        <v>9.59097812876295E-007</v>
      </c>
      <c r="H324" s="2" t="n">
        <f aca="false">G324*(1-H$323)</f>
        <v>6.85982333138472E-007</v>
      </c>
      <c r="I324" s="2" t="n">
        <f aca="false">H324*(1-I$323)</f>
        <v>1.7274920454262E-007</v>
      </c>
      <c r="J324" s="2" t="n">
        <f aca="false">I324*(1-J$323)</f>
        <v>3.7543193463438E-008</v>
      </c>
      <c r="K324" s="2" t="n">
        <f aca="false">J324*(1-K$323)</f>
        <v>1.63484112607588E-008</v>
      </c>
      <c r="L324" s="2" t="n">
        <f aca="false">K324*(1-L$323)</f>
        <v>3.23146854581724E-009</v>
      </c>
      <c r="M324" s="2" t="n">
        <f aca="false">L324*(1-M$323)</f>
        <v>9.20202371749537E-010</v>
      </c>
      <c r="N324" s="2" t="n">
        <f aca="false">M324*(1-N$323)</f>
        <v>1.69372563888605E-010</v>
      </c>
      <c r="O324" s="2" t="n">
        <f aca="false">N324*(1-O$323)</f>
        <v>1.69372563888605E-010</v>
      </c>
    </row>
    <row r="325" customFormat="false" ht="15" hidden="false" customHeight="false" outlineLevel="0" collapsed="false">
      <c r="B325" s="2" t="n">
        <v>1</v>
      </c>
      <c r="C325" s="2" t="n">
        <f aca="false">C$323</f>
        <v>0.999183647687171</v>
      </c>
      <c r="D325" s="2" t="n">
        <f aca="false">C325*(1-D$323)+C324*D$323</f>
        <v>0.311050377814799</v>
      </c>
      <c r="E325" s="2" t="n">
        <f aca="false">D325*(1-E$323)+D324*E$323</f>
        <v>0.0210171323557477</v>
      </c>
      <c r="F325" s="2" t="n">
        <f aca="false">E325*(1-F$323)+E324*F$323</f>
        <v>0.00895534660293998</v>
      </c>
      <c r="G325" s="2" t="n">
        <f aca="false">F325*(1-G$323)+F324*G$323</f>
        <v>0.00119697159367921</v>
      </c>
      <c r="H325" s="2" t="n">
        <f aca="false">G325*(1-H$323)+G324*H$323</f>
        <v>0.000856391600486068</v>
      </c>
      <c r="I325" s="2" t="n">
        <f aca="false">H325*(1-I$323)+H324*I$323</f>
        <v>0.000216176174598381</v>
      </c>
      <c r="J325" s="2" t="n">
        <f aca="false">I325*(1-J$323)+I324*J$323</f>
        <v>4.71162845440959E-005</v>
      </c>
      <c r="K325" s="2" t="n">
        <f aca="false">J325*(1-K$323)+J324*K$323</f>
        <v>2.0538266606579E-005</v>
      </c>
      <c r="L325" s="2" t="n">
        <f aca="false">K325*(1-L$323)+K324*L$323</f>
        <v>4.07276295150321E-006</v>
      </c>
      <c r="M325" s="2" t="n">
        <f aca="false">L325*(1-M$323)+L324*M$323</f>
        <v>1.1620830771663E-006</v>
      </c>
      <c r="N325" s="2" t="n">
        <f aca="false">M325*(1-N$323)+M324*N$323</f>
        <v>2.14643986654438E-007</v>
      </c>
      <c r="O325" s="2" t="n">
        <f aca="false">N325*(1-O$323)+N324*O$323</f>
        <v>2.14643986654438E-007</v>
      </c>
    </row>
    <row r="326" customFormat="false" ht="15" hidden="false" customHeight="false" outlineLevel="0" collapsed="false">
      <c r="B326" s="2" t="n">
        <v>2</v>
      </c>
      <c r="C326" s="2" t="n">
        <f aca="false">0</f>
        <v>0</v>
      </c>
      <c r="D326" s="2" t="n">
        <f aca="false">C326*(1-D$323)+C325*D$323</f>
        <v>0.688695947745533</v>
      </c>
      <c r="E326" s="2" t="n">
        <f aca="false">D326*(1-E$323)+D325*E$323</f>
        <v>0.336279821413454</v>
      </c>
      <c r="F326" s="2" t="n">
        <f aca="false">E326*(1-F$323)+E325*F$323</f>
        <v>0.155203750062946</v>
      </c>
      <c r="G326" s="2" t="n">
        <f aca="false">F326*(1-G$323)+F325*G$323</f>
        <v>0.0284007705295473</v>
      </c>
      <c r="H326" s="2" t="n">
        <f aca="false">G326*(1-H$323)+G325*H$323</f>
        <v>0.0206541377072085</v>
      </c>
      <c r="I326" s="2" t="n">
        <f aca="false">H326*(1-I$323)+H325*I$323</f>
        <v>0.00584200817755711</v>
      </c>
      <c r="J326" s="2" t="n">
        <f aca="false">I326*(1-J$323)+I325*J$323</f>
        <v>0.00143882550510671</v>
      </c>
      <c r="K326" s="2" t="n">
        <f aca="false">J326*(1-K$323)+J325*K$323</f>
        <v>0.000653144504154803</v>
      </c>
      <c r="L326" s="2" t="n">
        <f aca="false">K326*(1-L$323)+K325*L$323</f>
        <v>0.000145580824315639</v>
      </c>
      <c r="M326" s="2" t="n">
        <f aca="false">L326*(1-M$323)+L325*M$323</f>
        <v>4.43690096401817E-005</v>
      </c>
      <c r="N326" s="2" t="n">
        <f aca="false">M326*(1-N$323)+M325*N$323</f>
        <v>9.11475539620315E-006</v>
      </c>
      <c r="O326" s="2" t="n">
        <f aca="false">N326*(1-O$323)+N325*O$323</f>
        <v>9.11475539620315E-006</v>
      </c>
    </row>
    <row r="327" customFormat="false" ht="15" hidden="false" customHeight="false" outlineLevel="0" collapsed="false">
      <c r="B327" s="2" t="n">
        <v>3</v>
      </c>
      <c r="C327" s="2" t="n">
        <f aca="false">0</f>
        <v>0</v>
      </c>
      <c r="D327" s="2" t="n">
        <f aca="false">C327*(1-D$323)+C326*D$323</f>
        <v>0</v>
      </c>
      <c r="E327" s="2" t="n">
        <f aca="false">D327*(1-E$323)+D326*E$323</f>
        <v>0.642686098951451</v>
      </c>
      <c r="F327" s="2" t="n">
        <f aca="false">E327*(1-F$323)+E326*F$323</f>
        <v>0.466696846498052</v>
      </c>
      <c r="G327" s="2" t="n">
        <f aca="false">F327*(1-G$323)+F326*G$323</f>
        <v>0.196620375250575</v>
      </c>
      <c r="H327" s="2" t="n">
        <f aca="false">G327*(1-H$323)+G326*H$323</f>
        <v>0.148717671868416</v>
      </c>
      <c r="I327" s="2" t="n">
        <f aca="false">H327*(1-I$323)+H326*I$323</f>
        <v>0.0529040552175469</v>
      </c>
      <c r="J327" s="2" t="n">
        <f aca="false">I327*(1-J$323)+I326*J$323</f>
        <v>0.0160698962971336</v>
      </c>
      <c r="K327" s="2" t="n">
        <f aca="false">J327*(1-K$323)+J326*K$323</f>
        <v>0.00781001400632665</v>
      </c>
      <c r="L327" s="2" t="n">
        <f aca="false">K327*(1-L$323)+K326*L$323</f>
        <v>0.00206778953075133</v>
      </c>
      <c r="M327" s="2" t="n">
        <f aca="false">L327*(1-M$323)+L326*M$323</f>
        <v>0.000692954560306126</v>
      </c>
      <c r="N327" s="2" t="n">
        <f aca="false">M327*(1-N$323)+M326*N$323</f>
        <v>0.000163747747393852</v>
      </c>
      <c r="O327" s="2" t="n">
        <f aca="false">N327*(1-O$323)+N326*O$323</f>
        <v>0.000163747747393852</v>
      </c>
    </row>
    <row r="328" customFormat="false" ht="15" hidden="false" customHeight="false" outlineLevel="0" collapsed="false">
      <c r="B328" s="2" t="n">
        <v>4</v>
      </c>
      <c r="C328" s="2" t="n">
        <f aca="false">0</f>
        <v>0</v>
      </c>
      <c r="D328" s="2" t="n">
        <f aca="false">C328*(1-D$323)+C327*D$323</f>
        <v>0</v>
      </c>
      <c r="E328" s="2" t="n">
        <f aca="false">D328*(1-E$323)+D327*E$323</f>
        <v>0</v>
      </c>
      <c r="F328" s="2" t="n">
        <f aca="false">E328*(1-F$323)+E327*F$323</f>
        <v>0.369136843492479</v>
      </c>
      <c r="G328" s="2" t="n">
        <f aca="false">F328*(1-G$323)+F327*G$323</f>
        <v>0.453725110931426</v>
      </c>
      <c r="H328" s="2" t="n">
        <f aca="false">G328*(1-H$323)+G327*H$323</f>
        <v>0.380511219412107</v>
      </c>
      <c r="I328" s="2" t="n">
        <f aca="false">H328*(1-I$323)+H327*I$323</f>
        <v>0.207089657591555</v>
      </c>
      <c r="J328" s="2" t="n">
        <f aca="false">I328*(1-J$323)+I327*J$323</f>
        <v>0.0864128630556518</v>
      </c>
      <c r="K328" s="2" t="n">
        <f aca="false">J328*(1-K$323)+J327*K$323</f>
        <v>0.0467011677415854</v>
      </c>
      <c r="L328" s="2" t="n">
        <f aca="false">K328*(1-L$323)+K327*L$323</f>
        <v>0.0154973383586135</v>
      </c>
      <c r="M328" s="2" t="n">
        <f aca="false">L328*(1-M$323)+L327*M$323</f>
        <v>0.00589202687290985</v>
      </c>
      <c r="N328" s="2" t="n">
        <f aca="false">M328*(1-N$323)+M327*N$323</f>
        <v>0.00164989646185083</v>
      </c>
      <c r="O328" s="2" t="n">
        <f aca="false">N328*(1-O$323)+N327*O$323</f>
        <v>0.00164989646185083</v>
      </c>
    </row>
    <row r="329" customFormat="false" ht="15" hidden="false" customHeight="false" outlineLevel="0" collapsed="false">
      <c r="B329" s="2" t="n">
        <v>5</v>
      </c>
      <c r="C329" s="2" t="n">
        <f aca="false">0</f>
        <v>0</v>
      </c>
      <c r="D329" s="2" t="n">
        <f aca="false">C329*(1-D$323)+C328*D$323</f>
        <v>0</v>
      </c>
      <c r="E329" s="2" t="n">
        <f aca="false">D329*(1-E$323)+D328*E$323</f>
        <v>0</v>
      </c>
      <c r="F329" s="2" t="n">
        <f aca="false">E329*(1-F$323)+E328*F$323</f>
        <v>0</v>
      </c>
      <c r="G329" s="2" t="n">
        <f aca="false">F329*(1-G$323)+F328*G$323</f>
        <v>0.32005581259696</v>
      </c>
      <c r="H329" s="2" t="n">
        <f aca="false">G329*(1-H$323)+G328*H$323</f>
        <v>0.358119870350728</v>
      </c>
      <c r="I329" s="2" t="n">
        <f aca="false">H329*(1-I$323)+H328*I$323</f>
        <v>0.374872462330285</v>
      </c>
      <c r="J329" s="2" t="n">
        <f aca="false">I329*(1-J$323)+I328*J$323</f>
        <v>0.243553514631142</v>
      </c>
      <c r="K329" s="2" t="n">
        <f aca="false">J329*(1-K$323)+J328*K$323</f>
        <v>0.154840712706789</v>
      </c>
      <c r="L329" s="2" t="n">
        <f aca="false">K329*(1-L$323)+K328*L$323</f>
        <v>0.0680763052115384</v>
      </c>
      <c r="M329" s="2" t="n">
        <f aca="false">L329*(1-M$323)+L328*M$323</f>
        <v>0.0304698777215073</v>
      </c>
      <c r="N329" s="2" t="n">
        <f aca="false">M329*(1-N$323)+M328*N$323</f>
        <v>0.0104158291808566</v>
      </c>
      <c r="O329" s="2" t="n">
        <f aca="false">N329*(1-O$323)+N328*O$323</f>
        <v>0.0104158291808566</v>
      </c>
    </row>
    <row r="330" customFormat="false" ht="15" hidden="false" customHeight="false" outlineLevel="0" collapsed="false">
      <c r="B330" s="2" t="n">
        <v>6</v>
      </c>
      <c r="C330" s="2" t="n">
        <f aca="false">0</f>
        <v>0</v>
      </c>
      <c r="D330" s="2" t="n">
        <f aca="false">C330*(1-D$323)+C329*D$323</f>
        <v>0</v>
      </c>
      <c r="E330" s="2" t="n">
        <f aca="false">D330*(1-E$323)+D329*E$323</f>
        <v>0</v>
      </c>
      <c r="F330" s="2" t="n">
        <f aca="false">E330*(1-F$323)+E329*F$323</f>
        <v>0</v>
      </c>
      <c r="G330" s="2" t="n">
        <f aca="false">F330*(1-G$323)+F329*G$323</f>
        <v>0</v>
      </c>
      <c r="H330" s="2" t="n">
        <f aca="false">G330*(1-H$323)+G329*H$323</f>
        <v>0.091140023078722</v>
      </c>
      <c r="I330" s="2" t="n">
        <f aca="false">H330*(1-I$323)+H329*I$323</f>
        <v>0.290887007320363</v>
      </c>
      <c r="J330" s="2" t="n">
        <f aca="false">I330*(1-J$323)+I329*J$323</f>
        <v>0.356620093563085</v>
      </c>
      <c r="K330" s="2" t="n">
        <f aca="false">J330*(1-K$323)+J329*K$323</f>
        <v>0.29278904207839</v>
      </c>
      <c r="L330" s="2" t="n">
        <f aca="false">K330*(1-L$323)+K329*L$323</f>
        <v>0.182107930309907</v>
      </c>
      <c r="M330" s="2" t="n">
        <f aca="false">L330*(1-M$323)+L329*M$323</f>
        <v>0.100548282079701</v>
      </c>
      <c r="N330" s="2" t="n">
        <f aca="false">M330*(1-N$323)+M329*N$323</f>
        <v>0.0433685176117773</v>
      </c>
      <c r="O330" s="2" t="n">
        <f aca="false">N330*(1-O$323)+N329*O$323</f>
        <v>0.0433685176117773</v>
      </c>
    </row>
    <row r="331" customFormat="false" ht="15" hidden="false" customHeight="false" outlineLevel="0" collapsed="false">
      <c r="B331" s="2" t="n">
        <v>7</v>
      </c>
      <c r="C331" s="2" t="n">
        <f aca="false">0</f>
        <v>0</v>
      </c>
      <c r="D331" s="2" t="n">
        <f aca="false">C331*(1-D$323)+C330*D$323</f>
        <v>0</v>
      </c>
      <c r="E331" s="2" t="n">
        <f aca="false">D331*(1-E$323)+D330*E$323</f>
        <v>0</v>
      </c>
      <c r="F331" s="2" t="n">
        <f aca="false">E331*(1-F$323)+E330*F$323</f>
        <v>0</v>
      </c>
      <c r="G331" s="2" t="n">
        <f aca="false">F331*(1-G$323)+F330*G$323</f>
        <v>0</v>
      </c>
      <c r="H331" s="2" t="n">
        <f aca="false">G331*(1-H$323)+G330*H$323</f>
        <v>0</v>
      </c>
      <c r="I331" s="2" t="n">
        <f aca="false">H331*(1-I$323)+H330*I$323</f>
        <v>0.0681884604388907</v>
      </c>
      <c r="J331" s="2" t="n">
        <f aca="false">I331*(1-J$323)+I330*J$323</f>
        <v>0.242488436387812</v>
      </c>
      <c r="K331" s="2" t="n">
        <f aca="false">J331*(1-K$323)+J330*K$323</f>
        <v>0.306920771335997</v>
      </c>
      <c r="L331" s="2" t="n">
        <f aca="false">K331*(1-L$323)+K330*L$323</f>
        <v>0.29558235562217</v>
      </c>
      <c r="M331" s="2" t="n">
        <f aca="false">L331*(1-M$323)+L330*M$323</f>
        <v>0.214421237348101</v>
      </c>
      <c r="N331" s="2" t="n">
        <f aca="false">M331*(1-N$323)+M330*N$323</f>
        <v>0.121507752500009</v>
      </c>
      <c r="O331" s="2" t="n">
        <f aca="false">N331*(1-O$323)+N330*O$323</f>
        <v>0.121507752500009</v>
      </c>
    </row>
    <row r="332" customFormat="false" ht="15" hidden="false" customHeight="false" outlineLevel="0" collapsed="false">
      <c r="B332" s="2" t="n">
        <v>8</v>
      </c>
      <c r="C332" s="2" t="n">
        <f aca="false">0</f>
        <v>0</v>
      </c>
      <c r="D332" s="2" t="n">
        <f aca="false">C332*(1-D$323)+C331*D$323</f>
        <v>0</v>
      </c>
      <c r="E332" s="2" t="n">
        <f aca="false">D332*(1-E$323)+D331*E$323</f>
        <v>0</v>
      </c>
      <c r="F332" s="2" t="n">
        <f aca="false">E332*(1-F$323)+E331*F$323</f>
        <v>0</v>
      </c>
      <c r="G332" s="2" t="n">
        <f aca="false">F332*(1-G$323)+F331*G$323</f>
        <v>0</v>
      </c>
      <c r="H332" s="2" t="n">
        <f aca="false">G332*(1-H$323)+G331*H$323</f>
        <v>0</v>
      </c>
      <c r="I332" s="2" t="n">
        <f aca="false">H332*(1-I$323)+H331*I$323</f>
        <v>0</v>
      </c>
      <c r="J332" s="2" t="n">
        <f aca="false">I332*(1-J$323)+I331*J$323</f>
        <v>0.0533692167323319</v>
      </c>
      <c r="K332" s="2" t="n">
        <f aca="false">J332*(1-K$323)+J331*K$323</f>
        <v>0.160135325343794</v>
      </c>
      <c r="L332" s="2" t="n">
        <f aca="false">K332*(1-L$323)+K331*L$323</f>
        <v>0.27790678678778</v>
      </c>
      <c r="M332" s="2" t="n">
        <f aca="false">L332*(1-M$323)+L331*M$323</f>
        <v>0.290549009286653</v>
      </c>
      <c r="N332" s="2" t="n">
        <f aca="false">M332*(1-N$323)+M331*N$323</f>
        <v>0.22843332459348</v>
      </c>
      <c r="O332" s="2" t="n">
        <f aca="false">N332*(1-O$323)+N331*O$323</f>
        <v>0.22843332459348</v>
      </c>
    </row>
    <row r="333" customFormat="false" ht="15" hidden="false" customHeight="false" outlineLevel="0" collapsed="false">
      <c r="B333" s="2" t="n">
        <v>9</v>
      </c>
      <c r="C333" s="2" t="n">
        <f aca="false">0</f>
        <v>0</v>
      </c>
      <c r="D333" s="2" t="n">
        <f aca="false">C333*(1-D$323)+C332*D$323</f>
        <v>0</v>
      </c>
      <c r="E333" s="2" t="n">
        <f aca="false">D333*(1-E$323)+D332*E$323</f>
        <v>0</v>
      </c>
      <c r="F333" s="2" t="n">
        <f aca="false">E333*(1-F$323)+E332*F$323</f>
        <v>0</v>
      </c>
      <c r="G333" s="2" t="n">
        <f aca="false">F333*(1-G$323)+F332*G$323</f>
        <v>0</v>
      </c>
      <c r="H333" s="2" t="n">
        <f aca="false">G333*(1-H$323)+G332*H$323</f>
        <v>0</v>
      </c>
      <c r="I333" s="2" t="n">
        <f aca="false">H333*(1-I$323)+H332*I$323</f>
        <v>0</v>
      </c>
      <c r="J333" s="2" t="n">
        <f aca="false">I333*(1-J$323)+I332*J$323</f>
        <v>0</v>
      </c>
      <c r="K333" s="2" t="n">
        <f aca="false">J333*(1-K$323)+J332*K$323</f>
        <v>0.0301292676679448</v>
      </c>
      <c r="L333" s="2" t="n">
        <f aca="false">K333*(1-L$323)+K332*L$323</f>
        <v>0.13443799736223</v>
      </c>
      <c r="M333" s="2" t="n">
        <f aca="false">L333*(1-M$323)+L332*M$323</f>
        <v>0.237052197479674</v>
      </c>
      <c r="N333" s="2" t="n">
        <f aca="false">M333*(1-N$323)+M332*N$323</f>
        <v>0.280702379399808</v>
      </c>
      <c r="O333" s="2" t="n">
        <f aca="false">N333*(1-O$323)+N332*O$323</f>
        <v>0.280702379399808</v>
      </c>
    </row>
    <row r="334" customFormat="false" ht="15" hidden="false" customHeight="false" outlineLevel="0" collapsed="false">
      <c r="B334" s="2" t="n">
        <v>10</v>
      </c>
      <c r="C334" s="2" t="n">
        <f aca="false">0</f>
        <v>0</v>
      </c>
      <c r="D334" s="2" t="n">
        <f aca="false">C334*(1-D$323)+C333*D$323</f>
        <v>0</v>
      </c>
      <c r="E334" s="2" t="n">
        <f aca="false">D334*(1-E$323)+D333*E$323</f>
        <v>0</v>
      </c>
      <c r="F334" s="2" t="n">
        <f aca="false">E334*(1-F$323)+E333*F$323</f>
        <v>0</v>
      </c>
      <c r="G334" s="2" t="n">
        <f aca="false">F334*(1-G$323)+F333*G$323</f>
        <v>0</v>
      </c>
      <c r="H334" s="2" t="n">
        <f aca="false">G334*(1-H$323)+G333*H$323</f>
        <v>0</v>
      </c>
      <c r="I334" s="2" t="n">
        <f aca="false">H334*(1-I$323)+H333*I$323</f>
        <v>0</v>
      </c>
      <c r="J334" s="2" t="n">
        <f aca="false">I334*(1-J$323)+I333*J$323</f>
        <v>0</v>
      </c>
      <c r="K334" s="2" t="n">
        <f aca="false">J334*(1-K$323)+J333*K$323</f>
        <v>0</v>
      </c>
      <c r="L334" s="2" t="n">
        <f aca="false">K334*(1-L$323)+K333*L$323</f>
        <v>0.0241738399982745</v>
      </c>
      <c r="M334" s="2" t="n">
        <f aca="false">L334*(1-M$323)+L333*M$323</f>
        <v>0.103038855552043</v>
      </c>
      <c r="N334" s="2" t="n">
        <f aca="false">M334*(1-N$323)+M333*N$323</f>
        <v>0.212385684966336</v>
      </c>
      <c r="O334" s="2" t="n">
        <f aca="false">N334*(1-O$323)+N333*O$323</f>
        <v>0.212385684966336</v>
      </c>
    </row>
    <row r="335" customFormat="false" ht="15" hidden="false" customHeight="false" outlineLevel="0" collapsed="false">
      <c r="B335" s="2" t="n">
        <v>11</v>
      </c>
      <c r="C335" s="2" t="n">
        <f aca="false">0</f>
        <v>0</v>
      </c>
      <c r="D335" s="2" t="n">
        <f aca="false">C335*(1-D$323)+C334*D$323</f>
        <v>0</v>
      </c>
      <c r="E335" s="2" t="n">
        <f aca="false">D335*(1-E$323)+D334*E$323</f>
        <v>0</v>
      </c>
      <c r="F335" s="2" t="n">
        <f aca="false">E335*(1-F$323)+E334*F$323</f>
        <v>0</v>
      </c>
      <c r="G335" s="2" t="n">
        <f aca="false">F335*(1-G$323)+F334*G$323</f>
        <v>0</v>
      </c>
      <c r="H335" s="2" t="n">
        <f aca="false">G335*(1-H$323)+G334*H$323</f>
        <v>0</v>
      </c>
      <c r="I335" s="2" t="n">
        <f aca="false">H335*(1-I$323)+H334*I$323</f>
        <v>0</v>
      </c>
      <c r="J335" s="2" t="n">
        <f aca="false">I335*(1-J$323)+I334*J$323</f>
        <v>0</v>
      </c>
      <c r="K335" s="2" t="n">
        <f aca="false">J335*(1-K$323)+J334*K$323</f>
        <v>0</v>
      </c>
      <c r="L335" s="2" t="n">
        <f aca="false">K335*(1-L$323)+K334*L$323</f>
        <v>0</v>
      </c>
      <c r="M335" s="2" t="n">
        <f aca="false">L335*(1-M$323)+L334*M$323</f>
        <v>0.0172900270861856</v>
      </c>
      <c r="N335" s="2" t="n">
        <f aca="false">M335*(1-N$323)+M334*N$323</f>
        <v>0.0872559154362793</v>
      </c>
      <c r="O335" s="2" t="n">
        <f aca="false">N335*(1-O$323)+N334*O$323</f>
        <v>0.0872559154362793</v>
      </c>
    </row>
    <row r="336" customFormat="false" ht="15" hidden="false" customHeight="false" outlineLevel="0" collapsed="false">
      <c r="B336" s="2" t="n">
        <v>12</v>
      </c>
      <c r="C336" s="2" t="n">
        <f aca="false">0</f>
        <v>0</v>
      </c>
      <c r="D336" s="2" t="n">
        <f aca="false">C336*(1-D$323)+C335*D$323</f>
        <v>0</v>
      </c>
      <c r="E336" s="2" t="n">
        <f aca="false">D336*(1-E$323)+D335*E$323</f>
        <v>0</v>
      </c>
      <c r="F336" s="2" t="n">
        <f aca="false">E336*(1-F$323)+E335*F$323</f>
        <v>0</v>
      </c>
      <c r="G336" s="2" t="n">
        <f aca="false">F336*(1-G$323)+F335*G$323</f>
        <v>0</v>
      </c>
      <c r="H336" s="2" t="n">
        <f aca="false">G336*(1-H$323)+G335*H$323</f>
        <v>0</v>
      </c>
      <c r="I336" s="2" t="n">
        <f aca="false">H336*(1-I$323)+H335*I$323</f>
        <v>0</v>
      </c>
      <c r="J336" s="2" t="n">
        <f aca="false">I336*(1-J$323)+I335*J$323</f>
        <v>0</v>
      </c>
      <c r="K336" s="2" t="n">
        <f aca="false">J336*(1-K$323)+J335*K$323</f>
        <v>0</v>
      </c>
      <c r="L336" s="2" t="n">
        <f aca="false">K336*(1-L$323)+K335*L$323</f>
        <v>0</v>
      </c>
      <c r="M336" s="2" t="n">
        <f aca="false">L336*(1-M$323)+L335*M$323</f>
        <v>0</v>
      </c>
      <c r="N336" s="2" t="n">
        <f aca="false">M336*(1-N$323)+M335*N$323</f>
        <v>0.0141076225334534</v>
      </c>
      <c r="O336" s="2" t="n">
        <f aca="false">N336*(1-O$323)+N335*O$323</f>
        <v>0.0141076225334534</v>
      </c>
    </row>
    <row r="337" customFormat="false" ht="15" hidden="false" customHeight="false" outlineLevel="0" collapsed="false">
      <c r="B337" s="2" t="n">
        <v>13</v>
      </c>
      <c r="C337" s="2" t="n">
        <f aca="false">0</f>
        <v>0</v>
      </c>
      <c r="D337" s="2" t="n">
        <f aca="false">C337*(1-D$323)+C336*D$323</f>
        <v>0</v>
      </c>
      <c r="E337" s="2" t="n">
        <f aca="false">D337*(1-E$323)+D336*E$323</f>
        <v>0</v>
      </c>
      <c r="F337" s="2" t="n">
        <f aca="false">E337*(1-F$323)+E336*F$323</f>
        <v>0</v>
      </c>
      <c r="G337" s="2" t="n">
        <f aca="false">F337*(1-G$323)+F336*G$323</f>
        <v>0</v>
      </c>
      <c r="H337" s="2" t="n">
        <f aca="false">G337*(1-H$323)+G336*H$323</f>
        <v>0</v>
      </c>
      <c r="I337" s="2" t="n">
        <f aca="false">H337*(1-I$323)+H336*I$323</f>
        <v>0</v>
      </c>
      <c r="J337" s="2" t="n">
        <f aca="false">I337*(1-J$323)+I336*J$323</f>
        <v>0</v>
      </c>
      <c r="K337" s="2" t="n">
        <f aca="false">J337*(1-K$323)+J336*K$323</f>
        <v>0</v>
      </c>
      <c r="L337" s="2" t="n">
        <f aca="false">K337*(1-L$323)+K336*L$323</f>
        <v>0</v>
      </c>
      <c r="M337" s="2" t="n">
        <f aca="false">L337*(1-M$323)+L336*M$323</f>
        <v>0</v>
      </c>
      <c r="N337" s="2" t="n">
        <f aca="false">M337*(1-N$323)+M336*N$323</f>
        <v>0</v>
      </c>
      <c r="O337" s="2" t="n">
        <f aca="false">N337*(1-O$323)+N336*O$323</f>
        <v>0</v>
      </c>
    </row>
    <row r="339" customFormat="false" ht="15" hidden="false" customHeight="false" outlineLevel="0" collapsed="false">
      <c r="A339" s="1" t="s">
        <v>79</v>
      </c>
      <c r="C339" s="2" t="n">
        <f aca="false">Schedule!G23</f>
        <v>0.983973538217781</v>
      </c>
      <c r="D339" s="2" t="n">
        <f aca="false">Schedule!L23</f>
        <v>0.862967680695088</v>
      </c>
      <c r="E339" s="2" t="n">
        <f aca="false">Schedule!Q23</f>
        <v>0.977585209154206</v>
      </c>
      <c r="F339" s="2" t="n">
        <f aca="false">Schedule!V23</f>
        <v>0.379707152759433</v>
      </c>
      <c r="G339" s="2" t="n">
        <f aca="false">Schedule!AA23</f>
        <v>0.16478012998031</v>
      </c>
      <c r="H339" s="2" t="n">
        <f aca="false">Schedule!AF23</f>
        <v>0.408560294059836</v>
      </c>
      <c r="I339" s="2" t="n">
        <f aca="false">Schedule!AK23</f>
        <v>0.643842961816324</v>
      </c>
      <c r="J339" s="2" t="n">
        <f aca="false">Schedule!AP23</f>
        <v>0.797083792936223</v>
      </c>
      <c r="K339" s="2" t="n">
        <f aca="false">Schedule!AU23</f>
        <v>0.669125611959121</v>
      </c>
      <c r="L339" s="2" t="n">
        <f aca="false">Schedule!AZ23</f>
        <v>0.886139444885968</v>
      </c>
      <c r="M339" s="2" t="n">
        <f aca="false">Schedule!BE23</f>
        <v>0.542307999417935</v>
      </c>
      <c r="N339" s="2" t="n">
        <f aca="false">Schedule!BJ23</f>
        <v>0.687047978582113</v>
      </c>
      <c r="O339" s="2" t="n">
        <f aca="false">Schedule!BO23</f>
        <v>0</v>
      </c>
    </row>
    <row r="340" customFormat="false" ht="15" hidden="false" customHeight="false" outlineLevel="0" collapsed="false">
      <c r="B340" s="2" t="n">
        <v>0</v>
      </c>
      <c r="C340" s="2" t="n">
        <f aca="false">1-C$339</f>
        <v>0.0160264617822193</v>
      </c>
      <c r="D340" s="2" t="n">
        <f aca="false">C340*(1-D$339)</f>
        <v>0.00219614322826904</v>
      </c>
      <c r="E340" s="2" t="n">
        <f aca="false">D340*(1-E$339)</f>
        <v>4.92260911290567E-005</v>
      </c>
      <c r="F340" s="2" t="n">
        <f aca="false">E340*(1-F$339)</f>
        <v>3.05345922249662E-005</v>
      </c>
      <c r="G340" s="2" t="n">
        <f aca="false">F340*(1-G$339)</f>
        <v>2.55030981492405E-005</v>
      </c>
      <c r="H340" s="2" t="n">
        <f aca="false">G340*(1-H$339)</f>
        <v>1.50835448699499E-005</v>
      </c>
      <c r="I340" s="2" t="n">
        <f aca="false">H340*(1-I$339)</f>
        <v>5.37211066619196E-006</v>
      </c>
      <c r="J340" s="2" t="n">
        <f aca="false">I340*(1-J$339)</f>
        <v>1.09008832031053E-006</v>
      </c>
      <c r="K340" s="2" t="n">
        <f aca="false">J340*(1-K$339)</f>
        <v>3.60682305893256E-007</v>
      </c>
      <c r="L340" s="2" t="n">
        <f aca="false">K340*(1-L$339)</f>
        <v>4.10674875688152E-008</v>
      </c>
      <c r="M340" s="2" t="n">
        <f aca="false">L340*(1-M$339)</f>
        <v>1.87962605442501E-008</v>
      </c>
      <c r="N340" s="2" t="n">
        <f aca="false">M340*(1-N$339)</f>
        <v>5.88232773242036E-009</v>
      </c>
      <c r="O340" s="2" t="n">
        <f aca="false">N340*(1-O$339)</f>
        <v>5.88232773242036E-009</v>
      </c>
    </row>
    <row r="341" customFormat="false" ht="15" hidden="false" customHeight="false" outlineLevel="0" collapsed="false">
      <c r="B341" s="2" t="n">
        <v>1</v>
      </c>
      <c r="C341" s="2" t="n">
        <f aca="false">C$339</f>
        <v>0.983973538217781</v>
      </c>
      <c r="D341" s="2" t="n">
        <f aca="false">C341*(1-D$339)+C340*D$339</f>
        <v>0.148666494630593</v>
      </c>
      <c r="E341" s="2" t="n">
        <f aca="false">D341*(1-E$339)+D340*E$339</f>
        <v>0.00547924552006204</v>
      </c>
      <c r="F341" s="2" t="n">
        <f aca="false">E341*(1-F$339)+E340*F$339</f>
        <v>0.00341742830327349</v>
      </c>
      <c r="G341" s="2" t="n">
        <f aca="false">F341*(1-G$339)+F340*G$339</f>
        <v>0.00285933551733742</v>
      </c>
      <c r="H341" s="2" t="n">
        <f aca="false">G341*(1-H$339)+G340*H$339</f>
        <v>0.0017015441108376</v>
      </c>
      <c r="I341" s="2" t="n">
        <f aca="false">H341*(1-I$339)+H340*I$339</f>
        <v>0.000615728345058555</v>
      </c>
      <c r="J341" s="2" t="n">
        <f aca="false">I341*(1-J$339)+I340*J$339</f>
        <v>0.00012922328270682</v>
      </c>
      <c r="K341" s="2" t="n">
        <f aca="false">J341*(1-K$339)+J340*K$339</f>
        <v>4.34860806006697E-005</v>
      </c>
      <c r="L341" s="2" t="n">
        <f aca="false">K341*(1-L$339)+K340*L$339</f>
        <v>5.27096409525023E-006</v>
      </c>
      <c r="M341" s="2" t="n">
        <f aca="false">L341*(1-M$339)+L340*M$339</f>
        <v>2.43474932877588E-006</v>
      </c>
      <c r="N341" s="2" t="n">
        <f aca="false">M341*(1-N$339)+M340*N$339</f>
        <v>7.74873656898086E-007</v>
      </c>
      <c r="O341" s="2" t="n">
        <f aca="false">N341*(1-O$339)+N340*O$339</f>
        <v>7.74873656898086E-007</v>
      </c>
    </row>
    <row r="342" customFormat="false" ht="15" hidden="false" customHeight="false" outlineLevel="0" collapsed="false">
      <c r="B342" s="2" t="n">
        <v>2</v>
      </c>
      <c r="C342" s="2" t="n">
        <f aca="false">0</f>
        <v>0</v>
      </c>
      <c r="D342" s="2" t="n">
        <f aca="false">C342*(1-D$339)+C341*D$339</f>
        <v>0.849137362141138</v>
      </c>
      <c r="E342" s="2" t="n">
        <f aca="false">D342*(1-E$339)+D341*E$339</f>
        <v>0.164367402619413</v>
      </c>
      <c r="F342" s="2" t="n">
        <f aca="false">E342*(1-F$339)+E341*F$339</f>
        <v>0.104036432880025</v>
      </c>
      <c r="G342" s="2" t="n">
        <f aca="false">F342*(1-G$339)+F341*G$339</f>
        <v>0.0874564202273786</v>
      </c>
      <c r="H342" s="2" t="n">
        <f aca="false">G342*(1-H$339)+G341*H$339</f>
        <v>0.0528934104216393</v>
      </c>
      <c r="I342" s="2" t="n">
        <f aca="false">H342*(1-I$339)+H341*I$339</f>
        <v>0.0199338875951875</v>
      </c>
      <c r="J342" s="2" t="n">
        <f aca="false">I342*(1-J$339)+I341*J$339</f>
        <v>0.00453569594754872</v>
      </c>
      <c r="K342" s="2" t="n">
        <f aca="false">J342*(1-K$339)+J341*K$339</f>
        <v>0.00158721222910525</v>
      </c>
      <c r="L342" s="2" t="n">
        <f aca="false">K342*(1-L$339)+K341*L$339</f>
        <v>0.000219255596813447</v>
      </c>
      <c r="M342" s="2" t="n">
        <f aca="false">L342*(1-M$339)+L341*M$339</f>
        <v>0.00010321001873786</v>
      </c>
      <c r="N342" s="2" t="n">
        <f aca="false">M342*(1-N$339)+M341*N$339</f>
        <v>3.3972573599281E-005</v>
      </c>
      <c r="O342" s="2" t="n">
        <f aca="false">N342*(1-O$339)+N341*O$339</f>
        <v>3.3972573599281E-005</v>
      </c>
    </row>
    <row r="343" customFormat="false" ht="15" hidden="false" customHeight="false" outlineLevel="0" collapsed="false">
      <c r="B343" s="2" t="n">
        <v>3</v>
      </c>
      <c r="C343" s="2" t="n">
        <f aca="false">0</f>
        <v>0</v>
      </c>
      <c r="D343" s="2" t="n">
        <f aca="false">C343*(1-D$339)+C342*D$339</f>
        <v>0</v>
      </c>
      <c r="E343" s="2" t="n">
        <f aca="false">D343*(1-E$339)+D342*E$339</f>
        <v>0.830104125769395</v>
      </c>
      <c r="F343" s="2" t="n">
        <f aca="false">E343*(1-F$339)+E342*F$339</f>
        <v>0.577319130134721</v>
      </c>
      <c r="G343" s="2" t="n">
        <f aca="false">F343*(1-G$339)+F342*G$339</f>
        <v>0.49933154576366</v>
      </c>
      <c r="H343" s="2" t="n">
        <f aca="false">G343*(1-H$339)+G342*H$339</f>
        <v>0.331055723358625</v>
      </c>
      <c r="I343" s="2" t="n">
        <f aca="false">H343*(1-I$339)+H342*I$339</f>
        <v>0.151962875931597</v>
      </c>
      <c r="J343" s="2" t="n">
        <f aca="false">I343*(1-J$339)+I342*J$339</f>
        <v>0.0467247091308793</v>
      </c>
      <c r="K343" s="2" t="n">
        <f aca="false">J343*(1-K$339)+J342*K$339</f>
        <v>0.0184949598666318</v>
      </c>
      <c r="L343" s="2" t="n">
        <f aca="false">K343*(1-L$339)+K342*L$339</f>
        <v>0.00351233776084198</v>
      </c>
      <c r="M343" s="2" t="n">
        <f aca="false">L343*(1-M$339)+L342*M$339</f>
        <v>0.00172647296054878</v>
      </c>
      <c r="N343" s="2" t="n">
        <f aca="false">M343*(1-N$339)+M342*N$339</f>
        <v>0.000611213437670336</v>
      </c>
      <c r="O343" s="2" t="n">
        <f aca="false">N343*(1-O$339)+N342*O$339</f>
        <v>0.000611213437670336</v>
      </c>
    </row>
    <row r="344" customFormat="false" ht="15" hidden="false" customHeight="false" outlineLevel="0" collapsed="false">
      <c r="B344" s="2" t="n">
        <v>4</v>
      </c>
      <c r="C344" s="2" t="n">
        <f aca="false">0</f>
        <v>0</v>
      </c>
      <c r="D344" s="2" t="n">
        <f aca="false">C344*(1-D$339)+C343*D$339</f>
        <v>0</v>
      </c>
      <c r="E344" s="2" t="n">
        <f aca="false">D344*(1-E$339)+D343*E$339</f>
        <v>0</v>
      </c>
      <c r="F344" s="2" t="n">
        <f aca="false">E344*(1-F$339)+E343*F$339</f>
        <v>0.315196474089756</v>
      </c>
      <c r="G344" s="2" t="n">
        <f aca="false">F344*(1-G$339)+F343*G$339</f>
        <v>0.358389079423629</v>
      </c>
      <c r="H344" s="2" t="n">
        <f aca="false">G344*(1-H$339)+G343*H$339</f>
        <v>0.415972574917031</v>
      </c>
      <c r="I344" s="2" t="n">
        <f aca="false">H344*(1-I$339)+H343*I$339</f>
        <v>0.36129945770155</v>
      </c>
      <c r="J344" s="2" t="n">
        <f aca="false">I344*(1-J$339)+I343*J$339</f>
        <v>0.194440661104052</v>
      </c>
      <c r="K344" s="2" t="n">
        <f aca="false">J344*(1-K$339)+J343*K$339</f>
        <v>0.0956001343438787</v>
      </c>
      <c r="L344" s="2" t="n">
        <f aca="false">K344*(1-L$339)+K343*L$339</f>
        <v>0.0272741978347754</v>
      </c>
      <c r="M344" s="2" t="n">
        <f aca="false">L344*(1-M$339)+L343*M$339</f>
        <v>0.0143879510356317</v>
      </c>
      <c r="N344" s="2" t="n">
        <f aca="false">M344*(1-N$339)+M343*N$339</f>
        <v>0.00568890811828424</v>
      </c>
      <c r="O344" s="2" t="n">
        <f aca="false">N344*(1-O$339)+N343*O$339</f>
        <v>0.00568890811828424</v>
      </c>
    </row>
    <row r="345" customFormat="false" ht="15" hidden="false" customHeight="false" outlineLevel="0" collapsed="false">
      <c r="B345" s="2" t="n">
        <v>5</v>
      </c>
      <c r="C345" s="2" t="n">
        <f aca="false">0</f>
        <v>0</v>
      </c>
      <c r="D345" s="2" t="n">
        <f aca="false">C345*(1-D$339)+C344*D$339</f>
        <v>0</v>
      </c>
      <c r="E345" s="2" t="n">
        <f aca="false">D345*(1-E$339)+D344*E$339</f>
        <v>0</v>
      </c>
      <c r="F345" s="2" t="n">
        <f aca="false">E345*(1-F$339)+E344*F$339</f>
        <v>0</v>
      </c>
      <c r="G345" s="2" t="n">
        <f aca="false">F345*(1-G$339)+F344*G$339</f>
        <v>0.0519381159698455</v>
      </c>
      <c r="H345" s="2" t="n">
        <f aca="false">G345*(1-H$339)+G344*H$339</f>
        <v>0.177141811713443</v>
      </c>
      <c r="I345" s="2" t="n">
        <f aca="false">H345*(1-I$339)+H344*I$339</f>
        <v>0.330911317667294</v>
      </c>
      <c r="J345" s="2" t="n">
        <f aca="false">I345*(1-J$339)+I344*J$339</f>
        <v>0.355133211586076</v>
      </c>
      <c r="K345" s="2" t="n">
        <f aca="false">J345*(1-K$339)+J344*K$339</f>
        <v>0.24760971040752</v>
      </c>
      <c r="L345" s="2" t="n">
        <f aca="false">K345*(1-L$339)+K344*L$339</f>
        <v>0.112908029057134</v>
      </c>
      <c r="M345" s="2" t="n">
        <f aca="false">L345*(1-M$339)+L344*M$339</f>
        <v>0.0664681173644434</v>
      </c>
      <c r="N345" s="2" t="n">
        <f aca="false">M345*(1-N$339)+M344*N$339</f>
        <v>0.0306865443640131</v>
      </c>
      <c r="O345" s="2" t="n">
        <f aca="false">N345*(1-O$339)+N344*O$339</f>
        <v>0.0306865443640131</v>
      </c>
    </row>
    <row r="346" customFormat="false" ht="15" hidden="false" customHeight="false" outlineLevel="0" collapsed="false">
      <c r="B346" s="2" t="n">
        <v>6</v>
      </c>
      <c r="C346" s="2" t="n">
        <f aca="false">0</f>
        <v>0</v>
      </c>
      <c r="D346" s="2" t="n">
        <f aca="false">C346*(1-D$339)+C345*D$339</f>
        <v>0</v>
      </c>
      <c r="E346" s="2" t="n">
        <f aca="false">D346*(1-E$339)+D345*E$339</f>
        <v>0</v>
      </c>
      <c r="F346" s="2" t="n">
        <f aca="false">E346*(1-F$339)+E345*F$339</f>
        <v>0</v>
      </c>
      <c r="G346" s="2" t="n">
        <f aca="false">F346*(1-G$339)+F345*G$339</f>
        <v>0</v>
      </c>
      <c r="H346" s="2" t="n">
        <f aca="false">G346*(1-H$339)+G345*H$339</f>
        <v>0.0212198519335539</v>
      </c>
      <c r="I346" s="2" t="n">
        <f aca="false">H346*(1-I$339)+H345*I$339</f>
        <v>0.121609108330444</v>
      </c>
      <c r="J346" s="2" t="n">
        <f aca="false">I346*(1-J$339)+I345*J$339</f>
        <v>0.288440507218592</v>
      </c>
      <c r="K346" s="2" t="n">
        <f aca="false">J346*(1-K$339)+J345*K$339</f>
        <v>0.333066303841693</v>
      </c>
      <c r="L346" s="2" t="n">
        <f aca="false">K346*(1-L$339)+K345*L$339</f>
        <v>0.257339845574089</v>
      </c>
      <c r="M346" s="2" t="n">
        <f aca="false">L346*(1-M$339)+L345*M$339</f>
        <v>0.179013316106481</v>
      </c>
      <c r="N346" s="2" t="n">
        <f aca="false">M346*(1-N$339)+M345*N$339</f>
        <v>0.101689364811642</v>
      </c>
      <c r="O346" s="2" t="n">
        <f aca="false">N346*(1-O$339)+N345*O$339</f>
        <v>0.101689364811642</v>
      </c>
    </row>
    <row r="347" customFormat="false" ht="15" hidden="false" customHeight="false" outlineLevel="0" collapsed="false">
      <c r="B347" s="2" t="n">
        <v>7</v>
      </c>
      <c r="C347" s="2" t="n">
        <f aca="false">0</f>
        <v>0</v>
      </c>
      <c r="D347" s="2" t="n">
        <f aca="false">C347*(1-D$339)+C346*D$339</f>
        <v>0</v>
      </c>
      <c r="E347" s="2" t="n">
        <f aca="false">D347*(1-E$339)+D346*E$339</f>
        <v>0</v>
      </c>
      <c r="F347" s="2" t="n">
        <f aca="false">E347*(1-F$339)+E346*F$339</f>
        <v>0</v>
      </c>
      <c r="G347" s="2" t="n">
        <f aca="false">F347*(1-G$339)+F346*G$339</f>
        <v>0</v>
      </c>
      <c r="H347" s="2" t="n">
        <f aca="false">G347*(1-H$339)+G346*H$339</f>
        <v>0</v>
      </c>
      <c r="I347" s="2" t="n">
        <f aca="false">H347*(1-I$339)+H346*I$339</f>
        <v>0.0136622523182032</v>
      </c>
      <c r="J347" s="2" t="n">
        <f aca="false">I347*(1-J$339)+I346*J$339</f>
        <v>0.0997049417439802</v>
      </c>
      <c r="K347" s="2" t="n">
        <f aca="false">J347*(1-K$339)+J346*K$339</f>
        <v>0.22599274249063</v>
      </c>
      <c r="L347" s="2" t="n">
        <f aca="false">K347*(1-L$339)+K346*L$339</f>
        <v>0.320874848708225</v>
      </c>
      <c r="M347" s="2" t="n">
        <f aca="false">L347*(1-M$339)+L346*M$339</f>
        <v>0.286419308265539</v>
      </c>
      <c r="N347" s="2" t="n">
        <f aca="false">M347*(1-N$339)+M346*N$339</f>
        <v>0.212626238465052</v>
      </c>
      <c r="O347" s="2" t="n">
        <f aca="false">N347*(1-O$339)+N346*O$339</f>
        <v>0.212626238465052</v>
      </c>
    </row>
    <row r="348" customFormat="false" ht="15" hidden="false" customHeight="false" outlineLevel="0" collapsed="false">
      <c r="B348" s="2" t="n">
        <v>8</v>
      </c>
      <c r="C348" s="2" t="n">
        <f aca="false">0</f>
        <v>0</v>
      </c>
      <c r="D348" s="2" t="n">
        <f aca="false">C348*(1-D$339)+C347*D$339</f>
        <v>0</v>
      </c>
      <c r="E348" s="2" t="n">
        <f aca="false">D348*(1-E$339)+D347*E$339</f>
        <v>0</v>
      </c>
      <c r="F348" s="2" t="n">
        <f aca="false">E348*(1-F$339)+E347*F$339</f>
        <v>0</v>
      </c>
      <c r="G348" s="2" t="n">
        <f aca="false">F348*(1-G$339)+F347*G$339</f>
        <v>0</v>
      </c>
      <c r="H348" s="2" t="n">
        <f aca="false">G348*(1-H$339)+G347*H$339</f>
        <v>0</v>
      </c>
      <c r="I348" s="2" t="n">
        <f aca="false">H348*(1-I$339)+H347*I$339</f>
        <v>0</v>
      </c>
      <c r="J348" s="2" t="n">
        <f aca="false">I348*(1-J$339)+I347*J$339</f>
        <v>0.0108899598978451</v>
      </c>
      <c r="K348" s="2" t="n">
        <f aca="false">J348*(1-K$339)+J347*K$339</f>
        <v>0.0703183389767785</v>
      </c>
      <c r="L348" s="2" t="n">
        <f aca="false">K348*(1-L$339)+K347*L$339</f>
        <v>0.208267568489497</v>
      </c>
      <c r="M348" s="2" t="n">
        <f aca="false">L348*(1-M$339)+L347*M$339</f>
        <v>0.26933539734481</v>
      </c>
      <c r="N348" s="2" t="n">
        <f aca="false">M348*(1-N$339)+M347*N$339</f>
        <v>0.281072863809174</v>
      </c>
      <c r="O348" s="2" t="n">
        <f aca="false">N348*(1-O$339)+N347*O$339</f>
        <v>0.281072863809174</v>
      </c>
    </row>
    <row r="349" customFormat="false" ht="15" hidden="false" customHeight="false" outlineLevel="0" collapsed="false">
      <c r="B349" s="2" t="n">
        <v>9</v>
      </c>
      <c r="C349" s="2" t="n">
        <f aca="false">0</f>
        <v>0</v>
      </c>
      <c r="D349" s="2" t="n">
        <f aca="false">C349*(1-D$339)+C348*D$339</f>
        <v>0</v>
      </c>
      <c r="E349" s="2" t="n">
        <f aca="false">D349*(1-E$339)+D348*E$339</f>
        <v>0</v>
      </c>
      <c r="F349" s="2" t="n">
        <f aca="false">E349*(1-F$339)+E348*F$339</f>
        <v>0</v>
      </c>
      <c r="G349" s="2" t="n">
        <f aca="false">F349*(1-G$339)+F348*G$339</f>
        <v>0</v>
      </c>
      <c r="H349" s="2" t="n">
        <f aca="false">G349*(1-H$339)+G348*H$339</f>
        <v>0</v>
      </c>
      <c r="I349" s="2" t="n">
        <f aca="false">H349*(1-I$339)+H348*I$339</f>
        <v>0</v>
      </c>
      <c r="J349" s="2" t="n">
        <f aca="false">I349*(1-J$339)+I348*J$339</f>
        <v>0</v>
      </c>
      <c r="K349" s="2" t="n">
        <f aca="false">J349*(1-K$339)+J348*K$339</f>
        <v>0.0072867510808559</v>
      </c>
      <c r="L349" s="2" t="n">
        <f aca="false">K349*(1-L$339)+K348*L$339</f>
        <v>0.0631415273892298</v>
      </c>
      <c r="M349" s="2" t="n">
        <f aca="false">L349*(1-M$339)+L348*M$339</f>
        <v>0.141844540401761</v>
      </c>
      <c r="N349" s="2" t="n">
        <f aca="false">M349*(1-N$339)+M348*N$339</f>
        <v>0.229436875952184</v>
      </c>
      <c r="O349" s="2" t="n">
        <f aca="false">N349*(1-O$339)+N348*O$339</f>
        <v>0.229436875952184</v>
      </c>
    </row>
    <row r="350" customFormat="false" ht="15" hidden="false" customHeight="false" outlineLevel="0" collapsed="false">
      <c r="B350" s="2" t="n">
        <v>10</v>
      </c>
      <c r="C350" s="2" t="n">
        <f aca="false">0</f>
        <v>0</v>
      </c>
      <c r="D350" s="2" t="n">
        <f aca="false">C350*(1-D$339)+C349*D$339</f>
        <v>0</v>
      </c>
      <c r="E350" s="2" t="n">
        <f aca="false">D350*(1-E$339)+D349*E$339</f>
        <v>0</v>
      </c>
      <c r="F350" s="2" t="n">
        <f aca="false">E350*(1-F$339)+E349*F$339</f>
        <v>0</v>
      </c>
      <c r="G350" s="2" t="n">
        <f aca="false">F350*(1-G$339)+F349*G$339</f>
        <v>0</v>
      </c>
      <c r="H350" s="2" t="n">
        <f aca="false">G350*(1-H$339)+G349*H$339</f>
        <v>0</v>
      </c>
      <c r="I350" s="2" t="n">
        <f aca="false">H350*(1-I$339)+H349*I$339</f>
        <v>0</v>
      </c>
      <c r="J350" s="2" t="n">
        <f aca="false">I350*(1-J$339)+I349*J$339</f>
        <v>0</v>
      </c>
      <c r="K350" s="2" t="n">
        <f aca="false">J350*(1-K$339)+J349*K$339</f>
        <v>0</v>
      </c>
      <c r="L350" s="2" t="n">
        <f aca="false">K350*(1-L$339)+K349*L$339</f>
        <v>0.00645707755781188</v>
      </c>
      <c r="M350" s="2" t="n">
        <f aca="false">L350*(1-M$339)+L349*M$339</f>
        <v>0.0371975081439944</v>
      </c>
      <c r="N350" s="2" t="n">
        <f aca="false">M350*(1-N$339)+M349*N$339</f>
        <v>0.10909504012131</v>
      </c>
      <c r="O350" s="2" t="n">
        <f aca="false">N350*(1-O$339)+N349*O$339</f>
        <v>0.10909504012131</v>
      </c>
    </row>
    <row r="351" customFormat="false" ht="15" hidden="false" customHeight="false" outlineLevel="0" collapsed="false">
      <c r="B351" s="2" t="n">
        <v>11</v>
      </c>
      <c r="C351" s="2" t="n">
        <f aca="false">0</f>
        <v>0</v>
      </c>
      <c r="D351" s="2" t="n">
        <f aca="false">C351*(1-D$339)+C350*D$339</f>
        <v>0</v>
      </c>
      <c r="E351" s="2" t="n">
        <f aca="false">D351*(1-E$339)+D350*E$339</f>
        <v>0</v>
      </c>
      <c r="F351" s="2" t="n">
        <f aca="false">E351*(1-F$339)+E350*F$339</f>
        <v>0</v>
      </c>
      <c r="G351" s="2" t="n">
        <f aca="false">F351*(1-G$339)+F350*G$339</f>
        <v>0</v>
      </c>
      <c r="H351" s="2" t="n">
        <f aca="false">G351*(1-H$339)+G350*H$339</f>
        <v>0</v>
      </c>
      <c r="I351" s="2" t="n">
        <f aca="false">H351*(1-I$339)+H350*I$339</f>
        <v>0</v>
      </c>
      <c r="J351" s="2" t="n">
        <f aca="false">I351*(1-J$339)+I350*J$339</f>
        <v>0</v>
      </c>
      <c r="K351" s="2" t="n">
        <f aca="false">J351*(1-K$339)+J350*K$339</f>
        <v>0</v>
      </c>
      <c r="L351" s="2" t="n">
        <f aca="false">K351*(1-L$339)+K350*L$339</f>
        <v>0</v>
      </c>
      <c r="M351" s="2" t="n">
        <f aca="false">L351*(1-M$339)+L350*M$339</f>
        <v>0.0035017248124634</v>
      </c>
      <c r="N351" s="2" t="n">
        <f aca="false">M351*(1-N$339)+M350*N$339</f>
        <v>0.0266523446371326</v>
      </c>
      <c r="O351" s="2" t="n">
        <f aca="false">N351*(1-O$339)+N350*O$339</f>
        <v>0.0266523446371326</v>
      </c>
    </row>
    <row r="352" customFormat="false" ht="15" hidden="false" customHeight="false" outlineLevel="0" collapsed="false">
      <c r="B352" s="2" t="n">
        <v>12</v>
      </c>
      <c r="C352" s="2" t="n">
        <f aca="false">0</f>
        <v>0</v>
      </c>
      <c r="D352" s="2" t="n">
        <f aca="false">C352*(1-D$339)+C351*D$339</f>
        <v>0</v>
      </c>
      <c r="E352" s="2" t="n">
        <f aca="false">D352*(1-E$339)+D351*E$339</f>
        <v>0</v>
      </c>
      <c r="F352" s="2" t="n">
        <f aca="false">E352*(1-F$339)+E351*F$339</f>
        <v>0</v>
      </c>
      <c r="G352" s="2" t="n">
        <f aca="false">F352*(1-G$339)+F351*G$339</f>
        <v>0</v>
      </c>
      <c r="H352" s="2" t="n">
        <f aca="false">G352*(1-H$339)+G351*H$339</f>
        <v>0</v>
      </c>
      <c r="I352" s="2" t="n">
        <f aca="false">H352*(1-I$339)+H351*I$339</f>
        <v>0</v>
      </c>
      <c r="J352" s="2" t="n">
        <f aca="false">I352*(1-J$339)+I351*J$339</f>
        <v>0</v>
      </c>
      <c r="K352" s="2" t="n">
        <f aca="false">J352*(1-K$339)+J351*K$339</f>
        <v>0</v>
      </c>
      <c r="L352" s="2" t="n">
        <f aca="false">K352*(1-L$339)+K351*L$339</f>
        <v>0</v>
      </c>
      <c r="M352" s="2" t="n">
        <f aca="false">L352*(1-M$339)+L351*M$339</f>
        <v>0</v>
      </c>
      <c r="N352" s="2" t="n">
        <f aca="false">M352*(1-N$339)+M351*N$339</f>
        <v>0.00240585295395381</v>
      </c>
      <c r="O352" s="2" t="n">
        <f aca="false">N352*(1-O$339)+N351*O$339</f>
        <v>0.00240585295395381</v>
      </c>
    </row>
    <row r="353" customFormat="false" ht="15" hidden="false" customHeight="false" outlineLevel="0" collapsed="false">
      <c r="B353" s="2" t="n">
        <v>13</v>
      </c>
      <c r="C353" s="2" t="n">
        <f aca="false">0</f>
        <v>0</v>
      </c>
      <c r="D353" s="2" t="n">
        <f aca="false">C353*(1-D$339)+C352*D$339</f>
        <v>0</v>
      </c>
      <c r="E353" s="2" t="n">
        <f aca="false">D353*(1-E$339)+D352*E$339</f>
        <v>0</v>
      </c>
      <c r="F353" s="2" t="n">
        <f aca="false">E353*(1-F$339)+E352*F$339</f>
        <v>0</v>
      </c>
      <c r="G353" s="2" t="n">
        <f aca="false">F353*(1-G$339)+F352*G$339</f>
        <v>0</v>
      </c>
      <c r="H353" s="2" t="n">
        <f aca="false">G353*(1-H$339)+G352*H$339</f>
        <v>0</v>
      </c>
      <c r="I353" s="2" t="n">
        <f aca="false">H353*(1-I$339)+H352*I$339</f>
        <v>0</v>
      </c>
      <c r="J353" s="2" t="n">
        <f aca="false">I353*(1-J$339)+I352*J$339</f>
        <v>0</v>
      </c>
      <c r="K353" s="2" t="n">
        <f aca="false">J353*(1-K$339)+J352*K$339</f>
        <v>0</v>
      </c>
      <c r="L353" s="2" t="n">
        <f aca="false">K353*(1-L$339)+K352*L$339</f>
        <v>0</v>
      </c>
      <c r="M353" s="2" t="n">
        <f aca="false">L353*(1-M$339)+L352*M$339</f>
        <v>0</v>
      </c>
      <c r="N353" s="2" t="n">
        <f aca="false">M353*(1-N$339)+M352*N$339</f>
        <v>0</v>
      </c>
      <c r="O353" s="2" t="n">
        <f aca="false">N353*(1-O$339)+N352*O$339</f>
        <v>0</v>
      </c>
    </row>
    <row r="355" customFormat="false" ht="15" hidden="false" customHeight="false" outlineLevel="0" collapsed="false">
      <c r="A355" s="1" t="s">
        <v>80</v>
      </c>
      <c r="C355" s="2" t="n">
        <f aca="false">Schedule!G24</f>
        <v>0.270103499001235</v>
      </c>
      <c r="D355" s="2" t="n">
        <f aca="false">Schedule!L24</f>
        <v>0.950528531966352</v>
      </c>
      <c r="E355" s="2" t="n">
        <f aca="false">Schedule!Q24</f>
        <v>0.77525034005542</v>
      </c>
      <c r="F355" s="2" t="n">
        <f aca="false">Schedule!V24</f>
        <v>0.682606513358741</v>
      </c>
      <c r="G355" s="2" t="n">
        <f aca="false">Schedule!AA24</f>
        <v>0.344578258389676</v>
      </c>
      <c r="H355" s="2" t="n">
        <f aca="false">Schedule!AF24</f>
        <v>0.999032396786782</v>
      </c>
      <c r="I355" s="2" t="n">
        <f aca="false">Schedule!AK24</f>
        <v>0.669125611959121</v>
      </c>
      <c r="J355" s="2" t="n">
        <f aca="false">Schedule!AP24</f>
        <v>0.537346124555327</v>
      </c>
      <c r="K355" s="2" t="n">
        <f aca="false">Schedule!AU24</f>
        <v>0.782672264321914</v>
      </c>
      <c r="L355" s="2" t="n">
        <f aca="false">Schedule!AZ24</f>
        <v>0.727825622398045</v>
      </c>
      <c r="M355" s="2" t="n">
        <f aca="false">Schedule!BE24</f>
        <v>0.622669718470157</v>
      </c>
      <c r="N355" s="2" t="n">
        <f aca="false">Schedule!BJ24</f>
        <v>0.574365688155897</v>
      </c>
      <c r="O355" s="2" t="n">
        <f aca="false">Schedule!BO24</f>
        <v>0</v>
      </c>
    </row>
    <row r="356" customFormat="false" ht="15" hidden="false" customHeight="false" outlineLevel="0" collapsed="false">
      <c r="B356" s="2" t="n">
        <v>0</v>
      </c>
      <c r="C356" s="2" t="n">
        <f aca="false">1-C$355</f>
        <v>0.729896500998765</v>
      </c>
      <c r="D356" s="2" t="n">
        <f aca="false">C356*(1-D$355)</f>
        <v>0.036109051417032</v>
      </c>
      <c r="E356" s="2" t="n">
        <f aca="false">D356*(1-E$355)</f>
        <v>0.00811549702689928</v>
      </c>
      <c r="F356" s="2" t="n">
        <f aca="false">E356*(1-F$355)</f>
        <v>0.00257580589719434</v>
      </c>
      <c r="G356" s="2" t="n">
        <f aca="false">F356*(1-G$355)</f>
        <v>0.00168823918718926</v>
      </c>
      <c r="H356" s="2" t="n">
        <f aca="false">G356*(1-H$355)</f>
        <v>1.6335456622054E-006</v>
      </c>
      <c r="I356" s="2" t="n">
        <f aca="false">H356*(1-I$355)</f>
        <v>5.40498421319045E-007</v>
      </c>
      <c r="J356" s="2" t="n">
        <f aca="false">I356*(1-J$355)</f>
        <v>2.50063689294984E-007</v>
      </c>
      <c r="K356" s="2" t="n">
        <f aca="false">J356*(1-K$355)</f>
        <v>5.43457753697872E-008</v>
      </c>
      <c r="L356" s="2" t="n">
        <f aca="false">K356*(1-L$355)</f>
        <v>1.47915275865675E-008</v>
      </c>
      <c r="M356" s="2" t="n">
        <f aca="false">L356*(1-M$355)</f>
        <v>5.58129126849595E-009</v>
      </c>
      <c r="N356" s="2" t="n">
        <f aca="false">M356*(1-N$355)</f>
        <v>2.37558906826777E-009</v>
      </c>
      <c r="O356" s="2" t="n">
        <f aca="false">N356*(1-O$355)</f>
        <v>2.37558906826777E-009</v>
      </c>
    </row>
    <row r="357" customFormat="false" ht="15" hidden="false" customHeight="false" outlineLevel="0" collapsed="false">
      <c r="B357" s="2" t="n">
        <v>1</v>
      </c>
      <c r="C357" s="2" t="n">
        <f aca="false">C$355</f>
        <v>0.270103499001235</v>
      </c>
      <c r="D357" s="2" t="n">
        <f aca="false">C357*(1-D$355)+C356*D$355</f>
        <v>0.707149866198349</v>
      </c>
      <c r="E357" s="2" t="n">
        <f aca="false">D357*(1-E$355)+D356*E$355</f>
        <v>0.186925246348067</v>
      </c>
      <c r="F357" s="2" t="n">
        <f aca="false">E357*(1-F$355)+E356*F$355</f>
        <v>0.0648685468093941</v>
      </c>
      <c r="G357" s="2" t="n">
        <f aca="false">F357*(1-G$355)+F356*G$355</f>
        <v>0.043403822635549</v>
      </c>
      <c r="H357" s="2" t="n">
        <f aca="false">G357*(1-H$355)+G356*H$355</f>
        <v>0.00172860331977517</v>
      </c>
      <c r="I357" s="2" t="n">
        <f aca="false">H357*(1-I$355)+H356*I$355</f>
        <v>0.000573043612836926</v>
      </c>
      <c r="J357" s="2" t="n">
        <f aca="false">I357*(1-J$355)+I356*J$355</f>
        <v>0.000265411283009845</v>
      </c>
      <c r="K357" s="2" t="n">
        <f aca="false">J357*(1-K$355)+J356*K$355</f>
        <v>5.78769510738703E-005</v>
      </c>
      <c r="L357" s="2" t="n">
        <f aca="false">K357*(1-L$355)+K356*L$355</f>
        <v>1.57921773838127E-005</v>
      </c>
      <c r="M357" s="2" t="n">
        <f aca="false">L357*(1-M$355)+L356*M$355</f>
        <v>5.96807697452133E-006</v>
      </c>
      <c r="N357" s="2" t="n">
        <f aca="false">M357*(1-N$355)+M356*N$355</f>
        <v>2.54342403828325E-006</v>
      </c>
      <c r="O357" s="2" t="n">
        <f aca="false">N357*(1-O$355)+N356*O$355</f>
        <v>2.54342403828325E-006</v>
      </c>
    </row>
    <row r="358" customFormat="false" ht="15" hidden="false" customHeight="false" outlineLevel="0" collapsed="false">
      <c r="B358" s="2" t="n">
        <v>2</v>
      </c>
      <c r="C358" s="2" t="n">
        <f aca="false">0</f>
        <v>0</v>
      </c>
      <c r="D358" s="2" t="n">
        <f aca="false">C358*(1-D$355)+C357*D$355</f>
        <v>0.256741082384619</v>
      </c>
      <c r="E358" s="2" t="n">
        <f aca="false">D358*(1-E$355)+D357*E$355</f>
        <v>0.605920645200161</v>
      </c>
      <c r="F358" s="2" t="n">
        <f aca="false">E358*(1-F$355)+E357*F$355</f>
        <v>0.319911656876378</v>
      </c>
      <c r="G358" s="2" t="n">
        <f aca="false">F358*(1-G$355)+F357*G$355</f>
        <v>0.23202934619521</v>
      </c>
      <c r="H358" s="2" t="n">
        <f aca="false">G358*(1-H$355)+G357*H$355</f>
        <v>0.0435863372982403</v>
      </c>
      <c r="I358" s="2" t="n">
        <f aca="false">H358*(1-I$355)+H357*I$355</f>
        <v>0.0155782554346777</v>
      </c>
      <c r="J358" s="2" t="n">
        <f aca="false">I358*(1-J$355)+I357*J$355</f>
        <v>0.00751526301407981</v>
      </c>
      <c r="K358" s="2" t="n">
        <f aca="false">J358*(1-K$355)+J357*K$355</f>
        <v>0.00184100514372513</v>
      </c>
      <c r="L358" s="2" t="n">
        <f aca="false">K358*(1-L$355)+K357*L$355</f>
        <v>0.000543198757093226</v>
      </c>
      <c r="M358" s="2" t="n">
        <f aca="false">L358*(1-M$355)+L357*M$355</f>
        <v>0.000214798650586257</v>
      </c>
      <c r="N358" s="2" t="n">
        <f aca="false">M358*(1-N$355)+M357*N$355</f>
        <v>9.48535344657618E-005</v>
      </c>
      <c r="O358" s="2" t="n">
        <f aca="false">N358*(1-O$355)+N357*O$355</f>
        <v>9.48535344657618E-005</v>
      </c>
    </row>
    <row r="359" customFormat="false" ht="15" hidden="false" customHeight="false" outlineLevel="0" collapsed="false">
      <c r="B359" s="2" t="n">
        <v>3</v>
      </c>
      <c r="C359" s="2" t="n">
        <f aca="false">0</f>
        <v>0</v>
      </c>
      <c r="D359" s="2" t="n">
        <f aca="false">C359*(1-D$355)+C358*D$355</f>
        <v>0</v>
      </c>
      <c r="E359" s="2" t="n">
        <f aca="false">D359*(1-E$355)+D358*E$355</f>
        <v>0.199038611424873</v>
      </c>
      <c r="F359" s="2" t="n">
        <f aca="false">E359*(1-F$355)+E358*F$355</f>
        <v>0.476778937848536</v>
      </c>
      <c r="G359" s="2" t="n">
        <f aca="false">F359*(1-G$355)+F358*G$355</f>
        <v>0.422725883372826</v>
      </c>
      <c r="H359" s="2" t="n">
        <f aca="false">G359*(1-H$355)+G358*H$355</f>
        <v>0.232213864777333</v>
      </c>
      <c r="I359" s="2" t="n">
        <f aca="false">H359*(1-I$355)+H358*I$355</f>
        <v>0.105998355020549</v>
      </c>
      <c r="J359" s="2" t="n">
        <f aca="false">I359*(1-J$355)+I358*J$355</f>
        <v>0.0574114649261745</v>
      </c>
      <c r="K359" s="2" t="n">
        <f aca="false">J359*(1-K$355)+J358*K$355</f>
        <v>0.0183590915945719</v>
      </c>
      <c r="L359" s="2" t="n">
        <f aca="false">K359*(1-L$355)+K358*L$355</f>
        <v>0.00633680504265964</v>
      </c>
      <c r="M359" s="2" t="n">
        <f aca="false">L359*(1-M$355)+L358*M$355</f>
        <v>0.00272930184789907</v>
      </c>
      <c r="N359" s="2" t="n">
        <f aca="false">M359*(1-N$355)+M358*N$355</f>
        <v>0.00128505748860429</v>
      </c>
      <c r="O359" s="2" t="n">
        <f aca="false">N359*(1-O$355)+N358*O$355</f>
        <v>0.00128505748860429</v>
      </c>
    </row>
    <row r="360" customFormat="false" ht="15" hidden="false" customHeight="false" outlineLevel="0" collapsed="false">
      <c r="B360" s="2" t="n">
        <v>4</v>
      </c>
      <c r="C360" s="2" t="n">
        <f aca="false">0</f>
        <v>0</v>
      </c>
      <c r="D360" s="2" t="n">
        <f aca="false">C360*(1-D$355)+C359*D$355</f>
        <v>0</v>
      </c>
      <c r="E360" s="2" t="n">
        <f aca="false">D360*(1-E$355)+D359*E$355</f>
        <v>0</v>
      </c>
      <c r="F360" s="2" t="n">
        <f aca="false">E360*(1-F$355)+E359*F$355</f>
        <v>0.135865052568498</v>
      </c>
      <c r="G360" s="2" t="n">
        <f aca="false">F360*(1-G$355)+F359*G$355</f>
        <v>0.253336565419151</v>
      </c>
      <c r="H360" s="2" t="n">
        <f aca="false">G360*(1-H$355)+G359*H$355</f>
        <v>0.422561981724489</v>
      </c>
      <c r="I360" s="2" t="n">
        <f aca="false">H360*(1-I$355)+H359*I$355</f>
        <v>0.295195181486957</v>
      </c>
      <c r="J360" s="2" t="n">
        <f aca="false">I360*(1-J$355)+I359*J$355</f>
        <v>0.193531000007066</v>
      </c>
      <c r="K360" s="2" t="n">
        <f aca="false">J360*(1-K$355)+J359*K$355</f>
        <v>0.0869940152668584</v>
      </c>
      <c r="L360" s="2" t="n">
        <f aca="false">K360*(1-L$355)+K359*L$355</f>
        <v>0.0370397592268342</v>
      </c>
      <c r="M360" s="2" t="n">
        <f aca="false">L360*(1-M$355)+L359*M$355</f>
        <v>0.0179219593887721</v>
      </c>
      <c r="N360" s="2" t="n">
        <f aca="false">M360*(1-N$355)+M359*N$355</f>
        <v>0.00919581818539168</v>
      </c>
      <c r="O360" s="2" t="n">
        <f aca="false">N360*(1-O$355)+N359*O$355</f>
        <v>0.00919581818539168</v>
      </c>
    </row>
    <row r="361" customFormat="false" ht="15" hidden="false" customHeight="false" outlineLevel="0" collapsed="false">
      <c r="B361" s="2" t="n">
        <v>5</v>
      </c>
      <c r="C361" s="2" t="n">
        <f aca="false">0</f>
        <v>0</v>
      </c>
      <c r="D361" s="2" t="n">
        <f aca="false">C361*(1-D$355)+C360*D$355</f>
        <v>0</v>
      </c>
      <c r="E361" s="2" t="n">
        <f aca="false">D361*(1-E$355)+D360*E$355</f>
        <v>0</v>
      </c>
      <c r="F361" s="2" t="n">
        <f aca="false">E361*(1-F$355)+E360*F$355</f>
        <v>0</v>
      </c>
      <c r="G361" s="2" t="n">
        <f aca="false">F361*(1-G$355)+F360*G$355</f>
        <v>0.0468161431900747</v>
      </c>
      <c r="H361" s="2" t="n">
        <f aca="false">G361*(1-H$355)+G360*H$355</f>
        <v>0.253136735595007</v>
      </c>
      <c r="I361" s="2" t="n">
        <f aca="false">H361*(1-I$355)+H360*I$355</f>
        <v>0.366503507092721</v>
      </c>
      <c r="J361" s="2" t="n">
        <f aca="false">I361*(1-J$355)+I360*J$355</f>
        <v>0.328186254679934</v>
      </c>
      <c r="K361" s="2" t="n">
        <f aca="false">J361*(1-K$355)+J360*K$355</f>
        <v>0.222795321602277</v>
      </c>
      <c r="L361" s="2" t="n">
        <f aca="false">K361*(1-L$355)+K360*L$355</f>
        <v>0.123955651296233</v>
      </c>
      <c r="M361" s="2" t="n">
        <f aca="false">L361*(1-M$355)+L360*M$355</f>
        <v>0.069835757250798</v>
      </c>
      <c r="N361" s="2" t="n">
        <f aca="false">M361*(1-N$355)+M360*N$355</f>
        <v>0.0400182530169893</v>
      </c>
      <c r="O361" s="2" t="n">
        <f aca="false">N361*(1-O$355)+N360*O$355</f>
        <v>0.0400182530169893</v>
      </c>
    </row>
    <row r="362" customFormat="false" ht="15" hidden="false" customHeight="false" outlineLevel="0" collapsed="false">
      <c r="B362" s="2" t="n">
        <v>6</v>
      </c>
      <c r="C362" s="2" t="n">
        <f aca="false">0</f>
        <v>0</v>
      </c>
      <c r="D362" s="2" t="n">
        <f aca="false">C362*(1-D$355)+C361*D$355</f>
        <v>0</v>
      </c>
      <c r="E362" s="2" t="n">
        <f aca="false">D362*(1-E$355)+D361*E$355</f>
        <v>0</v>
      </c>
      <c r="F362" s="2" t="n">
        <f aca="false">E362*(1-F$355)+E361*F$355</f>
        <v>0</v>
      </c>
      <c r="G362" s="2" t="n">
        <f aca="false">F362*(1-G$355)+F361*G$355</f>
        <v>0</v>
      </c>
      <c r="H362" s="2" t="n">
        <f aca="false">G362*(1-H$355)+G361*H$355</f>
        <v>0.0467708437394935</v>
      </c>
      <c r="I362" s="2" t="n">
        <f aca="false">H362*(1-I$355)+H361*I$355</f>
        <v>0.184855547414804</v>
      </c>
      <c r="J362" s="2" t="n">
        <f aca="false">I362*(1-J$355)+I361*J$355</f>
        <v>0.282463374581115</v>
      </c>
      <c r="K362" s="2" t="n">
        <f aca="false">J362*(1-K$355)+J361*K$355</f>
        <v>0.318249404679377</v>
      </c>
      <c r="L362" s="2" t="n">
        <f aca="false">K362*(1-L$355)+K361*L$355</f>
        <v>0.248775477253352</v>
      </c>
      <c r="M362" s="2" t="n">
        <f aca="false">L362*(1-M$355)+L361*M$355</f>
        <v>0.171053951365139</v>
      </c>
      <c r="N362" s="2" t="n">
        <f aca="false">M362*(1-N$355)+M361*N$355</f>
        <v>0.112917693648758</v>
      </c>
      <c r="O362" s="2" t="n">
        <f aca="false">N362*(1-O$355)+N361*O$355</f>
        <v>0.112917693648758</v>
      </c>
    </row>
    <row r="363" customFormat="false" ht="15" hidden="false" customHeight="false" outlineLevel="0" collapsed="false">
      <c r="B363" s="2" t="n">
        <v>7</v>
      </c>
      <c r="C363" s="2" t="n">
        <f aca="false">0</f>
        <v>0</v>
      </c>
      <c r="D363" s="2" t="n">
        <f aca="false">C363*(1-D$355)+C362*D$355</f>
        <v>0</v>
      </c>
      <c r="E363" s="2" t="n">
        <f aca="false">D363*(1-E$355)+D362*E$355</f>
        <v>0</v>
      </c>
      <c r="F363" s="2" t="n">
        <f aca="false">E363*(1-F$355)+E362*F$355</f>
        <v>0</v>
      </c>
      <c r="G363" s="2" t="n">
        <f aca="false">F363*(1-G$355)+F362*G$355</f>
        <v>0</v>
      </c>
      <c r="H363" s="2" t="n">
        <f aca="false">G363*(1-H$355)+G362*H$355</f>
        <v>0</v>
      </c>
      <c r="I363" s="2" t="n">
        <f aca="false">H363*(1-I$355)+H362*I$355</f>
        <v>0.031295569439033</v>
      </c>
      <c r="J363" s="2" t="n">
        <f aca="false">I363*(1-J$355)+I362*J$355</f>
        <v>0.113810428491115</v>
      </c>
      <c r="K363" s="2" t="n">
        <f aca="false">J363*(1-K$355)+J362*K$355</f>
        <v>0.245810411691937</v>
      </c>
      <c r="L363" s="2" t="n">
        <f aca="false">K363*(1-L$355)+K362*L$355</f>
        <v>0.298533366848908</v>
      </c>
      <c r="M363" s="2" t="n">
        <f aca="false">L363*(1-M$355)+L362*M$355</f>
        <v>0.267550635742774</v>
      </c>
      <c r="N363" s="2" t="n">
        <f aca="false">M363*(1-N$355)+M362*N$355</f>
        <v>0.212126251215451</v>
      </c>
      <c r="O363" s="2" t="n">
        <f aca="false">N363*(1-O$355)+N362*O$355</f>
        <v>0.212126251215451</v>
      </c>
    </row>
    <row r="364" customFormat="false" ht="15" hidden="false" customHeight="false" outlineLevel="0" collapsed="false">
      <c r="B364" s="2" t="n">
        <v>8</v>
      </c>
      <c r="C364" s="2" t="n">
        <f aca="false">0</f>
        <v>0</v>
      </c>
      <c r="D364" s="2" t="n">
        <f aca="false">C364*(1-D$355)+C363*D$355</f>
        <v>0</v>
      </c>
      <c r="E364" s="2" t="n">
        <f aca="false">D364*(1-E$355)+D363*E$355</f>
        <v>0</v>
      </c>
      <c r="F364" s="2" t="n">
        <f aca="false">E364*(1-F$355)+E363*F$355</f>
        <v>0</v>
      </c>
      <c r="G364" s="2" t="n">
        <f aca="false">F364*(1-G$355)+F363*G$355</f>
        <v>0</v>
      </c>
      <c r="H364" s="2" t="n">
        <f aca="false">G364*(1-H$355)+G363*H$355</f>
        <v>0</v>
      </c>
      <c r="I364" s="2" t="n">
        <f aca="false">H364*(1-I$355)+H363*I$355</f>
        <v>0</v>
      </c>
      <c r="J364" s="2" t="n">
        <f aca="false">I364*(1-J$355)+I363*J$355</f>
        <v>0.0168165529538165</v>
      </c>
      <c r="K364" s="2" t="n">
        <f aca="false">J364*(1-K$355)+J363*K$355</f>
        <v>0.0927309691459516</v>
      </c>
      <c r="L364" s="2" t="n">
        <f aca="false">K364*(1-L$355)+K363*L$355</f>
        <v>0.204146109693329</v>
      </c>
      <c r="M364" s="2" t="n">
        <f aca="false">L364*(1-M$355)+L363*M$355</f>
        <v>0.262918196533564</v>
      </c>
      <c r="N364" s="2" t="n">
        <f aca="false">M364*(1-N$355)+M363*N$355</f>
        <v>0.265578910667802</v>
      </c>
      <c r="O364" s="2" t="n">
        <f aca="false">N364*(1-O$355)+N363*O$355</f>
        <v>0.265578910667802</v>
      </c>
    </row>
    <row r="365" customFormat="false" ht="15" hidden="false" customHeight="false" outlineLevel="0" collapsed="false">
      <c r="B365" s="2" t="n">
        <v>9</v>
      </c>
      <c r="C365" s="2" t="n">
        <f aca="false">0</f>
        <v>0</v>
      </c>
      <c r="D365" s="2" t="n">
        <f aca="false">C365*(1-D$355)+C364*D$355</f>
        <v>0</v>
      </c>
      <c r="E365" s="2" t="n">
        <f aca="false">D365*(1-E$355)+D364*E$355</f>
        <v>0</v>
      </c>
      <c r="F365" s="2" t="n">
        <f aca="false">E365*(1-F$355)+E364*F$355</f>
        <v>0</v>
      </c>
      <c r="G365" s="2" t="n">
        <f aca="false">F365*(1-G$355)+F364*G$355</f>
        <v>0</v>
      </c>
      <c r="H365" s="2" t="n">
        <f aca="false">G365*(1-H$355)+G364*H$355</f>
        <v>0</v>
      </c>
      <c r="I365" s="2" t="n">
        <f aca="false">H365*(1-I$355)+H364*I$355</f>
        <v>0</v>
      </c>
      <c r="J365" s="2" t="n">
        <f aca="false">I365*(1-J$355)+I364*J$355</f>
        <v>0</v>
      </c>
      <c r="K365" s="2" t="n">
        <f aca="false">J365*(1-K$355)+J364*K$355</f>
        <v>0.0131618495784529</v>
      </c>
      <c r="L365" s="2" t="n">
        <f aca="false">K365*(1-L$355)+K364*L$355</f>
        <v>0.0710742935513321</v>
      </c>
      <c r="M365" s="2" t="n">
        <f aca="false">L365*(1-M$355)+L364*M$355</f>
        <v>0.153934083844782</v>
      </c>
      <c r="N365" s="2" t="n">
        <f aca="false">M365*(1-N$355)+M364*N$355</f>
        <v>0.216530818727334</v>
      </c>
      <c r="O365" s="2" t="n">
        <f aca="false">N365*(1-O$355)+N364*O$355</f>
        <v>0.216530818727334</v>
      </c>
    </row>
    <row r="366" customFormat="false" ht="15" hidden="false" customHeight="false" outlineLevel="0" collapsed="false">
      <c r="B366" s="2" t="n">
        <v>10</v>
      </c>
      <c r="C366" s="2" t="n">
        <f aca="false">0</f>
        <v>0</v>
      </c>
      <c r="D366" s="2" t="n">
        <f aca="false">C366*(1-D$355)+C365*D$355</f>
        <v>0</v>
      </c>
      <c r="E366" s="2" t="n">
        <f aca="false">D366*(1-E$355)+D365*E$355</f>
        <v>0</v>
      </c>
      <c r="F366" s="2" t="n">
        <f aca="false">E366*(1-F$355)+E365*F$355</f>
        <v>0</v>
      </c>
      <c r="G366" s="2" t="n">
        <f aca="false">F366*(1-G$355)+F365*G$355</f>
        <v>0</v>
      </c>
      <c r="H366" s="2" t="n">
        <f aca="false">G366*(1-H$355)+G365*H$355</f>
        <v>0</v>
      </c>
      <c r="I366" s="2" t="n">
        <f aca="false">H366*(1-I$355)+H365*I$355</f>
        <v>0</v>
      </c>
      <c r="J366" s="2" t="n">
        <f aca="false">I366*(1-J$355)+I365*J$355</f>
        <v>0</v>
      </c>
      <c r="K366" s="2" t="n">
        <f aca="false">J366*(1-K$355)+J365*K$355</f>
        <v>0</v>
      </c>
      <c r="L366" s="2" t="n">
        <f aca="false">K366*(1-L$355)+K365*L$355</f>
        <v>0.00957953136134695</v>
      </c>
      <c r="M366" s="2" t="n">
        <f aca="false">L366*(1-M$355)+L365*M$355</f>
        <v>0.0478704576215743</v>
      </c>
      <c r="N366" s="2" t="n">
        <f aca="false">M366*(1-N$355)+M365*N$355</f>
        <v>0.108789765285577</v>
      </c>
      <c r="O366" s="2" t="n">
        <f aca="false">N366*(1-O$355)+N365*O$355</f>
        <v>0.108789765285577</v>
      </c>
    </row>
    <row r="367" customFormat="false" ht="15" hidden="false" customHeight="false" outlineLevel="0" collapsed="false">
      <c r="B367" s="2" t="n">
        <v>11</v>
      </c>
      <c r="C367" s="2" t="n">
        <f aca="false">0</f>
        <v>0</v>
      </c>
      <c r="D367" s="2" t="n">
        <f aca="false">C367*(1-D$355)+C366*D$355</f>
        <v>0</v>
      </c>
      <c r="E367" s="2" t="n">
        <f aca="false">D367*(1-E$355)+D366*E$355</f>
        <v>0</v>
      </c>
      <c r="F367" s="2" t="n">
        <f aca="false">E367*(1-F$355)+E366*F$355</f>
        <v>0</v>
      </c>
      <c r="G367" s="2" t="n">
        <f aca="false">F367*(1-G$355)+F366*G$355</f>
        <v>0</v>
      </c>
      <c r="H367" s="2" t="n">
        <f aca="false">G367*(1-H$355)+G366*H$355</f>
        <v>0</v>
      </c>
      <c r="I367" s="2" t="n">
        <f aca="false">H367*(1-I$355)+H366*I$355</f>
        <v>0</v>
      </c>
      <c r="J367" s="2" t="n">
        <f aca="false">I367*(1-J$355)+I366*J$355</f>
        <v>0</v>
      </c>
      <c r="K367" s="2" t="n">
        <f aca="false">J367*(1-K$355)+J366*K$355</f>
        <v>0</v>
      </c>
      <c r="L367" s="2" t="n">
        <f aca="false">K367*(1-L$355)+K366*L$355</f>
        <v>0</v>
      </c>
      <c r="M367" s="2" t="n">
        <f aca="false">L367*(1-M$355)+L366*M$355</f>
        <v>0.00596488409584594</v>
      </c>
      <c r="N367" s="2" t="n">
        <f aca="false">M367*(1-N$355)+M366*N$355</f>
        <v>0.0300340076715184</v>
      </c>
      <c r="O367" s="2" t="n">
        <f aca="false">N367*(1-O$355)+N366*O$355</f>
        <v>0.0300340076715184</v>
      </c>
    </row>
    <row r="368" customFormat="false" ht="15" hidden="false" customHeight="false" outlineLevel="0" collapsed="false">
      <c r="B368" s="2" t="n">
        <v>12</v>
      </c>
      <c r="C368" s="2" t="n">
        <f aca="false">0</f>
        <v>0</v>
      </c>
      <c r="D368" s="2" t="n">
        <f aca="false">C368*(1-D$355)+C367*D$355</f>
        <v>0</v>
      </c>
      <c r="E368" s="2" t="n">
        <f aca="false">D368*(1-E$355)+D367*E$355</f>
        <v>0</v>
      </c>
      <c r="F368" s="2" t="n">
        <f aca="false">E368*(1-F$355)+E367*F$355</f>
        <v>0</v>
      </c>
      <c r="G368" s="2" t="n">
        <f aca="false">F368*(1-G$355)+F367*G$355</f>
        <v>0</v>
      </c>
      <c r="H368" s="2" t="n">
        <f aca="false">G368*(1-H$355)+G367*H$355</f>
        <v>0</v>
      </c>
      <c r="I368" s="2" t="n">
        <f aca="false">H368*(1-I$355)+H367*I$355</f>
        <v>0</v>
      </c>
      <c r="J368" s="2" t="n">
        <f aca="false">I368*(1-J$355)+I367*J$355</f>
        <v>0</v>
      </c>
      <c r="K368" s="2" t="n">
        <f aca="false">J368*(1-K$355)+J367*K$355</f>
        <v>0</v>
      </c>
      <c r="L368" s="2" t="n">
        <f aca="false">K368*(1-L$355)+K367*L$355</f>
        <v>0</v>
      </c>
      <c r="M368" s="2" t="n">
        <f aca="false">L368*(1-M$355)+L367*M$355</f>
        <v>0</v>
      </c>
      <c r="N368" s="2" t="n">
        <f aca="false">M368*(1-N$355)+M367*N$355</f>
        <v>0.00342602475848072</v>
      </c>
      <c r="O368" s="2" t="n">
        <f aca="false">N368*(1-O$355)+N367*O$355</f>
        <v>0.00342602475848072</v>
      </c>
    </row>
    <row r="369" customFormat="false" ht="15" hidden="false" customHeight="false" outlineLevel="0" collapsed="false">
      <c r="B369" s="2" t="n">
        <v>13</v>
      </c>
      <c r="C369" s="2" t="n">
        <f aca="false">0</f>
        <v>0</v>
      </c>
      <c r="D369" s="2" t="n">
        <f aca="false">C369*(1-D$355)+C368*D$355</f>
        <v>0</v>
      </c>
      <c r="E369" s="2" t="n">
        <f aca="false">D369*(1-E$355)+D368*E$355</f>
        <v>0</v>
      </c>
      <c r="F369" s="2" t="n">
        <f aca="false">E369*(1-F$355)+E368*F$355</f>
        <v>0</v>
      </c>
      <c r="G369" s="2" t="n">
        <f aca="false">F369*(1-G$355)+F368*G$355</f>
        <v>0</v>
      </c>
      <c r="H369" s="2" t="n">
        <f aca="false">G369*(1-H$355)+G368*H$355</f>
        <v>0</v>
      </c>
      <c r="I369" s="2" t="n">
        <f aca="false">H369*(1-I$355)+H368*I$355</f>
        <v>0</v>
      </c>
      <c r="J369" s="2" t="n">
        <f aca="false">I369*(1-J$355)+I368*J$355</f>
        <v>0</v>
      </c>
      <c r="K369" s="2" t="n">
        <f aca="false">J369*(1-K$355)+J368*K$355</f>
        <v>0</v>
      </c>
      <c r="L369" s="2" t="n">
        <f aca="false">K369*(1-L$355)+K368*L$355</f>
        <v>0</v>
      </c>
      <c r="M369" s="2" t="n">
        <f aca="false">L369*(1-M$355)+L368*M$355</f>
        <v>0</v>
      </c>
      <c r="N369" s="2" t="n">
        <f aca="false">M369*(1-N$355)+M368*N$355</f>
        <v>0</v>
      </c>
      <c r="O369" s="2" t="n">
        <f aca="false">N369*(1-O$355)+N368*O$355</f>
        <v>0</v>
      </c>
    </row>
    <row r="371" customFormat="false" ht="15" hidden="false" customHeight="false" outlineLevel="0" collapsed="false">
      <c r="A371" s="1" t="s">
        <v>81</v>
      </c>
      <c r="C371" s="2" t="n">
        <f aca="false">Schedule!G25</f>
        <v>0.990454518463614</v>
      </c>
      <c r="D371" s="2" t="n">
        <f aca="false">Schedule!L25</f>
        <v>0.994896696941652</v>
      </c>
      <c r="E371" s="2" t="n">
        <f aca="false">Schedule!Q25</f>
        <v>0.740131219334939</v>
      </c>
      <c r="F371" s="2" t="n">
        <f aca="false">Schedule!V25</f>
        <v>0.319624171517118</v>
      </c>
      <c r="G371" s="2" t="n">
        <f aca="false">Schedule!AA25</f>
        <v>0.731959467197592</v>
      </c>
      <c r="H371" s="2" t="n">
        <f aca="false">Schedule!AF25</f>
        <v>0.374958048081219</v>
      </c>
      <c r="I371" s="2" t="n">
        <f aca="false">Schedule!AK25</f>
        <v>0.445317796372433</v>
      </c>
      <c r="J371" s="2" t="n">
        <f aca="false">Schedule!AP25</f>
        <v>0.293306760083888</v>
      </c>
      <c r="K371" s="2" t="n">
        <f aca="false">Schedule!AU25</f>
        <v>0.358489211764908</v>
      </c>
      <c r="L371" s="2" t="n">
        <f aca="false">Schedule!AZ25</f>
        <v>0.610740671392063</v>
      </c>
      <c r="M371" s="2" t="n">
        <f aca="false">Schedule!BE25</f>
        <v>0.240016340681267</v>
      </c>
      <c r="N371" s="2" t="n">
        <f aca="false">Schedule!BJ25</f>
        <v>0.425634311844103</v>
      </c>
      <c r="O371" s="2" t="n">
        <f aca="false">Schedule!BO25</f>
        <v>0</v>
      </c>
    </row>
    <row r="372" customFormat="false" ht="15" hidden="false" customHeight="false" outlineLevel="0" collapsed="false">
      <c r="B372" s="2" t="n">
        <v>0</v>
      </c>
      <c r="C372" s="2" t="n">
        <f aca="false">1-C$371</f>
        <v>0.00954548153638613</v>
      </c>
      <c r="D372" s="2" t="n">
        <f aca="false">C372*(1-D$371)</f>
        <v>4.87134851180399E-005</v>
      </c>
      <c r="E372" s="2" t="n">
        <f aca="false">D372*(1-E$371)</f>
        <v>1.26591139795706E-005</v>
      </c>
      <c r="F372" s="2" t="n">
        <f aca="false">E372*(1-F$371)</f>
        <v>8.61295516170961E-006</v>
      </c>
      <c r="G372" s="2" t="n">
        <f aca="false">F372*(1-G$371)</f>
        <v>2.30862109054789E-006</v>
      </c>
      <c r="H372" s="2" t="n">
        <f aca="false">G372*(1-H$371)</f>
        <v>1.44298503267692E-006</v>
      </c>
      <c r="I372" s="2" t="n">
        <f aca="false">H372*(1-I$371)</f>
        <v>8.00398117726832E-007</v>
      </c>
      <c r="J372" s="2" t="n">
        <f aca="false">I372*(1-J$371)</f>
        <v>5.65635939039133E-007</v>
      </c>
      <c r="K372" s="2" t="n">
        <f aca="false">J372*(1-K$371)</f>
        <v>3.6286155710709E-007</v>
      </c>
      <c r="L372" s="2" t="n">
        <f aca="false">K372*(1-L$371)</f>
        <v>1.41247246097137E-007</v>
      </c>
      <c r="M372" s="2" t="n">
        <f aca="false">L372*(1-M$371)</f>
        <v>1.07345598957596E-007</v>
      </c>
      <c r="N372" s="2" t="n">
        <f aca="false">M372*(1-N$371)</f>
        <v>6.16556288157864E-008</v>
      </c>
      <c r="O372" s="2" t="n">
        <f aca="false">N372*(1-O$371)</f>
        <v>6.16556288157864E-008</v>
      </c>
    </row>
    <row r="373" customFormat="false" ht="15" hidden="false" customHeight="false" outlineLevel="0" collapsed="false">
      <c r="B373" s="2" t="n">
        <v>1</v>
      </c>
      <c r="C373" s="2" t="n">
        <f aca="false">C$371</f>
        <v>0.990454518463614</v>
      </c>
      <c r="D373" s="2" t="n">
        <f aca="false">C373*(1-D$371)+C372*D$371</f>
        <v>0.0145513576244977</v>
      </c>
      <c r="E373" s="2" t="n">
        <f aca="false">D373*(1-E$371)+D372*E$371</f>
        <v>0.00381749793403791</v>
      </c>
      <c r="F373" s="2" t="n">
        <f aca="false">E373*(1-F$371)+E372*F$371</f>
        <v>0.0026013794784206</v>
      </c>
      <c r="G373" s="2" t="n">
        <f aca="false">F373*(1-G$371)+F372*G$371</f>
        <v>0.000703579475488269</v>
      </c>
      <c r="H373" s="2" t="n">
        <f aca="false">G373*(1-H$371)+G372*H$371</f>
        <v>0.000440632324747051</v>
      </c>
      <c r="I373" s="2" t="n">
        <f aca="false">H373*(1-I$371)+H372*I$371</f>
        <v>0.000245053495795182</v>
      </c>
      <c r="J373" s="2" t="n">
        <f aca="false">I373*(1-J$371)+I372*J$371</f>
        <v>0.000173412411074954</v>
      </c>
      <c r="K373" s="2" t="n">
        <f aca="false">J373*(1-K$371)+J372*K$371</f>
        <v>0.000111448706900374</v>
      </c>
      <c r="L373" s="2" t="n">
        <f aca="false">K373*(1-L$371)+K372*L$371</f>
        <v>4.36040631332723E-005</v>
      </c>
      <c r="M373" s="2" t="n">
        <f aca="false">L373*(1-M$371)+L372*M$371</f>
        <v>3.31722771083289E-005</v>
      </c>
      <c r="N373" s="2" t="n">
        <f aca="false">M373*(1-N$371)+M372*N$371</f>
        <v>1.90987077391652E-005</v>
      </c>
      <c r="O373" s="2" t="n">
        <f aca="false">N373*(1-O$371)+N372*O$371</f>
        <v>1.90987077391652E-005</v>
      </c>
    </row>
    <row r="374" customFormat="false" ht="15" hidden="false" customHeight="false" outlineLevel="0" collapsed="false">
      <c r="B374" s="2" t="n">
        <v>2</v>
      </c>
      <c r="C374" s="2" t="n">
        <f aca="false">0</f>
        <v>0</v>
      </c>
      <c r="D374" s="2" t="n">
        <f aca="false">C374*(1-D$371)+C373*D$371</f>
        <v>0.985399928890384</v>
      </c>
      <c r="E374" s="2" t="n">
        <f aca="false">D374*(1-E$371)+D373*E$371</f>
        <v>0.26684459204978</v>
      </c>
      <c r="F374" s="2" t="n">
        <f aca="false">E374*(1-F$371)+E373*F$371</f>
        <v>0.182774775006481</v>
      </c>
      <c r="G374" s="2" t="n">
        <f aca="false">F374*(1-G$371)+F373*G$371</f>
        <v>0.0508951524125809</v>
      </c>
      <c r="H374" s="2" t="n">
        <f aca="false">G374*(1-H$371)+G373*H$371</f>
        <v>0.0320754181939626</v>
      </c>
      <c r="I374" s="2" t="n">
        <f aca="false">H374*(1-I$371)+H373*I$371</f>
        <v>0.0179878850619697</v>
      </c>
      <c r="J374" s="2" t="n">
        <f aca="false">I374*(1-J$371)+I373*J$371</f>
        <v>0.0127837926205809</v>
      </c>
      <c r="K374" s="2" t="n">
        <f aca="false">J374*(1-K$371)+J373*K$371</f>
        <v>0.00826310735921934</v>
      </c>
      <c r="L374" s="2" t="n">
        <f aca="false">K374*(1-L$371)+K373*L$371</f>
        <v>0.00328455788094314</v>
      </c>
      <c r="M374" s="2" t="n">
        <f aca="false">L374*(1-M$371)+L373*M$371</f>
        <v>0.00250667600527543</v>
      </c>
      <c r="N374" s="2" t="n">
        <f aca="false">M374*(1-N$371)+M373*N$371</f>
        <v>0.00145386794809321</v>
      </c>
      <c r="O374" s="2" t="n">
        <f aca="false">N374*(1-O$371)+N373*O$371</f>
        <v>0.00145386794809321</v>
      </c>
    </row>
    <row r="375" customFormat="false" ht="15" hidden="false" customHeight="false" outlineLevel="0" collapsed="false">
      <c r="B375" s="2" t="n">
        <v>3</v>
      </c>
      <c r="C375" s="2" t="n">
        <f aca="false">0</f>
        <v>0</v>
      </c>
      <c r="D375" s="2" t="n">
        <f aca="false">C375*(1-D$371)+C374*D$371</f>
        <v>0</v>
      </c>
      <c r="E375" s="2" t="n">
        <f aca="false">D375*(1-E$371)+D374*E$371</f>
        <v>0.729325250902202</v>
      </c>
      <c r="F375" s="2" t="n">
        <f aca="false">E375*(1-F$371)+E374*F$371</f>
        <v>0.581505253473806</v>
      </c>
      <c r="G375" s="2" t="n">
        <f aca="false">F375*(1-G$371)+F374*G$371</f>
        <v>0.289650704899422</v>
      </c>
      <c r="H375" s="2" t="n">
        <f aca="false">G375*(1-H$371)+G374*H$371</f>
        <v>0.200127388970403</v>
      </c>
      <c r="I375" s="2" t="n">
        <f aca="false">H375*(1-I$371)+H374*I$371</f>
        <v>0.125290855668194</v>
      </c>
      <c r="J375" s="2" t="n">
        <f aca="false">I375*(1-J$371)+I374*J$371</f>
        <v>0.0938181690123058</v>
      </c>
      <c r="K375" s="2" t="n">
        <f aca="false">J375*(1-K$371)+J374*K$371</f>
        <v>0.0647682192937755</v>
      </c>
      <c r="L375" s="2" t="n">
        <f aca="false">K375*(1-L$371)+K374*L$371</f>
        <v>0.030258249293781</v>
      </c>
      <c r="M375" s="2" t="n">
        <f aca="false">L375*(1-M$371)+L374*M$371</f>
        <v>0.023784122586206</v>
      </c>
      <c r="N375" s="2" t="n">
        <f aca="false">M375*(1-N$371)+M374*N$371</f>
        <v>0.0147277112529319</v>
      </c>
      <c r="O375" s="2" t="n">
        <f aca="false">N375*(1-O$371)+N374*O$371</f>
        <v>0.0147277112529319</v>
      </c>
    </row>
    <row r="376" customFormat="false" ht="15" hidden="false" customHeight="false" outlineLevel="0" collapsed="false">
      <c r="B376" s="2" t="n">
        <v>4</v>
      </c>
      <c r="C376" s="2" t="n">
        <f aca="false">0</f>
        <v>0</v>
      </c>
      <c r="D376" s="2" t="n">
        <f aca="false">C376*(1-D$371)+C375*D$371</f>
        <v>0</v>
      </c>
      <c r="E376" s="2" t="n">
        <f aca="false">D376*(1-E$371)+D375*E$371</f>
        <v>0</v>
      </c>
      <c r="F376" s="2" t="n">
        <f aca="false">E376*(1-F$371)+E375*F$371</f>
        <v>0.23310997908613</v>
      </c>
      <c r="G376" s="2" t="n">
        <f aca="false">F376*(1-G$371)+F375*G$371</f>
        <v>0.488121198501092</v>
      </c>
      <c r="H376" s="2" t="n">
        <f aca="false">G376*(1-H$371)+G375*H$371</f>
        <v>0.413703089618494</v>
      </c>
      <c r="I376" s="2" t="n">
        <f aca="false">H376*(1-I$371)+H375*I$371</f>
        <v>0.318594029247188</v>
      </c>
      <c r="J376" s="2" t="n">
        <f aca="false">I376*(1-J$371)+I375*J$371</f>
        <v>0.2618969016908</v>
      </c>
      <c r="K376" s="2" t="n">
        <f aca="false">J376*(1-K$371)+J375*K$371</f>
        <v>0.201642489298442</v>
      </c>
      <c r="L376" s="2" t="n">
        <f aca="false">K376*(1-L$371)+K375*L$371</f>
        <v>0.118047805739493</v>
      </c>
      <c r="M376" s="2" t="n">
        <f aca="false">L376*(1-M$371)+L375*M$371</f>
        <v>0.096976877651362</v>
      </c>
      <c r="N376" s="2" t="n">
        <f aca="false">M376*(1-N$371)+M375*N$371</f>
        <v>0.0658235297172304</v>
      </c>
      <c r="O376" s="2" t="n">
        <f aca="false">N376*(1-O$371)+N375*O$371</f>
        <v>0.0658235297172304</v>
      </c>
    </row>
    <row r="377" customFormat="false" ht="15" hidden="false" customHeight="false" outlineLevel="0" collapsed="false">
      <c r="B377" s="2" t="n">
        <v>5</v>
      </c>
      <c r="C377" s="2" t="n">
        <f aca="false">0</f>
        <v>0</v>
      </c>
      <c r="D377" s="2" t="n">
        <f aca="false">C377*(1-D$371)+C376*D$371</f>
        <v>0</v>
      </c>
      <c r="E377" s="2" t="n">
        <f aca="false">D377*(1-E$371)+D376*E$371</f>
        <v>0</v>
      </c>
      <c r="F377" s="2" t="n">
        <f aca="false">E377*(1-F$371)+E376*F$371</f>
        <v>0</v>
      </c>
      <c r="G377" s="2" t="n">
        <f aca="false">F377*(1-G$371)+F376*G$371</f>
        <v>0.170627056090326</v>
      </c>
      <c r="H377" s="2" t="n">
        <f aca="false">G377*(1-H$371)+G376*H$371</f>
        <v>0.289674040005887</v>
      </c>
      <c r="I377" s="2" t="n">
        <f aca="false">H377*(1-I$371)+H376*I$371</f>
        <v>0.344906383065541</v>
      </c>
      <c r="J377" s="2" t="n">
        <f aca="false">I377*(1-J$371)+I376*J$371</f>
        <v>0.337188791816899</v>
      </c>
      <c r="K377" s="2" t="n">
        <f aca="false">J377*(1-K$371)+J376*K$371</f>
        <v>0.310197461473303</v>
      </c>
      <c r="L377" s="2" t="n">
        <f aca="false">K377*(1-L$371)+K376*L$371</f>
        <v>0.243898524884282</v>
      </c>
      <c r="M377" s="2" t="n">
        <f aca="false">L377*(1-M$371)+L376*M$371</f>
        <v>0.213692295803044</v>
      </c>
      <c r="N377" s="2" t="n">
        <f aca="false">M377*(1-N$371)+M376*N$371</f>
        <v>0.164014209116456</v>
      </c>
      <c r="O377" s="2" t="n">
        <f aca="false">N377*(1-O$371)+N376*O$371</f>
        <v>0.164014209116456</v>
      </c>
    </row>
    <row r="378" customFormat="false" ht="15" hidden="false" customHeight="false" outlineLevel="0" collapsed="false">
      <c r="B378" s="2" t="n">
        <v>6</v>
      </c>
      <c r="C378" s="2" t="n">
        <f aca="false">0</f>
        <v>0</v>
      </c>
      <c r="D378" s="2" t="n">
        <f aca="false">C378*(1-D$371)+C377*D$371</f>
        <v>0</v>
      </c>
      <c r="E378" s="2" t="n">
        <f aca="false">D378*(1-E$371)+D377*E$371</f>
        <v>0</v>
      </c>
      <c r="F378" s="2" t="n">
        <f aca="false">E378*(1-F$371)+E377*F$371</f>
        <v>0</v>
      </c>
      <c r="G378" s="2" t="n">
        <f aca="false">F378*(1-G$371)+F377*G$371</f>
        <v>0</v>
      </c>
      <c r="H378" s="2" t="n">
        <f aca="false">G378*(1-H$371)+G377*H$371</f>
        <v>0.0639779879014732</v>
      </c>
      <c r="I378" s="2" t="n">
        <f aca="false">H378*(1-I$371)+H377*I$371</f>
        <v>0.164484456474569</v>
      </c>
      <c r="J378" s="2" t="n">
        <f aca="false">I378*(1-J$371)+I377*J$371</f>
        <v>0.21740342721106</v>
      </c>
      <c r="K378" s="2" t="n">
        <f aca="false">J378*(1-K$371)+J377*K$371</f>
        <v>0.260345188149579</v>
      </c>
      <c r="L378" s="2" t="n">
        <f aca="false">K378*(1-L$371)+K377*L$371</f>
        <v>0.290791999029731</v>
      </c>
      <c r="M378" s="2" t="n">
        <f aca="false">L378*(1-M$371)+L377*M$371</f>
        <v>0.279536798963509</v>
      </c>
      <c r="N378" s="2" t="n">
        <f aca="false">M378*(1-N$371)+M377*N$371</f>
        <v>0.251511119172087</v>
      </c>
      <c r="O378" s="2" t="n">
        <f aca="false">N378*(1-O$371)+N377*O$371</f>
        <v>0.251511119172087</v>
      </c>
    </row>
    <row r="379" customFormat="false" ht="15" hidden="false" customHeight="false" outlineLevel="0" collapsed="false">
      <c r="B379" s="2" t="n">
        <v>7</v>
      </c>
      <c r="C379" s="2" t="n">
        <f aca="false">0</f>
        <v>0</v>
      </c>
      <c r="D379" s="2" t="n">
        <f aca="false">C379*(1-D$371)+C378*D$371</f>
        <v>0</v>
      </c>
      <c r="E379" s="2" t="n">
        <f aca="false">D379*(1-E$371)+D378*E$371</f>
        <v>0</v>
      </c>
      <c r="F379" s="2" t="n">
        <f aca="false">E379*(1-F$371)+E378*F$371</f>
        <v>0</v>
      </c>
      <c r="G379" s="2" t="n">
        <f aca="false">F379*(1-G$371)+F378*G$371</f>
        <v>0</v>
      </c>
      <c r="H379" s="2" t="n">
        <f aca="false">G379*(1-H$371)+G378*H$371</f>
        <v>0</v>
      </c>
      <c r="I379" s="2" t="n">
        <f aca="false">H379*(1-I$371)+H378*I$371</f>
        <v>0.0284905365886262</v>
      </c>
      <c r="J379" s="2" t="n">
        <f aca="false">I379*(1-J$371)+I378*J$371</f>
        <v>0.0683784726214798</v>
      </c>
      <c r="K379" s="2" t="n">
        <f aca="false">J379*(1-K$371)+J378*K$371</f>
        <v>0.121802311125599</v>
      </c>
      <c r="L379" s="2" t="n">
        <f aca="false">K379*(1-L$371)+K378*L$371</f>
        <v>0.206416080855813</v>
      </c>
      <c r="M379" s="2" t="n">
        <f aca="false">L379*(1-M$371)+L378*M$371</f>
        <v>0.226667679977539</v>
      </c>
      <c r="N379" s="2" t="n">
        <f aca="false">M379*(1-N$371)+M378*N$371</f>
        <v>0.249170591054936</v>
      </c>
      <c r="O379" s="2" t="n">
        <f aca="false">N379*(1-O$371)+N378*O$371</f>
        <v>0.249170591054936</v>
      </c>
    </row>
    <row r="380" customFormat="false" ht="15" hidden="false" customHeight="false" outlineLevel="0" collapsed="false">
      <c r="B380" s="2" t="n">
        <v>8</v>
      </c>
      <c r="C380" s="2" t="n">
        <f aca="false">0</f>
        <v>0</v>
      </c>
      <c r="D380" s="2" t="n">
        <f aca="false">C380*(1-D$371)+C379*D$371</f>
        <v>0</v>
      </c>
      <c r="E380" s="2" t="n">
        <f aca="false">D380*(1-E$371)+D379*E$371</f>
        <v>0</v>
      </c>
      <c r="F380" s="2" t="n">
        <f aca="false">E380*(1-F$371)+E379*F$371</f>
        <v>0</v>
      </c>
      <c r="G380" s="2" t="n">
        <f aca="false">F380*(1-G$371)+F379*G$371</f>
        <v>0</v>
      </c>
      <c r="H380" s="2" t="n">
        <f aca="false">G380*(1-H$371)+G379*H$371</f>
        <v>0</v>
      </c>
      <c r="I380" s="2" t="n">
        <f aca="false">H380*(1-I$371)+H379*I$371</f>
        <v>0</v>
      </c>
      <c r="J380" s="2" t="n">
        <f aca="false">I380*(1-J$371)+I379*J$371</f>
        <v>0.00835646697986141</v>
      </c>
      <c r="K380" s="2" t="n">
        <f aca="false">J380*(1-K$371)+J379*K$371</f>
        <v>0.029873708470874</v>
      </c>
      <c r="L380" s="2" t="n">
        <f aca="false">K380*(1-L$371)+K379*L$371</f>
        <v>0.0860182449763552</v>
      </c>
      <c r="M380" s="2" t="n">
        <f aca="false">L380*(1-M$371)+L379*M$371</f>
        <v>0.114915692970086</v>
      </c>
      <c r="N380" s="2" t="n">
        <f aca="false">M380*(1-N$371)+M379*N$371</f>
        <v>0.162481173057214</v>
      </c>
      <c r="O380" s="2" t="n">
        <f aca="false">N380*(1-O$371)+N379*O$371</f>
        <v>0.162481173057214</v>
      </c>
    </row>
    <row r="381" customFormat="false" ht="15" hidden="false" customHeight="false" outlineLevel="0" collapsed="false">
      <c r="B381" s="2" t="n">
        <v>9</v>
      </c>
      <c r="C381" s="2" t="n">
        <f aca="false">0</f>
        <v>0</v>
      </c>
      <c r="D381" s="2" t="n">
        <f aca="false">C381*(1-D$371)+C380*D$371</f>
        <v>0</v>
      </c>
      <c r="E381" s="2" t="n">
        <f aca="false">D381*(1-E$371)+D380*E$371</f>
        <v>0</v>
      </c>
      <c r="F381" s="2" t="n">
        <f aca="false">E381*(1-F$371)+E380*F$371</f>
        <v>0</v>
      </c>
      <c r="G381" s="2" t="n">
        <f aca="false">F381*(1-G$371)+F380*G$371</f>
        <v>0</v>
      </c>
      <c r="H381" s="2" t="n">
        <f aca="false">G381*(1-H$371)+G380*H$371</f>
        <v>0</v>
      </c>
      <c r="I381" s="2" t="n">
        <f aca="false">H381*(1-I$371)+H380*I$371</f>
        <v>0</v>
      </c>
      <c r="J381" s="2" t="n">
        <f aca="false">I381*(1-J$371)+I380*J$371</f>
        <v>0</v>
      </c>
      <c r="K381" s="2" t="n">
        <f aca="false">J381*(1-K$371)+J380*K$371</f>
        <v>0.00299570326075</v>
      </c>
      <c r="L381" s="2" t="n">
        <f aca="false">K381*(1-L$371)+K380*L$371</f>
        <v>0.0194111942084605</v>
      </c>
      <c r="M381" s="2" t="n">
        <f aca="false">L381*(1-M$371)+L380*M$371</f>
        <v>0.035397974797342</v>
      </c>
      <c r="N381" s="2" t="n">
        <f aca="false">M381*(1-N$371)+M380*N$371</f>
        <v>0.0692434440512113</v>
      </c>
      <c r="O381" s="2" t="n">
        <f aca="false">N381*(1-O$371)+N380*O$371</f>
        <v>0.0692434440512113</v>
      </c>
    </row>
    <row r="382" customFormat="false" ht="15" hidden="false" customHeight="false" outlineLevel="0" collapsed="false">
      <c r="B382" s="2" t="n">
        <v>10</v>
      </c>
      <c r="C382" s="2" t="n">
        <f aca="false">0</f>
        <v>0</v>
      </c>
      <c r="D382" s="2" t="n">
        <f aca="false">C382*(1-D$371)+C381*D$371</f>
        <v>0</v>
      </c>
      <c r="E382" s="2" t="n">
        <f aca="false">D382*(1-E$371)+D381*E$371</f>
        <v>0</v>
      </c>
      <c r="F382" s="2" t="n">
        <f aca="false">E382*(1-F$371)+E381*F$371</f>
        <v>0</v>
      </c>
      <c r="G382" s="2" t="n">
        <f aca="false">F382*(1-G$371)+F381*G$371</f>
        <v>0</v>
      </c>
      <c r="H382" s="2" t="n">
        <f aca="false">G382*(1-H$371)+G381*H$371</f>
        <v>0</v>
      </c>
      <c r="I382" s="2" t="n">
        <f aca="false">H382*(1-I$371)+H381*I$371</f>
        <v>0</v>
      </c>
      <c r="J382" s="2" t="n">
        <f aca="false">I382*(1-J$371)+I381*J$371</f>
        <v>0</v>
      </c>
      <c r="K382" s="2" t="n">
        <f aca="false">J382*(1-K$371)+J381*K$371</f>
        <v>0</v>
      </c>
      <c r="L382" s="2" t="n">
        <f aca="false">K382*(1-L$371)+K381*L$371</f>
        <v>0.00182959782076185</v>
      </c>
      <c r="M382" s="2" t="n">
        <f aca="false">L382*(1-M$371)+L381*M$371</f>
        <v>0.00604946824907226</v>
      </c>
      <c r="N382" s="2" t="n">
        <f aca="false">M382*(1-N$371)+M381*N$371</f>
        <v>0.0185411996373972</v>
      </c>
      <c r="O382" s="2" t="n">
        <f aca="false">N382*(1-O$371)+N381*O$371</f>
        <v>0.0185411996373972</v>
      </c>
    </row>
    <row r="383" customFormat="false" ht="15" hidden="false" customHeight="false" outlineLevel="0" collapsed="false">
      <c r="B383" s="2" t="n">
        <v>11</v>
      </c>
      <c r="C383" s="2" t="n">
        <f aca="false">0</f>
        <v>0</v>
      </c>
      <c r="D383" s="2" t="n">
        <f aca="false">C383*(1-D$371)+C382*D$371</f>
        <v>0</v>
      </c>
      <c r="E383" s="2" t="n">
        <f aca="false">D383*(1-E$371)+D382*E$371</f>
        <v>0</v>
      </c>
      <c r="F383" s="2" t="n">
        <f aca="false">E383*(1-F$371)+E382*F$371</f>
        <v>0</v>
      </c>
      <c r="G383" s="2" t="n">
        <f aca="false">F383*(1-G$371)+F382*G$371</f>
        <v>0</v>
      </c>
      <c r="H383" s="2" t="n">
        <f aca="false">G383*(1-H$371)+G382*H$371</f>
        <v>0</v>
      </c>
      <c r="I383" s="2" t="n">
        <f aca="false">H383*(1-I$371)+H382*I$371</f>
        <v>0</v>
      </c>
      <c r="J383" s="2" t="n">
        <f aca="false">I383*(1-J$371)+I382*J$371</f>
        <v>0</v>
      </c>
      <c r="K383" s="2" t="n">
        <f aca="false">J383*(1-K$371)+J382*K$371</f>
        <v>0</v>
      </c>
      <c r="L383" s="2" t="n">
        <f aca="false">K383*(1-L$371)+K382*L$371</f>
        <v>0</v>
      </c>
      <c r="M383" s="2" t="n">
        <f aca="false">L383*(1-M$371)+L382*M$371</f>
        <v>0.000439133373857678</v>
      </c>
      <c r="N383" s="2" t="n">
        <f aca="false">M383*(1-N$371)+M382*N$371</f>
        <v>0.00282708439768461</v>
      </c>
      <c r="O383" s="2" t="n">
        <f aca="false">N383*(1-O$371)+N382*O$371</f>
        <v>0.00282708439768461</v>
      </c>
    </row>
    <row r="384" customFormat="false" ht="15" hidden="false" customHeight="false" outlineLevel="0" collapsed="false">
      <c r="B384" s="2" t="n">
        <v>12</v>
      </c>
      <c r="C384" s="2" t="n">
        <f aca="false">0</f>
        <v>0</v>
      </c>
      <c r="D384" s="2" t="n">
        <f aca="false">C384*(1-D$371)+C383*D$371</f>
        <v>0</v>
      </c>
      <c r="E384" s="2" t="n">
        <f aca="false">D384*(1-E$371)+D383*E$371</f>
        <v>0</v>
      </c>
      <c r="F384" s="2" t="n">
        <f aca="false">E384*(1-F$371)+E383*F$371</f>
        <v>0</v>
      </c>
      <c r="G384" s="2" t="n">
        <f aca="false">F384*(1-G$371)+F383*G$371</f>
        <v>0</v>
      </c>
      <c r="H384" s="2" t="n">
        <f aca="false">G384*(1-H$371)+G383*H$371</f>
        <v>0</v>
      </c>
      <c r="I384" s="2" t="n">
        <f aca="false">H384*(1-I$371)+H383*I$371</f>
        <v>0</v>
      </c>
      <c r="J384" s="2" t="n">
        <f aca="false">I384*(1-J$371)+I383*J$371</f>
        <v>0</v>
      </c>
      <c r="K384" s="2" t="n">
        <f aca="false">J384*(1-K$371)+J383*K$371</f>
        <v>0</v>
      </c>
      <c r="L384" s="2" t="n">
        <f aca="false">K384*(1-L$371)+K383*L$371</f>
        <v>0</v>
      </c>
      <c r="M384" s="2" t="n">
        <f aca="false">L384*(1-M$371)+L383*M$371</f>
        <v>0</v>
      </c>
      <c r="N384" s="2" t="n">
        <f aca="false">M384*(1-N$371)+M383*N$371</f>
        <v>0.000186910231389692</v>
      </c>
      <c r="O384" s="2" t="n">
        <f aca="false">N384*(1-O$371)+N383*O$371</f>
        <v>0.000186910231389692</v>
      </c>
    </row>
    <row r="385" customFormat="false" ht="15" hidden="false" customHeight="false" outlineLevel="0" collapsed="false">
      <c r="B385" s="2" t="n">
        <v>13</v>
      </c>
      <c r="C385" s="2" t="n">
        <f aca="false">0</f>
        <v>0</v>
      </c>
      <c r="D385" s="2" t="n">
        <f aca="false">C385*(1-D$371)+C384*D$371</f>
        <v>0</v>
      </c>
      <c r="E385" s="2" t="n">
        <f aca="false">D385*(1-E$371)+D384*E$371</f>
        <v>0</v>
      </c>
      <c r="F385" s="2" t="n">
        <f aca="false">E385*(1-F$371)+E384*F$371</f>
        <v>0</v>
      </c>
      <c r="G385" s="2" t="n">
        <f aca="false">F385*(1-G$371)+F384*G$371</f>
        <v>0</v>
      </c>
      <c r="H385" s="2" t="n">
        <f aca="false">G385*(1-H$371)+G384*H$371</f>
        <v>0</v>
      </c>
      <c r="I385" s="2" t="n">
        <f aca="false">H385*(1-I$371)+H384*I$371</f>
        <v>0</v>
      </c>
      <c r="J385" s="2" t="n">
        <f aca="false">I385*(1-J$371)+I384*J$371</f>
        <v>0</v>
      </c>
      <c r="K385" s="2" t="n">
        <f aca="false">J385*(1-K$371)+J384*K$371</f>
        <v>0</v>
      </c>
      <c r="L385" s="2" t="n">
        <f aca="false">K385*(1-L$371)+K384*L$371</f>
        <v>0</v>
      </c>
      <c r="M385" s="2" t="n">
        <f aca="false">L385*(1-M$371)+L384*M$371</f>
        <v>0</v>
      </c>
      <c r="N385" s="2" t="n">
        <f aca="false">M385*(1-N$371)+M384*N$371</f>
        <v>0</v>
      </c>
      <c r="O385" s="2" t="n">
        <f aca="false">N385*(1-O$371)+N384*O$371</f>
        <v>0</v>
      </c>
    </row>
    <row r="387" customFormat="false" ht="15" hidden="false" customHeight="false" outlineLevel="0" collapsed="false">
      <c r="A387" s="1" t="s">
        <v>82</v>
      </c>
      <c r="C387" s="2" t="n">
        <f aca="false">Schedule!G26</f>
        <v>0.512464917434377</v>
      </c>
      <c r="D387" s="2" t="n">
        <f aca="false">Schedule!L26</f>
        <v>0.967843225204386</v>
      </c>
      <c r="E387" s="2" t="n">
        <f aca="false">Schedule!Q26</f>
        <v>0.462653875444673</v>
      </c>
      <c r="F387" s="2" t="n">
        <f aca="false">Schedule!V26</f>
        <v>0.982408678991955</v>
      </c>
      <c r="G387" s="2" t="n">
        <f aca="false">Schedule!AA26</f>
        <v>0.857408832578344</v>
      </c>
      <c r="H387" s="2" t="n">
        <f aca="false">Schedule!AF26</f>
        <v>0.657720540316049</v>
      </c>
      <c r="I387" s="2" t="n">
        <f aca="false">Schedule!AK26</f>
        <v>0.765773984787305</v>
      </c>
      <c r="J387" s="2" t="n">
        <f aca="false">Schedule!AP26</f>
        <v>0.763852515027146</v>
      </c>
      <c r="K387" s="2" t="n">
        <f aca="false">Schedule!AU26</f>
        <v>0.646169766672724</v>
      </c>
      <c r="L387" s="2" t="n">
        <f aca="false">Schedule!AZ26</f>
        <v>0.758036347776927</v>
      </c>
      <c r="M387" s="2" t="n">
        <f aca="false">Schedule!BE26</f>
        <v>0.145427006388604</v>
      </c>
      <c r="N387" s="2" t="n">
        <f aca="false">Schedule!BJ26</f>
        <v>0.771486132875137</v>
      </c>
      <c r="O387" s="2" t="n">
        <f aca="false">Schedule!BO26</f>
        <v>0</v>
      </c>
    </row>
    <row r="388" customFormat="false" ht="15" hidden="false" customHeight="false" outlineLevel="0" collapsed="false">
      <c r="B388" s="2" t="n">
        <v>0</v>
      </c>
      <c r="C388" s="2" t="n">
        <f aca="false">1-C$387</f>
        <v>0.487535082565623</v>
      </c>
      <c r="D388" s="2" t="n">
        <f aca="false">C388*(1-D$387)</f>
        <v>0.0156775558550237</v>
      </c>
      <c r="E388" s="2" t="n">
        <f aca="false">D388*(1-E$387)</f>
        <v>0.00842427388119665</v>
      </c>
      <c r="F388" s="2" t="n">
        <f aca="false">E388*(1-F$387)</f>
        <v>0.000148194106103817</v>
      </c>
      <c r="G388" s="2" t="n">
        <f aca="false">F388*(1-G$387)</f>
        <v>2.1131170594352E-005</v>
      </c>
      <c r="H388" s="2" t="n">
        <f aca="false">G388*(1-H$387)</f>
        <v>7.23276565352418E-006</v>
      </c>
      <c r="I388" s="2" t="n">
        <f aca="false">H388*(1-I$387)</f>
        <v>1.69410187799221E-006</v>
      </c>
      <c r="J388" s="2" t="n">
        <f aca="false">I388*(1-J$387)</f>
        <v>4.00057897775651E-007</v>
      </c>
      <c r="K388" s="2" t="n">
        <f aca="false">J388*(1-K$387)</f>
        <v>1.41552579314378E-007</v>
      </c>
      <c r="L388" s="2" t="n">
        <f aca="false">K388*(1-L$387)</f>
        <v>3.42505790725031E-008</v>
      </c>
      <c r="M388" s="2" t="n">
        <f aca="false">L388*(1-M$387)</f>
        <v>2.92696198909128E-008</v>
      </c>
      <c r="N388" s="2" t="n">
        <f aca="false">M388*(1-N$387)</f>
        <v>6.68851403054729E-009</v>
      </c>
      <c r="O388" s="2" t="n">
        <f aca="false">N388*(1-O$387)</f>
        <v>6.68851403054729E-009</v>
      </c>
    </row>
    <row r="389" customFormat="false" ht="15" hidden="false" customHeight="false" outlineLevel="0" collapsed="false">
      <c r="B389" s="2" t="n">
        <v>1</v>
      </c>
      <c r="C389" s="2" t="n">
        <f aca="false">C$387</f>
        <v>0.512464917434377</v>
      </c>
      <c r="D389" s="2" t="n">
        <f aca="false">C389*(1-D$387)+C388*D$387</f>
        <v>0.488336745651189</v>
      </c>
      <c r="E389" s="2" t="n">
        <f aca="false">D389*(1-E$387)+D388*E$387</f>
        <v>0.269659139727454</v>
      </c>
      <c r="F389" s="2" t="n">
        <f aca="false">E389*(1-F$387)+E388*F$387</f>
        <v>0.0130197402647917</v>
      </c>
      <c r="G389" s="2" t="n">
        <f aca="false">F389*(1-G$387)+F388*G$387</f>
        <v>0.00198356289939284</v>
      </c>
      <c r="H389" s="2" t="n">
        <f aca="false">G389*(1-H$387)+G388*H$387</f>
        <v>0.000692831242394141</v>
      </c>
      <c r="I389" s="2" t="n">
        <f aca="false">H389*(1-I$387)+H388*I$387</f>
        <v>0.000167817764896372</v>
      </c>
      <c r="J389" s="2" t="n">
        <f aca="false">I389*(1-J$387)+I388*J$387</f>
        <v>4.09237870942607E-005</v>
      </c>
      <c r="K389" s="2" t="n">
        <f aca="false">J389*(1-K$387)+J388*K$387</f>
        <v>1.47385784546593E-005</v>
      </c>
      <c r="L389" s="2" t="n">
        <f aca="false">K389*(1-L$387)+K388*L$387</f>
        <v>3.67350227170753E-006</v>
      </c>
      <c r="M389" s="2" t="n">
        <f aca="false">L389*(1-M$387)+L388*M$387</f>
        <v>3.14425679255296E-006</v>
      </c>
      <c r="N389" s="2" t="n">
        <f aca="false">M389*(1-N$387)+M388*N$387</f>
        <v>7.4108738476026E-007</v>
      </c>
      <c r="O389" s="2" t="n">
        <f aca="false">N389*(1-O$387)+N388*O$387</f>
        <v>7.4108738476026E-007</v>
      </c>
    </row>
    <row r="390" customFormat="false" ht="15" hidden="false" customHeight="false" outlineLevel="0" collapsed="false">
      <c r="B390" s="2" t="n">
        <v>2</v>
      </c>
      <c r="C390" s="2" t="n">
        <f aca="false">0</f>
        <v>0</v>
      </c>
      <c r="D390" s="2" t="n">
        <f aca="false">C390*(1-D$387)+C389*D$387</f>
        <v>0.495985698493787</v>
      </c>
      <c r="E390" s="2" t="n">
        <f aca="false">D390*(1-E$387)+D389*E$387</f>
        <v>0.492446880818066</v>
      </c>
      <c r="F390" s="2" t="n">
        <f aca="false">E390*(1-F$387)+E389*F$387</f>
        <v>0.273578270397636</v>
      </c>
      <c r="G390" s="2" t="n">
        <f aca="false">F390*(1-G$387)+F389*G$387</f>
        <v>0.0501730852581046</v>
      </c>
      <c r="H390" s="2" t="n">
        <f aca="false">G390*(1-H$387)+G389*H$387</f>
        <v>0.0184778465747604</v>
      </c>
      <c r="I390" s="2" t="n">
        <f aca="false">H390*(1-I$387)+H389*I$387</f>
        <v>0.00485854451419096</v>
      </c>
      <c r="J390" s="2" t="n">
        <f aca="false">I390*(1-J$387)+I389*J$387</f>
        <v>0.00127552108943718</v>
      </c>
      <c r="K390" s="2" t="n">
        <f aca="false">J390*(1-K$387)+J389*K$387</f>
        <v>0.000477761638647483</v>
      </c>
      <c r="L390" s="2" t="n">
        <f aca="false">K390*(1-L$387)+K389*L$387</f>
        <v>0.000126773329162419</v>
      </c>
      <c r="M390" s="2" t="n">
        <f aca="false">L390*(1-M$387)+L389*M$387</f>
        <v>0.000108871289850747</v>
      </c>
      <c r="N390" s="2" t="n">
        <f aca="false">M390*(1-N$387)+M389*N$387</f>
        <v>2.73043499763191E-005</v>
      </c>
      <c r="O390" s="2" t="n">
        <f aca="false">N390*(1-O$387)+N389*O$387</f>
        <v>2.73043499763191E-005</v>
      </c>
    </row>
    <row r="391" customFormat="false" ht="15" hidden="false" customHeight="false" outlineLevel="0" collapsed="false">
      <c r="B391" s="2" t="n">
        <v>3</v>
      </c>
      <c r="C391" s="2" t="n">
        <f aca="false">0</f>
        <v>0</v>
      </c>
      <c r="D391" s="2" t="n">
        <f aca="false">C391*(1-D$387)+C390*D$387</f>
        <v>0</v>
      </c>
      <c r="E391" s="2" t="n">
        <f aca="false">D391*(1-E$387)+D390*E$387</f>
        <v>0.229469705573284</v>
      </c>
      <c r="F391" s="2" t="n">
        <f aca="false">E391*(1-F$387)+E390*F$387</f>
        <v>0.487820764910546</v>
      </c>
      <c r="G391" s="2" t="n">
        <f aca="false">F391*(1-G$387)+F390*G$387</f>
        <v>0.304127357801559</v>
      </c>
      <c r="H391" s="2" t="n">
        <f aca="false">G391*(1-H$387)+G390*H$387</f>
        <v>0.137096416448709</v>
      </c>
      <c r="I391" s="2" t="n">
        <f aca="false">H391*(1-I$387)+H390*I$387</f>
        <v>0.046261401526564</v>
      </c>
      <c r="J391" s="2" t="n">
        <f aca="false">I391*(1-J$387)+I390*J$387</f>
        <v>0.0146357250683536</v>
      </c>
      <c r="K391" s="2" t="n">
        <f aca="false">J391*(1-K$387)+J390*K$387</f>
        <v>0.00600276518059717</v>
      </c>
      <c r="L391" s="2" t="n">
        <f aca="false">K391*(1-L$387)+K390*L$387</f>
        <v>0.00181461167420304</v>
      </c>
      <c r="M391" s="2" t="n">
        <f aca="false">L391*(1-M$387)+L390*M$387</f>
        <v>0.00156915439641589</v>
      </c>
      <c r="N391" s="2" t="n">
        <f aca="false">M391*(1-N$387)+M390*N$387</f>
        <v>0.000442566229629056</v>
      </c>
      <c r="O391" s="2" t="n">
        <f aca="false">N391*(1-O$387)+N390*O$387</f>
        <v>0.000442566229629056</v>
      </c>
    </row>
    <row r="392" customFormat="false" ht="15" hidden="false" customHeight="false" outlineLevel="0" collapsed="false">
      <c r="B392" s="2" t="n">
        <v>4</v>
      </c>
      <c r="C392" s="2" t="n">
        <f aca="false">0</f>
        <v>0</v>
      </c>
      <c r="D392" s="2" t="n">
        <f aca="false">C392*(1-D$387)+C391*D$387</f>
        <v>0</v>
      </c>
      <c r="E392" s="2" t="n">
        <f aca="false">D392*(1-E$387)+D391*E$387</f>
        <v>0</v>
      </c>
      <c r="F392" s="2" t="n">
        <f aca="false">E392*(1-F$387)+E391*F$387</f>
        <v>0.225433030320923</v>
      </c>
      <c r="G392" s="2" t="n">
        <f aca="false">F392*(1-G$387)+F391*G$387</f>
        <v>0.450406591518288</v>
      </c>
      <c r="H392" s="2" t="n">
        <f aca="false">G392*(1-H$387)+G391*H$387</f>
        <v>0.354195734881104</v>
      </c>
      <c r="I392" s="2" t="n">
        <f aca="false">H392*(1-I$387)+H391*I$387</f>
        <v>0.187946724710521</v>
      </c>
      <c r="J392" s="2" t="n">
        <f aca="false">I392*(1-J$387)+I391*J$387</f>
        <v>0.0797200342540215</v>
      </c>
      <c r="K392" s="2" t="n">
        <f aca="false">J392*(1-K$387)+J391*K$387</f>
        <v>0.037664521373463</v>
      </c>
      <c r="L392" s="2" t="n">
        <f aca="false">K392*(1-L$387)+K391*L$387</f>
        <v>0.0136637593448195</v>
      </c>
      <c r="M392" s="2" t="n">
        <f aca="false">L392*(1-M$387)+L391*M$387</f>
        <v>0.0119405732708252</v>
      </c>
      <c r="N392" s="2" t="n">
        <f aca="false">M392*(1-N$387)+M391*N$387</f>
        <v>0.00393916743097896</v>
      </c>
      <c r="O392" s="2" t="n">
        <f aca="false">N392*(1-O$387)+N391*O$387</f>
        <v>0.00393916743097896</v>
      </c>
    </row>
    <row r="393" customFormat="false" ht="15" hidden="false" customHeight="false" outlineLevel="0" collapsed="false">
      <c r="B393" s="2" t="n">
        <v>5</v>
      </c>
      <c r="C393" s="2" t="n">
        <f aca="false">0</f>
        <v>0</v>
      </c>
      <c r="D393" s="2" t="n">
        <f aca="false">C393*(1-D$387)+C392*D$387</f>
        <v>0</v>
      </c>
      <c r="E393" s="2" t="n">
        <f aca="false">D393*(1-E$387)+D392*E$387</f>
        <v>0</v>
      </c>
      <c r="F393" s="2" t="n">
        <f aca="false">E393*(1-F$387)+E392*F$387</f>
        <v>0</v>
      </c>
      <c r="G393" s="2" t="n">
        <f aca="false">F393*(1-G$387)+F392*G$387</f>
        <v>0.193288271352061</v>
      </c>
      <c r="H393" s="2" t="n">
        <f aca="false">G393*(1-H$387)+G392*H$387</f>
        <v>0.362400271816947</v>
      </c>
      <c r="I393" s="2" t="n">
        <f aca="false">H393*(1-I$387)+H392*I$387</f>
        <v>0.356117450874252</v>
      </c>
      <c r="J393" s="2" t="n">
        <f aca="false">I393*(1-J$387)+I392*J$387</f>
        <v>0.227659818740144</v>
      </c>
      <c r="K393" s="2" t="n">
        <f aca="false">J393*(1-K$387)+J392*K$387</f>
        <v>0.132065602717133</v>
      </c>
      <c r="L393" s="2" t="n">
        <f aca="false">K393*(1-L$387)+K392*L$387</f>
        <v>0.0605061517891849</v>
      </c>
      <c r="M393" s="2" t="n">
        <f aca="false">L393*(1-M$387)+L392*M$387</f>
        <v>0.0536940028839207</v>
      </c>
      <c r="N393" s="2" t="n">
        <f aca="false">M393*(1-N$387)+M392*N$387</f>
        <v>0.0214818109374394</v>
      </c>
      <c r="O393" s="2" t="n">
        <f aca="false">N393*(1-O$387)+N392*O$387</f>
        <v>0.0214818109374394</v>
      </c>
    </row>
    <row r="394" customFormat="false" ht="15" hidden="false" customHeight="false" outlineLevel="0" collapsed="false">
      <c r="B394" s="2" t="n">
        <v>6</v>
      </c>
      <c r="C394" s="2" t="n">
        <f aca="false">0</f>
        <v>0</v>
      </c>
      <c r="D394" s="2" t="n">
        <f aca="false">C394*(1-D$387)+C393*D$387</f>
        <v>0</v>
      </c>
      <c r="E394" s="2" t="n">
        <f aca="false">D394*(1-E$387)+D393*E$387</f>
        <v>0</v>
      </c>
      <c r="F394" s="2" t="n">
        <f aca="false">E394*(1-F$387)+E393*F$387</f>
        <v>0</v>
      </c>
      <c r="G394" s="2" t="n">
        <f aca="false">F394*(1-G$387)+F393*G$387</f>
        <v>0</v>
      </c>
      <c r="H394" s="2" t="n">
        <f aca="false">G394*(1-H$387)+G393*H$387</f>
        <v>0.127129666270433</v>
      </c>
      <c r="I394" s="2" t="n">
        <f aca="false">H394*(1-I$387)+H393*I$387</f>
        <v>0.307293775383109</v>
      </c>
      <c r="J394" s="2" t="n">
        <f aca="false">I394*(1-J$387)+I393*J$387</f>
        <v>0.344587862699887</v>
      </c>
      <c r="K394" s="2" t="n">
        <f aca="false">J394*(1-K$387)+J393*K$387</f>
        <v>0.269032495816922</v>
      </c>
      <c r="L394" s="2" t="n">
        <f aca="false">K394*(1-L$387)+K393*L$387</f>
        <v>0.165206612405206</v>
      </c>
      <c r="M394" s="2" t="n">
        <f aca="false">L394*(1-M$387)+L393*M$387</f>
        <v>0.14998033785031</v>
      </c>
      <c r="N394" s="2" t="n">
        <f aca="false">M394*(1-N$387)+M393*N$387</f>
        <v>0.0756967656383701</v>
      </c>
      <c r="O394" s="2" t="n">
        <f aca="false">N394*(1-O$387)+N393*O$387</f>
        <v>0.0756967656383701</v>
      </c>
    </row>
    <row r="395" customFormat="false" ht="15" hidden="false" customHeight="false" outlineLevel="0" collapsed="false">
      <c r="B395" s="2" t="n">
        <v>7</v>
      </c>
      <c r="C395" s="2" t="n">
        <f aca="false">0</f>
        <v>0</v>
      </c>
      <c r="D395" s="2" t="n">
        <f aca="false">C395*(1-D$387)+C394*D$387</f>
        <v>0</v>
      </c>
      <c r="E395" s="2" t="n">
        <f aca="false">D395*(1-E$387)+D394*E$387</f>
        <v>0</v>
      </c>
      <c r="F395" s="2" t="n">
        <f aca="false">E395*(1-F$387)+E394*F$387</f>
        <v>0</v>
      </c>
      <c r="G395" s="2" t="n">
        <f aca="false">F395*(1-G$387)+F394*G$387</f>
        <v>0</v>
      </c>
      <c r="H395" s="2" t="n">
        <f aca="false">G395*(1-H$387)+G394*H$387</f>
        <v>0</v>
      </c>
      <c r="I395" s="2" t="n">
        <f aca="false">H395*(1-I$387)+H394*I$387</f>
        <v>0.0973525911245894</v>
      </c>
      <c r="J395" s="2" t="n">
        <f aca="false">I395*(1-J$387)+I394*J$387</f>
        <v>0.257716692728237</v>
      </c>
      <c r="K395" s="2" t="n">
        <f aca="false">J395*(1-K$387)+J394*K$387</f>
        <v>0.313850216359405</v>
      </c>
      <c r="L395" s="2" t="n">
        <f aca="false">K395*(1-L$387)+K394*L$387</f>
        <v>0.279876755163695</v>
      </c>
      <c r="M395" s="2" t="n">
        <f aca="false">L395*(1-M$387)+L394*M$387</f>
        <v>0.263200619580174</v>
      </c>
      <c r="N395" s="2" t="n">
        <f aca="false">M395*(1-N$387)+M394*N$387</f>
        <v>0.175852742265367</v>
      </c>
      <c r="O395" s="2" t="n">
        <f aca="false">N395*(1-O$387)+N394*O$387</f>
        <v>0.175852742265367</v>
      </c>
    </row>
    <row r="396" customFormat="false" ht="15" hidden="false" customHeight="false" outlineLevel="0" collapsed="false">
      <c r="B396" s="2" t="n">
        <v>8</v>
      </c>
      <c r="C396" s="2" t="n">
        <f aca="false">0</f>
        <v>0</v>
      </c>
      <c r="D396" s="2" t="n">
        <f aca="false">C396*(1-D$387)+C395*D$387</f>
        <v>0</v>
      </c>
      <c r="E396" s="2" t="n">
        <f aca="false">D396*(1-E$387)+D395*E$387</f>
        <v>0</v>
      </c>
      <c r="F396" s="2" t="n">
        <f aca="false">E396*(1-F$387)+E395*F$387</f>
        <v>0</v>
      </c>
      <c r="G396" s="2" t="n">
        <f aca="false">F396*(1-G$387)+F395*G$387</f>
        <v>0</v>
      </c>
      <c r="H396" s="2" t="n">
        <f aca="false">G396*(1-H$387)+G395*H$387</f>
        <v>0</v>
      </c>
      <c r="I396" s="2" t="n">
        <f aca="false">H396*(1-I$387)+H395*I$387</f>
        <v>0</v>
      </c>
      <c r="J396" s="2" t="n">
        <f aca="false">I396*(1-J$387)+I395*J$387</f>
        <v>0.074363021574927</v>
      </c>
      <c r="K396" s="2" t="n">
        <f aca="false">J396*(1-K$387)+J395*K$387</f>
        <v>0.192840620482649</v>
      </c>
      <c r="L396" s="2" t="n">
        <f aca="false">K396*(1-L$387)+K395*L$387</f>
        <v>0.284570292587027</v>
      </c>
      <c r="M396" s="2" t="n">
        <f aca="false">L396*(1-M$387)+L395*M$387</f>
        <v>0.283887725490179</v>
      </c>
      <c r="N396" s="2" t="n">
        <f aca="false">M396*(1-N$387)+M395*N$387</f>
        <v>0.26792791015129</v>
      </c>
      <c r="O396" s="2" t="n">
        <f aca="false">N396*(1-O$387)+N395*O$387</f>
        <v>0.26792791015129</v>
      </c>
    </row>
    <row r="397" customFormat="false" ht="15" hidden="false" customHeight="false" outlineLevel="0" collapsed="false">
      <c r="B397" s="2" t="n">
        <v>9</v>
      </c>
      <c r="C397" s="2" t="n">
        <f aca="false">0</f>
        <v>0</v>
      </c>
      <c r="D397" s="2" t="n">
        <f aca="false">C397*(1-D$387)+C396*D$387</f>
        <v>0</v>
      </c>
      <c r="E397" s="2" t="n">
        <f aca="false">D397*(1-E$387)+D396*E$387</f>
        <v>0</v>
      </c>
      <c r="F397" s="2" t="n">
        <f aca="false">E397*(1-F$387)+E396*F$387</f>
        <v>0</v>
      </c>
      <c r="G397" s="2" t="n">
        <f aca="false">F397*(1-G$387)+F396*G$387</f>
        <v>0</v>
      </c>
      <c r="H397" s="2" t="n">
        <f aca="false">G397*(1-H$387)+G396*H$387</f>
        <v>0</v>
      </c>
      <c r="I397" s="2" t="n">
        <f aca="false">H397*(1-I$387)+H396*I$387</f>
        <v>0</v>
      </c>
      <c r="J397" s="2" t="n">
        <f aca="false">I397*(1-J$387)+I396*J$387</f>
        <v>0</v>
      </c>
      <c r="K397" s="2" t="n">
        <f aca="false">J397*(1-K$387)+J396*K$387</f>
        <v>0.0480511363001493</v>
      </c>
      <c r="L397" s="2" t="n">
        <f aca="false">K397*(1-L$387)+K396*L$387</f>
        <v>0.157806828086356</v>
      </c>
      <c r="M397" s="2" t="n">
        <f aca="false">L397*(1-M$387)+L396*M$387</f>
        <v>0.176241659248137</v>
      </c>
      <c r="N397" s="2" t="n">
        <f aca="false">M397*(1-N$387)+M396*N$387</f>
        <v>0.259289106612431</v>
      </c>
      <c r="O397" s="2" t="n">
        <f aca="false">N397*(1-O$387)+N396*O$387</f>
        <v>0.259289106612431</v>
      </c>
    </row>
    <row r="398" customFormat="false" ht="15" hidden="false" customHeight="false" outlineLevel="0" collapsed="false">
      <c r="B398" s="2" t="n">
        <v>10</v>
      </c>
      <c r="C398" s="2" t="n">
        <f aca="false">0</f>
        <v>0</v>
      </c>
      <c r="D398" s="2" t="n">
        <f aca="false">C398*(1-D$387)+C397*D$387</f>
        <v>0</v>
      </c>
      <c r="E398" s="2" t="n">
        <f aca="false">D398*(1-E$387)+D397*E$387</f>
        <v>0</v>
      </c>
      <c r="F398" s="2" t="n">
        <f aca="false">E398*(1-F$387)+E397*F$387</f>
        <v>0</v>
      </c>
      <c r="G398" s="2" t="n">
        <f aca="false">F398*(1-G$387)+F397*G$387</f>
        <v>0</v>
      </c>
      <c r="H398" s="2" t="n">
        <f aca="false">G398*(1-H$387)+G397*H$387</f>
        <v>0</v>
      </c>
      <c r="I398" s="2" t="n">
        <f aca="false">H398*(1-I$387)+H397*I$387</f>
        <v>0</v>
      </c>
      <c r="J398" s="2" t="n">
        <f aca="false">I398*(1-J$387)+I397*J$387</f>
        <v>0</v>
      </c>
      <c r="K398" s="2" t="n">
        <f aca="false">J398*(1-K$387)+J397*K$387</f>
        <v>0</v>
      </c>
      <c r="L398" s="2" t="n">
        <f aca="false">K398*(1-L$387)+K397*L$387</f>
        <v>0.0364245078674965</v>
      </c>
      <c r="M398" s="2" t="n">
        <f aca="false">L398*(1-M$387)+L397*M$387</f>
        <v>0.0540767753254282</v>
      </c>
      <c r="N398" s="2" t="n">
        <f aca="false">M398*(1-N$387)+M397*N$387</f>
        <v>0.148325289196099</v>
      </c>
      <c r="O398" s="2" t="n">
        <f aca="false">N398*(1-O$387)+N397*O$387</f>
        <v>0.148325289196099</v>
      </c>
    </row>
    <row r="399" customFormat="false" ht="15" hidden="false" customHeight="false" outlineLevel="0" collapsed="false">
      <c r="B399" s="2" t="n">
        <v>11</v>
      </c>
      <c r="C399" s="2" t="n">
        <f aca="false">0</f>
        <v>0</v>
      </c>
      <c r="D399" s="2" t="n">
        <f aca="false">C399*(1-D$387)+C398*D$387</f>
        <v>0</v>
      </c>
      <c r="E399" s="2" t="n">
        <f aca="false">D399*(1-E$387)+D398*E$387</f>
        <v>0</v>
      </c>
      <c r="F399" s="2" t="n">
        <f aca="false">E399*(1-F$387)+E398*F$387</f>
        <v>0</v>
      </c>
      <c r="G399" s="2" t="n">
        <f aca="false">F399*(1-G$387)+F398*G$387</f>
        <v>0</v>
      </c>
      <c r="H399" s="2" t="n">
        <f aca="false">G399*(1-H$387)+G398*H$387</f>
        <v>0</v>
      </c>
      <c r="I399" s="2" t="n">
        <f aca="false">H399*(1-I$387)+H398*I$387</f>
        <v>0</v>
      </c>
      <c r="J399" s="2" t="n">
        <f aca="false">I399*(1-J$387)+I398*J$387</f>
        <v>0</v>
      </c>
      <c r="K399" s="2" t="n">
        <f aca="false">J399*(1-K$387)+J398*K$387</f>
        <v>0</v>
      </c>
      <c r="L399" s="2" t="n">
        <f aca="false">K399*(1-L$387)+K398*L$387</f>
        <v>0</v>
      </c>
      <c r="M399" s="2" t="n">
        <f aca="false">L399*(1-M$387)+L398*M$387</f>
        <v>0.00529710713834819</v>
      </c>
      <c r="N399" s="2" t="n">
        <f aca="false">M399*(1-N$387)+M398*N$387</f>
        <v>0.0429299447109309</v>
      </c>
      <c r="O399" s="2" t="n">
        <f aca="false">N399*(1-O$387)+N398*O$387</f>
        <v>0.0429299447109309</v>
      </c>
    </row>
    <row r="400" customFormat="false" ht="15" hidden="false" customHeight="false" outlineLevel="0" collapsed="false">
      <c r="B400" s="2" t="n">
        <v>12</v>
      </c>
      <c r="C400" s="2" t="n">
        <f aca="false">0</f>
        <v>0</v>
      </c>
      <c r="D400" s="2" t="n">
        <f aca="false">C400*(1-D$387)+C399*D$387</f>
        <v>0</v>
      </c>
      <c r="E400" s="2" t="n">
        <f aca="false">D400*(1-E$387)+D399*E$387</f>
        <v>0</v>
      </c>
      <c r="F400" s="2" t="n">
        <f aca="false">E400*(1-F$387)+E399*F$387</f>
        <v>0</v>
      </c>
      <c r="G400" s="2" t="n">
        <f aca="false">F400*(1-G$387)+F399*G$387</f>
        <v>0</v>
      </c>
      <c r="H400" s="2" t="n">
        <f aca="false">G400*(1-H$387)+G399*H$387</f>
        <v>0</v>
      </c>
      <c r="I400" s="2" t="n">
        <f aca="false">H400*(1-I$387)+H399*I$387</f>
        <v>0</v>
      </c>
      <c r="J400" s="2" t="n">
        <f aca="false">I400*(1-J$387)+I399*J$387</f>
        <v>0</v>
      </c>
      <c r="K400" s="2" t="n">
        <f aca="false">J400*(1-K$387)+J399*K$387</f>
        <v>0</v>
      </c>
      <c r="L400" s="2" t="n">
        <f aca="false">K400*(1-L$387)+K399*L$387</f>
        <v>0</v>
      </c>
      <c r="M400" s="2" t="n">
        <f aca="false">L400*(1-M$387)+L399*M$387</f>
        <v>0</v>
      </c>
      <c r="N400" s="2" t="n">
        <f aca="false">M400*(1-N$387)+M399*N$387</f>
        <v>0.00408664470158953</v>
      </c>
      <c r="O400" s="2" t="n">
        <f aca="false">N400*(1-O$387)+N399*O$387</f>
        <v>0.00408664470158953</v>
      </c>
    </row>
    <row r="401" customFormat="false" ht="15" hidden="false" customHeight="false" outlineLevel="0" collapsed="false">
      <c r="B401" s="2" t="n">
        <v>13</v>
      </c>
      <c r="C401" s="2" t="n">
        <f aca="false">0</f>
        <v>0</v>
      </c>
      <c r="D401" s="2" t="n">
        <f aca="false">C401*(1-D$387)+C400*D$387</f>
        <v>0</v>
      </c>
      <c r="E401" s="2" t="n">
        <f aca="false">D401*(1-E$387)+D400*E$387</f>
        <v>0</v>
      </c>
      <c r="F401" s="2" t="n">
        <f aca="false">E401*(1-F$387)+E400*F$387</f>
        <v>0</v>
      </c>
      <c r="G401" s="2" t="n">
        <f aca="false">F401*(1-G$387)+F400*G$387</f>
        <v>0</v>
      </c>
      <c r="H401" s="2" t="n">
        <f aca="false">G401*(1-H$387)+G400*H$387</f>
        <v>0</v>
      </c>
      <c r="I401" s="2" t="n">
        <f aca="false">H401*(1-I$387)+H400*I$387</f>
        <v>0</v>
      </c>
      <c r="J401" s="2" t="n">
        <f aca="false">I401*(1-J$387)+I400*J$387</f>
        <v>0</v>
      </c>
      <c r="K401" s="2" t="n">
        <f aca="false">J401*(1-K$387)+J400*K$387</f>
        <v>0</v>
      </c>
      <c r="L401" s="2" t="n">
        <f aca="false">K401*(1-L$387)+K400*L$387</f>
        <v>0</v>
      </c>
      <c r="M401" s="2" t="n">
        <f aca="false">L401*(1-M$387)+L400*M$387</f>
        <v>0</v>
      </c>
      <c r="N401" s="2" t="n">
        <f aca="false">M401*(1-N$387)+M400*N$387</f>
        <v>0</v>
      </c>
      <c r="O401" s="2" t="n">
        <f aca="false">N401*(1-O$387)+N400*O$387</f>
        <v>0</v>
      </c>
    </row>
    <row r="403" customFormat="false" ht="15" hidden="false" customHeight="false" outlineLevel="0" collapsed="false">
      <c r="A403" s="1" t="s">
        <v>83</v>
      </c>
      <c r="C403" s="2" t="n">
        <f aca="false">Schedule!G27</f>
        <v>0.684830585730692</v>
      </c>
      <c r="D403" s="2" t="n">
        <f aca="false">Schedule!L27</f>
        <v>0.984949165441982</v>
      </c>
      <c r="E403" s="2" t="n">
        <f aca="false">Schedule!Q27</f>
        <v>0.470107355947105</v>
      </c>
      <c r="F403" s="2" t="n">
        <f aca="false">Schedule!V27</f>
        <v>0.603532007320995</v>
      </c>
      <c r="G403" s="2" t="n">
        <f aca="false">Schedule!AA27</f>
        <v>0.301967544680181</v>
      </c>
      <c r="H403" s="2" t="n">
        <f aca="false">Schedule!AF27</f>
        <v>0.138407949285097</v>
      </c>
      <c r="I403" s="2" t="n">
        <f aca="false">Schedule!AK27</f>
        <v>0.344578258389676</v>
      </c>
      <c r="J403" s="2" t="n">
        <f aca="false">Schedule!AP27</f>
        <v>0.319624171517118</v>
      </c>
      <c r="K403" s="2" t="n">
        <f aca="false">Schedule!AU27</f>
        <v>0.700208404531304</v>
      </c>
      <c r="L403" s="2" t="n">
        <f aca="false">Schedule!AZ27</f>
        <v>0.603532007320995</v>
      </c>
      <c r="M403" s="2" t="n">
        <f aca="false">Schedule!BE27</f>
        <v>0.997020236764945</v>
      </c>
      <c r="N403" s="2" t="n">
        <f aca="false">Schedule!BJ27</f>
        <v>0.295461142462736</v>
      </c>
      <c r="O403" s="2" t="n">
        <f aca="false">Schedule!BO27</f>
        <v>0</v>
      </c>
    </row>
    <row r="404" customFormat="false" ht="15" hidden="false" customHeight="false" outlineLevel="0" collapsed="false">
      <c r="B404" s="2" t="n">
        <v>0</v>
      </c>
      <c r="C404" s="2" t="n">
        <f aca="false">1-C$403</f>
        <v>0.315169414269308</v>
      </c>
      <c r="D404" s="2" t="n">
        <f aca="false">C404*(1-D$403)</f>
        <v>0.00474356271191495</v>
      </c>
      <c r="E404" s="2" t="n">
        <f aca="false">D404*(1-E$403)</f>
        <v>0.00251357898764733</v>
      </c>
      <c r="F404" s="2" t="n">
        <f aca="false">E404*(1-F$403)</f>
        <v>0.000996553615672665</v>
      </c>
      <c r="G404" s="2" t="n">
        <f aca="false">F404*(1-G$403)</f>
        <v>0.000695626767205833</v>
      </c>
      <c r="H404" s="2" t="n">
        <f aca="false">G404*(1-H$403)</f>
        <v>0.000599346492889052</v>
      </c>
      <c r="I404" s="2" t="n">
        <f aca="false">H404*(1-I$403)</f>
        <v>0.000392824722197382</v>
      </c>
      <c r="J404" s="2" t="n">
        <f aca="false">I404*(1-J$403)</f>
        <v>0.000267268445813602</v>
      </c>
      <c r="K404" s="2" t="n">
        <f aca="false">J404*(1-K$403)</f>
        <v>8.01248337888985E-005</v>
      </c>
      <c r="L404" s="2" t="n">
        <f aca="false">K404*(1-L$403)</f>
        <v>3.17669320160235E-005</v>
      </c>
      <c r="M404" s="2" t="n">
        <f aca="false">L404*(1-M$403)</f>
        <v>9.46579361118244E-008</v>
      </c>
      <c r="N404" s="2" t="n">
        <f aca="false">M404*(1-N$403)</f>
        <v>6.66901941650601E-008</v>
      </c>
      <c r="O404" s="2" t="n">
        <f aca="false">N404*(1-O$403)</f>
        <v>6.66901941650601E-008</v>
      </c>
    </row>
    <row r="405" customFormat="false" ht="15" hidden="false" customHeight="false" outlineLevel="0" collapsed="false">
      <c r="B405" s="2" t="n">
        <v>1</v>
      </c>
      <c r="C405" s="2" t="n">
        <f aca="false">C$403</f>
        <v>0.684830585730692</v>
      </c>
      <c r="D405" s="2" t="n">
        <f aca="false">C405*(1-D$403)+C404*D$403</f>
        <v>0.320733123403497</v>
      </c>
      <c r="E405" s="2" t="n">
        <f aca="false">D405*(1-E$403)+D404*E$403</f>
        <v>0.17218410651989</v>
      </c>
      <c r="F405" s="2" t="n">
        <f aca="false">E405*(1-F$403)+E404*F$403</f>
        <v>0.0697825124551435</v>
      </c>
      <c r="G405" s="2" t="n">
        <f aca="false">F405*(1-G$403)+F404*G$403</f>
        <v>0.0490113853559165</v>
      </c>
      <c r="H405" s="2" t="n">
        <f aca="false">G405*(1-H$403)+G404*H$403</f>
        <v>0.0423241002914993</v>
      </c>
      <c r="I405" s="2" t="n">
        <f aca="false">H405*(1-I$403)+H404*I$403</f>
        <v>0.0279466572958361</v>
      </c>
      <c r="J405" s="2" t="n">
        <f aca="false">I405*(1-J$403)+I404*J$403</f>
        <v>0.0191397863873655</v>
      </c>
      <c r="K405" s="2" t="n">
        <f aca="false">J405*(1-K$403)+J404*K$403</f>
        <v>0.00592509071002303</v>
      </c>
      <c r="L405" s="2" t="n">
        <f aca="false">K405*(1-L$403)+K404*L$403</f>
        <v>0.00239746672201673</v>
      </c>
      <c r="M405" s="2" t="n">
        <f aca="false">L405*(1-M$403)+L404*M$403</f>
        <v>3.88161572754439E-005</v>
      </c>
      <c r="N405" s="2" t="n">
        <f aca="false">M405*(1-N$403)+M404*N$403</f>
        <v>2.73754588427748E-005</v>
      </c>
      <c r="O405" s="2" t="n">
        <f aca="false">N405*(1-O$403)+N404*O$403</f>
        <v>2.73754588427748E-005</v>
      </c>
    </row>
    <row r="406" customFormat="false" ht="15" hidden="false" customHeight="false" outlineLevel="0" collapsed="false">
      <c r="B406" s="2" t="n">
        <v>2</v>
      </c>
      <c r="C406" s="2" t="n">
        <f aca="false">0</f>
        <v>0</v>
      </c>
      <c r="D406" s="2" t="n">
        <f aca="false">C406*(1-D$403)+C405*D$403</f>
        <v>0.674523313884588</v>
      </c>
      <c r="E406" s="2" t="n">
        <f aca="false">D406*(1-E$403)+D405*E$403</f>
        <v>0.5082039428775</v>
      </c>
      <c r="F406" s="2" t="n">
        <f aca="false">E406*(1-F$403)+E405*F$403</f>
        <v>0.305405216540919</v>
      </c>
      <c r="G406" s="2" t="n">
        <f aca="false">F406*(1-G$403)+F405*G$403</f>
        <v>0.234254807117233</v>
      </c>
      <c r="H406" s="2" t="n">
        <f aca="false">G406*(1-H$403)+G405*H$403</f>
        <v>0.208615644992695</v>
      </c>
      <c r="I406" s="2" t="n">
        <f aca="false">H406*(1-I$403)+H405*I$403</f>
        <v>0.151315194134628</v>
      </c>
      <c r="J406" s="2" t="n">
        <f aca="false">I406*(1-J$403)+I405*J$403</f>
        <v>0.11188362775625</v>
      </c>
      <c r="K406" s="2" t="n">
        <f aca="false">J406*(1-K$403)+J405*K$403</f>
        <v>0.046943610561239</v>
      </c>
      <c r="L406" s="2" t="n">
        <f aca="false">K406*(1-L$403)+K405*L$403</f>
        <v>0.0221876209380986</v>
      </c>
      <c r="M406" s="2" t="n">
        <f aca="false">L406*(1-M$403)+L405*M$403</f>
        <v>0.00245643669596587</v>
      </c>
      <c r="N406" s="2" t="n">
        <f aca="false">M406*(1-N$403)+M405*N$403</f>
        <v>0.00174212376956302</v>
      </c>
      <c r="O406" s="2" t="n">
        <f aca="false">N406*(1-O$403)+N405*O$403</f>
        <v>0.00174212376956302</v>
      </c>
    </row>
    <row r="407" customFormat="false" ht="15" hidden="false" customHeight="false" outlineLevel="0" collapsed="false">
      <c r="B407" s="2" t="n">
        <v>3</v>
      </c>
      <c r="C407" s="2" t="n">
        <f aca="false">0</f>
        <v>0</v>
      </c>
      <c r="D407" s="2" t="n">
        <f aca="false">C407*(1-D$403)+C406*D$403</f>
        <v>0</v>
      </c>
      <c r="E407" s="2" t="n">
        <f aca="false">D407*(1-E$403)+D406*E$403</f>
        <v>0.317098371614963</v>
      </c>
      <c r="F407" s="2" t="n">
        <f aca="false">E407*(1-F$403)+E406*F$403</f>
        <v>0.432436700649267</v>
      </c>
      <c r="G407" s="2" t="n">
        <f aca="false">F407*(1-G$403)+F406*G$403</f>
        <v>0.39407731529599</v>
      </c>
      <c r="H407" s="2" t="n">
        <f aca="false">G407*(1-H$403)+G406*H$403</f>
        <v>0.371956609689367</v>
      </c>
      <c r="I407" s="2" t="n">
        <f aca="false">H407*(1-I$403)+H406*I$403</f>
        <v>0.315672864550498</v>
      </c>
      <c r="J407" s="2" t="n">
        <f aca="false">I407*(1-J$403)+I406*J$403</f>
        <v>0.263140180311342</v>
      </c>
      <c r="K407" s="2" t="n">
        <f aca="false">J407*(1-K$403)+J406*K$403</f>
        <v>0.157229070971836</v>
      </c>
      <c r="L407" s="2" t="n">
        <f aca="false">K407*(1-L$403)+K406*L$403</f>
        <v>0.0906682656719083</v>
      </c>
      <c r="M407" s="2" t="n">
        <f aca="false">L407*(1-M$403)+L406*M$403</f>
        <v>0.0223916770455892</v>
      </c>
      <c r="N407" s="2" t="n">
        <f aca="false">M407*(1-N$403)+M406*N$403</f>
        <v>0.0165015881566203</v>
      </c>
      <c r="O407" s="2" t="n">
        <f aca="false">N407*(1-O$403)+N406*O$403</f>
        <v>0.0165015881566203</v>
      </c>
    </row>
    <row r="408" customFormat="false" ht="15" hidden="false" customHeight="false" outlineLevel="0" collapsed="false">
      <c r="B408" s="2" t="n">
        <v>4</v>
      </c>
      <c r="C408" s="2" t="n">
        <f aca="false">0</f>
        <v>0</v>
      </c>
      <c r="D408" s="2" t="n">
        <f aca="false">C408*(1-D$403)+C407*D$403</f>
        <v>0</v>
      </c>
      <c r="E408" s="2" t="n">
        <f aca="false">D408*(1-E$403)+D407*E$403</f>
        <v>0</v>
      </c>
      <c r="F408" s="2" t="n">
        <f aca="false">E408*(1-F$403)+E407*F$403</f>
        <v>0.191379016738997</v>
      </c>
      <c r="G408" s="2" t="n">
        <f aca="false">F408*(1-G$403)+F407*G$403</f>
        <v>0.264170613675673</v>
      </c>
      <c r="H408" s="2" t="n">
        <f aca="false">G408*(1-H$403)+G407*H$403</f>
        <v>0.282150733845332</v>
      </c>
      <c r="I408" s="2" t="n">
        <f aca="false">H408*(1-I$403)+H407*I$403</f>
        <v>0.313095886136829</v>
      </c>
      <c r="J408" s="2" t="n">
        <f aca="false">I408*(1-J$403)+I407*J$403</f>
        <v>0.313919550727316</v>
      </c>
      <c r="K408" s="2" t="n">
        <f aca="false">J408*(1-K$403)+J407*K$403</f>
        <v>0.278363408785243</v>
      </c>
      <c r="L408" s="2" t="n">
        <f aca="false">K408*(1-L$403)+K407*L$403</f>
        <v>0.205254958729218</v>
      </c>
      <c r="M408" s="2" t="n">
        <f aca="false">L408*(1-M$403)+L407*M$403</f>
        <v>0.0910097068871069</v>
      </c>
      <c r="N408" s="2" t="n">
        <f aca="false">M408*(1-N$403)+M407*N$403</f>
        <v>0.07073574539659</v>
      </c>
      <c r="O408" s="2" t="n">
        <f aca="false">N408*(1-O$403)+N407*O$403</f>
        <v>0.07073574539659</v>
      </c>
    </row>
    <row r="409" customFormat="false" ht="15" hidden="false" customHeight="false" outlineLevel="0" collapsed="false">
      <c r="B409" s="2" t="n">
        <v>5</v>
      </c>
      <c r="C409" s="2" t="n">
        <f aca="false">0</f>
        <v>0</v>
      </c>
      <c r="D409" s="2" t="n">
        <f aca="false">C409*(1-D$403)+C408*D$403</f>
        <v>0</v>
      </c>
      <c r="E409" s="2" t="n">
        <f aca="false">D409*(1-E$403)+D408*E$403</f>
        <v>0</v>
      </c>
      <c r="F409" s="2" t="n">
        <f aca="false">E409*(1-F$403)+E408*F$403</f>
        <v>0</v>
      </c>
      <c r="G409" s="2" t="n">
        <f aca="false">F409*(1-G$403)+F408*G$403</f>
        <v>0.0577902517879823</v>
      </c>
      <c r="H409" s="2" t="n">
        <f aca="false">G409*(1-H$403)+G408*H$403</f>
        <v>0.0863549344495737</v>
      </c>
      <c r="I409" s="2" t="n">
        <f aca="false">H409*(1-I$403)+H408*I$403</f>
        <v>0.153821910005378</v>
      </c>
      <c r="J409" s="2" t="n">
        <f aca="false">I409*(1-J$403)+I408*J$403</f>
        <v>0.20472972267063</v>
      </c>
      <c r="K409" s="2" t="n">
        <f aca="false">J409*(1-K$403)+J408*K$403</f>
        <v>0.281185357965249</v>
      </c>
      <c r="L409" s="2" t="n">
        <f aca="false">K409*(1-L$403)+K408*L$403</f>
        <v>0.279482221312082</v>
      </c>
      <c r="M409" s="2" t="n">
        <f aca="false">L409*(1-M$403)+L408*M$403</f>
        <v>0.205476138397301</v>
      </c>
      <c r="N409" s="2" t="n">
        <f aca="false">M409*(1-N$403)+M408*N$403</f>
        <v>0.171655755769667</v>
      </c>
      <c r="O409" s="2" t="n">
        <f aca="false">N409*(1-O$403)+N408*O$403</f>
        <v>0.171655755769667</v>
      </c>
    </row>
    <row r="410" customFormat="false" ht="15" hidden="false" customHeight="false" outlineLevel="0" collapsed="false">
      <c r="B410" s="2" t="n">
        <v>6</v>
      </c>
      <c r="C410" s="2" t="n">
        <f aca="false">0</f>
        <v>0</v>
      </c>
      <c r="D410" s="2" t="n">
        <f aca="false">C410*(1-D$403)+C409*D$403</f>
        <v>0</v>
      </c>
      <c r="E410" s="2" t="n">
        <f aca="false">D410*(1-E$403)+D409*E$403</f>
        <v>0</v>
      </c>
      <c r="F410" s="2" t="n">
        <f aca="false">E410*(1-F$403)+E409*F$403</f>
        <v>0</v>
      </c>
      <c r="G410" s="2" t="n">
        <f aca="false">F410*(1-G$403)+F409*G$403</f>
        <v>0</v>
      </c>
      <c r="H410" s="2" t="n">
        <f aca="false">G410*(1-H$403)+G409*H$403</f>
        <v>0.00799863023864404</v>
      </c>
      <c r="I410" s="2" t="n">
        <f aca="false">H410*(1-I$403)+H409*I$403</f>
        <v>0.0349985090774978</v>
      </c>
      <c r="J410" s="2" t="n">
        <f aca="false">I410*(1-J$403)+I409*J$403</f>
        <v>0.0729773401559179</v>
      </c>
      <c r="K410" s="2" t="n">
        <f aca="false">J410*(1-K$403)+J409*K$403</f>
        <v>0.165231465709743</v>
      </c>
      <c r="L410" s="2" t="n">
        <f aca="false">K410*(1-L$403)+K409*L$403</f>
        <v>0.235213351059391</v>
      </c>
      <c r="M410" s="2" t="n">
        <f aca="false">L410*(1-M$403)+L409*M$403</f>
        <v>0.279350310560046</v>
      </c>
      <c r="N410" s="2" t="n">
        <f aca="false">M410*(1-N$403)+M409*N$403</f>
        <v>0.257523363254352</v>
      </c>
      <c r="O410" s="2" t="n">
        <f aca="false">N410*(1-O$403)+N409*O$403</f>
        <v>0.257523363254352</v>
      </c>
    </row>
    <row r="411" customFormat="false" ht="15" hidden="false" customHeight="false" outlineLevel="0" collapsed="false">
      <c r="B411" s="2" t="n">
        <v>7</v>
      </c>
      <c r="C411" s="2" t="n">
        <f aca="false">0</f>
        <v>0</v>
      </c>
      <c r="D411" s="2" t="n">
        <f aca="false">C411*(1-D$403)+C410*D$403</f>
        <v>0</v>
      </c>
      <c r="E411" s="2" t="n">
        <f aca="false">D411*(1-E$403)+D410*E$403</f>
        <v>0</v>
      </c>
      <c r="F411" s="2" t="n">
        <f aca="false">E411*(1-F$403)+E410*F$403</f>
        <v>0</v>
      </c>
      <c r="G411" s="2" t="n">
        <f aca="false">F411*(1-G$403)+F410*G$403</f>
        <v>0</v>
      </c>
      <c r="H411" s="2" t="n">
        <f aca="false">G411*(1-H$403)+G410*H$403</f>
        <v>0</v>
      </c>
      <c r="I411" s="2" t="n">
        <f aca="false">H411*(1-I$403)+H410*I$403</f>
        <v>0.00275615407713496</v>
      </c>
      <c r="J411" s="2" t="n">
        <f aca="false">I411*(1-J$403)+I410*J$403</f>
        <v>0.0130615900818867</v>
      </c>
      <c r="K411" s="2" t="n">
        <f aca="false">J411*(1-K$403)+J410*K$403</f>
        <v>0.0550151018475205</v>
      </c>
      <c r="L411" s="2" t="n">
        <f aca="false">K411*(1-L$403)+K410*L$403</f>
        <v>0.121534205168909</v>
      </c>
      <c r="M411" s="2" t="n">
        <f aca="false">L411*(1-M$403)+L410*M$403</f>
        <v>0.234874614119874</v>
      </c>
      <c r="N411" s="2" t="n">
        <f aca="false">M411*(1-N$403)+M410*N$403</f>
        <v>0.248015454201913</v>
      </c>
      <c r="O411" s="2" t="n">
        <f aca="false">N411*(1-O$403)+N410*O$403</f>
        <v>0.248015454201913</v>
      </c>
    </row>
    <row r="412" customFormat="false" ht="15" hidden="false" customHeight="false" outlineLevel="0" collapsed="false">
      <c r="B412" s="2" t="n">
        <v>8</v>
      </c>
      <c r="C412" s="2" t="n">
        <f aca="false">0</f>
        <v>0</v>
      </c>
      <c r="D412" s="2" t="n">
        <f aca="false">C412*(1-D$403)+C411*D$403</f>
        <v>0</v>
      </c>
      <c r="E412" s="2" t="n">
        <f aca="false">D412*(1-E$403)+D411*E$403</f>
        <v>0</v>
      </c>
      <c r="F412" s="2" t="n">
        <f aca="false">E412*(1-F$403)+E411*F$403</f>
        <v>0</v>
      </c>
      <c r="G412" s="2" t="n">
        <f aca="false">F412*(1-G$403)+F411*G$403</f>
        <v>0</v>
      </c>
      <c r="H412" s="2" t="n">
        <f aca="false">G412*(1-H$403)+G411*H$403</f>
        <v>0</v>
      </c>
      <c r="I412" s="2" t="n">
        <f aca="false">H412*(1-I$403)+H411*I$403</f>
        <v>0</v>
      </c>
      <c r="J412" s="2" t="n">
        <f aca="false">I412*(1-J$403)+I411*J$403</f>
        <v>0.000880933463477788</v>
      </c>
      <c r="K412" s="2" t="n">
        <f aca="false">J412*(1-K$403)+J411*K$403</f>
        <v>0.00940993160039758</v>
      </c>
      <c r="L412" s="2" t="n">
        <f aca="false">K412*(1-L$403)+K411*L$403</f>
        <v>0.0369341115438594</v>
      </c>
      <c r="M412" s="2" t="n">
        <f aca="false">L412*(1-M$403)+L411*M$403</f>
        <v>0.121282116920243</v>
      </c>
      <c r="N412" s="2" t="n">
        <f aca="false">M412*(1-N$403)+M411*N$403</f>
        <v>0.154844285918041</v>
      </c>
      <c r="O412" s="2" t="n">
        <f aca="false">N412*(1-O$403)+N411*O$403</f>
        <v>0.154844285918041</v>
      </c>
    </row>
    <row r="413" customFormat="false" ht="15" hidden="false" customHeight="false" outlineLevel="0" collapsed="false">
      <c r="B413" s="2" t="n">
        <v>9</v>
      </c>
      <c r="C413" s="2" t="n">
        <f aca="false">0</f>
        <v>0</v>
      </c>
      <c r="D413" s="2" t="n">
        <f aca="false">C413*(1-D$403)+C412*D$403</f>
        <v>0</v>
      </c>
      <c r="E413" s="2" t="n">
        <f aca="false">D413*(1-E$403)+D412*E$403</f>
        <v>0</v>
      </c>
      <c r="F413" s="2" t="n">
        <f aca="false">E413*(1-F$403)+E412*F$403</f>
        <v>0</v>
      </c>
      <c r="G413" s="2" t="n">
        <f aca="false">F413*(1-G$403)+F412*G$403</f>
        <v>0</v>
      </c>
      <c r="H413" s="2" t="n">
        <f aca="false">G413*(1-H$403)+G412*H$403</f>
        <v>0</v>
      </c>
      <c r="I413" s="2" t="n">
        <f aca="false">H413*(1-I$403)+H412*I$403</f>
        <v>0</v>
      </c>
      <c r="J413" s="2" t="n">
        <f aca="false">I413*(1-J$403)+I412*J$403</f>
        <v>0</v>
      </c>
      <c r="K413" s="2" t="n">
        <f aca="false">J413*(1-K$403)+J412*K$403</f>
        <v>0.000616837014960018</v>
      </c>
      <c r="L413" s="2" t="n">
        <f aca="false">K413*(1-L$403)+K412*L$403</f>
        <v>0.00592375104067252</v>
      </c>
      <c r="M413" s="2" t="n">
        <f aca="false">L413*(1-M$403)+L412*M$403</f>
        <v>0.0368417080117262</v>
      </c>
      <c r="N413" s="2" t="n">
        <f aca="false">M413*(1-N$403)+M412*N$403</f>
        <v>0.061790567697857</v>
      </c>
      <c r="O413" s="2" t="n">
        <f aca="false">N413*(1-O$403)+N412*O$403</f>
        <v>0.061790567697857</v>
      </c>
    </row>
    <row r="414" customFormat="false" ht="15" hidden="false" customHeight="false" outlineLevel="0" collapsed="false">
      <c r="B414" s="2" t="n">
        <v>10</v>
      </c>
      <c r="C414" s="2" t="n">
        <f aca="false">0</f>
        <v>0</v>
      </c>
      <c r="D414" s="2" t="n">
        <f aca="false">C414*(1-D$403)+C413*D$403</f>
        <v>0</v>
      </c>
      <c r="E414" s="2" t="n">
        <f aca="false">D414*(1-E$403)+D413*E$403</f>
        <v>0</v>
      </c>
      <c r="F414" s="2" t="n">
        <f aca="false">E414*(1-F$403)+E413*F$403</f>
        <v>0</v>
      </c>
      <c r="G414" s="2" t="n">
        <f aca="false">F414*(1-G$403)+F413*G$403</f>
        <v>0</v>
      </c>
      <c r="H414" s="2" t="n">
        <f aca="false">G414*(1-H$403)+G413*H$403</f>
        <v>0</v>
      </c>
      <c r="I414" s="2" t="n">
        <f aca="false">H414*(1-I$403)+H413*I$403</f>
        <v>0</v>
      </c>
      <c r="J414" s="2" t="n">
        <f aca="false">I414*(1-J$403)+I413*J$403</f>
        <v>0</v>
      </c>
      <c r="K414" s="2" t="n">
        <f aca="false">J414*(1-K$403)+J413*K$403</f>
        <v>0</v>
      </c>
      <c r="L414" s="2" t="n">
        <f aca="false">K414*(1-L$403)+K413*L$403</f>
        <v>0.00037228088182871</v>
      </c>
      <c r="M414" s="2" t="n">
        <f aca="false">L414*(1-M$403)+L413*M$403</f>
        <v>0.00590720897399269</v>
      </c>
      <c r="N414" s="2" t="n">
        <f aca="false">M414*(1-N$403)+M413*N$403</f>
        <v>0.0150471514011938</v>
      </c>
      <c r="O414" s="2" t="n">
        <f aca="false">N414*(1-O$403)+N413*O$403</f>
        <v>0.0150471514011938</v>
      </c>
    </row>
    <row r="415" customFormat="false" ht="15" hidden="false" customHeight="false" outlineLevel="0" collapsed="false">
      <c r="B415" s="2" t="n">
        <v>11</v>
      </c>
      <c r="C415" s="2" t="n">
        <f aca="false">0</f>
        <v>0</v>
      </c>
      <c r="D415" s="2" t="n">
        <f aca="false">C415*(1-D$403)+C414*D$403</f>
        <v>0</v>
      </c>
      <c r="E415" s="2" t="n">
        <f aca="false">D415*(1-E$403)+D414*E$403</f>
        <v>0</v>
      </c>
      <c r="F415" s="2" t="n">
        <f aca="false">E415*(1-F$403)+E414*F$403</f>
        <v>0</v>
      </c>
      <c r="G415" s="2" t="n">
        <f aca="false">F415*(1-G$403)+F414*G$403</f>
        <v>0</v>
      </c>
      <c r="H415" s="2" t="n">
        <f aca="false">G415*(1-H$403)+G414*H$403</f>
        <v>0</v>
      </c>
      <c r="I415" s="2" t="n">
        <f aca="false">H415*(1-I$403)+H414*I$403</f>
        <v>0</v>
      </c>
      <c r="J415" s="2" t="n">
        <f aca="false">I415*(1-J$403)+I414*J$403</f>
        <v>0</v>
      </c>
      <c r="K415" s="2" t="n">
        <f aca="false">J415*(1-K$403)+J414*K$403</f>
        <v>0</v>
      </c>
      <c r="L415" s="2" t="n">
        <f aca="false">K415*(1-L$403)+K414*L$403</f>
        <v>0</v>
      </c>
      <c r="M415" s="2" t="n">
        <f aca="false">L415*(1-M$403)+L414*M$403</f>
        <v>0.000371171572943923</v>
      </c>
      <c r="N415" s="2" t="n">
        <f aca="false">M415*(1-N$403)+M414*N$403</f>
        <v>0.00200685550817423</v>
      </c>
      <c r="O415" s="2" t="n">
        <f aca="false">N415*(1-O$403)+N414*O$403</f>
        <v>0.00200685550817423</v>
      </c>
    </row>
    <row r="416" customFormat="false" ht="15" hidden="false" customHeight="false" outlineLevel="0" collapsed="false">
      <c r="B416" s="2" t="n">
        <v>12</v>
      </c>
      <c r="C416" s="2" t="n">
        <f aca="false">0</f>
        <v>0</v>
      </c>
      <c r="D416" s="2" t="n">
        <f aca="false">C416*(1-D$403)+C415*D$403</f>
        <v>0</v>
      </c>
      <c r="E416" s="2" t="n">
        <f aca="false">D416*(1-E$403)+D415*E$403</f>
        <v>0</v>
      </c>
      <c r="F416" s="2" t="n">
        <f aca="false">E416*(1-F$403)+E415*F$403</f>
        <v>0</v>
      </c>
      <c r="G416" s="2" t="n">
        <f aca="false">F416*(1-G$403)+F415*G$403</f>
        <v>0</v>
      </c>
      <c r="H416" s="2" t="n">
        <f aca="false">G416*(1-H$403)+G415*H$403</f>
        <v>0</v>
      </c>
      <c r="I416" s="2" t="n">
        <f aca="false">H416*(1-I$403)+H415*I$403</f>
        <v>0</v>
      </c>
      <c r="J416" s="2" t="n">
        <f aca="false">I416*(1-J$403)+I415*J$403</f>
        <v>0</v>
      </c>
      <c r="K416" s="2" t="n">
        <f aca="false">J416*(1-K$403)+J415*K$403</f>
        <v>0</v>
      </c>
      <c r="L416" s="2" t="n">
        <f aca="false">K416*(1-L$403)+K415*L$403</f>
        <v>0</v>
      </c>
      <c r="M416" s="2" t="n">
        <f aca="false">L416*(1-M$403)+L415*M$403</f>
        <v>0</v>
      </c>
      <c r="N416" s="2" t="n">
        <f aca="false">M416*(1-N$403)+M415*N$403</f>
        <v>0.000109666776991702</v>
      </c>
      <c r="O416" s="2" t="n">
        <f aca="false">N416*(1-O$403)+N415*O$403</f>
        <v>0.000109666776991702</v>
      </c>
    </row>
    <row r="417" customFormat="false" ht="15" hidden="false" customHeight="false" outlineLevel="0" collapsed="false">
      <c r="B417" s="2" t="n">
        <v>13</v>
      </c>
      <c r="C417" s="2" t="n">
        <f aca="false">0</f>
        <v>0</v>
      </c>
      <c r="D417" s="2" t="n">
        <f aca="false">C417*(1-D$403)+C416*D$403</f>
        <v>0</v>
      </c>
      <c r="E417" s="2" t="n">
        <f aca="false">D417*(1-E$403)+D416*E$403</f>
        <v>0</v>
      </c>
      <c r="F417" s="2" t="n">
        <f aca="false">E417*(1-F$403)+E416*F$403</f>
        <v>0</v>
      </c>
      <c r="G417" s="2" t="n">
        <f aca="false">F417*(1-G$403)+F416*G$403</f>
        <v>0</v>
      </c>
      <c r="H417" s="2" t="n">
        <f aca="false">G417*(1-H$403)+G416*H$403</f>
        <v>0</v>
      </c>
      <c r="I417" s="2" t="n">
        <f aca="false">H417*(1-I$403)+H416*I$403</f>
        <v>0</v>
      </c>
      <c r="J417" s="2" t="n">
        <f aca="false">I417*(1-J$403)+I416*J$403</f>
        <v>0</v>
      </c>
      <c r="K417" s="2" t="n">
        <f aca="false">J417*(1-K$403)+J416*K$403</f>
        <v>0</v>
      </c>
      <c r="L417" s="2" t="n">
        <f aca="false">K417*(1-L$403)+K416*L$403</f>
        <v>0</v>
      </c>
      <c r="M417" s="2" t="n">
        <f aca="false">L417*(1-M$403)+L416*M$403</f>
        <v>0</v>
      </c>
      <c r="N417" s="2" t="n">
        <f aca="false">M417*(1-N$403)+M416*N$403</f>
        <v>0</v>
      </c>
      <c r="O417" s="2" t="n">
        <f aca="false">N417*(1-O$403)+N416*O$403</f>
        <v>0</v>
      </c>
    </row>
    <row r="419" customFormat="false" ht="15" hidden="false" customHeight="false" outlineLevel="0" collapsed="false">
      <c r="A419" s="1" t="s">
        <v>84</v>
      </c>
      <c r="C419" s="2" t="n">
        <f aca="false">Schedule!G28</f>
        <v>0.367870006071477</v>
      </c>
      <c r="D419" s="2" t="n">
        <f aca="false">Schedule!L28</f>
        <v>0.975865925995275</v>
      </c>
      <c r="E419" s="2" t="n">
        <f aca="false">Schedule!Q28</f>
        <v>0.537346124555327</v>
      </c>
      <c r="F419" s="2" t="n">
        <f aca="false">Schedule!V28</f>
        <v>0.73810039502306</v>
      </c>
      <c r="G419" s="2" t="n">
        <f aca="false">Schedule!AA28</f>
        <v>0.571914324931446</v>
      </c>
      <c r="H419" s="2" t="n">
        <f aca="false">Schedule!AF28</f>
        <v>0.610740671392063</v>
      </c>
      <c r="I419" s="2" t="n">
        <f aca="false">Schedule!AK28</f>
        <v>0.744168358652066</v>
      </c>
      <c r="J419" s="2" t="n">
        <f aca="false">Schedule!AP28</f>
        <v>0.839827703080392</v>
      </c>
      <c r="K419" s="2" t="n">
        <f aca="false">Schedule!AU28</f>
        <v>0.567003355806672</v>
      </c>
      <c r="L419" s="2" t="n">
        <f aca="false">Schedule!AZ28</f>
        <v>0.625041951918781</v>
      </c>
      <c r="M419" s="2" t="n">
        <f aca="false">Schedule!BE28</f>
        <v>0.678138598836346</v>
      </c>
      <c r="N419" s="2" t="n">
        <f aca="false">Schedule!BJ28</f>
        <v>0.584141511109092</v>
      </c>
      <c r="O419" s="2" t="n">
        <f aca="false">Schedule!BO28</f>
        <v>0</v>
      </c>
    </row>
    <row r="420" customFormat="false" ht="15" hidden="false" customHeight="false" outlineLevel="0" collapsed="false">
      <c r="B420" s="2" t="n">
        <v>0</v>
      </c>
      <c r="C420" s="2" t="n">
        <f aca="false">1-C$419</f>
        <v>0.632129993928523</v>
      </c>
      <c r="D420" s="2" t="n">
        <f aca="false">C420*(1-D$419)</f>
        <v>0.0152558720540772</v>
      </c>
      <c r="E420" s="2" t="n">
        <f aca="false">D420*(1-E$419)</f>
        <v>0.00705818832910691</v>
      </c>
      <c r="F420" s="2" t="n">
        <f aca="false">E420*(1-F$419)</f>
        <v>0.00184853673524595</v>
      </c>
      <c r="G420" s="2" t="n">
        <f aca="false">F420*(1-G$419)</f>
        <v>0.000791332096196782</v>
      </c>
      <c r="H420" s="2" t="n">
        <f aca="false">G420*(1-H$419)</f>
        <v>0.000308033400471471</v>
      </c>
      <c r="I420" s="2" t="n">
        <f aca="false">H420*(1-I$419)</f>
        <v>7.88046904326019E-005</v>
      </c>
      <c r="J420" s="2" t="n">
        <f aca="false">I420*(1-J$419)</f>
        <v>1.26223282746285E-005</v>
      </c>
      <c r="K420" s="2" t="n">
        <f aca="false">J420*(1-K$419)</f>
        <v>5.46542578482072E-006</v>
      </c>
      <c r="L420" s="2" t="n">
        <f aca="false">K420*(1-L$419)</f>
        <v>2.04930538420914E-006</v>
      </c>
      <c r="M420" s="2" t="n">
        <f aca="false">L420*(1-M$419)</f>
        <v>6.59592302373774E-007</v>
      </c>
      <c r="N420" s="2" t="n">
        <f aca="false">M420*(1-N$419)</f>
        <v>2.74297058149232E-007</v>
      </c>
      <c r="O420" s="2" t="n">
        <f aca="false">N420*(1-O$419)</f>
        <v>2.74297058149232E-007</v>
      </c>
    </row>
    <row r="421" customFormat="false" ht="15" hidden="false" customHeight="false" outlineLevel="0" collapsed="false">
      <c r="B421" s="2" t="n">
        <v>1</v>
      </c>
      <c r="C421" s="2" t="n">
        <f aca="false">C$419</f>
        <v>0.367870006071477</v>
      </c>
      <c r="D421" s="2" t="n">
        <f aca="false">C421*(1-D$419)+C420*D$419</f>
        <v>0.625752323825093</v>
      </c>
      <c r="E421" s="2" t="n">
        <f aca="false">D421*(1-E$419)+D420*E$419</f>
        <v>0.29770442141116</v>
      </c>
      <c r="F421" s="2" t="n">
        <f aca="false">E421*(1-F$419)+E420*F$419</f>
        <v>0.0831783219613322</v>
      </c>
      <c r="G421" s="2" t="n">
        <f aca="false">F421*(1-G$419)+F420*G$419</f>
        <v>0.0366646527469356</v>
      </c>
      <c r="H421" s="2" t="n">
        <f aca="false">G421*(1-H$419)+G420*H$419</f>
        <v>0.0147553568076406</v>
      </c>
      <c r="I421" s="2" t="n">
        <f aca="false">H421*(1-I$419)+H420*I$419</f>
        <v>0.00400411586081198</v>
      </c>
      <c r="J421" s="2" t="n">
        <f aca="false">I421*(1-J$419)+I420*J$419</f>
        <v>0.000707530796716464</v>
      </c>
      <c r="K421" s="2" t="n">
        <f aca="false">J421*(1-K$419)+J420*K$419</f>
        <v>0.000313515363131468</v>
      </c>
      <c r="L421" s="2" t="n">
        <f aca="false">K421*(1-L$419)+K420*L$419</f>
        <v>0.000120971229003861</v>
      </c>
      <c r="M421" s="2" t="n">
        <f aca="false">L421*(1-M$419)+L420*M$419</f>
        <v>4.03256823495075E-005</v>
      </c>
      <c r="N421" s="2" t="n">
        <f aca="false">M421*(1-N$419)+M420*N$419</f>
        <v>1.71550725695855E-005</v>
      </c>
      <c r="O421" s="2" t="n">
        <f aca="false">N421*(1-O$419)+N420*O$419</f>
        <v>1.71550725695855E-005</v>
      </c>
    </row>
    <row r="422" customFormat="false" ht="15" hidden="false" customHeight="false" outlineLevel="0" collapsed="false">
      <c r="B422" s="2" t="n">
        <v>2</v>
      </c>
      <c r="C422" s="2" t="n">
        <f aca="false">0</f>
        <v>0</v>
      </c>
      <c r="D422" s="2" t="n">
        <f aca="false">C422*(1-D$419)+C421*D$419</f>
        <v>0.358991804120829</v>
      </c>
      <c r="E422" s="2" t="n">
        <f aca="false">D422*(1-E$419)+D421*E$419</f>
        <v>0.502334535568281</v>
      </c>
      <c r="F422" s="2" t="n">
        <f aca="false">E422*(1-F$419)+E421*F$419</f>
        <v>0.351296967475296</v>
      </c>
      <c r="G422" s="2" t="n">
        <f aca="false">F422*(1-G$419)+F421*G$419</f>
        <v>0.197956073324644</v>
      </c>
      <c r="H422" s="2" t="n">
        <f aca="false">G422*(1-H$419)+G421*H$419</f>
        <v>0.0994488428312347</v>
      </c>
      <c r="I422" s="2" t="n">
        <f aca="false">H422*(1-I$419)+H421*I$419</f>
        <v>0.036422630348535</v>
      </c>
      <c r="J422" s="2" t="n">
        <f aca="false">I422*(1-J$419)+I421*J$419</f>
        <v>0.00919666378903218</v>
      </c>
      <c r="K422" s="2" t="n">
        <f aca="false">J422*(1-K$419)+J421*K$419</f>
        <v>0.00438329689450004</v>
      </c>
      <c r="L422" s="2" t="n">
        <f aca="false">K422*(1-L$419)+K421*L$419</f>
        <v>0.00183951270225042</v>
      </c>
      <c r="M422" s="2" t="n">
        <f aca="false">L422*(1-M$419)+L421*M$419</f>
        <v>0.000674103395540849</v>
      </c>
      <c r="N422" s="2" t="n">
        <f aca="false">M422*(1-N$419)+M421*N$419</f>
        <v>0.000303887524449994</v>
      </c>
      <c r="O422" s="2" t="n">
        <f aca="false">N422*(1-O$419)+N421*O$419</f>
        <v>0.000303887524449994</v>
      </c>
    </row>
    <row r="423" customFormat="false" ht="15" hidden="false" customHeight="false" outlineLevel="0" collapsed="false">
      <c r="B423" s="2" t="n">
        <v>3</v>
      </c>
      <c r="C423" s="2" t="n">
        <f aca="false">0</f>
        <v>0</v>
      </c>
      <c r="D423" s="2" t="n">
        <f aca="false">C423*(1-D$419)+C422*D$419</f>
        <v>0</v>
      </c>
      <c r="E423" s="2" t="n">
        <f aca="false">D423*(1-E$419)+D422*E$419</f>
        <v>0.192902854691453</v>
      </c>
      <c r="F423" s="2" t="n">
        <f aca="false">E423*(1-F$419)+E422*F$419</f>
        <v>0.421294500579289</v>
      </c>
      <c r="G423" s="2" t="n">
        <f aca="false">F423*(1-G$419)+F422*G$419</f>
        <v>0.381261908687252</v>
      </c>
      <c r="H423" s="2" t="n">
        <f aca="false">G423*(1-H$419)+G422*H$419</f>
        <v>0.26930957972781</v>
      </c>
      <c r="I423" s="2" t="n">
        <f aca="false">H423*(1-I$419)+H422*I$419</f>
        <v>0.142904593952055</v>
      </c>
      <c r="J423" s="2" t="n">
        <f aca="false">I423*(1-J$419)+I422*J$419</f>
        <v>0.053478091039421</v>
      </c>
      <c r="K423" s="2" t="n">
        <f aca="false">J423*(1-K$419)+J422*K$419</f>
        <v>0.0283703731885415</v>
      </c>
      <c r="L423" s="2" t="n">
        <f aca="false">K423*(1-L$419)+K422*L$419</f>
        <v>0.0133774442008891</v>
      </c>
      <c r="M423" s="2" t="n">
        <f aca="false">L423*(1-M$419)+L422*M$419</f>
        <v>0.00555312750093253</v>
      </c>
      <c r="N423" s="2" t="n">
        <f aca="false">M423*(1-N$419)+M422*N$419</f>
        <v>0.00270308698727134</v>
      </c>
      <c r="O423" s="2" t="n">
        <f aca="false">N423*(1-O$419)+N422*O$419</f>
        <v>0.00270308698727134</v>
      </c>
    </row>
    <row r="424" customFormat="false" ht="15" hidden="false" customHeight="false" outlineLevel="0" collapsed="false">
      <c r="B424" s="2" t="n">
        <v>4</v>
      </c>
      <c r="C424" s="2" t="n">
        <f aca="false">0</f>
        <v>0</v>
      </c>
      <c r="D424" s="2" t="n">
        <f aca="false">C424*(1-D$419)+C423*D$419</f>
        <v>0</v>
      </c>
      <c r="E424" s="2" t="n">
        <f aca="false">D424*(1-E$419)+D423*E$419</f>
        <v>0</v>
      </c>
      <c r="F424" s="2" t="n">
        <f aca="false">E424*(1-F$419)+E423*F$419</f>
        <v>0.142381673248837</v>
      </c>
      <c r="G424" s="2" t="n">
        <f aca="false">F424*(1-G$419)+F423*G$419</f>
        <v>0.301895914606253</v>
      </c>
      <c r="H424" s="2" t="n">
        <f aca="false">G424*(1-H$419)+G423*H$419</f>
        <v>0.350367955116981</v>
      </c>
      <c r="I424" s="2" t="n">
        <f aca="false">H424*(1-I$419)+H423*I$419</f>
        <v>0.290046876948618</v>
      </c>
      <c r="J424" s="2" t="n">
        <f aca="false">I424*(1-J$419)+I423*J$419</f>
        <v>0.16647271139361</v>
      </c>
      <c r="K424" s="2" t="n">
        <f aca="false">J424*(1-K$419)+J423*K$419</f>
        <v>0.102404382464684</v>
      </c>
      <c r="L424" s="2" t="n">
        <f aca="false">K424*(1-L$419)+K423*L$419</f>
        <v>0.0561300207983507</v>
      </c>
      <c r="M424" s="2" t="n">
        <f aca="false">L424*(1-M$419)+L423*M$419</f>
        <v>0.0271378484079045</v>
      </c>
      <c r="N424" s="2" t="n">
        <f aca="false">M424*(1-N$419)+M423*N$419</f>
        <v>0.0145293169204379</v>
      </c>
      <c r="O424" s="2" t="n">
        <f aca="false">N424*(1-O$419)+N423*O$419</f>
        <v>0.0145293169204379</v>
      </c>
    </row>
    <row r="425" customFormat="false" ht="15" hidden="false" customHeight="false" outlineLevel="0" collapsed="false">
      <c r="B425" s="2" t="n">
        <v>5</v>
      </c>
      <c r="C425" s="2" t="n">
        <f aca="false">0</f>
        <v>0</v>
      </c>
      <c r="D425" s="2" t="n">
        <f aca="false">C425*(1-D$419)+C424*D$419</f>
        <v>0</v>
      </c>
      <c r="E425" s="2" t="n">
        <f aca="false">D425*(1-E$419)+D424*E$419</f>
        <v>0</v>
      </c>
      <c r="F425" s="2" t="n">
        <f aca="false">E425*(1-F$419)+E424*F$419</f>
        <v>0</v>
      </c>
      <c r="G425" s="2" t="n">
        <f aca="false">F425*(1-G$419)+F424*G$419</f>
        <v>0.0814301185387184</v>
      </c>
      <c r="H425" s="2" t="n">
        <f aca="false">G425*(1-H$419)+G424*H$419</f>
        <v>0.21607754684799</v>
      </c>
      <c r="I425" s="2" t="n">
        <f aca="false">H425*(1-I$419)+H424*I$419</f>
        <v>0.316012219552241</v>
      </c>
      <c r="J425" s="2" t="n">
        <f aca="false">I425*(1-J$419)+I424*J$419</f>
        <v>0.294205805513745</v>
      </c>
      <c r="K425" s="2" t="n">
        <f aca="false">J425*(1-K$419)+J424*K$419</f>
        <v>0.221780712500059</v>
      </c>
      <c r="L425" s="2" t="n">
        <f aca="false">K425*(1-L$419)+K424*L$419</f>
        <v>0.147165498161847</v>
      </c>
      <c r="M425" s="2" t="n">
        <f aca="false">L425*(1-M$419)+L424*M$419</f>
        <v>0.0854308270981679</v>
      </c>
      <c r="N425" s="2" t="n">
        <f aca="false">M425*(1-N$419)+M424*N$419</f>
        <v>0.0513794784389873</v>
      </c>
      <c r="O425" s="2" t="n">
        <f aca="false">N425*(1-O$419)+N424*O$419</f>
        <v>0.0513794784389873</v>
      </c>
    </row>
    <row r="426" customFormat="false" ht="15" hidden="false" customHeight="false" outlineLevel="0" collapsed="false">
      <c r="B426" s="2" t="n">
        <v>6</v>
      </c>
      <c r="C426" s="2" t="n">
        <f aca="false">0</f>
        <v>0</v>
      </c>
      <c r="D426" s="2" t="n">
        <f aca="false">C426*(1-D$419)+C425*D$419</f>
        <v>0</v>
      </c>
      <c r="E426" s="2" t="n">
        <f aca="false">D426*(1-E$419)+D425*E$419</f>
        <v>0</v>
      </c>
      <c r="F426" s="2" t="n">
        <f aca="false">E426*(1-F$419)+E425*F$419</f>
        <v>0</v>
      </c>
      <c r="G426" s="2" t="n">
        <f aca="false">F426*(1-G$419)+F425*G$419</f>
        <v>0</v>
      </c>
      <c r="H426" s="2" t="n">
        <f aca="false">G426*(1-H$419)+G425*H$419</f>
        <v>0.0497326852678721</v>
      </c>
      <c r="I426" s="2" t="n">
        <f aca="false">H426*(1-I$419)+H425*I$419</f>
        <v>0.173521267880154</v>
      </c>
      <c r="J426" s="2" t="n">
        <f aca="false">I426*(1-J$419)+I425*J$419</f>
        <v>0.293189116532662</v>
      </c>
      <c r="K426" s="2" t="n">
        <f aca="false">J426*(1-K$419)+J425*K$419</f>
        <v>0.293765582596748</v>
      </c>
      <c r="L426" s="2" t="n">
        <f aca="false">K426*(1-L$419)+K425*L$419</f>
        <v>0.248772018882893</v>
      </c>
      <c r="M426" s="2" t="n">
        <f aca="false">L426*(1-M$419)+L425*M$419</f>
        <v>0.179868715288487</v>
      </c>
      <c r="N426" s="2" t="n">
        <f aca="false">M426*(1-N$419)+M425*N$419</f>
        <v>0.124703624575043</v>
      </c>
      <c r="O426" s="2" t="n">
        <f aca="false">N426*(1-O$419)+N425*O$419</f>
        <v>0.124703624575043</v>
      </c>
    </row>
    <row r="427" customFormat="false" ht="15" hidden="false" customHeight="false" outlineLevel="0" collapsed="false">
      <c r="B427" s="2" t="n">
        <v>7</v>
      </c>
      <c r="C427" s="2" t="n">
        <f aca="false">0</f>
        <v>0</v>
      </c>
      <c r="D427" s="2" t="n">
        <f aca="false">C427*(1-D$419)+C426*D$419</f>
        <v>0</v>
      </c>
      <c r="E427" s="2" t="n">
        <f aca="false">D427*(1-E$419)+D426*E$419</f>
        <v>0</v>
      </c>
      <c r="F427" s="2" t="n">
        <f aca="false">E427*(1-F$419)+E426*F$419</f>
        <v>0</v>
      </c>
      <c r="G427" s="2" t="n">
        <f aca="false">F427*(1-G$419)+F426*G$419</f>
        <v>0</v>
      </c>
      <c r="H427" s="2" t="n">
        <f aca="false">G427*(1-H$419)+G426*H$419</f>
        <v>0</v>
      </c>
      <c r="I427" s="2" t="n">
        <f aca="false">H427*(1-I$419)+H426*I$419</f>
        <v>0.0370094907671522</v>
      </c>
      <c r="J427" s="2" t="n">
        <f aca="false">I427*(1-J$419)+I426*J$419</f>
        <v>0.151655862983387</v>
      </c>
      <c r="K427" s="2" t="n">
        <f aca="false">J427*(1-K$419)+J426*K$419</f>
        <v>0.231905692704062</v>
      </c>
      <c r="L427" s="2" t="n">
        <f aca="false">K427*(1-L$419)+K426*L$419</f>
        <v>0.270570719028067</v>
      </c>
      <c r="M427" s="2" t="n">
        <f aca="false">L427*(1-M$419)+L426*M$419</f>
        <v>0.255788179055166</v>
      </c>
      <c r="N427" s="2" t="n">
        <f aca="false">M427*(1-N$419)+M426*N$419</f>
        <v>0.211440468767906</v>
      </c>
      <c r="O427" s="2" t="n">
        <f aca="false">N427*(1-O$419)+N426*O$419</f>
        <v>0.211440468767906</v>
      </c>
    </row>
    <row r="428" customFormat="false" ht="15" hidden="false" customHeight="false" outlineLevel="0" collapsed="false">
      <c r="B428" s="2" t="n">
        <v>8</v>
      </c>
      <c r="C428" s="2" t="n">
        <f aca="false">0</f>
        <v>0</v>
      </c>
      <c r="D428" s="2" t="n">
        <f aca="false">C428*(1-D$419)+C427*D$419</f>
        <v>0</v>
      </c>
      <c r="E428" s="2" t="n">
        <f aca="false">D428*(1-E$419)+D427*E$419</f>
        <v>0</v>
      </c>
      <c r="F428" s="2" t="n">
        <f aca="false">E428*(1-F$419)+E427*F$419</f>
        <v>0</v>
      </c>
      <c r="G428" s="2" t="n">
        <f aca="false">F428*(1-G$419)+F427*G$419</f>
        <v>0</v>
      </c>
      <c r="H428" s="2" t="n">
        <f aca="false">G428*(1-H$419)+G427*H$419</f>
        <v>0</v>
      </c>
      <c r="I428" s="2" t="n">
        <f aca="false">H428*(1-I$419)+H427*I$419</f>
        <v>0</v>
      </c>
      <c r="J428" s="2" t="n">
        <f aca="false">I428*(1-J$419)+I427*J$419</f>
        <v>0.0310815956231524</v>
      </c>
      <c r="K428" s="2" t="n">
        <f aca="false">J428*(1-K$419)+J427*K$419</f>
        <v>0.0994476098403361</v>
      </c>
      <c r="L428" s="2" t="n">
        <f aca="false">K428*(1-L$419)+K427*L$419</f>
        <v>0.182239468500899</v>
      </c>
      <c r="M428" s="2" t="n">
        <f aca="false">L428*(1-M$419)+L427*M$419</f>
        <v>0.242140298966855</v>
      </c>
      <c r="N428" s="2" t="n">
        <f aca="false">M428*(1-N$419)+M427*N$419</f>
        <v>0.250112592265077</v>
      </c>
      <c r="O428" s="2" t="n">
        <f aca="false">N428*(1-O$419)+N427*O$419</f>
        <v>0.250112592265077</v>
      </c>
    </row>
    <row r="429" customFormat="false" ht="15" hidden="false" customHeight="false" outlineLevel="0" collapsed="false">
      <c r="B429" s="2" t="n">
        <v>9</v>
      </c>
      <c r="C429" s="2" t="n">
        <f aca="false">0</f>
        <v>0</v>
      </c>
      <c r="D429" s="2" t="n">
        <f aca="false">C429*(1-D$419)+C428*D$419</f>
        <v>0</v>
      </c>
      <c r="E429" s="2" t="n">
        <f aca="false">D429*(1-E$419)+D428*E$419</f>
        <v>0</v>
      </c>
      <c r="F429" s="2" t="n">
        <f aca="false">E429*(1-F$419)+E428*F$419</f>
        <v>0</v>
      </c>
      <c r="G429" s="2" t="n">
        <f aca="false">F429*(1-G$419)+F428*G$419</f>
        <v>0</v>
      </c>
      <c r="H429" s="2" t="n">
        <f aca="false">G429*(1-H$419)+G428*H$419</f>
        <v>0</v>
      </c>
      <c r="I429" s="2" t="n">
        <f aca="false">H429*(1-I$419)+H428*I$419</f>
        <v>0</v>
      </c>
      <c r="J429" s="2" t="n">
        <f aca="false">I429*(1-J$419)+I428*J$419</f>
        <v>0</v>
      </c>
      <c r="K429" s="2" t="n">
        <f aca="false">J429*(1-K$419)+J428*K$419</f>
        <v>0.0176233690221534</v>
      </c>
      <c r="L429" s="2" t="n">
        <f aca="false">K429*(1-L$419)+K428*L$419</f>
        <v>0.0687669522174227</v>
      </c>
      <c r="M429" s="2" t="n">
        <f aca="false">L429*(1-M$419)+L428*M$419</f>
        <v>0.145717045416334</v>
      </c>
      <c r="N429" s="2" t="n">
        <f aca="false">M429*(1-N$419)+M428*N$419</f>
        <v>0.202041870451391</v>
      </c>
      <c r="O429" s="2" t="n">
        <f aca="false">N429*(1-O$419)+N428*O$419</f>
        <v>0.202041870451391</v>
      </c>
    </row>
    <row r="430" customFormat="false" ht="15" hidden="false" customHeight="false" outlineLevel="0" collapsed="false">
      <c r="B430" s="2" t="n">
        <v>10</v>
      </c>
      <c r="C430" s="2" t="n">
        <f aca="false">0</f>
        <v>0</v>
      </c>
      <c r="D430" s="2" t="n">
        <f aca="false">C430*(1-D$419)+C429*D$419</f>
        <v>0</v>
      </c>
      <c r="E430" s="2" t="n">
        <f aca="false">D430*(1-E$419)+D429*E$419</f>
        <v>0</v>
      </c>
      <c r="F430" s="2" t="n">
        <f aca="false">E430*(1-F$419)+E429*F$419</f>
        <v>0</v>
      </c>
      <c r="G430" s="2" t="n">
        <f aca="false">F430*(1-G$419)+F429*G$419</f>
        <v>0</v>
      </c>
      <c r="H430" s="2" t="n">
        <f aca="false">G430*(1-H$419)+G429*H$419</f>
        <v>0</v>
      </c>
      <c r="I430" s="2" t="n">
        <f aca="false">H430*(1-I$419)+H429*I$419</f>
        <v>0</v>
      </c>
      <c r="J430" s="2" t="n">
        <f aca="false">I430*(1-J$419)+I429*J$419</f>
        <v>0</v>
      </c>
      <c r="K430" s="2" t="n">
        <f aca="false">J430*(1-K$419)+J429*K$419</f>
        <v>0</v>
      </c>
      <c r="L430" s="2" t="n">
        <f aca="false">K430*(1-L$419)+K429*L$419</f>
        <v>0.0110153449729917</v>
      </c>
      <c r="M430" s="2" t="n">
        <f aca="false">L430*(1-M$419)+L429*M$419</f>
        <v>0.0501789389902771</v>
      </c>
      <c r="N430" s="2" t="n">
        <f aca="false">M430*(1-N$419)+M429*N$419</f>
        <v>0.105986712846495</v>
      </c>
      <c r="O430" s="2" t="n">
        <f aca="false">N430*(1-O$419)+N429*O$419</f>
        <v>0.105986712846495</v>
      </c>
    </row>
    <row r="431" customFormat="false" ht="15" hidden="false" customHeight="false" outlineLevel="0" collapsed="false">
      <c r="B431" s="2" t="n">
        <v>11</v>
      </c>
      <c r="C431" s="2" t="n">
        <f aca="false">0</f>
        <v>0</v>
      </c>
      <c r="D431" s="2" t="n">
        <f aca="false">C431*(1-D$419)+C430*D$419</f>
        <v>0</v>
      </c>
      <c r="E431" s="2" t="n">
        <f aca="false">D431*(1-E$419)+D430*E$419</f>
        <v>0</v>
      </c>
      <c r="F431" s="2" t="n">
        <f aca="false">E431*(1-F$419)+E430*F$419</f>
        <v>0</v>
      </c>
      <c r="G431" s="2" t="n">
        <f aca="false">F431*(1-G$419)+F430*G$419</f>
        <v>0</v>
      </c>
      <c r="H431" s="2" t="n">
        <f aca="false">G431*(1-H$419)+G430*H$419</f>
        <v>0</v>
      </c>
      <c r="I431" s="2" t="n">
        <f aca="false">H431*(1-I$419)+H430*I$419</f>
        <v>0</v>
      </c>
      <c r="J431" s="2" t="n">
        <f aca="false">I431*(1-J$419)+I430*J$419</f>
        <v>0</v>
      </c>
      <c r="K431" s="2" t="n">
        <f aca="false">J431*(1-K$419)+J430*K$419</f>
        <v>0</v>
      </c>
      <c r="L431" s="2" t="n">
        <f aca="false">K431*(1-L$419)+K430*L$419</f>
        <v>0</v>
      </c>
      <c r="M431" s="2" t="n">
        <f aca="false">L431*(1-M$419)+L430*M$419</f>
        <v>0.00746993060568359</v>
      </c>
      <c r="N431" s="2" t="n">
        <f aca="false">M431*(1-N$419)+M430*N$419</f>
        <v>0.032418035301431</v>
      </c>
      <c r="O431" s="2" t="n">
        <f aca="false">N431*(1-O$419)+N430*O$419</f>
        <v>0.032418035301431</v>
      </c>
    </row>
    <row r="432" customFormat="false" ht="15" hidden="false" customHeight="false" outlineLevel="0" collapsed="false">
      <c r="B432" s="2" t="n">
        <v>12</v>
      </c>
      <c r="C432" s="2" t="n">
        <f aca="false">0</f>
        <v>0</v>
      </c>
      <c r="D432" s="2" t="n">
        <f aca="false">C432*(1-D$419)+C431*D$419</f>
        <v>0</v>
      </c>
      <c r="E432" s="2" t="n">
        <f aca="false">D432*(1-E$419)+D431*E$419</f>
        <v>0</v>
      </c>
      <c r="F432" s="2" t="n">
        <f aca="false">E432*(1-F$419)+E431*F$419</f>
        <v>0</v>
      </c>
      <c r="G432" s="2" t="n">
        <f aca="false">F432*(1-G$419)+F431*G$419</f>
        <v>0</v>
      </c>
      <c r="H432" s="2" t="n">
        <f aca="false">G432*(1-H$419)+G431*H$419</f>
        <v>0</v>
      </c>
      <c r="I432" s="2" t="n">
        <f aca="false">H432*(1-I$419)+H431*I$419</f>
        <v>0</v>
      </c>
      <c r="J432" s="2" t="n">
        <f aca="false">I432*(1-J$419)+I431*J$419</f>
        <v>0</v>
      </c>
      <c r="K432" s="2" t="n">
        <f aca="false">J432*(1-K$419)+J431*K$419</f>
        <v>0</v>
      </c>
      <c r="L432" s="2" t="n">
        <f aca="false">K432*(1-L$419)+K431*L$419</f>
        <v>0</v>
      </c>
      <c r="M432" s="2" t="n">
        <f aca="false">L432*(1-M$419)+L431*M$419</f>
        <v>0</v>
      </c>
      <c r="N432" s="2" t="n">
        <f aca="false">M432*(1-N$419)+M431*N$419</f>
        <v>0.00436349655188407</v>
      </c>
      <c r="O432" s="2" t="n">
        <f aca="false">N432*(1-O$419)+N431*O$419</f>
        <v>0.00436349655188407</v>
      </c>
    </row>
    <row r="433" customFormat="false" ht="15" hidden="false" customHeight="false" outlineLevel="0" collapsed="false">
      <c r="B433" s="2" t="n">
        <v>13</v>
      </c>
      <c r="C433" s="2" t="n">
        <f aca="false">0</f>
        <v>0</v>
      </c>
      <c r="D433" s="2" t="n">
        <f aca="false">C433*(1-D$419)+C432*D$419</f>
        <v>0</v>
      </c>
      <c r="E433" s="2" t="n">
        <f aca="false">D433*(1-E$419)+D432*E$419</f>
        <v>0</v>
      </c>
      <c r="F433" s="2" t="n">
        <f aca="false">E433*(1-F$419)+E432*F$419</f>
        <v>0</v>
      </c>
      <c r="G433" s="2" t="n">
        <f aca="false">F433*(1-G$419)+F432*G$419</f>
        <v>0</v>
      </c>
      <c r="H433" s="2" t="n">
        <f aca="false">G433*(1-H$419)+G432*H$419</f>
        <v>0</v>
      </c>
      <c r="I433" s="2" t="n">
        <f aca="false">H433*(1-I$419)+H432*I$419</f>
        <v>0</v>
      </c>
      <c r="J433" s="2" t="n">
        <f aca="false">I433*(1-J$419)+I432*J$419</f>
        <v>0</v>
      </c>
      <c r="K433" s="2" t="n">
        <f aca="false">J433*(1-K$419)+J432*K$419</f>
        <v>0</v>
      </c>
      <c r="L433" s="2" t="n">
        <f aca="false">K433*(1-L$419)+K432*L$419</f>
        <v>0</v>
      </c>
      <c r="M433" s="2" t="n">
        <f aca="false">L433*(1-M$419)+L432*M$419</f>
        <v>0</v>
      </c>
      <c r="N433" s="2" t="n">
        <f aca="false">M433*(1-N$419)+M432*N$419</f>
        <v>0</v>
      </c>
      <c r="O433" s="2" t="n">
        <f aca="false">N433*(1-O$419)+N432*O$419</f>
        <v>0</v>
      </c>
    </row>
    <row r="435" customFormat="false" ht="15" hidden="false" customHeight="false" outlineLevel="0" collapsed="false">
      <c r="A435" s="1" t="s">
        <v>85</v>
      </c>
      <c r="C435" s="2" t="n">
        <f aca="false">Schedule!G29</f>
        <v>0.971283440183998</v>
      </c>
      <c r="D435" s="2" t="n">
        <f aca="false">Schedule!L29</f>
        <v>0.675894892863138</v>
      </c>
      <c r="E435" s="2" t="n">
        <f aca="false">Schedule!Q29</f>
        <v>0.959398653720482</v>
      </c>
      <c r="F435" s="2" t="n">
        <f aca="false">Schedule!V29</f>
        <v>0.060570758002059</v>
      </c>
      <c r="G435" s="2" t="n">
        <f aca="false">Schedule!AA29</f>
        <v>0.82735129164233</v>
      </c>
      <c r="H435" s="2" t="n">
        <f aca="false">Schedule!AF29</f>
        <v>0.639173324850217</v>
      </c>
      <c r="I435" s="2" t="n">
        <f aca="false">Schedule!AK29</f>
        <v>0.154160834280354</v>
      </c>
      <c r="J435" s="2" t="n">
        <f aca="false">Schedule!AP29</f>
        <v>0.567003355806672</v>
      </c>
      <c r="K435" s="2" t="n">
        <f aca="false">Schedule!AU29</f>
        <v>0.58901036286873</v>
      </c>
      <c r="L435" s="2" t="n">
        <f aca="false">Schedule!AZ29</f>
        <v>0.562082016808295</v>
      </c>
      <c r="M435" s="2" t="n">
        <f aca="false">Schedule!BE29</f>
        <v>0.457692000582065</v>
      </c>
      <c r="N435" s="2" t="n">
        <f aca="false">Schedule!BJ29</f>
        <v>0.569460183207674</v>
      </c>
      <c r="O435" s="2" t="n">
        <f aca="false">Schedule!BO29</f>
        <v>0</v>
      </c>
    </row>
    <row r="436" customFormat="false" ht="15" hidden="false" customHeight="false" outlineLevel="0" collapsed="false">
      <c r="B436" s="2" t="n">
        <v>0</v>
      </c>
      <c r="C436" s="2" t="n">
        <f aca="false">1-C$435</f>
        <v>0.0287165598160017</v>
      </c>
      <c r="D436" s="2" t="n">
        <f aca="false">C436*(1-D$435)</f>
        <v>0.00930718369576735</v>
      </c>
      <c r="E436" s="2" t="n">
        <f aca="false">D436*(1-E$435)</f>
        <v>0.000377884188118936</v>
      </c>
      <c r="F436" s="2" t="n">
        <f aca="false">E436*(1-F$435)</f>
        <v>0.000354995456407579</v>
      </c>
      <c r="G436" s="2" t="n">
        <f aca="false">F436*(1-G$435)</f>
        <v>6.12895070216103E-005</v>
      </c>
      <c r="H436" s="2" t="n">
        <f aca="false">G436*(1-H$435)</f>
        <v>2.21148890401769E-005</v>
      </c>
      <c r="I436" s="2" t="n">
        <f aca="false">H436*(1-I$435)</f>
        <v>1.87056392957258E-005</v>
      </c>
      <c r="J436" s="2" t="n">
        <f aca="false">I436*(1-J$435)</f>
        <v>8.09947904254013E-006</v>
      </c>
      <c r="K436" s="2" t="n">
        <f aca="false">J436*(1-K$435)</f>
        <v>3.3288019526459E-006</v>
      </c>
      <c r="L436" s="2" t="n">
        <f aca="false">K436*(1-L$435)</f>
        <v>1.4577422375473E-006</v>
      </c>
      <c r="M436" s="2" t="n">
        <f aca="false">L436*(1-M$435)</f>
        <v>7.905452765113E-007</v>
      </c>
      <c r="N436" s="2" t="n">
        <f aca="false">M436*(1-N$435)</f>
        <v>3.40361218515214E-007</v>
      </c>
      <c r="O436" s="2" t="n">
        <f aca="false">N436*(1-O$435)</f>
        <v>3.40361218515214E-007</v>
      </c>
    </row>
    <row r="437" customFormat="false" ht="15" hidden="false" customHeight="false" outlineLevel="0" collapsed="false">
      <c r="B437" s="2" t="n">
        <v>1</v>
      </c>
      <c r="C437" s="2" t="n">
        <f aca="false">C$435</f>
        <v>0.971283440183998</v>
      </c>
      <c r="D437" s="2" t="n">
        <f aca="false">C437*(1-D$435)+C436*D$435</f>
        <v>0.334207299561329</v>
      </c>
      <c r="E437" s="2" t="n">
        <f aca="false">D437*(1-E$435)+D436*E$435</f>
        <v>0.0224985658062806</v>
      </c>
      <c r="F437" s="2" t="n">
        <f aca="false">E437*(1-F$435)+E436*F$435</f>
        <v>0.0211586993531463</v>
      </c>
      <c r="G437" s="2" t="n">
        <f aca="false">F437*(1-G$435)+F436*G$435</f>
        <v>0.00394672806323496</v>
      </c>
      <c r="H437" s="2" t="n">
        <f aca="false">G437*(1-H$435)+G436*H$435</f>
        <v>0.00146325938275885</v>
      </c>
      <c r="I437" s="2" t="n">
        <f aca="false">H437*(1-I$435)+H436*I$435</f>
        <v>0.00124109134528864</v>
      </c>
      <c r="J437" s="2" t="n">
        <f aca="false">I437*(1-J$435)+I436*J$435</f>
        <v>0.00054799454790055</v>
      </c>
      <c r="K437" s="2" t="n">
        <f aca="false">J437*(1-K$435)+J436*K$435</f>
        <v>0.000229990757481456</v>
      </c>
      <c r="L437" s="2" t="n">
        <f aca="false">K437*(1-L$435)+K436*L$435</f>
        <v>0.00010258814838411</v>
      </c>
      <c r="M437" s="2" t="n">
        <f aca="false">L437*(1-M$435)+L436*M$435</f>
        <v>5.63015704752131E-005</v>
      </c>
      <c r="N437" s="2" t="n">
        <f aca="false">M437*(1-N$435)+M436*N$435</f>
        <v>2.46902518955146E-005</v>
      </c>
      <c r="O437" s="2" t="n">
        <f aca="false">N437*(1-O$435)+N436*O$435</f>
        <v>2.46902518955146E-005</v>
      </c>
    </row>
    <row r="438" customFormat="false" ht="15" hidden="false" customHeight="false" outlineLevel="0" collapsed="false">
      <c r="B438" s="2" t="n">
        <v>2</v>
      </c>
      <c r="C438" s="2" t="n">
        <f aca="false">0</f>
        <v>0</v>
      </c>
      <c r="D438" s="2" t="n">
        <f aca="false">C438*(1-D$435)+C437*D$435</f>
        <v>0.656485516742904</v>
      </c>
      <c r="E438" s="2" t="n">
        <f aca="false">D438*(1-E$435)+D437*E$435</f>
        <v>0.347292229055464</v>
      </c>
      <c r="F438" s="2" t="n">
        <f aca="false">E438*(1-F$435)+E437*F$435</f>
        <v>0.327619230678196</v>
      </c>
      <c r="G438" s="2" t="n">
        <f aca="false">F438*(1-G$435)+F437*G$435</f>
        <v>0.0740687142490215</v>
      </c>
      <c r="H438" s="2" t="n">
        <f aca="false">G438*(1-H$435)+G437*H$435</f>
        <v>0.0292486111935514</v>
      </c>
      <c r="I438" s="2" t="n">
        <f aca="false">H438*(1-I$435)+H437*I$435</f>
        <v>0.0249651981776265</v>
      </c>
      <c r="J438" s="2" t="n">
        <f aca="false">I438*(1-J$435)+I437*J$435</f>
        <v>0.0115135499901749</v>
      </c>
      <c r="K438" s="2" t="n">
        <f aca="false">J438*(1-K$435)+J437*K$435</f>
        <v>0.00505472420006372</v>
      </c>
      <c r="L438" s="2" t="n">
        <f aca="false">K438*(1-L$435)+K437*L$435</f>
        <v>0.00234282829609465</v>
      </c>
      <c r="M438" s="2" t="n">
        <f aca="false">L438*(1-M$435)+L437*M$435</f>
        <v>0.00131748830110475</v>
      </c>
      <c r="N438" s="2" t="n">
        <f aca="false">M438*(1-N$435)+M437*N$435</f>
        <v>0.000599292674421368</v>
      </c>
      <c r="O438" s="2" t="n">
        <f aca="false">N438*(1-O$435)+N437*O$435</f>
        <v>0.000599292674421368</v>
      </c>
    </row>
    <row r="439" customFormat="false" ht="15" hidden="false" customHeight="false" outlineLevel="0" collapsed="false">
      <c r="B439" s="2" t="n">
        <v>3</v>
      </c>
      <c r="C439" s="2" t="n">
        <f aca="false">0</f>
        <v>0</v>
      </c>
      <c r="D439" s="2" t="n">
        <f aca="false">C439*(1-D$435)+C438*D$435</f>
        <v>0</v>
      </c>
      <c r="E439" s="2" t="n">
        <f aca="false">D439*(1-E$435)+D438*E$435</f>
        <v>0.629831320950136</v>
      </c>
      <c r="F439" s="2" t="n">
        <f aca="false">E439*(1-F$435)+E438*F$435</f>
        <v>0.612717713988863</v>
      </c>
      <c r="G439" s="2" t="n">
        <f aca="false">F439*(1-G$435)+F438*G$435</f>
        <v>0.376841115576513</v>
      </c>
      <c r="H439" s="2" t="n">
        <f aca="false">G439*(1-H$435)+G438*H$435</f>
        <v>0.183317073147136</v>
      </c>
      <c r="I439" s="2" t="n">
        <f aca="false">H439*(1-I$435)+H438*I$435</f>
        <v>0.159565750516081</v>
      </c>
      <c r="J439" s="2" t="n">
        <f aca="false">I439*(1-J$435)+I438*J$435</f>
        <v>0.0832467856467455</v>
      </c>
      <c r="K439" s="2" t="n">
        <f aca="false">J439*(1-K$435)+J438*K$435</f>
        <v>0.0409951664829208</v>
      </c>
      <c r="L439" s="2" t="n">
        <f aca="false">K439*(1-L$435)+K438*L$435</f>
        <v>0.0207936901995904</v>
      </c>
      <c r="M439" s="2" t="n">
        <f aca="false">L439*(1-M$435)+L438*M$435</f>
        <v>0.012348878302516</v>
      </c>
      <c r="N439" s="2" t="n">
        <f aca="false">M439*(1-N$435)+M438*N$435</f>
        <v>0.00606694093127705</v>
      </c>
      <c r="O439" s="2" t="n">
        <f aca="false">N439*(1-O$435)+N438*O$435</f>
        <v>0.00606694093127705</v>
      </c>
    </row>
    <row r="440" customFormat="false" ht="15" hidden="false" customHeight="false" outlineLevel="0" collapsed="false">
      <c r="B440" s="2" t="n">
        <v>4</v>
      </c>
      <c r="C440" s="2" t="n">
        <f aca="false">0</f>
        <v>0</v>
      </c>
      <c r="D440" s="2" t="n">
        <f aca="false">C440*(1-D$435)+C439*D$435</f>
        <v>0</v>
      </c>
      <c r="E440" s="2" t="n">
        <f aca="false">D440*(1-E$435)+D439*E$435</f>
        <v>0</v>
      </c>
      <c r="F440" s="2" t="n">
        <f aca="false">E440*(1-F$435)+E439*F$435</f>
        <v>0.0381493605233878</v>
      </c>
      <c r="G440" s="2" t="n">
        <f aca="false">F440*(1-G$435)+F439*G$435</f>
        <v>0.513519229899855</v>
      </c>
      <c r="H440" s="2" t="n">
        <f aca="false">G440*(1-H$435)+G439*H$435</f>
        <v>0.426158225133547</v>
      </c>
      <c r="I440" s="2" t="n">
        <f aca="false">H440*(1-I$435)+H439*I$435</f>
        <v>0.388721630545719</v>
      </c>
      <c r="J440" s="2" t="n">
        <f aca="false">I440*(1-J$435)+I439*J$435</f>
        <v>0.258789477566083</v>
      </c>
      <c r="K440" s="2" t="n">
        <f aca="false">J440*(1-K$435)+J439*K$435</f>
        <v>0.15539301289972</v>
      </c>
      <c r="L440" s="2" t="n">
        <f aca="false">K440*(1-L$435)+K439*L$435</f>
        <v>0.0910920406672401</v>
      </c>
      <c r="M440" s="2" t="n">
        <f aca="false">L440*(1-M$435)+L439*M$435</f>
        <v>0.0589170480040823</v>
      </c>
      <c r="N440" s="2" t="n">
        <f aca="false">M440*(1-N$435)+M439*N$435</f>
        <v>0.0323983295541823</v>
      </c>
      <c r="O440" s="2" t="n">
        <f aca="false">N440*(1-O$435)+N439*O$435</f>
        <v>0.0323983295541823</v>
      </c>
    </row>
    <row r="441" customFormat="false" ht="15" hidden="false" customHeight="false" outlineLevel="0" collapsed="false">
      <c r="B441" s="2" t="n">
        <v>5</v>
      </c>
      <c r="C441" s="2" t="n">
        <f aca="false">0</f>
        <v>0</v>
      </c>
      <c r="D441" s="2" t="n">
        <f aca="false">C441*(1-D$435)+C440*D$435</f>
        <v>0</v>
      </c>
      <c r="E441" s="2" t="n">
        <f aca="false">D441*(1-E$435)+D440*E$435</f>
        <v>0</v>
      </c>
      <c r="F441" s="2" t="n">
        <f aca="false">E441*(1-F$435)+E440*F$435</f>
        <v>0</v>
      </c>
      <c r="G441" s="2" t="n">
        <f aca="false">F441*(1-G$435)+F440*G$435</f>
        <v>0.0315629227043538</v>
      </c>
      <c r="H441" s="2" t="n">
        <f aca="false">G441*(1-H$435)+G440*H$435</f>
        <v>0.339616538007035</v>
      </c>
      <c r="I441" s="2" t="n">
        <f aca="false">H441*(1-I$435)+H440*I$435</f>
        <v>0.352957876694487</v>
      </c>
      <c r="J441" s="2" t="n">
        <f aca="false">I441*(1-J$435)+I440*J$435</f>
        <v>0.37323604514438</v>
      </c>
      <c r="K441" s="2" t="n">
        <f aca="false">J441*(1-K$435)+J440*K$435</f>
        <v>0.305825830846007</v>
      </c>
      <c r="L441" s="2" t="n">
        <f aca="false">K441*(1-L$435)+K440*L$435</f>
        <v>0.221270249140603</v>
      </c>
      <c r="M441" s="2" t="n">
        <f aca="false">L441*(1-M$435)+L440*M$435</f>
        <v>0.16168872447224</v>
      </c>
      <c r="N441" s="2" t="n">
        <f aca="false">M441*(1-N$435)+M440*N$435</f>
        <v>0.103164346762123</v>
      </c>
      <c r="O441" s="2" t="n">
        <f aca="false">N441*(1-O$435)+N440*O$435</f>
        <v>0.103164346762123</v>
      </c>
    </row>
    <row r="442" customFormat="false" ht="15" hidden="false" customHeight="false" outlineLevel="0" collapsed="false">
      <c r="B442" s="2" t="n">
        <v>6</v>
      </c>
      <c r="C442" s="2" t="n">
        <f aca="false">0</f>
        <v>0</v>
      </c>
      <c r="D442" s="2" t="n">
        <f aca="false">C442*(1-D$435)+C441*D$435</f>
        <v>0</v>
      </c>
      <c r="E442" s="2" t="n">
        <f aca="false">D442*(1-E$435)+D441*E$435</f>
        <v>0</v>
      </c>
      <c r="F442" s="2" t="n">
        <f aca="false">E442*(1-F$435)+E441*F$435</f>
        <v>0</v>
      </c>
      <c r="G442" s="2" t="n">
        <f aca="false">F442*(1-G$435)+F441*G$435</f>
        <v>0</v>
      </c>
      <c r="H442" s="2" t="n">
        <f aca="false">G442*(1-H$435)+G441*H$435</f>
        <v>0.0201741782469322</v>
      </c>
      <c r="I442" s="2" t="n">
        <f aca="false">H442*(1-I$435)+H441*I$435</f>
        <v>0.0694196789320345</v>
      </c>
      <c r="J442" s="2" t="n">
        <f aca="false">I442*(1-J$435)+I441*J$435</f>
        <v>0.230186788562721</v>
      </c>
      <c r="K442" s="2" t="n">
        <f aca="false">J442*(1-K$435)+J441*K$435</f>
        <v>0.314444283089986</v>
      </c>
      <c r="L442" s="2" t="n">
        <f aca="false">K442*(1-L$435)+K441*L$435</f>
        <v>0.309600006070924</v>
      </c>
      <c r="M442" s="2" t="n">
        <f aca="false">L442*(1-M$435)+L441*M$435</f>
        <v>0.269172182910558</v>
      </c>
      <c r="N442" s="2" t="n">
        <f aca="false">M442*(1-N$435)+M441*N$435</f>
        <v>0.207964632976479</v>
      </c>
      <c r="O442" s="2" t="n">
        <f aca="false">N442*(1-O$435)+N441*O$435</f>
        <v>0.207964632976479</v>
      </c>
    </row>
    <row r="443" customFormat="false" ht="15" hidden="false" customHeight="false" outlineLevel="0" collapsed="false">
      <c r="B443" s="2" t="n">
        <v>7</v>
      </c>
      <c r="C443" s="2" t="n">
        <f aca="false">0</f>
        <v>0</v>
      </c>
      <c r="D443" s="2" t="n">
        <f aca="false">C443*(1-D$435)+C442*D$435</f>
        <v>0</v>
      </c>
      <c r="E443" s="2" t="n">
        <f aca="false">D443*(1-E$435)+D442*E$435</f>
        <v>0</v>
      </c>
      <c r="F443" s="2" t="n">
        <f aca="false">E443*(1-F$435)+E442*F$435</f>
        <v>0</v>
      </c>
      <c r="G443" s="2" t="n">
        <f aca="false">F443*(1-G$435)+F442*G$435</f>
        <v>0</v>
      </c>
      <c r="H443" s="2" t="n">
        <f aca="false">G443*(1-H$435)+G442*H$435</f>
        <v>0</v>
      </c>
      <c r="I443" s="2" t="n">
        <f aca="false">H443*(1-I$435)+H442*I$435</f>
        <v>0.00311006814946764</v>
      </c>
      <c r="J443" s="2" t="n">
        <f aca="false">I443*(1-J$435)+I442*J$435</f>
        <v>0.0407078399854173</v>
      </c>
      <c r="K443" s="2" t="n">
        <f aca="false">J443*(1-K$435)+J442*K$435</f>
        <v>0.15231290424292</v>
      </c>
      <c r="L443" s="2" t="n">
        <f aca="false">K443*(1-L$435)+K442*L$435</f>
        <v>0.243444036653189</v>
      </c>
      <c r="M443" s="2" t="n">
        <f aca="false">L443*(1-M$435)+L442*M$435</f>
        <v>0.273723094646438</v>
      </c>
      <c r="N443" s="2" t="n">
        <f aca="false">M443*(1-N$435)+M442*N$435</f>
        <v>0.271131531615562</v>
      </c>
      <c r="O443" s="2" t="n">
        <f aca="false">N443*(1-O$435)+N442*O$435</f>
        <v>0.271131531615562</v>
      </c>
    </row>
    <row r="444" customFormat="false" ht="15" hidden="false" customHeight="false" outlineLevel="0" collapsed="false">
      <c r="B444" s="2" t="n">
        <v>8</v>
      </c>
      <c r="C444" s="2" t="n">
        <f aca="false">0</f>
        <v>0</v>
      </c>
      <c r="D444" s="2" t="n">
        <f aca="false">C444*(1-D$435)+C443*D$435</f>
        <v>0</v>
      </c>
      <c r="E444" s="2" t="n">
        <f aca="false">D444*(1-E$435)+D443*E$435</f>
        <v>0</v>
      </c>
      <c r="F444" s="2" t="n">
        <f aca="false">E444*(1-F$435)+E443*F$435</f>
        <v>0</v>
      </c>
      <c r="G444" s="2" t="n">
        <f aca="false">F444*(1-G$435)+F443*G$435</f>
        <v>0</v>
      </c>
      <c r="H444" s="2" t="n">
        <f aca="false">G444*(1-H$435)+G443*H$435</f>
        <v>0</v>
      </c>
      <c r="I444" s="2" t="n">
        <f aca="false">H444*(1-I$435)+H443*I$435</f>
        <v>0</v>
      </c>
      <c r="J444" s="2" t="n">
        <f aca="false">I444*(1-J$435)+I443*J$435</f>
        <v>0.0017634190775356</v>
      </c>
      <c r="K444" s="2" t="n">
        <f aca="false">J444*(1-K$435)+J443*K$435</f>
        <v>0.0247020865681996</v>
      </c>
      <c r="L444" s="2" t="n">
        <f aca="false">K444*(1-L$435)+K443*L$435</f>
        <v>0.0964298323333622</v>
      </c>
      <c r="M444" s="2" t="n">
        <f aca="false">L444*(1-M$435)+L443*M$435</f>
        <v>0.163717057622484</v>
      </c>
      <c r="N444" s="2" t="n">
        <f aca="false">M444*(1-N$435)+M443*N$435</f>
        <v>0.226361115620095</v>
      </c>
      <c r="O444" s="2" t="n">
        <f aca="false">N444*(1-O$435)+N443*O$435</f>
        <v>0.226361115620095</v>
      </c>
    </row>
    <row r="445" customFormat="false" ht="15" hidden="false" customHeight="false" outlineLevel="0" collapsed="false">
      <c r="B445" s="2" t="n">
        <v>9</v>
      </c>
      <c r="C445" s="2" t="n">
        <f aca="false">0</f>
        <v>0</v>
      </c>
      <c r="D445" s="2" t="n">
        <f aca="false">C445*(1-D$435)+C444*D$435</f>
        <v>0</v>
      </c>
      <c r="E445" s="2" t="n">
        <f aca="false">D445*(1-E$435)+D444*E$435</f>
        <v>0</v>
      </c>
      <c r="F445" s="2" t="n">
        <f aca="false">E445*(1-F$435)+E444*F$435</f>
        <v>0</v>
      </c>
      <c r="G445" s="2" t="n">
        <f aca="false">F445*(1-G$435)+F444*G$435</f>
        <v>0</v>
      </c>
      <c r="H445" s="2" t="n">
        <f aca="false">G445*(1-H$435)+G444*H$435</f>
        <v>0</v>
      </c>
      <c r="I445" s="2" t="n">
        <f aca="false">H445*(1-I$435)+H444*I$435</f>
        <v>0</v>
      </c>
      <c r="J445" s="2" t="n">
        <f aca="false">I445*(1-J$435)+I444*J$435</f>
        <v>0</v>
      </c>
      <c r="K445" s="2" t="n">
        <f aca="false">J445*(1-K$435)+J444*K$435</f>
        <v>0.00103867211074888</v>
      </c>
      <c r="L445" s="2" t="n">
        <f aca="false">K445*(1-L$435)+K444*L$435</f>
        <v>0.0143394518335633</v>
      </c>
      <c r="M445" s="2" t="n">
        <f aca="false">L445*(1-M$435)+L444*M$435</f>
        <v>0.0519115623130592</v>
      </c>
      <c r="N445" s="2" t="n">
        <f aca="false">M445*(1-N$435)+M444*N$435</f>
        <v>0.115580340155589</v>
      </c>
      <c r="O445" s="2" t="n">
        <f aca="false">N445*(1-O$435)+N444*O$435</f>
        <v>0.115580340155589</v>
      </c>
    </row>
    <row r="446" customFormat="false" ht="15" hidden="false" customHeight="false" outlineLevel="0" collapsed="false">
      <c r="B446" s="2" t="n">
        <v>10</v>
      </c>
      <c r="C446" s="2" t="n">
        <f aca="false">0</f>
        <v>0</v>
      </c>
      <c r="D446" s="2" t="n">
        <f aca="false">C446*(1-D$435)+C445*D$435</f>
        <v>0</v>
      </c>
      <c r="E446" s="2" t="n">
        <f aca="false">D446*(1-E$435)+D445*E$435</f>
        <v>0</v>
      </c>
      <c r="F446" s="2" t="n">
        <f aca="false">E446*(1-F$435)+E445*F$435</f>
        <v>0</v>
      </c>
      <c r="G446" s="2" t="n">
        <f aca="false">F446*(1-G$435)+F445*G$435</f>
        <v>0</v>
      </c>
      <c r="H446" s="2" t="n">
        <f aca="false">G446*(1-H$435)+G445*H$435</f>
        <v>0</v>
      </c>
      <c r="I446" s="2" t="n">
        <f aca="false">H446*(1-I$435)+H445*I$435</f>
        <v>0</v>
      </c>
      <c r="J446" s="2" t="n">
        <f aca="false">I446*(1-J$435)+I445*J$435</f>
        <v>0</v>
      </c>
      <c r="K446" s="2" t="n">
        <f aca="false">J446*(1-K$435)+J445*K$435</f>
        <v>0</v>
      </c>
      <c r="L446" s="2" t="n">
        <f aca="false">K446*(1-L$435)+K445*L$435</f>
        <v>0.00058381891481226</v>
      </c>
      <c r="M446" s="2" t="n">
        <f aca="false">L446*(1-M$435)+L445*M$435</f>
        <v>0.00687966206466795</v>
      </c>
      <c r="N446" s="2" t="n">
        <f aca="false">M446*(1-N$435)+M445*N$435</f>
        <v>0.0325235362303065</v>
      </c>
      <c r="O446" s="2" t="n">
        <f aca="false">N446*(1-O$435)+N445*O$435</f>
        <v>0.0325235362303065</v>
      </c>
    </row>
    <row r="447" customFormat="false" ht="15" hidden="false" customHeight="false" outlineLevel="0" collapsed="false">
      <c r="B447" s="2" t="n">
        <v>11</v>
      </c>
      <c r="C447" s="2" t="n">
        <f aca="false">0</f>
        <v>0</v>
      </c>
      <c r="D447" s="2" t="n">
        <f aca="false">C447*(1-D$435)+C446*D$435</f>
        <v>0</v>
      </c>
      <c r="E447" s="2" t="n">
        <f aca="false">D447*(1-E$435)+D446*E$435</f>
        <v>0</v>
      </c>
      <c r="F447" s="2" t="n">
        <f aca="false">E447*(1-F$435)+E446*F$435</f>
        <v>0</v>
      </c>
      <c r="G447" s="2" t="n">
        <f aca="false">F447*(1-G$435)+F446*G$435</f>
        <v>0</v>
      </c>
      <c r="H447" s="2" t="n">
        <f aca="false">G447*(1-H$435)+G446*H$435</f>
        <v>0</v>
      </c>
      <c r="I447" s="2" t="n">
        <f aca="false">H447*(1-I$435)+H446*I$435</f>
        <v>0</v>
      </c>
      <c r="J447" s="2" t="n">
        <f aca="false">I447*(1-J$435)+I446*J$435</f>
        <v>0</v>
      </c>
      <c r="K447" s="2" t="n">
        <f aca="false">J447*(1-K$435)+J446*K$435</f>
        <v>0</v>
      </c>
      <c r="L447" s="2" t="n">
        <f aca="false">K447*(1-L$435)+K446*L$435</f>
        <v>0</v>
      </c>
      <c r="M447" s="2" t="n">
        <f aca="false">L447*(1-M$435)+L446*M$435</f>
        <v>0.000267209247098074</v>
      </c>
      <c r="N447" s="2" t="n">
        <f aca="false">M447*(1-N$435)+M446*N$435</f>
        <v>0.00403273784004351</v>
      </c>
      <c r="O447" s="2" t="n">
        <f aca="false">N447*(1-O$435)+N446*O$435</f>
        <v>0.00403273784004351</v>
      </c>
    </row>
    <row r="448" customFormat="false" ht="15" hidden="false" customHeight="false" outlineLevel="0" collapsed="false">
      <c r="B448" s="2" t="n">
        <v>12</v>
      </c>
      <c r="C448" s="2" t="n">
        <f aca="false">0</f>
        <v>0</v>
      </c>
      <c r="D448" s="2" t="n">
        <f aca="false">C448*(1-D$435)+C447*D$435</f>
        <v>0</v>
      </c>
      <c r="E448" s="2" t="n">
        <f aca="false">D448*(1-E$435)+D447*E$435</f>
        <v>0</v>
      </c>
      <c r="F448" s="2" t="n">
        <f aca="false">E448*(1-F$435)+E447*F$435</f>
        <v>0</v>
      </c>
      <c r="G448" s="2" t="n">
        <f aca="false">F448*(1-G$435)+F447*G$435</f>
        <v>0</v>
      </c>
      <c r="H448" s="2" t="n">
        <f aca="false">G448*(1-H$435)+G447*H$435</f>
        <v>0</v>
      </c>
      <c r="I448" s="2" t="n">
        <f aca="false">H448*(1-I$435)+H447*I$435</f>
        <v>0</v>
      </c>
      <c r="J448" s="2" t="n">
        <f aca="false">I448*(1-J$435)+I447*J$435</f>
        <v>0</v>
      </c>
      <c r="K448" s="2" t="n">
        <f aca="false">J448*(1-K$435)+J447*K$435</f>
        <v>0</v>
      </c>
      <c r="L448" s="2" t="n">
        <f aca="false">K448*(1-L$435)+K447*L$435</f>
        <v>0</v>
      </c>
      <c r="M448" s="2" t="n">
        <f aca="false">L448*(1-M$435)+L447*M$435</f>
        <v>0</v>
      </c>
      <c r="N448" s="2" t="n">
        <f aca="false">M448*(1-N$435)+M447*N$435</f>
        <v>0.000152165026807254</v>
      </c>
      <c r="O448" s="2" t="n">
        <f aca="false">N448*(1-O$435)+N447*O$435</f>
        <v>0.000152165026807254</v>
      </c>
    </row>
    <row r="449" customFormat="false" ht="15" hidden="false" customHeight="false" outlineLevel="0" collapsed="false">
      <c r="B449" s="2" t="n">
        <v>13</v>
      </c>
      <c r="C449" s="2" t="n">
        <f aca="false">0</f>
        <v>0</v>
      </c>
      <c r="D449" s="2" t="n">
        <f aca="false">C449*(1-D$435)+C448*D$435</f>
        <v>0</v>
      </c>
      <c r="E449" s="2" t="n">
        <f aca="false">D449*(1-E$435)+D448*E$435</f>
        <v>0</v>
      </c>
      <c r="F449" s="2" t="n">
        <f aca="false">E449*(1-F$435)+E448*F$435</f>
        <v>0</v>
      </c>
      <c r="G449" s="2" t="n">
        <f aca="false">F449*(1-G$435)+F448*G$435</f>
        <v>0</v>
      </c>
      <c r="H449" s="2" t="n">
        <f aca="false">G449*(1-H$435)+G448*H$435</f>
        <v>0</v>
      </c>
      <c r="I449" s="2" t="n">
        <f aca="false">H449*(1-I$435)+H448*I$435</f>
        <v>0</v>
      </c>
      <c r="J449" s="2" t="n">
        <f aca="false">I449*(1-J$435)+I448*J$435</f>
        <v>0</v>
      </c>
      <c r="K449" s="2" t="n">
        <f aca="false">J449*(1-K$435)+J448*K$435</f>
        <v>0</v>
      </c>
      <c r="L449" s="2" t="n">
        <f aca="false">K449*(1-L$435)+K448*L$435</f>
        <v>0</v>
      </c>
      <c r="M449" s="2" t="n">
        <f aca="false">L449*(1-M$435)+L448*M$435</f>
        <v>0</v>
      </c>
      <c r="N449" s="2" t="n">
        <f aca="false">M449*(1-N$435)+M448*N$435</f>
        <v>0</v>
      </c>
      <c r="O449" s="2" t="n">
        <f aca="false">N449*(1-O$435)+N448*O$435</f>
        <v>0</v>
      </c>
    </row>
    <row r="451" customFormat="false" ht="15" hidden="false" customHeight="false" outlineLevel="0" collapsed="false">
      <c r="A451" s="1" t="s">
        <v>86</v>
      </c>
      <c r="C451" s="2" t="n">
        <f aca="false">Schedule!G30</f>
        <v>0.997681676775721</v>
      </c>
      <c r="D451" s="2" t="n">
        <f aca="false">Schedule!L30</f>
        <v>0.942371777723847</v>
      </c>
      <c r="E451" s="2" t="n">
        <f aca="false">Schedule!Q30</f>
        <v>0.660013509650861</v>
      </c>
      <c r="F451" s="2" t="n">
        <f aca="false">Schedule!V30</f>
        <v>0.396467992679005</v>
      </c>
      <c r="G451" s="2" t="n">
        <f aca="false">Schedule!AA30</f>
        <v>0.116287887754489</v>
      </c>
      <c r="H451" s="2" t="n">
        <f aca="false">Schedule!AF30</f>
        <v>0.396467992679005</v>
      </c>
      <c r="I451" s="2" t="n">
        <f aca="false">Schedule!AK30</f>
        <v>0.662300575057129</v>
      </c>
      <c r="J451" s="2" t="n">
        <f aca="false">Schedule!AP30</f>
        <v>0.552211228127385</v>
      </c>
      <c r="K451" s="2" t="n">
        <f aca="false">Schedule!AU30</f>
        <v>0.562082016808295</v>
      </c>
      <c r="L451" s="2" t="n">
        <f aca="false">Schedule!AZ30</f>
        <v>0.370227827724972</v>
      </c>
      <c r="M451" s="2" t="n">
        <f aca="false">Schedule!BE30</f>
        <v>0.310741374381306</v>
      </c>
      <c r="N451" s="2" t="n">
        <f aca="false">Schedule!BJ30</f>
        <v>0.377330281529843</v>
      </c>
      <c r="O451" s="2" t="n">
        <f aca="false">Schedule!BO30</f>
        <v>0</v>
      </c>
    </row>
    <row r="452" customFormat="false" ht="15" hidden="false" customHeight="false" outlineLevel="0" collapsed="false">
      <c r="B452" s="2" t="n">
        <v>0</v>
      </c>
      <c r="C452" s="2" t="n">
        <f aca="false">1-C$451</f>
        <v>0.00231832322427938</v>
      </c>
      <c r="D452" s="2" t="n">
        <f aca="false">C452*(1-D$451)</f>
        <v>0.00013360084607674</v>
      </c>
      <c r="E452" s="2" t="n">
        <f aca="false">D452*(1-E$451)</f>
        <v>4.54224827653064E-005</v>
      </c>
      <c r="F452" s="2" t="n">
        <f aca="false">E452*(1-F$451)</f>
        <v>2.74139222008486E-005</v>
      </c>
      <c r="G452" s="2" t="n">
        <f aca="false">F452*(1-G$451)</f>
        <v>2.42260150930461E-005</v>
      </c>
      <c r="H452" s="2" t="n">
        <f aca="false">G452*(1-H$451)</f>
        <v>1.46211755184948E-005</v>
      </c>
      <c r="I452" s="2" t="n">
        <f aca="false">H452*(1-I$451)</f>
        <v>4.93756256458448E-006</v>
      </c>
      <c r="J452" s="2" t="n">
        <f aca="false">I452*(1-J$451)</f>
        <v>2.21098507683949E-006</v>
      </c>
      <c r="K452" s="2" t="n">
        <f aca="false">J452*(1-K$451)</f>
        <v>9.68230125716505E-007</v>
      </c>
      <c r="L452" s="2" t="n">
        <f aca="false">K452*(1-L$451)</f>
        <v>6.09764389534606E-007</v>
      </c>
      <c r="M452" s="2" t="n">
        <f aca="false">L452*(1-M$451)</f>
        <v>4.20285365081845E-007</v>
      </c>
      <c r="N452" s="2" t="n">
        <f aca="false">M452*(1-N$451)</f>
        <v>2.61698969952639E-007</v>
      </c>
      <c r="O452" s="2" t="n">
        <f aca="false">N452*(1-O$451)</f>
        <v>2.61698969952639E-007</v>
      </c>
    </row>
    <row r="453" customFormat="false" ht="15" hidden="false" customHeight="false" outlineLevel="0" collapsed="false">
      <c r="B453" s="2" t="n">
        <v>1</v>
      </c>
      <c r="C453" s="2" t="n">
        <f aca="false">C$451</f>
        <v>0.997681676775721</v>
      </c>
      <c r="D453" s="2" t="n">
        <f aca="false">C453*(1-D$451)+C452*D$451</f>
        <v>0.059679343808279</v>
      </c>
      <c r="E453" s="2" t="n">
        <f aca="false">D453*(1-E$451)+D452*E$451</f>
        <v>0.0203783490110278</v>
      </c>
      <c r="F453" s="2" t="n">
        <f aca="false">E453*(1-F$451)+E452*F$451</f>
        <v>0.0123169944450779</v>
      </c>
      <c r="G453" s="2" t="n">
        <f aca="false">F453*(1-G$451)+F452*G$451</f>
        <v>0.0108878650846838</v>
      </c>
      <c r="H453" s="2" t="n">
        <f aca="false">G453*(1-H$451)+G452*H$451</f>
        <v>0.00658077990957393</v>
      </c>
      <c r="I453" s="2" t="n">
        <f aca="false">H453*(1-I$451)+H452*I$451</f>
        <v>0.00223200920409263</v>
      </c>
      <c r="J453" s="2" t="n">
        <f aca="false">I453*(1-J$451)+I452*J$451</f>
        <v>0.00100219523779676</v>
      </c>
      <c r="K453" s="2" t="n">
        <f aca="false">J453*(1-K$451)+J452*K$451</f>
        <v>0.000440122072251409</v>
      </c>
      <c r="L453" s="2" t="n">
        <f aca="false">K453*(1-L$451)+K452*L$451</f>
        <v>0.000277535099244139</v>
      </c>
      <c r="M453" s="2" t="n">
        <f aca="false">L453*(1-M$451)+L452*M$451</f>
        <v>0.000191482940090416</v>
      </c>
      <c r="N453" s="2" t="n">
        <f aca="false">M453*(1-N$451)+M452*N$451</f>
        <v>0.000119389214793066</v>
      </c>
      <c r="O453" s="2" t="n">
        <f aca="false">N453*(1-O$451)+N452*O$451</f>
        <v>0.000119389214793066</v>
      </c>
    </row>
    <row r="454" customFormat="false" ht="15" hidden="false" customHeight="false" outlineLevel="0" collapsed="false">
      <c r="B454" s="2" t="n">
        <v>2</v>
      </c>
      <c r="C454" s="2" t="n">
        <f aca="false">0</f>
        <v>0</v>
      </c>
      <c r="D454" s="2" t="n">
        <f aca="false">C454*(1-D$451)+C453*D$451</f>
        <v>0.940187055345644</v>
      </c>
      <c r="E454" s="2" t="n">
        <f aca="false">D454*(1-E$451)+D453*E$451</f>
        <v>0.35904007037922</v>
      </c>
      <c r="F454" s="2" t="n">
        <f aca="false">E454*(1-F$451)+E453*F$451</f>
        <v>0.224771537511156</v>
      </c>
      <c r="G454" s="2" t="n">
        <f aca="false">F454*(1-G$451)+F453*G$451</f>
        <v>0.200065647454157</v>
      </c>
      <c r="H454" s="2" t="n">
        <f aca="false">G454*(1-H$451)+G453*H$451</f>
        <v>0.125062711818666</v>
      </c>
      <c r="I454" s="2" t="n">
        <f aca="false">H454*(1-I$451)+H453*I$451</f>
        <v>0.0465920601813947</v>
      </c>
      <c r="J454" s="2" t="n">
        <f aca="false">I454*(1-J$451)+I453*J$451</f>
        <v>0.0220959419514254</v>
      </c>
      <c r="K454" s="2" t="n">
        <f aca="false">J454*(1-K$451)+J453*K$451</f>
        <v>0.0102395262565856</v>
      </c>
      <c r="L454" s="2" t="n">
        <f aca="false">K454*(1-L$451)+K453*L$451</f>
        <v>0.00661151413242058</v>
      </c>
      <c r="M454" s="2" t="n">
        <f aca="false">L454*(1-M$451)+L453*M$451</f>
        <v>0.00464328478234896</v>
      </c>
      <c r="N454" s="2" t="n">
        <f aca="false">M454*(1-N$451)+M453*N$451</f>
        <v>0.00296348513989447</v>
      </c>
      <c r="O454" s="2" t="n">
        <f aca="false">N454*(1-O$451)+N453*O$451</f>
        <v>0.00296348513989447</v>
      </c>
    </row>
    <row r="455" customFormat="false" ht="15" hidden="false" customHeight="false" outlineLevel="0" collapsed="false">
      <c r="B455" s="2" t="n">
        <v>3</v>
      </c>
      <c r="C455" s="2" t="n">
        <f aca="false">0</f>
        <v>0</v>
      </c>
      <c r="D455" s="2" t="n">
        <f aca="false">C455*(1-D$451)+C454*D$451</f>
        <v>0</v>
      </c>
      <c r="E455" s="2" t="n">
        <f aca="false">D455*(1-E$451)+D454*E$451</f>
        <v>0.620536158126987</v>
      </c>
      <c r="F455" s="2" t="n">
        <f aca="false">E455*(1-F$451)+E454*F$451</f>
        <v>0.516861329124217</v>
      </c>
      <c r="G455" s="2" t="n">
        <f aca="false">F455*(1-G$451)+F454*G$451</f>
        <v>0.482894824222885</v>
      </c>
      <c r="H455" s="2" t="n">
        <f aca="false">G455*(1-H$451)+G454*H$451</f>
        <v>0.370762108238332</v>
      </c>
      <c r="I455" s="2" t="n">
        <f aca="false">H455*(1-I$451)+H454*I$451</f>
        <v>0.208035256698398</v>
      </c>
      <c r="J455" s="2" t="n">
        <f aca="false">I455*(1-J$451)+I454*J$451</f>
        <v>0.118884510876933</v>
      </c>
      <c r="K455" s="2" t="n">
        <f aca="false">J455*(1-K$451)+J454*K$451</f>
        <v>0.0644813968512949</v>
      </c>
      <c r="L455" s="2" t="n">
        <f aca="false">K455*(1-L$451)+K454*L$451</f>
        <v>0.0443995469292766</v>
      </c>
      <c r="M455" s="2" t="n">
        <f aca="false">L455*(1-M$451)+L454*M$451</f>
        <v>0.0326572416828157</v>
      </c>
      <c r="N455" s="2" t="n">
        <f aca="false">M455*(1-N$451)+M454*N$451</f>
        <v>0.0220867274387977</v>
      </c>
      <c r="O455" s="2" t="n">
        <f aca="false">N455*(1-O$451)+N454*O$451</f>
        <v>0.0220867274387977</v>
      </c>
    </row>
    <row r="456" customFormat="false" ht="15" hidden="false" customHeight="false" outlineLevel="0" collapsed="false">
      <c r="B456" s="2" t="n">
        <v>4</v>
      </c>
      <c r="C456" s="2" t="n">
        <f aca="false">0</f>
        <v>0</v>
      </c>
      <c r="D456" s="2" t="n">
        <f aca="false">C456*(1-D$451)+C455*D$451</f>
        <v>0</v>
      </c>
      <c r="E456" s="2" t="n">
        <f aca="false">D456*(1-E$451)+D455*E$451</f>
        <v>0</v>
      </c>
      <c r="F456" s="2" t="n">
        <f aca="false">E456*(1-F$451)+E455*F$451</f>
        <v>0.246022724997349</v>
      </c>
      <c r="G456" s="2" t="n">
        <f aca="false">F456*(1-G$451)+F455*G$451</f>
        <v>0.277517974193636</v>
      </c>
      <c r="H456" s="2" t="n">
        <f aca="false">G456*(1-H$451)+G455*H$451</f>
        <v>0.35894332166747</v>
      </c>
      <c r="I456" s="2" t="n">
        <f aca="false">H456*(1-I$451)+H455*I$451</f>
        <v>0.366770910809829</v>
      </c>
      <c r="J456" s="2" t="n">
        <f aca="false">I456*(1-J$451)+I455*J$451</f>
        <v>0.279115300305352</v>
      </c>
      <c r="K456" s="2" t="n">
        <f aca="false">J456*(1-K$451)+J455*K$451</f>
        <v>0.189052455028641</v>
      </c>
      <c r="L456" s="2" t="n">
        <f aca="false">K456*(1-L$451)+K455*L$451</f>
        <v>0.142932782762241</v>
      </c>
      <c r="M456" s="2" t="n">
        <f aca="false">L456*(1-M$451)+L455*M$451</f>
        <v>0.112314429637268</v>
      </c>
      <c r="N456" s="2" t="n">
        <f aca="false">M456*(1-N$451)+M455*N$451</f>
        <v>0.0822573604805391</v>
      </c>
      <c r="O456" s="2" t="n">
        <f aca="false">N456*(1-O$451)+N455*O$451</f>
        <v>0.0822573604805391</v>
      </c>
    </row>
    <row r="457" customFormat="false" ht="15" hidden="false" customHeight="false" outlineLevel="0" collapsed="false">
      <c r="B457" s="2" t="n">
        <v>5</v>
      </c>
      <c r="C457" s="2" t="n">
        <f aca="false">0</f>
        <v>0</v>
      </c>
      <c r="D457" s="2" t="n">
        <f aca="false">C457*(1-D$451)+C456*D$451</f>
        <v>0</v>
      </c>
      <c r="E457" s="2" t="n">
        <f aca="false">D457*(1-E$451)+D456*E$451</f>
        <v>0</v>
      </c>
      <c r="F457" s="2" t="n">
        <f aca="false">E457*(1-F$451)+E456*F$451</f>
        <v>0</v>
      </c>
      <c r="G457" s="2" t="n">
        <f aca="false">F457*(1-G$451)+F456*G$451</f>
        <v>0.0286094630295451</v>
      </c>
      <c r="H457" s="2" t="n">
        <f aca="false">G457*(1-H$451)+G456*H$451</f>
        <v>0.127293720811492</v>
      </c>
      <c r="I457" s="2" t="n">
        <f aca="false">H457*(1-I$451)+H456*I$451</f>
        <v>0.28071538467016</v>
      </c>
      <c r="J457" s="2" t="n">
        <f aca="false">I457*(1-J$451)+I456*J$451</f>
        <v>0.328236212446895</v>
      </c>
      <c r="K457" s="2" t="n">
        <f aca="false">J457*(1-K$451)+J456*K$451</f>
        <v>0.300626231082913</v>
      </c>
      <c r="L457" s="2" t="n">
        <f aca="false">K457*(1-L$451)+K456*L$451</f>
        <v>0.259318514343268</v>
      </c>
      <c r="M457" s="2" t="n">
        <f aca="false">L457*(1-M$451)+L456*M$451</f>
        <v>0.223152652153406</v>
      </c>
      <c r="N457" s="2" t="n">
        <f aca="false">M457*(1-N$451)+M456*N$451</f>
        <v>0.181330034447124</v>
      </c>
      <c r="O457" s="2" t="n">
        <f aca="false">N457*(1-O$451)+N456*O$451</f>
        <v>0.181330034447124</v>
      </c>
    </row>
    <row r="458" customFormat="false" ht="15" hidden="false" customHeight="false" outlineLevel="0" collapsed="false">
      <c r="B458" s="2" t="n">
        <v>6</v>
      </c>
      <c r="C458" s="2" t="n">
        <f aca="false">0</f>
        <v>0</v>
      </c>
      <c r="D458" s="2" t="n">
        <f aca="false">C458*(1-D$451)+C457*D$451</f>
        <v>0</v>
      </c>
      <c r="E458" s="2" t="n">
        <f aca="false">D458*(1-E$451)+D457*E$451</f>
        <v>0</v>
      </c>
      <c r="F458" s="2" t="n">
        <f aca="false">E458*(1-F$451)+E457*F$451</f>
        <v>0</v>
      </c>
      <c r="G458" s="2" t="n">
        <f aca="false">F458*(1-G$451)+F457*G$451</f>
        <v>0</v>
      </c>
      <c r="H458" s="2" t="n">
        <f aca="false">G458*(1-H$451)+G457*H$451</f>
        <v>0.011342736378948</v>
      </c>
      <c r="I458" s="2" t="n">
        <f aca="false">H458*(1-I$451)+H457*I$451</f>
        <v>0.0881371400470622</v>
      </c>
      <c r="J458" s="2" t="n">
        <f aca="false">I458*(1-J$451)+I457*J$451</f>
        <v>0.194481009020999</v>
      </c>
      <c r="K458" s="2" t="n">
        <f aca="false">J458*(1-K$451)+J457*K$451</f>
        <v>0.269662403521231</v>
      </c>
      <c r="L458" s="2" t="n">
        <f aca="false">K458*(1-L$451)+K457*L$451</f>
        <v>0.281126074137443</v>
      </c>
      <c r="M458" s="2" t="n">
        <f aca="false">L458*(1-M$451)+L457*M$451</f>
        <v>0.274349563035098</v>
      </c>
      <c r="N458" s="2" t="n">
        <f aca="false">M458*(1-N$451)+M457*N$451</f>
        <v>0.255031418238651</v>
      </c>
      <c r="O458" s="2" t="n">
        <f aca="false">N458*(1-O$451)+N457*O$451</f>
        <v>0.255031418238651</v>
      </c>
    </row>
    <row r="459" customFormat="false" ht="15" hidden="false" customHeight="false" outlineLevel="0" collapsed="false">
      <c r="B459" s="2" t="n">
        <v>7</v>
      </c>
      <c r="C459" s="2" t="n">
        <f aca="false">0</f>
        <v>0</v>
      </c>
      <c r="D459" s="2" t="n">
        <f aca="false">C459*(1-D$451)+C458*D$451</f>
        <v>0</v>
      </c>
      <c r="E459" s="2" t="n">
        <f aca="false">D459*(1-E$451)+D458*E$451</f>
        <v>0</v>
      </c>
      <c r="F459" s="2" t="n">
        <f aca="false">E459*(1-F$451)+E458*F$451</f>
        <v>0</v>
      </c>
      <c r="G459" s="2" t="n">
        <f aca="false">F459*(1-G$451)+F458*G$451</f>
        <v>0</v>
      </c>
      <c r="H459" s="2" t="n">
        <f aca="false">G459*(1-H$451)+G458*H$451</f>
        <v>0</v>
      </c>
      <c r="I459" s="2" t="n">
        <f aca="false">H459*(1-I$451)+H458*I$451</f>
        <v>0.00751230082649865</v>
      </c>
      <c r="J459" s="2" t="n">
        <f aca="false">I459*(1-J$451)+I458*J$451</f>
        <v>0.052034242310059</v>
      </c>
      <c r="K459" s="2" t="n">
        <f aca="false">J459*(1-K$451)+J458*K$451</f>
        <v>0.132101008230765</v>
      </c>
      <c r="L459" s="2" t="n">
        <f aca="false">K459*(1-L$451)+K458*L$451</f>
        <v>0.18303006478797</v>
      </c>
      <c r="M459" s="2" t="n">
        <f aca="false">L459*(1-M$451)+L458*M$451</f>
        <v>0.213512553554547</v>
      </c>
      <c r="N459" s="2" t="n">
        <f aca="false">M459*(1-N$451)+M458*N$451</f>
        <v>0.236468199469277</v>
      </c>
      <c r="O459" s="2" t="n">
        <f aca="false">N459*(1-O$451)+N458*O$451</f>
        <v>0.236468199469277</v>
      </c>
    </row>
    <row r="460" customFormat="false" ht="15" hidden="false" customHeight="false" outlineLevel="0" collapsed="false">
      <c r="B460" s="2" t="n">
        <v>8</v>
      </c>
      <c r="C460" s="2" t="n">
        <f aca="false">0</f>
        <v>0</v>
      </c>
      <c r="D460" s="2" t="n">
        <f aca="false">C460*(1-D$451)+C459*D$451</f>
        <v>0</v>
      </c>
      <c r="E460" s="2" t="n">
        <f aca="false">D460*(1-E$451)+D459*E$451</f>
        <v>0</v>
      </c>
      <c r="F460" s="2" t="n">
        <f aca="false">E460*(1-F$451)+E459*F$451</f>
        <v>0</v>
      </c>
      <c r="G460" s="2" t="n">
        <f aca="false">F460*(1-G$451)+F459*G$451</f>
        <v>0</v>
      </c>
      <c r="H460" s="2" t="n">
        <f aca="false">G460*(1-H$451)+G459*H$451</f>
        <v>0</v>
      </c>
      <c r="I460" s="2" t="n">
        <f aca="false">H460*(1-I$451)+H459*I$451</f>
        <v>0</v>
      </c>
      <c r="J460" s="2" t="n">
        <f aca="false">I460*(1-J$451)+I459*J$451</f>
        <v>0.00414837686546319</v>
      </c>
      <c r="K460" s="2" t="n">
        <f aca="false">J460*(1-K$451)+J459*K$451</f>
        <v>0.0310641606911722</v>
      </c>
      <c r="L460" s="2" t="n">
        <f aca="false">K460*(1-L$451)+K459*L$451</f>
        <v>0.0684708132759348</v>
      </c>
      <c r="M460" s="2" t="n">
        <f aca="false">L460*(1-M$451)+L459*M$451</f>
        <v>0.104069112538878</v>
      </c>
      <c r="N460" s="2" t="n">
        <f aca="false">M460*(1-N$451)+M459*N$451</f>
        <v>0.145365436948915</v>
      </c>
      <c r="O460" s="2" t="n">
        <f aca="false">N460*(1-O$451)+N459*O$451</f>
        <v>0.145365436948915</v>
      </c>
    </row>
    <row r="461" customFormat="false" ht="15" hidden="false" customHeight="false" outlineLevel="0" collapsed="false">
      <c r="B461" s="2" t="n">
        <v>9</v>
      </c>
      <c r="C461" s="2" t="n">
        <f aca="false">0</f>
        <v>0</v>
      </c>
      <c r="D461" s="2" t="n">
        <f aca="false">C461*(1-D$451)+C460*D$451</f>
        <v>0</v>
      </c>
      <c r="E461" s="2" t="n">
        <f aca="false">D461*(1-E$451)+D460*E$451</f>
        <v>0</v>
      </c>
      <c r="F461" s="2" t="n">
        <f aca="false">E461*(1-F$451)+E460*F$451</f>
        <v>0</v>
      </c>
      <c r="G461" s="2" t="n">
        <f aca="false">F461*(1-G$451)+F460*G$451</f>
        <v>0</v>
      </c>
      <c r="H461" s="2" t="n">
        <f aca="false">G461*(1-H$451)+G460*H$451</f>
        <v>0</v>
      </c>
      <c r="I461" s="2" t="n">
        <f aca="false">H461*(1-I$451)+H460*I$451</f>
        <v>0</v>
      </c>
      <c r="J461" s="2" t="n">
        <f aca="false">I461*(1-J$451)+I460*J$451</f>
        <v>0</v>
      </c>
      <c r="K461" s="2" t="n">
        <f aca="false">J461*(1-K$451)+J460*K$451</f>
        <v>0.00233172803502042</v>
      </c>
      <c r="L461" s="2" t="n">
        <f aca="false">K461*(1-L$451)+K460*L$451</f>
        <v>0.0129692741625616</v>
      </c>
      <c r="M461" s="2" t="n">
        <f aca="false">L461*(1-M$451)+L460*M$451</f>
        <v>0.030215898706929</v>
      </c>
      <c r="N461" s="2" t="n">
        <f aca="false">M461*(1-N$451)+M460*N$451</f>
        <v>0.0580829526740221</v>
      </c>
      <c r="O461" s="2" t="n">
        <f aca="false">N461*(1-O$451)+N460*O$451</f>
        <v>0.0580829526740221</v>
      </c>
    </row>
    <row r="462" customFormat="false" ht="15" hidden="false" customHeight="false" outlineLevel="0" collapsed="false">
      <c r="B462" s="2" t="n">
        <v>10</v>
      </c>
      <c r="C462" s="2" t="n">
        <f aca="false">0</f>
        <v>0</v>
      </c>
      <c r="D462" s="2" t="n">
        <f aca="false">C462*(1-D$451)+C461*D$451</f>
        <v>0</v>
      </c>
      <c r="E462" s="2" t="n">
        <f aca="false">D462*(1-E$451)+D461*E$451</f>
        <v>0</v>
      </c>
      <c r="F462" s="2" t="n">
        <f aca="false">E462*(1-F$451)+E461*F$451</f>
        <v>0</v>
      </c>
      <c r="G462" s="2" t="n">
        <f aca="false">F462*(1-G$451)+F461*G$451</f>
        <v>0</v>
      </c>
      <c r="H462" s="2" t="n">
        <f aca="false">G462*(1-H$451)+G461*H$451</f>
        <v>0</v>
      </c>
      <c r="I462" s="2" t="n">
        <f aca="false">H462*(1-I$451)+H461*I$451</f>
        <v>0</v>
      </c>
      <c r="J462" s="2" t="n">
        <f aca="false">I462*(1-J$451)+I461*J$451</f>
        <v>0</v>
      </c>
      <c r="K462" s="2" t="n">
        <f aca="false">J462*(1-K$451)+J461*K$451</f>
        <v>0</v>
      </c>
      <c r="L462" s="2" t="n">
        <f aca="false">K462*(1-L$451)+K461*L$451</f>
        <v>0.000863270605251029</v>
      </c>
      <c r="M462" s="2" t="n">
        <f aca="false">L462*(1-M$451)+L461*M$451</f>
        <v>0.00462510678891468</v>
      </c>
      <c r="N462" s="2" t="n">
        <f aca="false">M462*(1-N$451)+M461*N$451</f>
        <v>0.0142812875079106</v>
      </c>
      <c r="O462" s="2" t="n">
        <f aca="false">N462*(1-O$451)+N461*O$451</f>
        <v>0.0142812875079106</v>
      </c>
    </row>
    <row r="463" customFormat="false" ht="15" hidden="false" customHeight="false" outlineLevel="0" collapsed="false">
      <c r="B463" s="2" t="n">
        <v>11</v>
      </c>
      <c r="C463" s="2" t="n">
        <f aca="false">0</f>
        <v>0</v>
      </c>
      <c r="D463" s="2" t="n">
        <f aca="false">C463*(1-D$451)+C462*D$451</f>
        <v>0</v>
      </c>
      <c r="E463" s="2" t="n">
        <f aca="false">D463*(1-E$451)+D462*E$451</f>
        <v>0</v>
      </c>
      <c r="F463" s="2" t="n">
        <f aca="false">E463*(1-F$451)+E462*F$451</f>
        <v>0</v>
      </c>
      <c r="G463" s="2" t="n">
        <f aca="false">F463*(1-G$451)+F462*G$451</f>
        <v>0</v>
      </c>
      <c r="H463" s="2" t="n">
        <f aca="false">G463*(1-H$451)+G462*H$451</f>
        <v>0</v>
      </c>
      <c r="I463" s="2" t="n">
        <f aca="false">H463*(1-I$451)+H462*I$451</f>
        <v>0</v>
      </c>
      <c r="J463" s="2" t="n">
        <f aca="false">I463*(1-J$451)+I462*J$451</f>
        <v>0</v>
      </c>
      <c r="K463" s="2" t="n">
        <f aca="false">J463*(1-K$451)+J462*K$451</f>
        <v>0</v>
      </c>
      <c r="L463" s="2" t="n">
        <f aca="false">K463*(1-L$451)+K462*L$451</f>
        <v>0</v>
      </c>
      <c r="M463" s="2" t="n">
        <f aca="false">L463*(1-M$451)+L462*M$451</f>
        <v>0.000268253894338686</v>
      </c>
      <c r="N463" s="2" t="n">
        <f aca="false">M463*(1-N$451)+M462*N$451</f>
        <v>0.00191222642363316</v>
      </c>
      <c r="O463" s="2" t="n">
        <f aca="false">N463*(1-O$451)+N462*O$451</f>
        <v>0.00191222642363316</v>
      </c>
    </row>
    <row r="464" customFormat="false" ht="15" hidden="false" customHeight="false" outlineLevel="0" collapsed="false">
      <c r="B464" s="2" t="n">
        <v>12</v>
      </c>
      <c r="C464" s="2" t="n">
        <f aca="false">0</f>
        <v>0</v>
      </c>
      <c r="D464" s="2" t="n">
        <f aca="false">C464*(1-D$451)+C463*D$451</f>
        <v>0</v>
      </c>
      <c r="E464" s="2" t="n">
        <f aca="false">D464*(1-E$451)+D463*E$451</f>
        <v>0</v>
      </c>
      <c r="F464" s="2" t="n">
        <f aca="false">E464*(1-F$451)+E463*F$451</f>
        <v>0</v>
      </c>
      <c r="G464" s="2" t="n">
        <f aca="false">F464*(1-G$451)+F463*G$451</f>
        <v>0</v>
      </c>
      <c r="H464" s="2" t="n">
        <f aca="false">G464*(1-H$451)+G463*H$451</f>
        <v>0</v>
      </c>
      <c r="I464" s="2" t="n">
        <f aca="false">H464*(1-I$451)+H463*I$451</f>
        <v>0</v>
      </c>
      <c r="J464" s="2" t="n">
        <f aca="false">I464*(1-J$451)+I463*J$451</f>
        <v>0</v>
      </c>
      <c r="K464" s="2" t="n">
        <f aca="false">J464*(1-K$451)+J463*K$451</f>
        <v>0</v>
      </c>
      <c r="L464" s="2" t="n">
        <f aca="false">K464*(1-L$451)+K463*L$451</f>
        <v>0</v>
      </c>
      <c r="M464" s="2" t="n">
        <f aca="false">L464*(1-M$451)+L463*M$451</f>
        <v>0</v>
      </c>
      <c r="N464" s="2" t="n">
        <f aca="false">M464*(1-N$451)+M463*N$451</f>
        <v>0.000101220317472293</v>
      </c>
      <c r="O464" s="2" t="n">
        <f aca="false">N464*(1-O$451)+N463*O$451</f>
        <v>0.000101220317472293</v>
      </c>
    </row>
    <row r="465" customFormat="false" ht="15" hidden="false" customHeight="false" outlineLevel="0" collapsed="false">
      <c r="B465" s="2" t="n">
        <v>13</v>
      </c>
      <c r="C465" s="2" t="n">
        <f aca="false">0</f>
        <v>0</v>
      </c>
      <c r="D465" s="2" t="n">
        <f aca="false">C465*(1-D$451)+C464*D$451</f>
        <v>0</v>
      </c>
      <c r="E465" s="2" t="n">
        <f aca="false">D465*(1-E$451)+D464*E$451</f>
        <v>0</v>
      </c>
      <c r="F465" s="2" t="n">
        <f aca="false">E465*(1-F$451)+E464*F$451</f>
        <v>0</v>
      </c>
      <c r="G465" s="2" t="n">
        <f aca="false">F465*(1-G$451)+F464*G$451</f>
        <v>0</v>
      </c>
      <c r="H465" s="2" t="n">
        <f aca="false">G465*(1-H$451)+G464*H$451</f>
        <v>0</v>
      </c>
      <c r="I465" s="2" t="n">
        <f aca="false">H465*(1-I$451)+H464*I$451</f>
        <v>0</v>
      </c>
      <c r="J465" s="2" t="n">
        <f aca="false">I465*(1-J$451)+I464*J$451</f>
        <v>0</v>
      </c>
      <c r="K465" s="2" t="n">
        <f aca="false">J465*(1-K$451)+J464*K$451</f>
        <v>0</v>
      </c>
      <c r="L465" s="2" t="n">
        <f aca="false">K465*(1-L$451)+K464*L$451</f>
        <v>0</v>
      </c>
      <c r="M465" s="2" t="n">
        <f aca="false">L465*(1-M$451)+L464*M$451</f>
        <v>0</v>
      </c>
      <c r="N465" s="2" t="n">
        <f aca="false">M465*(1-N$451)+M464*N$451</f>
        <v>0</v>
      </c>
      <c r="O465" s="2" t="n">
        <f aca="false">N465*(1-O$451)+N464*O$451</f>
        <v>0</v>
      </c>
    </row>
    <row r="467" customFormat="false" ht="15" hidden="false" customHeight="false" outlineLevel="0" collapsed="false">
      <c r="A467" s="1" t="s">
        <v>87</v>
      </c>
      <c r="C467" s="2" t="n">
        <f aca="false">Schedule!G31</f>
        <v>0.956019228485642</v>
      </c>
      <c r="D467" s="2" t="n">
        <f aca="false">Schedule!L31</f>
        <v>0.662300575057129</v>
      </c>
      <c r="E467" s="2" t="n">
        <f aca="false">Schedule!Q31</f>
        <v>0.89661553685184</v>
      </c>
      <c r="F467" s="2" t="n">
        <f aca="false">Schedule!V31</f>
        <v>0.684830585730692</v>
      </c>
      <c r="G467" s="2" t="n">
        <f aca="false">Schedule!AA31</f>
        <v>0.713112298183635</v>
      </c>
      <c r="H467" s="2" t="n">
        <f aca="false">Schedule!AF31</f>
        <v>0.660013509650862</v>
      </c>
      <c r="I467" s="2" t="n">
        <f aca="false">Schedule!AK31</f>
        <v>0.620292847240567</v>
      </c>
      <c r="J467" s="2" t="n">
        <f aca="false">Schedule!AP31</f>
        <v>0.605938963847754</v>
      </c>
      <c r="K467" s="2" t="n">
        <f aca="false">Schedule!AU31</f>
        <v>0.435456064137962</v>
      </c>
      <c r="L467" s="2" t="n">
        <f aca="false">Schedule!AZ31</f>
        <v>0.445317796372433</v>
      </c>
      <c r="M467" s="2" t="n">
        <f aca="false">Schedule!BE31</f>
        <v>0.447788771872615</v>
      </c>
      <c r="N467" s="2" t="n">
        <f aca="false">Schedule!BJ31</f>
        <v>0.802337456877308</v>
      </c>
      <c r="O467" s="2" t="n">
        <f aca="false">Schedule!BO31</f>
        <v>0</v>
      </c>
    </row>
    <row r="468" customFormat="false" ht="15" hidden="false" customHeight="false" outlineLevel="0" collapsed="false">
      <c r="B468" s="2" t="n">
        <v>0</v>
      </c>
      <c r="C468" s="2" t="n">
        <f aca="false">1-C$467</f>
        <v>0.0439807715143581</v>
      </c>
      <c r="D468" s="2" t="n">
        <f aca="false">C468*(1-D$467)</f>
        <v>0.0148522812489425</v>
      </c>
      <c r="E468" s="2" t="n">
        <f aca="false">D468*(1-E$467)</f>
        <v>0.00153549512344741</v>
      </c>
      <c r="F468" s="2" t="n">
        <f aca="false">E468*(1-F$467)</f>
        <v>0.000483941098670301</v>
      </c>
      <c r="G468" s="2" t="n">
        <f aca="false">F468*(1-G$467)</f>
        <v>0.000138836749612009</v>
      </c>
      <c r="H468" s="2" t="n">
        <f aca="false">G468*(1-H$467)</f>
        <v>4.72026192320692E-005</v>
      </c>
      <c r="I468" s="2" t="n">
        <f aca="false">H468*(1-I$467)</f>
        <v>1.79231721513967E-005</v>
      </c>
      <c r="J468" s="2" t="n">
        <f aca="false">I468*(1-J$467)</f>
        <v>7.06282378911444E-006</v>
      </c>
      <c r="K468" s="2" t="n">
        <f aca="false">J468*(1-K$467)</f>
        <v>3.9872743402067E-006</v>
      </c>
      <c r="L468" s="2" t="n">
        <f aca="false">K468*(1-L$467)</f>
        <v>2.21167011749351E-006</v>
      </c>
      <c r="M468" s="2" t="n">
        <f aca="false">L468*(1-M$467)</f>
        <v>1.22130907179373E-006</v>
      </c>
      <c r="N468" s="2" t="n">
        <f aca="false">M468*(1-N$467)</f>
        <v>2.41407057069563E-007</v>
      </c>
      <c r="O468" s="2" t="n">
        <f aca="false">N468*(1-O$467)</f>
        <v>2.41407057069563E-007</v>
      </c>
    </row>
    <row r="469" customFormat="false" ht="15" hidden="false" customHeight="false" outlineLevel="0" collapsed="false">
      <c r="B469" s="2" t="n">
        <v>1</v>
      </c>
      <c r="C469" s="2" t="n">
        <f aca="false">C$467</f>
        <v>0.956019228485642</v>
      </c>
      <c r="D469" s="2" t="n">
        <f aca="false">C469*(1-D$467)+C468*D$467</f>
        <v>0.351975633959344</v>
      </c>
      <c r="E469" s="2" t="n">
        <f aca="false">D469*(1-E$467)+D468*E$467</f>
        <v>0.0497055980836154</v>
      </c>
      <c r="F469" s="2" t="n">
        <f aca="false">E469*(1-F$467)+E468*F$467</f>
        <v>0.0167172382586958</v>
      </c>
      <c r="G469" s="2" t="n">
        <f aca="false">F469*(1-G$467)+F468*G$467</f>
        <v>0.00514107441381215</v>
      </c>
      <c r="H469" s="2" t="n">
        <f aca="false">G469*(1-H$467)+G468*H$467</f>
        <v>0.00183952997695569</v>
      </c>
      <c r="I469" s="2" t="n">
        <f aca="false">H469*(1-I$467)+H468*I$467</f>
        <v>0.000727762137046142</v>
      </c>
      <c r="J469" s="2" t="n">
        <f aca="false">I469*(1-J$467)+I468*J$467</f>
        <v>0.000297643050159058</v>
      </c>
      <c r="K469" s="2" t="n">
        <f aca="false">J469*(1-K$467)+J468*K$467</f>
        <v>0.000171108128467684</v>
      </c>
      <c r="L469" s="2" t="n">
        <f aca="false">K469*(1-L$467)+K468*L$467</f>
        <v>9.66862379797572E-005</v>
      </c>
      <c r="M469" s="2" t="n">
        <f aca="false">L469*(1-M$467)+L468*M$467</f>
        <v>5.43815872635181E-005</v>
      </c>
      <c r="N469" s="2" t="n">
        <f aca="false">M469*(1-N$467)+M468*N$467</f>
        <v>1.17291048522798E-005</v>
      </c>
      <c r="O469" s="2" t="n">
        <f aca="false">N469*(1-O$467)+N468*O$467</f>
        <v>1.17291048522798E-005</v>
      </c>
    </row>
    <row r="470" customFormat="false" ht="15" hidden="false" customHeight="false" outlineLevel="0" collapsed="false">
      <c r="B470" s="2" t="n">
        <v>2</v>
      </c>
      <c r="C470" s="2" t="n">
        <f aca="false">0</f>
        <v>0</v>
      </c>
      <c r="D470" s="2" t="n">
        <f aca="false">C470*(1-D$467)+C469*D$467</f>
        <v>0.633172084791714</v>
      </c>
      <c r="E470" s="2" t="n">
        <f aca="false">D470*(1-E$467)+D469*E$467</f>
        <v>0.381046978067817</v>
      </c>
      <c r="F470" s="2" t="n">
        <f aca="false">E470*(1-F$467)+E469*F$467</f>
        <v>0.15413426673642</v>
      </c>
      <c r="G470" s="2" t="n">
        <f aca="false">F470*(1-G$467)+F469*G$467</f>
        <v>0.0561404937491043</v>
      </c>
      <c r="H470" s="2" t="n">
        <f aca="false">G470*(1-H$467)+G469*H$467</f>
        <v>0.0224801880034621</v>
      </c>
      <c r="I470" s="2" t="n">
        <f aca="false">H470*(1-I$467)+H469*I$467</f>
        <v>0.00967693546728158</v>
      </c>
      <c r="J470" s="2" t="n">
        <f aca="false">I470*(1-J$467)+I469*J$467</f>
        <v>0.00425428265226476</v>
      </c>
      <c r="K470" s="2" t="n">
        <f aca="false">J470*(1-K$467)+J469*K$467</f>
        <v>0.00253133994391942</v>
      </c>
      <c r="L470" s="2" t="n">
        <f aca="false">K470*(1-L$467)+K469*L$467</f>
        <v>0.00148028671293435</v>
      </c>
      <c r="M470" s="2" t="n">
        <f aca="false">L470*(1-M$467)+L469*M$467</f>
        <v>0.000860725955492064</v>
      </c>
      <c r="N470" s="2" t="n">
        <f aca="false">M470*(1-N$467)+M469*N$467</f>
        <v>0.000213765665720233</v>
      </c>
      <c r="O470" s="2" t="n">
        <f aca="false">N470*(1-O$467)+N469*O$467</f>
        <v>0.000213765665720233</v>
      </c>
    </row>
    <row r="471" customFormat="false" ht="15" hidden="false" customHeight="false" outlineLevel="0" collapsed="false">
      <c r="B471" s="2" t="n">
        <v>3</v>
      </c>
      <c r="C471" s="2" t="n">
        <f aca="false">0</f>
        <v>0</v>
      </c>
      <c r="D471" s="2" t="n">
        <f aca="false">C471*(1-D$467)+C470*D$467</f>
        <v>0</v>
      </c>
      <c r="E471" s="2" t="n">
        <f aca="false">D471*(1-E$467)+D470*E$467</f>
        <v>0.567711928725121</v>
      </c>
      <c r="F471" s="2" t="n">
        <f aca="false">E471*(1-F$467)+E470*F$467</f>
        <v>0.439878061231089</v>
      </c>
      <c r="G471" s="2" t="n">
        <f aca="false">F471*(1-G$467)+F470*G$467</f>
        <v>0.236110647247284</v>
      </c>
      <c r="H471" s="2" t="n">
        <f aca="false">G471*(1-H$467)+G470*H$467</f>
        <v>0.117327914604546</v>
      </c>
      <c r="I471" s="2" t="n">
        <f aca="false">H471*(1-I$467)+H470*I$467</f>
        <v>0.0584945482168648</v>
      </c>
      <c r="J471" s="2" t="n">
        <f aca="false">I471*(1-J$467)+I470*J$467</f>
        <v>0.0289140545298614</v>
      </c>
      <c r="K471" s="2" t="n">
        <f aca="false">J471*(1-K$467)+J470*K$467</f>
        <v>0.0181758073255032</v>
      </c>
      <c r="L471" s="2" t="n">
        <f aca="false">K471*(1-L$467)+K470*L$467</f>
        <v>0.0112090475857159</v>
      </c>
      <c r="M471" s="2" t="n">
        <f aca="false">L471*(1-M$467)+L470*M$467</f>
        <v>0.0068526177026507</v>
      </c>
      <c r="N471" s="2" t="n">
        <f aca="false">M471*(1-N$467)+M470*N$467</f>
        <v>0.00204509851635131</v>
      </c>
      <c r="O471" s="2" t="n">
        <f aca="false">N471*(1-O$467)+N470*O$467</f>
        <v>0.00204509851635131</v>
      </c>
    </row>
    <row r="472" customFormat="false" ht="15" hidden="false" customHeight="false" outlineLevel="0" collapsed="false">
      <c r="B472" s="2" t="n">
        <v>4</v>
      </c>
      <c r="C472" s="2" t="n">
        <f aca="false">0</f>
        <v>0</v>
      </c>
      <c r="D472" s="2" t="n">
        <f aca="false">C472*(1-D$467)+C471*D$467</f>
        <v>0</v>
      </c>
      <c r="E472" s="2" t="n">
        <f aca="false">D472*(1-E$467)+D471*E$467</f>
        <v>0</v>
      </c>
      <c r="F472" s="2" t="n">
        <f aca="false">E472*(1-F$467)+E471*F$467</f>
        <v>0.388786492675125</v>
      </c>
      <c r="G472" s="2" t="n">
        <f aca="false">F472*(1-G$467)+F471*G$467</f>
        <v>0.425220518545875</v>
      </c>
      <c r="H472" s="2" t="n">
        <f aca="false">G472*(1-H$467)+G471*H$467</f>
        <v>0.300405448680469</v>
      </c>
      <c r="I472" s="2" t="n">
        <f aca="false">H472*(1-I$467)+H471*I$467</f>
        <v>0.186843763802733</v>
      </c>
      <c r="J472" s="2" t="n">
        <f aca="false">I472*(1-J$467)+I471*J$467</f>
        <v>0.10907197309996</v>
      </c>
      <c r="K472" s="2" t="n">
        <f aca="false">J472*(1-K$467)+J471*K$467</f>
        <v>0.0741667213699336</v>
      </c>
      <c r="L472" s="2" t="n">
        <f aca="false">K472*(1-L$467)+K471*L$467</f>
        <v>0.0492329709107895</v>
      </c>
      <c r="M472" s="2" t="n">
        <f aca="false">L472*(1-M$467)+L471*M$467</f>
        <v>0.0322062849832763</v>
      </c>
      <c r="N472" s="2" t="n">
        <f aca="false">M472*(1-N$467)+M471*N$467</f>
        <v>0.0118640880548258</v>
      </c>
      <c r="O472" s="2" t="n">
        <f aca="false">N472*(1-O$467)+N471*O$467</f>
        <v>0.0118640880548258</v>
      </c>
    </row>
    <row r="473" customFormat="false" ht="15" hidden="false" customHeight="false" outlineLevel="0" collapsed="false">
      <c r="B473" s="2" t="n">
        <v>5</v>
      </c>
      <c r="C473" s="2" t="n">
        <f aca="false">0</f>
        <v>0</v>
      </c>
      <c r="D473" s="2" t="n">
        <f aca="false">C473*(1-D$467)+C472*D$467</f>
        <v>0</v>
      </c>
      <c r="E473" s="2" t="n">
        <f aca="false">D473*(1-E$467)+D472*E$467</f>
        <v>0</v>
      </c>
      <c r="F473" s="2" t="n">
        <f aca="false">E473*(1-F$467)+E472*F$467</f>
        <v>0</v>
      </c>
      <c r="G473" s="2" t="n">
        <f aca="false">F473*(1-G$467)+F472*G$467</f>
        <v>0.277248429294313</v>
      </c>
      <c r="H473" s="2" t="n">
        <f aca="false">G473*(1-H$467)+G472*H$467</f>
        <v>0.374912007251607</v>
      </c>
      <c r="I473" s="2" t="n">
        <f aca="false">H473*(1-I$467)+H472*I$467</f>
        <v>0.32869612189742</v>
      </c>
      <c r="J473" s="2" t="n">
        <f aca="false">I473*(1-J$467)+I472*J$467</f>
        <v>0.242742251014164</v>
      </c>
      <c r="K473" s="2" t="n">
        <f aca="false">J473*(1-K$467)+J472*K$467</f>
        <v>0.184534717901417</v>
      </c>
      <c r="L473" s="2" t="n">
        <f aca="false">K473*(1-L$467)+K472*L$467</f>
        <v>0.135385884895977</v>
      </c>
      <c r="M473" s="2" t="n">
        <f aca="false">L473*(1-M$467)+L472*M$467</f>
        <v>0.0968075773493027</v>
      </c>
      <c r="N473" s="2" t="n">
        <f aca="false">M473*(1-N$467)+M472*N$467</f>
        <v>0.0449755407213577</v>
      </c>
      <c r="O473" s="2" t="n">
        <f aca="false">N473*(1-O$467)+N472*O$467</f>
        <v>0.0449755407213577</v>
      </c>
    </row>
    <row r="474" customFormat="false" ht="15" hidden="false" customHeight="false" outlineLevel="0" collapsed="false">
      <c r="B474" s="2" t="n">
        <v>6</v>
      </c>
      <c r="C474" s="2" t="n">
        <f aca="false">0</f>
        <v>0</v>
      </c>
      <c r="D474" s="2" t="n">
        <f aca="false">C474*(1-D$467)+C473*D$467</f>
        <v>0</v>
      </c>
      <c r="E474" s="2" t="n">
        <f aca="false">D474*(1-E$467)+D473*E$467</f>
        <v>0</v>
      </c>
      <c r="F474" s="2" t="n">
        <f aca="false">E474*(1-F$467)+E473*F$467</f>
        <v>0</v>
      </c>
      <c r="G474" s="2" t="n">
        <f aca="false">F474*(1-G$467)+F473*G$467</f>
        <v>0</v>
      </c>
      <c r="H474" s="2" t="n">
        <f aca="false">G474*(1-H$467)+G473*H$467</f>
        <v>0.182987708863728</v>
      </c>
      <c r="I474" s="2" t="n">
        <f aca="false">H474*(1-I$467)+H473*I$467</f>
        <v>0.302036978365394</v>
      </c>
      <c r="J474" s="2" t="n">
        <f aca="false">I474*(1-J$467)+I473*J$467</f>
        <v>0.318190792174258</v>
      </c>
      <c r="K474" s="2" t="n">
        <f aca="false">J474*(1-K$467)+J473*K$467</f>
        <v>0.285336267395733</v>
      </c>
      <c r="L474" s="2" t="n">
        <f aca="false">K474*(1-L$467)+K473*L$467</f>
        <v>0.240447543503998</v>
      </c>
      <c r="M474" s="2" t="n">
        <f aca="false">L474*(1-M$467)+L473*M$467</f>
        <v>0.193402112425012</v>
      </c>
      <c r="N474" s="2" t="n">
        <f aca="false">M474*(1-N$467)+M473*N$467</f>
        <v>0.115900698804121</v>
      </c>
      <c r="O474" s="2" t="n">
        <f aca="false">N474*(1-O$467)+N473*O$467</f>
        <v>0.115900698804121</v>
      </c>
    </row>
    <row r="475" customFormat="false" ht="15" hidden="false" customHeight="false" outlineLevel="0" collapsed="false">
      <c r="B475" s="2" t="n">
        <v>7</v>
      </c>
      <c r="C475" s="2" t="n">
        <f aca="false">0</f>
        <v>0</v>
      </c>
      <c r="D475" s="2" t="n">
        <f aca="false">C475*(1-D$467)+C474*D$467</f>
        <v>0</v>
      </c>
      <c r="E475" s="2" t="n">
        <f aca="false">D475*(1-E$467)+D474*E$467</f>
        <v>0</v>
      </c>
      <c r="F475" s="2" t="n">
        <f aca="false">E475*(1-F$467)+E474*F$467</f>
        <v>0</v>
      </c>
      <c r="G475" s="2" t="n">
        <f aca="false">F475*(1-G$467)+F474*G$467</f>
        <v>0</v>
      </c>
      <c r="H475" s="2" t="n">
        <f aca="false">G475*(1-H$467)+G474*H$467</f>
        <v>0</v>
      </c>
      <c r="I475" s="2" t="n">
        <f aca="false">H475*(1-I$467)+H474*I$467</f>
        <v>0.11350596694111</v>
      </c>
      <c r="J475" s="2" t="n">
        <f aca="false">I475*(1-J$467)+I474*J$467</f>
        <v>0.22774425265671</v>
      </c>
      <c r="K475" s="2" t="n">
        <f aca="false">J475*(1-K$467)+J474*K$467</f>
        <v>0.26712974676992</v>
      </c>
      <c r="L475" s="2" t="n">
        <f aca="false">K475*(1-L$467)+K474*L$467</f>
        <v>0.275237434414616</v>
      </c>
      <c r="M475" s="2" t="n">
        <f aca="false">L475*(1-M$467)+L474*M$467</f>
        <v>0.259658911890168</v>
      </c>
      <c r="N475" s="2" t="n">
        <f aca="false">M475*(1-N$467)+M474*N$467</f>
        <v>0.206498599906465</v>
      </c>
      <c r="O475" s="2" t="n">
        <f aca="false">N475*(1-O$467)+N474*O$467</f>
        <v>0.206498599906465</v>
      </c>
    </row>
    <row r="476" customFormat="false" ht="15" hidden="false" customHeight="false" outlineLevel="0" collapsed="false">
      <c r="B476" s="2" t="n">
        <v>8</v>
      </c>
      <c r="C476" s="2" t="n">
        <f aca="false">0</f>
        <v>0</v>
      </c>
      <c r="D476" s="2" t="n">
        <f aca="false">C476*(1-D$467)+C475*D$467</f>
        <v>0</v>
      </c>
      <c r="E476" s="2" t="n">
        <f aca="false">D476*(1-E$467)+D475*E$467</f>
        <v>0</v>
      </c>
      <c r="F476" s="2" t="n">
        <f aca="false">E476*(1-F$467)+E475*F$467</f>
        <v>0</v>
      </c>
      <c r="G476" s="2" t="n">
        <f aca="false">F476*(1-G$467)+F475*G$467</f>
        <v>0</v>
      </c>
      <c r="H476" s="2" t="n">
        <f aca="false">G476*(1-H$467)+G475*H$467</f>
        <v>0</v>
      </c>
      <c r="I476" s="2" t="n">
        <f aca="false">H476*(1-I$467)+H475*I$467</f>
        <v>0</v>
      </c>
      <c r="J476" s="2" t="n">
        <f aca="false">I476*(1-J$467)+I475*J$467</f>
        <v>0.0687776879988337</v>
      </c>
      <c r="K476" s="2" t="n">
        <f aca="false">J476*(1-K$467)+J475*K$467</f>
        <v>0.138000642574285</v>
      </c>
      <c r="L476" s="2" t="n">
        <f aca="false">K476*(1-L$467)+K475*L$467</f>
        <v>0.195504130702232</v>
      </c>
      <c r="M476" s="2" t="n">
        <f aca="false">L476*(1-M$467)+L475*M$467</f>
        <v>0.231207808848946</v>
      </c>
      <c r="N476" s="2" t="n">
        <f aca="false">M476*(1-N$467)+M475*N$467</f>
        <v>0.254035194508394</v>
      </c>
      <c r="O476" s="2" t="n">
        <f aca="false">N476*(1-O$467)+N475*O$467</f>
        <v>0.254035194508394</v>
      </c>
    </row>
    <row r="477" customFormat="false" ht="15" hidden="false" customHeight="false" outlineLevel="0" collapsed="false">
      <c r="B477" s="2" t="n">
        <v>9</v>
      </c>
      <c r="C477" s="2" t="n">
        <f aca="false">0</f>
        <v>0</v>
      </c>
      <c r="D477" s="2" t="n">
        <f aca="false">C477*(1-D$467)+C476*D$467</f>
        <v>0</v>
      </c>
      <c r="E477" s="2" t="n">
        <f aca="false">D477*(1-E$467)+D476*E$467</f>
        <v>0</v>
      </c>
      <c r="F477" s="2" t="n">
        <f aca="false">E477*(1-F$467)+E476*F$467</f>
        <v>0</v>
      </c>
      <c r="G477" s="2" t="n">
        <f aca="false">F477*(1-G$467)+F476*G$467</f>
        <v>0</v>
      </c>
      <c r="H477" s="2" t="n">
        <f aca="false">G477*(1-H$467)+G476*H$467</f>
        <v>0</v>
      </c>
      <c r="I477" s="2" t="n">
        <f aca="false">H477*(1-I$467)+H476*I$467</f>
        <v>0</v>
      </c>
      <c r="J477" s="2" t="n">
        <f aca="false">I477*(1-J$467)+I476*J$467</f>
        <v>0</v>
      </c>
      <c r="K477" s="2" t="n">
        <f aca="false">J477*(1-K$467)+J476*K$467</f>
        <v>0.0299496613164808</v>
      </c>
      <c r="L477" s="2" t="n">
        <f aca="false">K477*(1-L$467)+K476*L$467</f>
        <v>0.0780666861860853</v>
      </c>
      <c r="M477" s="2" t="n">
        <f aca="false">L477*(1-M$467)+L476*M$467</f>
        <v>0.130653855237829</v>
      </c>
      <c r="N477" s="2" t="n">
        <f aca="false">M477*(1-N$467)+M476*N$467</f>
        <v>0.211332058657132</v>
      </c>
      <c r="O477" s="2" t="n">
        <f aca="false">N477*(1-O$467)+N476*O$467</f>
        <v>0.211332058657132</v>
      </c>
    </row>
    <row r="478" customFormat="false" ht="15" hidden="false" customHeight="false" outlineLevel="0" collapsed="false">
      <c r="B478" s="2" t="n">
        <v>10</v>
      </c>
      <c r="C478" s="2" t="n">
        <f aca="false">0</f>
        <v>0</v>
      </c>
      <c r="D478" s="2" t="n">
        <f aca="false">C478*(1-D$467)+C477*D$467</f>
        <v>0</v>
      </c>
      <c r="E478" s="2" t="n">
        <f aca="false">D478*(1-E$467)+D477*E$467</f>
        <v>0</v>
      </c>
      <c r="F478" s="2" t="n">
        <f aca="false">E478*(1-F$467)+E477*F$467</f>
        <v>0</v>
      </c>
      <c r="G478" s="2" t="n">
        <f aca="false">F478*(1-G$467)+F477*G$467</f>
        <v>0</v>
      </c>
      <c r="H478" s="2" t="n">
        <f aca="false">G478*(1-H$467)+G477*H$467</f>
        <v>0</v>
      </c>
      <c r="I478" s="2" t="n">
        <f aca="false">H478*(1-I$467)+H477*I$467</f>
        <v>0</v>
      </c>
      <c r="J478" s="2" t="n">
        <f aca="false">I478*(1-J$467)+I477*J$467</f>
        <v>0</v>
      </c>
      <c r="K478" s="2" t="n">
        <f aca="false">J478*(1-K$467)+J477*K$467</f>
        <v>0</v>
      </c>
      <c r="L478" s="2" t="n">
        <f aca="false">K478*(1-L$467)+K477*L$467</f>
        <v>0.0133371171795559</v>
      </c>
      <c r="M478" s="2" t="n">
        <f aca="false">L478*(1-M$467)+L477*M$467</f>
        <v>0.0423222913888334</v>
      </c>
      <c r="N478" s="2" t="n">
        <f aca="false">M478*(1-N$467)+M477*N$467</f>
        <v>0.113194013689432</v>
      </c>
      <c r="O478" s="2" t="n">
        <f aca="false">N478*(1-O$467)+N477*O$467</f>
        <v>0.113194013689432</v>
      </c>
    </row>
    <row r="479" customFormat="false" ht="15" hidden="false" customHeight="false" outlineLevel="0" collapsed="false">
      <c r="B479" s="2" t="n">
        <v>11</v>
      </c>
      <c r="C479" s="2" t="n">
        <f aca="false">0</f>
        <v>0</v>
      </c>
      <c r="D479" s="2" t="n">
        <f aca="false">C479*(1-D$467)+C478*D$467</f>
        <v>0</v>
      </c>
      <c r="E479" s="2" t="n">
        <f aca="false">D479*(1-E$467)+D478*E$467</f>
        <v>0</v>
      </c>
      <c r="F479" s="2" t="n">
        <f aca="false">E479*(1-F$467)+E478*F$467</f>
        <v>0</v>
      </c>
      <c r="G479" s="2" t="n">
        <f aca="false">F479*(1-G$467)+F478*G$467</f>
        <v>0</v>
      </c>
      <c r="H479" s="2" t="n">
        <f aca="false">G479*(1-H$467)+G478*H$467</f>
        <v>0</v>
      </c>
      <c r="I479" s="2" t="n">
        <f aca="false">H479*(1-I$467)+H478*I$467</f>
        <v>0</v>
      </c>
      <c r="J479" s="2" t="n">
        <f aca="false">I479*(1-J$467)+I478*J$467</f>
        <v>0</v>
      </c>
      <c r="K479" s="2" t="n">
        <f aca="false">J479*(1-K$467)+J478*K$467</f>
        <v>0</v>
      </c>
      <c r="L479" s="2" t="n">
        <f aca="false">K479*(1-L$467)+K478*L$467</f>
        <v>0</v>
      </c>
      <c r="M479" s="2" t="n">
        <f aca="false">L479*(1-M$467)+L478*M$467</f>
        <v>0.00597221132215452</v>
      </c>
      <c r="N479" s="2" t="n">
        <f aca="false">M479*(1-N$467)+M478*N$467</f>
        <v>0.0351372421201402</v>
      </c>
      <c r="O479" s="2" t="n">
        <f aca="false">N479*(1-O$467)+N478*O$467</f>
        <v>0.0351372421201402</v>
      </c>
    </row>
    <row r="480" customFormat="false" ht="15" hidden="false" customHeight="false" outlineLevel="0" collapsed="false">
      <c r="B480" s="2" t="n">
        <v>12</v>
      </c>
      <c r="C480" s="2" t="n">
        <f aca="false">0</f>
        <v>0</v>
      </c>
      <c r="D480" s="2" t="n">
        <f aca="false">C480*(1-D$467)+C479*D$467</f>
        <v>0</v>
      </c>
      <c r="E480" s="2" t="n">
        <f aca="false">D480*(1-E$467)+D479*E$467</f>
        <v>0</v>
      </c>
      <c r="F480" s="2" t="n">
        <f aca="false">E480*(1-F$467)+E479*F$467</f>
        <v>0</v>
      </c>
      <c r="G480" s="2" t="n">
        <f aca="false">F480*(1-G$467)+F479*G$467</f>
        <v>0</v>
      </c>
      <c r="H480" s="2" t="n">
        <f aca="false">G480*(1-H$467)+G479*H$467</f>
        <v>0</v>
      </c>
      <c r="I480" s="2" t="n">
        <f aca="false">H480*(1-I$467)+H479*I$467</f>
        <v>0</v>
      </c>
      <c r="J480" s="2" t="n">
        <f aca="false">I480*(1-J$467)+I479*J$467</f>
        <v>0</v>
      </c>
      <c r="K480" s="2" t="n">
        <f aca="false">J480*(1-K$467)+J479*K$467</f>
        <v>0</v>
      </c>
      <c r="L480" s="2" t="n">
        <f aca="false">K480*(1-L$467)+K479*L$467</f>
        <v>0</v>
      </c>
      <c r="M480" s="2" t="n">
        <f aca="false">L480*(1-M$467)+L479*M$467</f>
        <v>0</v>
      </c>
      <c r="N480" s="2" t="n">
        <f aca="false">M480*(1-N$467)+M479*N$467</f>
        <v>0.00479172884415132</v>
      </c>
      <c r="O480" s="2" t="n">
        <f aca="false">N480*(1-O$467)+N479*O$467</f>
        <v>0.00479172884415132</v>
      </c>
    </row>
    <row r="481" customFormat="false" ht="15" hidden="false" customHeight="false" outlineLevel="0" collapsed="false">
      <c r="B481" s="2" t="n">
        <v>13</v>
      </c>
      <c r="C481" s="2" t="n">
        <f aca="false">0</f>
        <v>0</v>
      </c>
      <c r="D481" s="2" t="n">
        <f aca="false">C481*(1-D$467)+C480*D$467</f>
        <v>0</v>
      </c>
      <c r="E481" s="2" t="n">
        <f aca="false">D481*(1-E$467)+D480*E$467</f>
        <v>0</v>
      </c>
      <c r="F481" s="2" t="n">
        <f aca="false">E481*(1-F$467)+E480*F$467</f>
        <v>0</v>
      </c>
      <c r="G481" s="2" t="n">
        <f aca="false">F481*(1-G$467)+F480*G$467</f>
        <v>0</v>
      </c>
      <c r="H481" s="2" t="n">
        <f aca="false">G481*(1-H$467)+G480*H$467</f>
        <v>0</v>
      </c>
      <c r="I481" s="2" t="n">
        <f aca="false">H481*(1-I$467)+H480*I$467</f>
        <v>0</v>
      </c>
      <c r="J481" s="2" t="n">
        <f aca="false">I481*(1-J$467)+I480*J$467</f>
        <v>0</v>
      </c>
      <c r="K481" s="2" t="n">
        <f aca="false">J481*(1-K$467)+J480*K$467</f>
        <v>0</v>
      </c>
      <c r="L481" s="2" t="n">
        <f aca="false">K481*(1-L$467)+K480*L$467</f>
        <v>0</v>
      </c>
      <c r="M481" s="2" t="n">
        <f aca="false">L481*(1-M$467)+L480*M$467</f>
        <v>0</v>
      </c>
      <c r="N481" s="2" t="n">
        <f aca="false">M481*(1-N$467)+M480*N$467</f>
        <v>0</v>
      </c>
      <c r="O481" s="2" t="n">
        <f aca="false">N481*(1-O$467)+N480*O$467</f>
        <v>0</v>
      </c>
    </row>
    <row r="483" customFormat="false" ht="15" hidden="false" customHeight="false" outlineLevel="0" collapsed="false">
      <c r="A483" s="1" t="s">
        <v>88</v>
      </c>
      <c r="C483" s="2" t="n">
        <f aca="false">Schedule!G32</f>
        <v>0.985646978391198</v>
      </c>
      <c r="D483" s="2" t="n">
        <f aca="false">Schedule!L32</f>
        <v>0.310741374381306</v>
      </c>
      <c r="E483" s="2" t="n">
        <f aca="false">Schedule!Q32</f>
        <v>0.965999485330178</v>
      </c>
      <c r="F483" s="2" t="n">
        <f aca="false">Schedule!V32</f>
        <v>0.759983659318733</v>
      </c>
      <c r="G483" s="2" t="n">
        <f aca="false">Schedule!AA32</f>
        <v>0.713112298183635</v>
      </c>
      <c r="H483" s="2" t="n">
        <f aca="false">Schedule!AF32</f>
        <v>0.698032455319819</v>
      </c>
      <c r="I483" s="2" t="n">
        <f aca="false">Schedule!AK32</f>
        <v>0.780830170206623</v>
      </c>
      <c r="J483" s="2" t="n">
        <f aca="false">Schedule!AP32</f>
        <v>0.177482953723232</v>
      </c>
      <c r="K483" s="2" t="n">
        <f aca="false">Schedule!AU32</f>
        <v>0.564543935862038</v>
      </c>
      <c r="L483" s="2" t="n">
        <f aca="false">Schedule!AZ32</f>
        <v>0.554682203627567</v>
      </c>
      <c r="M483" s="2" t="n">
        <f aca="false">Schedule!BE32</f>
        <v>0.445317796372433</v>
      </c>
      <c r="N483" s="2" t="n">
        <f aca="false">Schedule!BJ32</f>
        <v>0.671388329230721</v>
      </c>
      <c r="O483" s="2" t="n">
        <f aca="false">Schedule!BO32</f>
        <v>0</v>
      </c>
    </row>
    <row r="484" customFormat="false" ht="15" hidden="false" customHeight="false" outlineLevel="0" collapsed="false">
      <c r="B484" s="2" t="n">
        <v>0</v>
      </c>
      <c r="C484" s="2" t="n">
        <f aca="false">1-C$483</f>
        <v>0.0143530216088017</v>
      </c>
      <c r="D484" s="2" t="n">
        <f aca="false">C484*(1-D$483)</f>
        <v>0.00989294394755808</v>
      </c>
      <c r="E484" s="2" t="n">
        <f aca="false">D484*(1-E$483)</f>
        <v>0.00033636518581668</v>
      </c>
      <c r="F484" s="2" t="n">
        <f aca="false">E484*(1-F$483)</f>
        <v>8.07331410322938E-005</v>
      </c>
      <c r="G484" s="2" t="n">
        <f aca="false">F484*(1-G$483)</f>
        <v>2.31613452911713E-005</v>
      </c>
      <c r="H484" s="2" t="n">
        <f aca="false">G484*(1-H$483)</f>
        <v>6.99397456906486E-006</v>
      </c>
      <c r="I484" s="2" t="n">
        <f aca="false">H484*(1-I$483)</f>
        <v>1.53286821588115E-006</v>
      </c>
      <c r="J484" s="2" t="n">
        <f aca="false">I484*(1-J$483)</f>
        <v>1.26081023725811E-006</v>
      </c>
      <c r="K484" s="2" t="n">
        <f aca="false">J484*(1-K$483)</f>
        <v>5.49027463541264E-007</v>
      </c>
      <c r="L484" s="2" t="n">
        <f aca="false">K484*(1-L$483)</f>
        <v>2.44491700212142E-007</v>
      </c>
      <c r="M484" s="2" t="n">
        <f aca="false">L484*(1-M$483)</f>
        <v>1.35615195042321E-007</v>
      </c>
      <c r="N484" s="2" t="n">
        <f aca="false">M484*(1-N$483)</f>
        <v>4.45647358245589E-008</v>
      </c>
      <c r="O484" s="2" t="n">
        <f aca="false">N484*(1-O$483)</f>
        <v>4.45647358245589E-008</v>
      </c>
    </row>
    <row r="485" customFormat="false" ht="15" hidden="false" customHeight="false" outlineLevel="0" collapsed="false">
      <c r="B485" s="2" t="n">
        <v>1</v>
      </c>
      <c r="C485" s="2" t="n">
        <f aca="false">C$483</f>
        <v>0.985646978391198</v>
      </c>
      <c r="D485" s="2" t="n">
        <f aca="false">C485*(1-D$483)+C484*D$483</f>
        <v>0.68382575933238</v>
      </c>
      <c r="E485" s="2" t="n">
        <f aca="false">D485*(1-E$483)+D484*E$483</f>
        <v>0.0328070065235245</v>
      </c>
      <c r="F485" s="2" t="n">
        <f aca="false">E485*(1-F$483)+E484*F$483</f>
        <v>0.00812984969926718</v>
      </c>
      <c r="G485" s="2" t="n">
        <f aca="false">F485*(1-G$483)+F484*G$483</f>
        <v>0.00238992569207635</v>
      </c>
      <c r="H485" s="2" t="n">
        <f aca="false">G485*(1-H$483)+G484*H$483</f>
        <v>0.000737847363926484</v>
      </c>
      <c r="I485" s="2" t="n">
        <f aca="false">H485*(1-I$483)+H484*I$483</f>
        <v>0.000167174987518443</v>
      </c>
      <c r="J485" s="2" t="n">
        <f aca="false">I485*(1-J$483)+I484*J$483</f>
        <v>0.000137776334923649</v>
      </c>
      <c r="K485" s="2" t="n">
        <f aca="false">J485*(1-K$483)+J484*K$483</f>
        <v>6.07073233109224E-005</v>
      </c>
      <c r="L485" s="2" t="n">
        <f aca="false">K485*(1-L$483)+K484*L$483</f>
        <v>2.73385872038179E-005</v>
      </c>
      <c r="M485" s="2" t="n">
        <f aca="false">L485*(1-M$483)+L484*M$483</f>
        <v>1.5273104299448E-005</v>
      </c>
      <c r="N485" s="2" t="n">
        <f aca="false">M485*(1-N$483)+M484*N$483</f>
        <v>5.10997078089282E-006</v>
      </c>
      <c r="O485" s="2" t="n">
        <f aca="false">N485*(1-O$483)+N484*O$483</f>
        <v>5.10997078089282E-006</v>
      </c>
    </row>
    <row r="486" customFormat="false" ht="15" hidden="false" customHeight="false" outlineLevel="0" collapsed="false">
      <c r="B486" s="2" t="n">
        <v>2</v>
      </c>
      <c r="C486" s="2" t="n">
        <f aca="false">0</f>
        <v>0</v>
      </c>
      <c r="D486" s="2" t="n">
        <f aca="false">C486*(1-D$483)+C485*D$483</f>
        <v>0.306281296720062</v>
      </c>
      <c r="E486" s="2" t="n">
        <f aca="false">D486*(1-E$483)+D485*E$483</f>
        <v>0.670989053292819</v>
      </c>
      <c r="F486" s="2" t="n">
        <f aca="false">E486*(1-F$483)+E485*F$483</f>
        <v>0.185981126077572</v>
      </c>
      <c r="G486" s="2" t="n">
        <f aca="false">F486*(1-G$483)+F485*G$483</f>
        <v>0.0591531936445461</v>
      </c>
      <c r="H486" s="2" t="n">
        <f aca="false">G486*(1-H$483)+G485*H$483</f>
        <v>0.0195305903437069</v>
      </c>
      <c r="I486" s="2" t="n">
        <f aca="false">H486*(1-I$483)+H485*I$483</f>
        <v>0.00485664964415564</v>
      </c>
      <c r="J486" s="2" t="n">
        <f aca="false">I486*(1-J$483)+I485*J$483</f>
        <v>0.00402434783068543</v>
      </c>
      <c r="K486" s="2" t="n">
        <f aca="false">J486*(1-K$483)+J485*K$483</f>
        <v>0.00183020746145886</v>
      </c>
      <c r="L486" s="2" t="n">
        <f aca="false">K486*(1-L$483)+K485*L$483</f>
        <v>0.000848697225511679</v>
      </c>
      <c r="M486" s="2" t="n">
        <f aca="false">L486*(1-M$483)+L485*M$483</f>
        <v>0.00048293160666896</v>
      </c>
      <c r="N486" s="2" t="n">
        <f aca="false">M486*(1-N$483)+M485*N$483</f>
        <v>0.000168951146112552</v>
      </c>
      <c r="O486" s="2" t="n">
        <f aca="false">N486*(1-O$483)+N485*O$483</f>
        <v>0.000168951146112552</v>
      </c>
    </row>
    <row r="487" customFormat="false" ht="15" hidden="false" customHeight="false" outlineLevel="0" collapsed="false">
      <c r="B487" s="2" t="n">
        <v>3</v>
      </c>
      <c r="C487" s="2" t="n">
        <f aca="false">0</f>
        <v>0</v>
      </c>
      <c r="D487" s="2" t="n">
        <f aca="false">C487*(1-D$483)+C486*D$483</f>
        <v>0</v>
      </c>
      <c r="E487" s="2" t="n">
        <f aca="false">D487*(1-E$483)+D486*E$483</f>
        <v>0.295867574997839</v>
      </c>
      <c r="F487" s="2" t="n">
        <f aca="false">E487*(1-F$483)+E486*F$483</f>
        <v>0.580953768761511</v>
      </c>
      <c r="G487" s="2" t="n">
        <f aca="false">F487*(1-G$483)+F486*G$483</f>
        <v>0.299293919817503</v>
      </c>
      <c r="H487" s="2" t="n">
        <f aca="false">G487*(1-H$483)+G486*H$483</f>
        <v>0.13166789910471</v>
      </c>
      <c r="I487" s="2" t="n">
        <f aca="false">H487*(1-I$483)+H486*I$483</f>
        <v>0.0441077052183433</v>
      </c>
      <c r="J487" s="2" t="n">
        <f aca="false">I487*(1-J$483)+I486*J$483</f>
        <v>0.0371413119382817</v>
      </c>
      <c r="K487" s="2" t="n">
        <f aca="false">J487*(1-K$483)+J486*K$483</f>
        <v>0.0184453306771774</v>
      </c>
      <c r="L487" s="2" t="n">
        <f aca="false">K487*(1-L$483)+K486*L$483</f>
        <v>0.00922921751833911</v>
      </c>
      <c r="M487" s="2" t="n">
        <f aca="false">L487*(1-M$483)+L486*M$483</f>
        <v>0.00549722268908274</v>
      </c>
      <c r="N487" s="2" t="n">
        <f aca="false">M487*(1-N$483)+M486*N$483</f>
        <v>0.00213068617698445</v>
      </c>
      <c r="O487" s="2" t="n">
        <f aca="false">N487*(1-O$483)+N486*O$483</f>
        <v>0.00213068617698445</v>
      </c>
    </row>
    <row r="488" customFormat="false" ht="15" hidden="false" customHeight="false" outlineLevel="0" collapsed="false">
      <c r="B488" s="2" t="n">
        <v>4</v>
      </c>
      <c r="C488" s="2" t="n">
        <f aca="false">0</f>
        <v>0</v>
      </c>
      <c r="D488" s="2" t="n">
        <f aca="false">C488*(1-D$483)+C487*D$483</f>
        <v>0</v>
      </c>
      <c r="E488" s="2" t="n">
        <f aca="false">D488*(1-E$483)+D487*E$483</f>
        <v>0</v>
      </c>
      <c r="F488" s="2" t="n">
        <f aca="false">E488*(1-F$483)+E487*F$483</f>
        <v>0.224854522320618</v>
      </c>
      <c r="G488" s="2" t="n">
        <f aca="false">F488*(1-G$483)+F487*G$483</f>
        <v>0.478793274331544</v>
      </c>
      <c r="H488" s="2" t="n">
        <f aca="false">G488*(1-H$483)+G487*H$483</f>
        <v>0.353496899171785</v>
      </c>
      <c r="I488" s="2" t="n">
        <f aca="false">H488*(1-I$483)+H487*I$483</f>
        <v>0.180286123292646</v>
      </c>
      <c r="J488" s="2" t="n">
        <f aca="false">I488*(1-J$483)+I487*J$483</f>
        <v>0.156116775419461</v>
      </c>
      <c r="K488" s="2" t="n">
        <f aca="false">J488*(1-K$483)+J487*K$483</f>
        <v>0.088949898994786</v>
      </c>
      <c r="L488" s="2" t="n">
        <f aca="false">K488*(1-L$483)+K487*L$483</f>
        <v>0.0498422696745645</v>
      </c>
      <c r="M488" s="2" t="n">
        <f aca="false">L488*(1-M$483)+L487*M$483</f>
        <v>0.0317565547843955</v>
      </c>
      <c r="N488" s="2" t="n">
        <f aca="false">M488*(1-N$483)+M487*N$483</f>
        <v>0.0141263456822088</v>
      </c>
      <c r="O488" s="2" t="n">
        <f aca="false">N488*(1-O$483)+N487*O$483</f>
        <v>0.0141263456822088</v>
      </c>
    </row>
    <row r="489" customFormat="false" ht="15" hidden="false" customHeight="false" outlineLevel="0" collapsed="false">
      <c r="B489" s="2" t="n">
        <v>5</v>
      </c>
      <c r="C489" s="2" t="n">
        <f aca="false">0</f>
        <v>0</v>
      </c>
      <c r="D489" s="2" t="n">
        <f aca="false">C489*(1-D$483)+C488*D$483</f>
        <v>0</v>
      </c>
      <c r="E489" s="2" t="n">
        <f aca="false">D489*(1-E$483)+D488*E$483</f>
        <v>0</v>
      </c>
      <c r="F489" s="2" t="n">
        <f aca="false">E489*(1-F$483)+E488*F$483</f>
        <v>0</v>
      </c>
      <c r="G489" s="2" t="n">
        <f aca="false">F489*(1-G$483)+F488*G$483</f>
        <v>0.160346525169039</v>
      </c>
      <c r="H489" s="2" t="n">
        <f aca="false">G489*(1-H$483)+G488*H$483</f>
        <v>0.382632691375557</v>
      </c>
      <c r="I489" s="2" t="n">
        <f aca="false">H489*(1-I$483)+H488*I$483</f>
        <v>0.359882585789981</v>
      </c>
      <c r="J489" s="2" t="n">
        <f aca="false">I489*(1-J$483)+I488*J$483</f>
        <v>0.32800727514771</v>
      </c>
      <c r="K489" s="2" t="n">
        <f aca="false">J489*(1-K$483)+J488*K$483</f>
        <v>0.230967535893832</v>
      </c>
      <c r="L489" s="2" t="n">
        <f aca="false">K489*(1-L$483)+K488*L$483</f>
        <v>0.152192880104689</v>
      </c>
      <c r="M489" s="2" t="n">
        <f aca="false">L489*(1-M$483)+L488*M$483</f>
        <v>0.106614331810573</v>
      </c>
      <c r="N489" s="2" t="n">
        <f aca="false">M489*(1-N$483)+M488*N$483</f>
        <v>0.0563556939630418</v>
      </c>
      <c r="O489" s="2" t="n">
        <f aca="false">N489*(1-O$483)+N488*O$483</f>
        <v>0.0563556939630418</v>
      </c>
    </row>
    <row r="490" customFormat="false" ht="15" hidden="false" customHeight="false" outlineLevel="0" collapsed="false">
      <c r="B490" s="2" t="n">
        <v>6</v>
      </c>
      <c r="C490" s="2" t="n">
        <f aca="false">0</f>
        <v>0</v>
      </c>
      <c r="D490" s="2" t="n">
        <f aca="false">C490*(1-D$483)+C489*D$483</f>
        <v>0</v>
      </c>
      <c r="E490" s="2" t="n">
        <f aca="false">D490*(1-E$483)+D489*E$483</f>
        <v>0</v>
      </c>
      <c r="F490" s="2" t="n">
        <f aca="false">E490*(1-F$483)+E489*F$483</f>
        <v>0</v>
      </c>
      <c r="G490" s="2" t="n">
        <f aca="false">F490*(1-G$483)+F489*G$483</f>
        <v>0</v>
      </c>
      <c r="H490" s="2" t="n">
        <f aca="false">G490*(1-H$483)+G489*H$483</f>
        <v>0.111927078665746</v>
      </c>
      <c r="I490" s="2" t="n">
        <f aca="false">H490*(1-I$483)+H489*I$483</f>
        <v>0.323302188313835</v>
      </c>
      <c r="J490" s="2" t="n">
        <f aca="false">I490*(1-J$483)+I489*J$483</f>
        <v>0.329794585306272</v>
      </c>
      <c r="K490" s="2" t="n">
        <f aca="false">J490*(1-K$483)+J489*K$483</f>
        <v>0.328785570194751</v>
      </c>
      <c r="L490" s="2" t="n">
        <f aca="false">K490*(1-L$483)+K489*L$483</f>
        <v>0.2745276473742</v>
      </c>
      <c r="M490" s="2" t="n">
        <f aca="false">L490*(1-M$483)+L489*M$483</f>
        <v>0.220049798394007</v>
      </c>
      <c r="N490" s="2" t="n">
        <f aca="false">M490*(1-N$483)+M489*N$483</f>
        <v>0.143890550009048</v>
      </c>
      <c r="O490" s="2" t="n">
        <f aca="false">N490*(1-O$483)+N489*O$483</f>
        <v>0.143890550009048</v>
      </c>
    </row>
    <row r="491" customFormat="false" ht="15" hidden="false" customHeight="false" outlineLevel="0" collapsed="false">
      <c r="B491" s="2" t="n">
        <v>7</v>
      </c>
      <c r="C491" s="2" t="n">
        <f aca="false">0</f>
        <v>0</v>
      </c>
      <c r="D491" s="2" t="n">
        <f aca="false">C491*(1-D$483)+C490*D$483</f>
        <v>0</v>
      </c>
      <c r="E491" s="2" t="n">
        <f aca="false">D491*(1-E$483)+D490*E$483</f>
        <v>0</v>
      </c>
      <c r="F491" s="2" t="n">
        <f aca="false">E491*(1-F$483)+E490*F$483</f>
        <v>0</v>
      </c>
      <c r="G491" s="2" t="n">
        <f aca="false">F491*(1-G$483)+F490*G$483</f>
        <v>0</v>
      </c>
      <c r="H491" s="2" t="n">
        <f aca="false">G491*(1-H$483)+G490*H$483</f>
        <v>0</v>
      </c>
      <c r="I491" s="2" t="n">
        <f aca="false">H491*(1-I$483)+H490*I$483</f>
        <v>0.0873960398853041</v>
      </c>
      <c r="J491" s="2" t="n">
        <f aca="false">I491*(1-J$483)+I490*J$483</f>
        <v>0.129265359909871</v>
      </c>
      <c r="K491" s="2" t="n">
        <f aca="false">J491*(1-K$483)+J490*K$483</f>
        <v>0.242472918070521</v>
      </c>
      <c r="L491" s="2" t="n">
        <f aca="false">K491*(1-L$483)+K490*L$483</f>
        <v>0.290349010151729</v>
      </c>
      <c r="M491" s="2" t="n">
        <f aca="false">L491*(1-M$483)+L490*M$483</f>
        <v>0.283303475744031</v>
      </c>
      <c r="N491" s="2" t="n">
        <f aca="false">M491*(1-N$483)+M490*N$483</f>
        <v>0.2408356949903</v>
      </c>
      <c r="O491" s="2" t="n">
        <f aca="false">N491*(1-O$483)+N490*O$483</f>
        <v>0.2408356949903</v>
      </c>
    </row>
    <row r="492" customFormat="false" ht="15" hidden="false" customHeight="false" outlineLevel="0" collapsed="false">
      <c r="B492" s="2" t="n">
        <v>8</v>
      </c>
      <c r="C492" s="2" t="n">
        <f aca="false">0</f>
        <v>0</v>
      </c>
      <c r="D492" s="2" t="n">
        <f aca="false">C492*(1-D$483)+C491*D$483</f>
        <v>0</v>
      </c>
      <c r="E492" s="2" t="n">
        <f aca="false">D492*(1-E$483)+D491*E$483</f>
        <v>0</v>
      </c>
      <c r="F492" s="2" t="n">
        <f aca="false">E492*(1-F$483)+E491*F$483</f>
        <v>0</v>
      </c>
      <c r="G492" s="2" t="n">
        <f aca="false">F492*(1-G$483)+F491*G$483</f>
        <v>0</v>
      </c>
      <c r="H492" s="2" t="n">
        <f aca="false">G492*(1-H$483)+G491*H$483</f>
        <v>0</v>
      </c>
      <c r="I492" s="2" t="n">
        <f aca="false">H492*(1-I$483)+H491*I$483</f>
        <v>0</v>
      </c>
      <c r="J492" s="2" t="n">
        <f aca="false">I492*(1-J$483)+I491*J$483</f>
        <v>0.0155113073025572</v>
      </c>
      <c r="K492" s="2" t="n">
        <f aca="false">J492*(1-K$483)+J491*K$483</f>
        <v>0.0797304678817476</v>
      </c>
      <c r="L492" s="2" t="n">
        <f aca="false">K492*(1-L$483)+K491*L$483</f>
        <v>0.170000808776206</v>
      </c>
      <c r="M492" s="2" t="n">
        <f aca="false">L492*(1-M$483)+L491*M$483</f>
        <v>0.223594004610139</v>
      </c>
      <c r="N492" s="2" t="n">
        <f aca="false">M492*(1-N$483)+M491*N$483</f>
        <v>0.263682246673973</v>
      </c>
      <c r="O492" s="2" t="n">
        <f aca="false">N492*(1-O$483)+N491*O$483</f>
        <v>0.263682246673973</v>
      </c>
    </row>
    <row r="493" customFormat="false" ht="15" hidden="false" customHeight="false" outlineLevel="0" collapsed="false">
      <c r="B493" s="2" t="n">
        <v>9</v>
      </c>
      <c r="C493" s="2" t="n">
        <f aca="false">0</f>
        <v>0</v>
      </c>
      <c r="D493" s="2" t="n">
        <f aca="false">C493*(1-D$483)+C492*D$483</f>
        <v>0</v>
      </c>
      <c r="E493" s="2" t="n">
        <f aca="false">D493*(1-E$483)+D492*E$483</f>
        <v>0</v>
      </c>
      <c r="F493" s="2" t="n">
        <f aca="false">E493*(1-F$483)+E492*F$483</f>
        <v>0</v>
      </c>
      <c r="G493" s="2" t="n">
        <f aca="false">F493*(1-G$483)+F492*G$483</f>
        <v>0</v>
      </c>
      <c r="H493" s="2" t="n">
        <f aca="false">G493*(1-H$483)+G492*H$483</f>
        <v>0</v>
      </c>
      <c r="I493" s="2" t="n">
        <f aca="false">H493*(1-I$483)+H492*I$483</f>
        <v>0</v>
      </c>
      <c r="J493" s="2" t="n">
        <f aca="false">I493*(1-J$483)+I492*J$483</f>
        <v>0</v>
      </c>
      <c r="K493" s="2" t="n">
        <f aca="false">J493*(1-K$483)+J492*K$483</f>
        <v>0.00875681447495121</v>
      </c>
      <c r="L493" s="2" t="n">
        <f aca="false">K493*(1-L$483)+K492*L$483</f>
        <v>0.0481246369461322</v>
      </c>
      <c r="M493" s="2" t="n">
        <f aca="false">L493*(1-M$483)+L492*M$483</f>
        <v>0.102398265215809</v>
      </c>
      <c r="N493" s="2" t="n">
        <f aca="false">M493*(1-N$483)+M492*N$483</f>
        <v>0.18376767019765</v>
      </c>
      <c r="O493" s="2" t="n">
        <f aca="false">N493*(1-O$483)+N492*O$483</f>
        <v>0.18376767019765</v>
      </c>
    </row>
    <row r="494" customFormat="false" ht="15" hidden="false" customHeight="false" outlineLevel="0" collapsed="false">
      <c r="B494" s="2" t="n">
        <v>10</v>
      </c>
      <c r="C494" s="2" t="n">
        <f aca="false">0</f>
        <v>0</v>
      </c>
      <c r="D494" s="2" t="n">
        <f aca="false">C494*(1-D$483)+C493*D$483</f>
        <v>0</v>
      </c>
      <c r="E494" s="2" t="n">
        <f aca="false">D494*(1-E$483)+D493*E$483</f>
        <v>0</v>
      </c>
      <c r="F494" s="2" t="n">
        <f aca="false">E494*(1-F$483)+E493*F$483</f>
        <v>0</v>
      </c>
      <c r="G494" s="2" t="n">
        <f aca="false">F494*(1-G$483)+F493*G$483</f>
        <v>0</v>
      </c>
      <c r="H494" s="2" t="n">
        <f aca="false">G494*(1-H$483)+G493*H$483</f>
        <v>0</v>
      </c>
      <c r="I494" s="2" t="n">
        <f aca="false">H494*(1-I$483)+H493*I$483</f>
        <v>0</v>
      </c>
      <c r="J494" s="2" t="n">
        <f aca="false">I494*(1-J$483)+I493*J$483</f>
        <v>0</v>
      </c>
      <c r="K494" s="2" t="n">
        <f aca="false">J494*(1-K$483)+J493*K$483</f>
        <v>0</v>
      </c>
      <c r="L494" s="2" t="n">
        <f aca="false">K494*(1-L$483)+K493*L$483</f>
        <v>0.00485724914972372</v>
      </c>
      <c r="M494" s="2" t="n">
        <f aca="false">L494*(1-M$483)+L493*M$483</f>
        <v>0.0241249869380118</v>
      </c>
      <c r="N494" s="2" t="n">
        <f aca="false">M494*(1-N$483)+M493*N$483</f>
        <v>0.0766767524643531</v>
      </c>
      <c r="O494" s="2" t="n">
        <f aca="false">N494*(1-O$483)+N493*O$483</f>
        <v>0.0766767524643531</v>
      </c>
    </row>
    <row r="495" customFormat="false" ht="15" hidden="false" customHeight="false" outlineLevel="0" collapsed="false">
      <c r="B495" s="2" t="n">
        <v>11</v>
      </c>
      <c r="C495" s="2" t="n">
        <f aca="false">0</f>
        <v>0</v>
      </c>
      <c r="D495" s="2" t="n">
        <f aca="false">C495*(1-D$483)+C494*D$483</f>
        <v>0</v>
      </c>
      <c r="E495" s="2" t="n">
        <f aca="false">D495*(1-E$483)+D494*E$483</f>
        <v>0</v>
      </c>
      <c r="F495" s="2" t="n">
        <f aca="false">E495*(1-F$483)+E494*F$483</f>
        <v>0</v>
      </c>
      <c r="G495" s="2" t="n">
        <f aca="false">F495*(1-G$483)+F494*G$483</f>
        <v>0</v>
      </c>
      <c r="H495" s="2" t="n">
        <f aca="false">G495*(1-H$483)+G494*H$483</f>
        <v>0</v>
      </c>
      <c r="I495" s="2" t="n">
        <f aca="false">H495*(1-I$483)+H494*I$483</f>
        <v>0</v>
      </c>
      <c r="J495" s="2" t="n">
        <f aca="false">I495*(1-J$483)+I494*J$483</f>
        <v>0</v>
      </c>
      <c r="K495" s="2" t="n">
        <f aca="false">J495*(1-K$483)+J494*K$483</f>
        <v>0</v>
      </c>
      <c r="L495" s="2" t="n">
        <f aca="false">K495*(1-L$483)+K494*L$483</f>
        <v>0</v>
      </c>
      <c r="M495" s="2" t="n">
        <f aca="false">L495*(1-M$483)+L494*M$483</f>
        <v>0.00216301948778684</v>
      </c>
      <c r="N495" s="2" t="n">
        <f aca="false">M495*(1-N$483)+M494*N$483</f>
        <v>0.0169080281208129</v>
      </c>
      <c r="O495" s="2" t="n">
        <f aca="false">N495*(1-O$483)+N494*O$483</f>
        <v>0.0169080281208129</v>
      </c>
    </row>
    <row r="496" customFormat="false" ht="15" hidden="false" customHeight="false" outlineLevel="0" collapsed="false">
      <c r="B496" s="2" t="n">
        <v>12</v>
      </c>
      <c r="C496" s="2" t="n">
        <f aca="false">0</f>
        <v>0</v>
      </c>
      <c r="D496" s="2" t="n">
        <f aca="false">C496*(1-D$483)+C495*D$483</f>
        <v>0</v>
      </c>
      <c r="E496" s="2" t="n">
        <f aca="false">D496*(1-E$483)+D495*E$483</f>
        <v>0</v>
      </c>
      <c r="F496" s="2" t="n">
        <f aca="false">E496*(1-F$483)+E495*F$483</f>
        <v>0</v>
      </c>
      <c r="G496" s="2" t="n">
        <f aca="false">F496*(1-G$483)+F495*G$483</f>
        <v>0</v>
      </c>
      <c r="H496" s="2" t="n">
        <f aca="false">G496*(1-H$483)+G495*H$483</f>
        <v>0</v>
      </c>
      <c r="I496" s="2" t="n">
        <f aca="false">H496*(1-I$483)+H495*I$483</f>
        <v>0</v>
      </c>
      <c r="J496" s="2" t="n">
        <f aca="false">I496*(1-J$483)+I495*J$483</f>
        <v>0</v>
      </c>
      <c r="K496" s="2" t="n">
        <f aca="false">J496*(1-K$483)+J495*K$483</f>
        <v>0</v>
      </c>
      <c r="L496" s="2" t="n">
        <f aca="false">K496*(1-L$483)+K495*L$483</f>
        <v>0</v>
      </c>
      <c r="M496" s="2" t="n">
        <f aca="false">L496*(1-M$483)+L495*M$483</f>
        <v>0</v>
      </c>
      <c r="N496" s="2" t="n">
        <f aca="false">M496*(1-N$483)+M495*N$483</f>
        <v>0.0014522260399987</v>
      </c>
      <c r="O496" s="2" t="n">
        <f aca="false">N496*(1-O$483)+N495*O$483</f>
        <v>0.0014522260399987</v>
      </c>
    </row>
    <row r="497" customFormat="false" ht="15" hidden="false" customHeight="false" outlineLevel="0" collapsed="false">
      <c r="B497" s="2" t="n">
        <v>13</v>
      </c>
      <c r="C497" s="2" t="n">
        <f aca="false">0</f>
        <v>0</v>
      </c>
      <c r="D497" s="2" t="n">
        <f aca="false">C497*(1-D$483)+C496*D$483</f>
        <v>0</v>
      </c>
      <c r="E497" s="2" t="n">
        <f aca="false">D497*(1-E$483)+D496*E$483</f>
        <v>0</v>
      </c>
      <c r="F497" s="2" t="n">
        <f aca="false">E497*(1-F$483)+E496*F$483</f>
        <v>0</v>
      </c>
      <c r="G497" s="2" t="n">
        <f aca="false">F497*(1-G$483)+F496*G$483</f>
        <v>0</v>
      </c>
      <c r="H497" s="2" t="n">
        <f aca="false">G497*(1-H$483)+G496*H$483</f>
        <v>0</v>
      </c>
      <c r="I497" s="2" t="n">
        <f aca="false">H497*(1-I$483)+H496*I$483</f>
        <v>0</v>
      </c>
      <c r="J497" s="2" t="n">
        <f aca="false">I497*(1-J$483)+I496*J$483</f>
        <v>0</v>
      </c>
      <c r="K497" s="2" t="n">
        <f aca="false">J497*(1-K$483)+J496*K$483</f>
        <v>0</v>
      </c>
      <c r="L497" s="2" t="n">
        <f aca="false">K497*(1-L$483)+K496*L$483</f>
        <v>0</v>
      </c>
      <c r="M497" s="2" t="n">
        <f aca="false">L497*(1-M$483)+L496*M$483</f>
        <v>0</v>
      </c>
      <c r="N497" s="2" t="n">
        <f aca="false">M497*(1-N$483)+M496*N$483</f>
        <v>0</v>
      </c>
      <c r="O497" s="2" t="n">
        <f aca="false">N497*(1-O$483)+N496*O$483</f>
        <v>0</v>
      </c>
    </row>
    <row r="499" customFormat="false" ht="15" hidden="false" customHeight="false" outlineLevel="0" collapsed="false">
      <c r="A499" s="1" t="s">
        <v>89</v>
      </c>
      <c r="C499" s="2" t="n">
        <f aca="false">Schedule!G33</f>
        <v>0.643842961816324</v>
      </c>
      <c r="D499" s="2" t="n">
        <f aca="false">Schedule!L33</f>
        <v>0.998879378515777</v>
      </c>
      <c r="E499" s="2" t="n">
        <f aca="false">Schedule!Q33</f>
        <v>0.92904969486101</v>
      </c>
      <c r="F499" s="2" t="n">
        <f aca="false">Schedule!V33</f>
        <v>0.627409464153284</v>
      </c>
      <c r="G499" s="2" t="n">
        <f aca="false">Schedule!AA33</f>
        <v>0.425634311844103</v>
      </c>
      <c r="H499" s="2" t="n">
        <f aca="false">Schedule!AF33</f>
        <v>0.576814180380971</v>
      </c>
      <c r="I499" s="2" t="n">
        <f aca="false">Schedule!AK33</f>
        <v>0.795314204652747</v>
      </c>
      <c r="J499" s="2" t="n">
        <f aca="false">Schedule!AP33</f>
        <v>0.704538857537264</v>
      </c>
      <c r="K499" s="2" t="n">
        <f aca="false">Schedule!AU33</f>
        <v>0.435456064137962</v>
      </c>
      <c r="L499" s="2" t="n">
        <f aca="false">Schedule!AZ33</f>
        <v>0.567003355806672</v>
      </c>
      <c r="M499" s="2" t="n">
        <f aca="false">Schedule!BE33</f>
        <v>0.552211228127385</v>
      </c>
      <c r="N499" s="2" t="n">
        <f aca="false">Schedule!BJ33</f>
        <v>0.175862129666074</v>
      </c>
      <c r="O499" s="2" t="n">
        <f aca="false">Schedule!BO33</f>
        <v>0</v>
      </c>
    </row>
    <row r="500" customFormat="false" ht="15" hidden="false" customHeight="false" outlineLevel="0" collapsed="false">
      <c r="B500" s="2" t="n">
        <v>0</v>
      </c>
      <c r="C500" s="2" t="n">
        <f aca="false">1-C$499</f>
        <v>0.356157038183677</v>
      </c>
      <c r="D500" s="2" t="n">
        <f aca="false">C500*(1-D$499)</f>
        <v>0.000399117228745893</v>
      </c>
      <c r="E500" s="2" t="n">
        <f aca="false">D500*(1-E$499)</f>
        <v>2.83174891657493E-005</v>
      </c>
      <c r="F500" s="2" t="n">
        <f aca="false">E500*(1-F$499)</f>
        <v>1.05508284621001E-005</v>
      </c>
      <c r="G500" s="2" t="n">
        <f aca="false">F500*(1-G$499)</f>
        <v>6.06003385024895E-006</v>
      </c>
      <c r="H500" s="2" t="n">
        <f aca="false">G500*(1-H$499)</f>
        <v>2.56452039183666E-006</v>
      </c>
      <c r="I500" s="2" t="n">
        <f aca="false">H500*(1-I$499)</f>
        <v>5.24920896087335E-007</v>
      </c>
      <c r="J500" s="2" t="n">
        <f aca="false">I500*(1-J$499)</f>
        <v>1.55093727660527E-007</v>
      </c>
      <c r="K500" s="2" t="n">
        <f aca="false">J500*(1-K$499)</f>
        <v>8.75572234409891E-008</v>
      </c>
      <c r="L500" s="2" t="n">
        <f aca="false">K500*(1-L$499)</f>
        <v>3.79119839248337E-008</v>
      </c>
      <c r="M500" s="2" t="n">
        <f aca="false">L500*(1-M$499)</f>
        <v>1.69765607209556E-008</v>
      </c>
      <c r="N500" s="2" t="n">
        <f aca="false">M500*(1-N$499)</f>
        <v>1.39910265981629E-008</v>
      </c>
      <c r="O500" s="2" t="n">
        <f aca="false">N500*(1-O$499)</f>
        <v>1.39910265981629E-008</v>
      </c>
    </row>
    <row r="501" customFormat="false" ht="15" hidden="false" customHeight="false" outlineLevel="0" collapsed="false">
      <c r="B501" s="2" t="n">
        <v>1</v>
      </c>
      <c r="C501" s="2" t="n">
        <f aca="false">C$499</f>
        <v>0.643842961816324</v>
      </c>
      <c r="D501" s="2" t="n">
        <f aca="false">C501*(1-D$499)+C500*D$499</f>
        <v>0.356479425210408</v>
      </c>
      <c r="E501" s="2" t="n">
        <f aca="false">D501*(1-E$499)+D500*E$499</f>
        <v>0.0256631237340304</v>
      </c>
      <c r="F501" s="2" t="n">
        <f aca="false">E501*(1-F$499)+E500*F$499</f>
        <v>0.00957960368426662</v>
      </c>
      <c r="G501" s="2" t="n">
        <f aca="false">F501*(1-G$499)+F500*G$499</f>
        <v>0.00550668645698642</v>
      </c>
      <c r="H501" s="2" t="n">
        <f aca="false">G501*(1-H$499)+G500*H$499</f>
        <v>0.00233384713514322</v>
      </c>
      <c r="I501" s="2" t="n">
        <f aca="false">H501*(1-I$499)+H500*I$499</f>
        <v>0.000479744956571446</v>
      </c>
      <c r="J501" s="2" t="n">
        <f aca="false">I501*(1-J$499)+I500*J$499</f>
        <v>0.000142115820127762</v>
      </c>
      <c r="K501" s="2" t="n">
        <f aca="false">J501*(1-K$499)+J500*K$499</f>
        <v>8.02981609474077E-005</v>
      </c>
      <c r="L501" s="2" t="n">
        <f aca="false">K501*(1-L$499)+K500*L$499</f>
        <v>3.48184794646395E-005</v>
      </c>
      <c r="M501" s="2" t="n">
        <f aca="false">L501*(1-M$499)+L500*M$499</f>
        <v>1.56122595811467E-005</v>
      </c>
      <c r="N501" s="2" t="n">
        <f aca="false">M501*(1-N$499)+M500*N$499</f>
        <v>1.28696398964294E-005</v>
      </c>
      <c r="O501" s="2" t="n">
        <f aca="false">N501*(1-O$499)+N500*O$499</f>
        <v>1.28696398964294E-005</v>
      </c>
    </row>
    <row r="502" customFormat="false" ht="15" hidden="false" customHeight="false" outlineLevel="0" collapsed="false">
      <c r="B502" s="2" t="n">
        <v>2</v>
      </c>
      <c r="C502" s="2" t="n">
        <f aca="false">0</f>
        <v>0</v>
      </c>
      <c r="D502" s="2" t="n">
        <f aca="false">C502*(1-D$499)+C501*D$499</f>
        <v>0.643121457560846</v>
      </c>
      <c r="E502" s="2" t="n">
        <f aca="false">D502*(1-E$499)+D501*E$499</f>
        <v>0.376816764871332</v>
      </c>
      <c r="F502" s="2" t="n">
        <f aca="false">E502*(1-F$499)+E501*F$499</f>
        <v>0.156499647049903</v>
      </c>
      <c r="G502" s="2" t="n">
        <f aca="false">F502*(1-G$499)+F501*G$499</f>
        <v>0.0939654354958646</v>
      </c>
      <c r="H502" s="2" t="n">
        <f aca="false">G502*(1-H$499)+G501*H$499</f>
        <v>0.0429411746714781</v>
      </c>
      <c r="I502" s="2" t="n">
        <f aca="false">H502*(1-I$499)+H501*I$499</f>
        <v>0.0106455902688443</v>
      </c>
      <c r="J502" s="2" t="n">
        <f aca="false">I502*(1-J$499)+I501*J$499</f>
        <v>0.00348335722663504</v>
      </c>
      <c r="K502" s="2" t="n">
        <f aca="false">J502*(1-K$499)+J501*K$499</f>
        <v>0.00202839339442259</v>
      </c>
      <c r="L502" s="2" t="n">
        <f aca="false">K502*(1-L$499)+K501*L$499</f>
        <v>0.000923816859611181</v>
      </c>
      <c r="M502" s="2" t="n">
        <f aca="false">L502*(1-M$499)+L501*M$499</f>
        <v>0.000432901972307204</v>
      </c>
      <c r="N502" s="2" t="n">
        <f aca="false">M502*(1-N$499)+M501*N$499</f>
        <v>0.000359516514739455</v>
      </c>
      <c r="O502" s="2" t="n">
        <f aca="false">N502*(1-O$499)+N501*O$499</f>
        <v>0.000359516514739455</v>
      </c>
    </row>
    <row r="503" customFormat="false" ht="15" hidden="false" customHeight="false" outlineLevel="0" collapsed="false">
      <c r="B503" s="2" t="n">
        <v>3</v>
      </c>
      <c r="C503" s="2" t="n">
        <f aca="false">0</f>
        <v>0</v>
      </c>
      <c r="D503" s="2" t="n">
        <f aca="false">C503*(1-D$499)+C502*D$499</f>
        <v>0</v>
      </c>
      <c r="E503" s="2" t="n">
        <f aca="false">D503*(1-E$499)+D502*E$499</f>
        <v>0.597491793905472</v>
      </c>
      <c r="F503" s="2" t="n">
        <f aca="false">E503*(1-F$499)+E502*F$499</f>
        <v>0.459038192187152</v>
      </c>
      <c r="G503" s="2" t="n">
        <f aca="false">F503*(1-G$499)+F502*G$499</f>
        <v>0.330267406721343</v>
      </c>
      <c r="H503" s="2" t="n">
        <f aca="false">G503*(1-H$499)+G502*H$499</f>
        <v>0.193965078866511</v>
      </c>
      <c r="I503" s="2" t="n">
        <f aca="false">H503*(1-I$499)+H502*I$499</f>
        <v>0.0738536226180857</v>
      </c>
      <c r="J503" s="2" t="n">
        <f aca="false">I503*(1-J$499)+I502*J$499</f>
        <v>0.0293211077195727</v>
      </c>
      <c r="K503" s="2" t="n">
        <f aca="false">J503*(1-K$499)+J502*K$499</f>
        <v>0.0180699025837394</v>
      </c>
      <c r="L503" s="2" t="n">
        <f aca="false">K503*(1-L$499)+K502*L$499</f>
        <v>0.00897431304119321</v>
      </c>
      <c r="M503" s="2" t="n">
        <f aca="false">L503*(1-M$499)+L502*M$499</f>
        <v>0.00452873865772698</v>
      </c>
      <c r="N503" s="2" t="n">
        <f aca="false">M503*(1-N$499)+M502*N$499</f>
        <v>0.00380843609546462</v>
      </c>
      <c r="O503" s="2" t="n">
        <f aca="false">N503*(1-O$499)+N502*O$499</f>
        <v>0.00380843609546462</v>
      </c>
    </row>
    <row r="504" customFormat="false" ht="15" hidden="false" customHeight="false" outlineLevel="0" collapsed="false">
      <c r="B504" s="2" t="n">
        <v>4</v>
      </c>
      <c r="C504" s="2" t="n">
        <f aca="false">0</f>
        <v>0</v>
      </c>
      <c r="D504" s="2" t="n">
        <f aca="false">C504*(1-D$499)+C503*D$499</f>
        <v>0</v>
      </c>
      <c r="E504" s="2" t="n">
        <f aca="false">D504*(1-E$499)+D503*E$499</f>
        <v>0</v>
      </c>
      <c r="F504" s="2" t="n">
        <f aca="false">E504*(1-F$499)+E503*F$499</f>
        <v>0.374872006250217</v>
      </c>
      <c r="G504" s="2" t="n">
        <f aca="false">F504*(1-G$499)+F503*G$499</f>
        <v>0.410696022882027</v>
      </c>
      <c r="H504" s="2" t="n">
        <f aca="false">G504*(1-H$499)+G503*H$499</f>
        <v>0.364303656572126</v>
      </c>
      <c r="I504" s="2" t="n">
        <f aca="false">H504*(1-I$499)+H503*I$499</f>
        <v>0.228830966122504</v>
      </c>
      <c r="J504" s="2" t="n">
        <f aca="false">I504*(1-J$499)+I503*J$499</f>
        <v>0.119643405585741</v>
      </c>
      <c r="K504" s="2" t="n">
        <f aca="false">J504*(1-K$499)+J503*K$499</f>
        <v>0.0803120132530428</v>
      </c>
      <c r="L504" s="2" t="n">
        <f aca="false">K504*(1-L$499)+K503*L$499</f>
        <v>0.0450205276310575</v>
      </c>
      <c r="M504" s="2" t="n">
        <f aca="false">L504*(1-M$499)+L503*M$499</f>
        <v>0.0251154032030453</v>
      </c>
      <c r="N504" s="2" t="n">
        <f aca="false">M504*(1-N$499)+M503*N$499</f>
        <v>0.0214949885333846</v>
      </c>
      <c r="O504" s="2" t="n">
        <f aca="false">N504*(1-O$499)+N503*O$499</f>
        <v>0.0214949885333846</v>
      </c>
    </row>
    <row r="505" customFormat="false" ht="15" hidden="false" customHeight="false" outlineLevel="0" collapsed="false">
      <c r="B505" s="2" t="n">
        <v>5</v>
      </c>
      <c r="C505" s="2" t="n">
        <f aca="false">0</f>
        <v>0</v>
      </c>
      <c r="D505" s="2" t="n">
        <f aca="false">C505*(1-D$499)+C504*D$499</f>
        <v>0</v>
      </c>
      <c r="E505" s="2" t="n">
        <f aca="false">D505*(1-E$499)+D504*E$499</f>
        <v>0</v>
      </c>
      <c r="F505" s="2" t="n">
        <f aca="false">E505*(1-F$499)+E504*F$499</f>
        <v>0</v>
      </c>
      <c r="G505" s="2" t="n">
        <f aca="false">F505*(1-G$499)+F504*G$499</f>
        <v>0.159558388409929</v>
      </c>
      <c r="H505" s="2" t="n">
        <f aca="false">G505*(1-H$499)+G504*H$499</f>
        <v>0.304418137200768</v>
      </c>
      <c r="I505" s="2" t="n">
        <f aca="false">H505*(1-I$499)+H504*I$499</f>
        <v>0.352045941409816</v>
      </c>
      <c r="J505" s="2" t="n">
        <f aca="false">I505*(1-J$499)+I504*J$499</f>
        <v>0.265236203489411</v>
      </c>
      <c r="K505" s="2" t="n">
        <f aca="false">J505*(1-K$499)+J504*K$499</f>
        <v>0.201836936747445</v>
      </c>
      <c r="L505" s="2" t="n">
        <f aca="false">K505*(1-L$499)+K504*L$499</f>
        <v>0.13293189731197</v>
      </c>
      <c r="M505" s="2" t="n">
        <f aca="false">L505*(1-M$499)+L504*M$499</f>
        <v>0.0843862518941128</v>
      </c>
      <c r="N505" s="2" t="n">
        <f aca="false">M505*(1-N$499)+M504*N$499</f>
        <v>0.0739627542161861</v>
      </c>
      <c r="O505" s="2" t="n">
        <f aca="false">N505*(1-O$499)+N504*O$499</f>
        <v>0.0739627542161861</v>
      </c>
    </row>
    <row r="506" customFormat="false" ht="15" hidden="false" customHeight="false" outlineLevel="0" collapsed="false">
      <c r="B506" s="2" t="n">
        <v>6</v>
      </c>
      <c r="C506" s="2" t="n">
        <f aca="false">0</f>
        <v>0</v>
      </c>
      <c r="D506" s="2" t="n">
        <f aca="false">C506*(1-D$499)+C505*D$499</f>
        <v>0</v>
      </c>
      <c r="E506" s="2" t="n">
        <f aca="false">D506*(1-E$499)+D505*E$499</f>
        <v>0</v>
      </c>
      <c r="F506" s="2" t="n">
        <f aca="false">E506*(1-F$499)+E505*F$499</f>
        <v>0</v>
      </c>
      <c r="G506" s="2" t="n">
        <f aca="false">F506*(1-G$499)+F505*G$499</f>
        <v>0</v>
      </c>
      <c r="H506" s="2" t="n">
        <f aca="false">G506*(1-H$499)+G505*H$499</f>
        <v>0.0920355410335819</v>
      </c>
      <c r="I506" s="2" t="n">
        <f aca="false">H506*(1-I$499)+H505*I$499</f>
        <v>0.260946436586373</v>
      </c>
      <c r="J506" s="2" t="n">
        <f aca="false">I506*(1-J$499)+I505*J$499</f>
        <v>0.325129577636892</v>
      </c>
      <c r="K506" s="2" t="n">
        <f aca="false">J506*(1-K$499)+J505*K$499</f>
        <v>0.299048644662688</v>
      </c>
      <c r="L506" s="2" t="n">
        <f aca="false">K506*(1-L$499)+K505*L$499</f>
        <v>0.243929280051047</v>
      </c>
      <c r="M506" s="2" t="n">
        <f aca="false">L506*(1-M$499)+L505*M$499</f>
        <v>0.182635279009776</v>
      </c>
      <c r="N506" s="2" t="n">
        <f aca="false">M506*(1-N$499)+M505*N$499</f>
        <v>0.165356995863596</v>
      </c>
      <c r="O506" s="2" t="n">
        <f aca="false">N506*(1-O$499)+N505*O$499</f>
        <v>0.165356995863596</v>
      </c>
    </row>
    <row r="507" customFormat="false" ht="15" hidden="false" customHeight="false" outlineLevel="0" collapsed="false">
      <c r="B507" s="2" t="n">
        <v>7</v>
      </c>
      <c r="C507" s="2" t="n">
        <f aca="false">0</f>
        <v>0</v>
      </c>
      <c r="D507" s="2" t="n">
        <f aca="false">C507*(1-D$499)+C506*D$499</f>
        <v>0</v>
      </c>
      <c r="E507" s="2" t="n">
        <f aca="false">D507*(1-E$499)+D506*E$499</f>
        <v>0</v>
      </c>
      <c r="F507" s="2" t="n">
        <f aca="false">E507*(1-F$499)+E506*F$499</f>
        <v>0</v>
      </c>
      <c r="G507" s="2" t="n">
        <f aca="false">F507*(1-G$499)+F506*G$499</f>
        <v>0</v>
      </c>
      <c r="H507" s="2" t="n">
        <f aca="false">G507*(1-H$499)+G506*H$499</f>
        <v>0</v>
      </c>
      <c r="I507" s="2" t="n">
        <f aca="false">H507*(1-I$499)+H506*I$499</f>
        <v>0.0731971731169085</v>
      </c>
      <c r="J507" s="2" t="n">
        <f aca="false">I507*(1-J$499)+I506*J$499</f>
        <v>0.205473824705148</v>
      </c>
      <c r="K507" s="2" t="n">
        <f aca="false">J507*(1-K$499)+J506*K$499</f>
        <v>0.25757864792827</v>
      </c>
      <c r="L507" s="2" t="n">
        <f aca="false">K507*(1-L$499)+K506*L$499</f>
        <v>0.281092275241977</v>
      </c>
      <c r="M507" s="2" t="n">
        <f aca="false">L507*(1-M$499)+L506*M$499</f>
        <v>0.260570452026702</v>
      </c>
      <c r="N507" s="2" t="n">
        <f aca="false">M507*(1-N$499)+M506*N$499</f>
        <v>0.246864606524051</v>
      </c>
      <c r="O507" s="2" t="n">
        <f aca="false">N507*(1-O$499)+N506*O$499</f>
        <v>0.246864606524051</v>
      </c>
    </row>
    <row r="508" customFormat="false" ht="15" hidden="false" customHeight="false" outlineLevel="0" collapsed="false">
      <c r="B508" s="2" t="n">
        <v>8</v>
      </c>
      <c r="C508" s="2" t="n">
        <f aca="false">0</f>
        <v>0</v>
      </c>
      <c r="D508" s="2" t="n">
        <f aca="false">C508*(1-D$499)+C507*D$499</f>
        <v>0</v>
      </c>
      <c r="E508" s="2" t="n">
        <f aca="false">D508*(1-E$499)+D507*E$499</f>
        <v>0</v>
      </c>
      <c r="F508" s="2" t="n">
        <f aca="false">E508*(1-F$499)+E507*F$499</f>
        <v>0</v>
      </c>
      <c r="G508" s="2" t="n">
        <f aca="false">F508*(1-G$499)+F507*G$499</f>
        <v>0</v>
      </c>
      <c r="H508" s="2" t="n">
        <f aca="false">G508*(1-H$499)+G507*H$499</f>
        <v>0</v>
      </c>
      <c r="I508" s="2" t="n">
        <f aca="false">H508*(1-I$499)+H507*I$499</f>
        <v>0</v>
      </c>
      <c r="J508" s="2" t="n">
        <f aca="false">I508*(1-J$499)+I507*J$499</f>
        <v>0.051570252722744</v>
      </c>
      <c r="K508" s="2" t="n">
        <f aca="false">J508*(1-K$499)+J507*K$499</f>
        <v>0.118588496434975</v>
      </c>
      <c r="L508" s="2" t="n">
        <f aca="false">K508*(1-L$499)+K507*L$499</f>
        <v>0.197396378755751</v>
      </c>
      <c r="M508" s="2" t="n">
        <f aca="false">L508*(1-M$499)+L507*M$499</f>
        <v>0.243614192543632</v>
      </c>
      <c r="N508" s="2" t="n">
        <f aca="false">M508*(1-N$499)+M507*N$499</f>
        <v>0.246596156447495</v>
      </c>
      <c r="O508" s="2" t="n">
        <f aca="false">N508*(1-O$499)+N507*O$499</f>
        <v>0.246596156447495</v>
      </c>
    </row>
    <row r="509" customFormat="false" ht="15" hidden="false" customHeight="false" outlineLevel="0" collapsed="false">
      <c r="B509" s="2" t="n">
        <v>9</v>
      </c>
      <c r="C509" s="2" t="n">
        <f aca="false">0</f>
        <v>0</v>
      </c>
      <c r="D509" s="2" t="n">
        <f aca="false">C509*(1-D$499)+C508*D$499</f>
        <v>0</v>
      </c>
      <c r="E509" s="2" t="n">
        <f aca="false">D509*(1-E$499)+D508*E$499</f>
        <v>0</v>
      </c>
      <c r="F509" s="2" t="n">
        <f aca="false">E509*(1-F$499)+E508*F$499</f>
        <v>0</v>
      </c>
      <c r="G509" s="2" t="n">
        <f aca="false">F509*(1-G$499)+F508*G$499</f>
        <v>0</v>
      </c>
      <c r="H509" s="2" t="n">
        <f aca="false">G509*(1-H$499)+G508*H$499</f>
        <v>0</v>
      </c>
      <c r="I509" s="2" t="n">
        <f aca="false">H509*(1-I$499)+H508*I$499</f>
        <v>0</v>
      </c>
      <c r="J509" s="2" t="n">
        <f aca="false">I509*(1-J$499)+I508*J$499</f>
        <v>0</v>
      </c>
      <c r="K509" s="2" t="n">
        <f aca="false">J509*(1-K$499)+J508*K$499</f>
        <v>0.0224565792772461</v>
      </c>
      <c r="L509" s="2" t="n">
        <f aca="false">K509*(1-L$499)+K508*L$499</f>
        <v>0.0769636989058074</v>
      </c>
      <c r="M509" s="2" t="n">
        <f aca="false">L509*(1-M$499)+L508*M$499</f>
        <v>0.143467976952417</v>
      </c>
      <c r="N509" s="2" t="n">
        <f aca="false">M509*(1-N$499)+M508*N$499</f>
        <v>0.161079903704286</v>
      </c>
      <c r="O509" s="2" t="n">
        <f aca="false">N509*(1-O$499)+N508*O$499</f>
        <v>0.161079903704286</v>
      </c>
    </row>
    <row r="510" customFormat="false" ht="15" hidden="false" customHeight="false" outlineLevel="0" collapsed="false">
      <c r="B510" s="2" t="n">
        <v>10</v>
      </c>
      <c r="C510" s="2" t="n">
        <f aca="false">0</f>
        <v>0</v>
      </c>
      <c r="D510" s="2" t="n">
        <f aca="false">C510*(1-D$499)+C509*D$499</f>
        <v>0</v>
      </c>
      <c r="E510" s="2" t="n">
        <f aca="false">D510*(1-E$499)+D509*E$499</f>
        <v>0</v>
      </c>
      <c r="F510" s="2" t="n">
        <f aca="false">E510*(1-F$499)+E509*F$499</f>
        <v>0</v>
      </c>
      <c r="G510" s="2" t="n">
        <f aca="false">F510*(1-G$499)+F509*G$499</f>
        <v>0</v>
      </c>
      <c r="H510" s="2" t="n">
        <f aca="false">G510*(1-H$499)+G509*H$499</f>
        <v>0</v>
      </c>
      <c r="I510" s="2" t="n">
        <f aca="false">H510*(1-I$499)+H509*I$499</f>
        <v>0</v>
      </c>
      <c r="J510" s="2" t="n">
        <f aca="false">I510*(1-J$499)+I509*J$499</f>
        <v>0</v>
      </c>
      <c r="K510" s="2" t="n">
        <f aca="false">J510*(1-K$499)+J509*K$499</f>
        <v>0</v>
      </c>
      <c r="L510" s="2" t="n">
        <f aca="false">K510*(1-L$499)+K509*L$499</f>
        <v>0.0127329558101371</v>
      </c>
      <c r="M510" s="2" t="n">
        <f aca="false">L510*(1-M$499)+L509*M$499</f>
        <v>0.0482018933385317</v>
      </c>
      <c r="N510" s="2" t="n">
        <f aca="false">M510*(1-N$499)+M509*N$499</f>
        <v>0.0649555896878158</v>
      </c>
      <c r="O510" s="2" t="n">
        <f aca="false">N510*(1-O$499)+N509*O$499</f>
        <v>0.0649555896878158</v>
      </c>
    </row>
    <row r="511" customFormat="false" ht="15" hidden="false" customHeight="false" outlineLevel="0" collapsed="false">
      <c r="B511" s="2" t="n">
        <v>11</v>
      </c>
      <c r="C511" s="2" t="n">
        <f aca="false">0</f>
        <v>0</v>
      </c>
      <c r="D511" s="2" t="n">
        <f aca="false">C511*(1-D$499)+C510*D$499</f>
        <v>0</v>
      </c>
      <c r="E511" s="2" t="n">
        <f aca="false">D511*(1-E$499)+D510*E$499</f>
        <v>0</v>
      </c>
      <c r="F511" s="2" t="n">
        <f aca="false">E511*(1-F$499)+E510*F$499</f>
        <v>0</v>
      </c>
      <c r="G511" s="2" t="n">
        <f aca="false">F511*(1-G$499)+F510*G$499</f>
        <v>0</v>
      </c>
      <c r="H511" s="2" t="n">
        <f aca="false">G511*(1-H$499)+G510*H$499</f>
        <v>0</v>
      </c>
      <c r="I511" s="2" t="n">
        <f aca="false">H511*(1-I$499)+H510*I$499</f>
        <v>0</v>
      </c>
      <c r="J511" s="2" t="n">
        <f aca="false">I511*(1-J$499)+I510*J$499</f>
        <v>0</v>
      </c>
      <c r="K511" s="2" t="n">
        <f aca="false">J511*(1-K$499)+J510*K$499</f>
        <v>0</v>
      </c>
      <c r="L511" s="2" t="n">
        <f aca="false">K511*(1-L$499)+K510*L$499</f>
        <v>0</v>
      </c>
      <c r="M511" s="2" t="n">
        <f aca="false">L511*(1-M$499)+L510*M$499</f>
        <v>0.00703128116560753</v>
      </c>
      <c r="N511" s="2" t="n">
        <f aca="false">M511*(1-N$499)+M510*N$499</f>
        <v>0.014271632701994</v>
      </c>
      <c r="O511" s="2" t="n">
        <f aca="false">N511*(1-O$499)+N510*O$499</f>
        <v>0.014271632701994</v>
      </c>
    </row>
    <row r="512" customFormat="false" ht="15" hidden="false" customHeight="false" outlineLevel="0" collapsed="false">
      <c r="B512" s="2" t="n">
        <v>12</v>
      </c>
      <c r="C512" s="2" t="n">
        <f aca="false">0</f>
        <v>0</v>
      </c>
      <c r="D512" s="2" t="n">
        <f aca="false">C512*(1-D$499)+C511*D$499</f>
        <v>0</v>
      </c>
      <c r="E512" s="2" t="n">
        <f aca="false">D512*(1-E$499)+D511*E$499</f>
        <v>0</v>
      </c>
      <c r="F512" s="2" t="n">
        <f aca="false">E512*(1-F$499)+E511*F$499</f>
        <v>0</v>
      </c>
      <c r="G512" s="2" t="n">
        <f aca="false">F512*(1-G$499)+F511*G$499</f>
        <v>0</v>
      </c>
      <c r="H512" s="2" t="n">
        <f aca="false">G512*(1-H$499)+G511*H$499</f>
        <v>0</v>
      </c>
      <c r="I512" s="2" t="n">
        <f aca="false">H512*(1-I$499)+H511*I$499</f>
        <v>0</v>
      </c>
      <c r="J512" s="2" t="n">
        <f aca="false">I512*(1-J$499)+I511*J$499</f>
        <v>0</v>
      </c>
      <c r="K512" s="2" t="n">
        <f aca="false">J512*(1-K$499)+J511*K$499</f>
        <v>0</v>
      </c>
      <c r="L512" s="2" t="n">
        <f aca="false">K512*(1-L$499)+K511*L$499</f>
        <v>0</v>
      </c>
      <c r="M512" s="2" t="n">
        <f aca="false">L512*(1-M$499)+L511*M$499</f>
        <v>0</v>
      </c>
      <c r="N512" s="2" t="n">
        <f aca="false">M512*(1-N$499)+M511*N$499</f>
        <v>0.00123653608006469</v>
      </c>
      <c r="O512" s="2" t="n">
        <f aca="false">N512*(1-O$499)+N511*O$499</f>
        <v>0.00123653608006469</v>
      </c>
    </row>
    <row r="513" customFormat="false" ht="15" hidden="false" customHeight="false" outlineLevel="0" collapsed="false">
      <c r="B513" s="2" t="n">
        <v>13</v>
      </c>
      <c r="C513" s="2" t="n">
        <f aca="false">0</f>
        <v>0</v>
      </c>
      <c r="D513" s="2" t="n">
        <f aca="false">C513*(1-D$499)+C512*D$499</f>
        <v>0</v>
      </c>
      <c r="E513" s="2" t="n">
        <f aca="false">D513*(1-E$499)+D512*E$499</f>
        <v>0</v>
      </c>
      <c r="F513" s="2" t="n">
        <f aca="false">E513*(1-F$499)+E512*F$499</f>
        <v>0</v>
      </c>
      <c r="G513" s="2" t="n">
        <f aca="false">F513*(1-G$499)+F512*G$499</f>
        <v>0</v>
      </c>
      <c r="H513" s="2" t="n">
        <f aca="false">G513*(1-H$499)+G512*H$499</f>
        <v>0</v>
      </c>
      <c r="I513" s="2" t="n">
        <f aca="false">H513*(1-I$499)+H512*I$499</f>
        <v>0</v>
      </c>
      <c r="J513" s="2" t="n">
        <f aca="false">I513*(1-J$499)+I512*J$499</f>
        <v>0</v>
      </c>
      <c r="K513" s="2" t="n">
        <f aca="false">J513*(1-K$499)+J512*K$499</f>
        <v>0</v>
      </c>
      <c r="L513" s="2" t="n">
        <f aca="false">K513*(1-L$499)+K512*L$499</f>
        <v>0</v>
      </c>
      <c r="M513" s="2" t="n">
        <f aca="false">L513*(1-M$499)+L512*M$499</f>
        <v>0</v>
      </c>
      <c r="N513" s="2" t="n">
        <f aca="false">M513*(1-N$499)+M512*N$499</f>
        <v>0</v>
      </c>
      <c r="O513" s="2" t="n">
        <f aca="false">N513*(1-O$499)+N512*O$499</f>
        <v>0</v>
      </c>
    </row>
    <row r="515" customFormat="false" ht="15" hidden="false" customHeight="false" outlineLevel="0" collapsed="false">
      <c r="A515" s="1" t="s">
        <v>90</v>
      </c>
      <c r="C515" s="2" t="n">
        <f aca="false">Schedule!G34</f>
        <v>0.929893728288777</v>
      </c>
      <c r="D515" s="2" t="n">
        <f aca="false">Schedule!L34</f>
        <v>0.953032884169254</v>
      </c>
      <c r="E515" s="2" t="n">
        <f aca="false">Schedule!Q34</f>
        <v>0.922921399447928</v>
      </c>
      <c r="F515" s="2" t="n">
        <f aca="false">Schedule!V34</f>
        <v>0.613135249031273</v>
      </c>
      <c r="G515" s="2" t="n">
        <f aca="false">Schedule!AA34</f>
        <v>0.660013509650861</v>
      </c>
      <c r="H515" s="2" t="n">
        <f aca="false">Schedule!AF34</f>
        <v>0.190786952852511</v>
      </c>
      <c r="I515" s="2" t="n">
        <f aca="false">Schedule!AK34</f>
        <v>0.080756659233771</v>
      </c>
      <c r="J515" s="2" t="n">
        <f aca="false">Schedule!AP34</f>
        <v>0.401293674317076</v>
      </c>
      <c r="K515" s="2" t="n">
        <f aca="false">Schedule!AU34</f>
        <v>0.41098963713127</v>
      </c>
      <c r="L515" s="2" t="n">
        <f aca="false">Schedule!AZ34</f>
        <v>0.601121098652944</v>
      </c>
      <c r="M515" s="2" t="n">
        <f aca="false">Schedule!BE34</f>
        <v>0.0957337772110985</v>
      </c>
      <c r="N515" s="2" t="n">
        <f aca="false">Schedule!BJ34</f>
        <v>0.312952021417887</v>
      </c>
      <c r="O515" s="2" t="n">
        <f aca="false">Schedule!BO34</f>
        <v>0</v>
      </c>
    </row>
    <row r="516" customFormat="false" ht="15" hidden="false" customHeight="false" outlineLevel="0" collapsed="false">
      <c r="B516" s="2" t="n">
        <v>0</v>
      </c>
      <c r="C516" s="2" t="n">
        <f aca="false">1-C$515</f>
        <v>0.0701062717112231</v>
      </c>
      <c r="D516" s="2" t="n">
        <f aca="false">C516*(1-D$515)</f>
        <v>0.00329268938392276</v>
      </c>
      <c r="E516" s="2" t="n">
        <f aca="false">D516*(1-E$515)</f>
        <v>0.00025379588976543</v>
      </c>
      <c r="F516" s="2" t="n">
        <f aca="false">E516*(1-F$515)</f>
        <v>9.81846836909894E-005</v>
      </c>
      <c r="G516" s="2" t="n">
        <f aca="false">F516*(1-G$515)</f>
        <v>3.33814660141398E-005</v>
      </c>
      <c r="H516" s="2" t="n">
        <f aca="false">G516*(1-H$515)</f>
        <v>2.70127178315524E-005</v>
      </c>
      <c r="I516" s="2" t="n">
        <f aca="false">H516*(1-I$515)</f>
        <v>2.48312609826517E-005</v>
      </c>
      <c r="J516" s="2" t="n">
        <f aca="false">I516*(1-J$515)</f>
        <v>1.48666330249972E-005</v>
      </c>
      <c r="K516" s="2" t="n">
        <f aca="false">J516*(1-K$515)</f>
        <v>8.75660091268982E-006</v>
      </c>
      <c r="L516" s="2" t="n">
        <f aca="false">K516*(1-L$515)</f>
        <v>3.49282335158835E-006</v>
      </c>
      <c r="M516" s="2" t="n">
        <f aca="false">L516*(1-M$515)</f>
        <v>3.15844217900966E-006</v>
      </c>
      <c r="N516" s="2" t="n">
        <f aca="false">M516*(1-N$515)</f>
        <v>2.17000131455707E-006</v>
      </c>
      <c r="O516" s="2" t="n">
        <f aca="false">N516*(1-O$515)</f>
        <v>2.17000131455707E-006</v>
      </c>
    </row>
    <row r="517" customFormat="false" ht="15" hidden="false" customHeight="false" outlineLevel="0" collapsed="false">
      <c r="B517" s="2" t="n">
        <v>1</v>
      </c>
      <c r="C517" s="2" t="n">
        <f aca="false">C$515</f>
        <v>0.929893728288777</v>
      </c>
      <c r="D517" s="2" t="n">
        <f aca="false">C517*(1-D$515)+C516*D$515</f>
        <v>0.110488008774123</v>
      </c>
      <c r="E517" s="2" t="n">
        <f aca="false">D517*(1-E$515)+D516*E$515</f>
        <v>0.0115551545882518</v>
      </c>
      <c r="F517" s="2" t="n">
        <f aca="false">E517*(1-F$515)+E516*F$515</f>
        <v>0.00462589320826361</v>
      </c>
      <c r="G517" s="2" t="n">
        <f aca="false">F517*(1-G$515)+F516*G$515</f>
        <v>0.00163754441428431</v>
      </c>
      <c r="H517" s="2" t="n">
        <f aca="false">G517*(1-H$515)+G516*H$515</f>
        <v>0.00133149105350495</v>
      </c>
      <c r="I517" s="2" t="n">
        <f aca="false">H517*(1-I$515)+H516*I$515</f>
        <v>0.00122614574107313</v>
      </c>
      <c r="J517" s="2" t="n">
        <f aca="false">I517*(1-J$515)+I516*J$515</f>
        <v>0.000744065839347316</v>
      </c>
      <c r="K517" s="2" t="n">
        <f aca="false">J517*(1-K$515)+J516*K$515</f>
        <v>0.000444372522144496</v>
      </c>
      <c r="L517" s="2" t="n">
        <f aca="false">K517*(1-L$515)+K516*L$515</f>
        <v>0.000182514600982918</v>
      </c>
      <c r="M517" s="2" t="n">
        <f aca="false">L517*(1-M$515)+L516*M$515</f>
        <v>0.000165376170007226</v>
      </c>
      <c r="N517" s="2" t="n">
        <f aca="false">M517*(1-N$515)+M516*N$515</f>
        <v>0.000114609804173569</v>
      </c>
      <c r="O517" s="2" t="n">
        <f aca="false">N517*(1-O$515)+N516*O$515</f>
        <v>0.000114609804173569</v>
      </c>
    </row>
    <row r="518" customFormat="false" ht="15" hidden="false" customHeight="false" outlineLevel="0" collapsed="false">
      <c r="B518" s="2" t="n">
        <v>2</v>
      </c>
      <c r="C518" s="2" t="n">
        <f aca="false">0</f>
        <v>0</v>
      </c>
      <c r="D518" s="2" t="n">
        <f aca="false">C518*(1-D$515)+C517*D$515</f>
        <v>0.886219301841954</v>
      </c>
      <c r="E518" s="2" t="n">
        <f aca="false">D518*(1-E$515)+D517*E$515</f>
        <v>0.170280291248241</v>
      </c>
      <c r="F518" s="2" t="n">
        <f aca="false">E518*(1-F$515)+E517*F$515</f>
        <v>0.0729603150546956</v>
      </c>
      <c r="G518" s="2" t="n">
        <f aca="false">F518*(1-G$515)+F517*G$515</f>
        <v>0.0278586734618695</v>
      </c>
      <c r="H518" s="2" t="n">
        <f aca="false">G518*(1-H$515)+G517*H$515</f>
        <v>0.0228560241505283</v>
      </c>
      <c r="I518" s="2" t="n">
        <f aca="false">H518*(1-I$515)+H517*I$515</f>
        <v>0.021117774766046</v>
      </c>
      <c r="J518" s="2" t="n">
        <f aca="false">I518*(1-J$515)+I517*J$515</f>
        <v>0.0131353898664624</v>
      </c>
      <c r="K518" s="2" t="n">
        <f aca="false">J518*(1-K$515)+J517*K$515</f>
        <v>0.00804268410098239</v>
      </c>
      <c r="L518" s="2" t="n">
        <f aca="false">K518*(1-L$515)+K517*L$515</f>
        <v>0.00347517869680397</v>
      </c>
      <c r="M518" s="2" t="n">
        <f aca="false">L518*(1-M$515)+L517*M$515</f>
        <v>0.00315995952582365</v>
      </c>
      <c r="N518" s="2" t="n">
        <f aca="false">M518*(1-N$515)+M517*N$515</f>
        <v>0.00222279861131654</v>
      </c>
      <c r="O518" s="2" t="n">
        <f aca="false">N518*(1-O$515)+N517*O$515</f>
        <v>0.00222279861131654</v>
      </c>
    </row>
    <row r="519" customFormat="false" ht="15" hidden="false" customHeight="false" outlineLevel="0" collapsed="false">
      <c r="B519" s="2" t="n">
        <v>3</v>
      </c>
      <c r="C519" s="2" t="n">
        <f aca="false">0</f>
        <v>0</v>
      </c>
      <c r="D519" s="2" t="n">
        <f aca="false">C519*(1-D$515)+C518*D$515</f>
        <v>0</v>
      </c>
      <c r="E519" s="2" t="n">
        <f aca="false">D519*(1-E$515)+D518*E$515</f>
        <v>0.817910758273742</v>
      </c>
      <c r="F519" s="2" t="n">
        <f aca="false">E519*(1-F$515)+E518*F$515</f>
        <v>0.420825690593822</v>
      </c>
      <c r="G519" s="2" t="n">
        <f aca="false">F519*(1-G$515)+F518*G$515</f>
        <v>0.191229843198228</v>
      </c>
      <c r="H519" s="2" t="n">
        <f aca="false">G519*(1-H$515)+G518*H$515</f>
        <v>0.160060755540278</v>
      </c>
      <c r="I519" s="2" t="n">
        <f aca="false">H519*(1-I$515)+H518*I$515</f>
        <v>0.148980559802175</v>
      </c>
      <c r="J519" s="2" t="n">
        <f aca="false">I519*(1-J$515)+I518*J$515</f>
        <v>0.0976700329866122</v>
      </c>
      <c r="K519" s="2" t="n">
        <f aca="false">J519*(1-K$515)+J518*K$515</f>
        <v>0.0629271706856404</v>
      </c>
      <c r="L519" s="2" t="n">
        <f aca="false">K519*(1-L$515)+K518*L$515</f>
        <v>0.029934947810868</v>
      </c>
      <c r="M519" s="2" t="n">
        <f aca="false">L519*(1-M$515)+L518*M$515</f>
        <v>0.0274018541694451</v>
      </c>
      <c r="N519" s="2" t="n">
        <f aca="false">M519*(1-N$515)+M518*N$515</f>
        <v>0.0198153042377243</v>
      </c>
      <c r="O519" s="2" t="n">
        <f aca="false">N519*(1-O$515)+N518*O$515</f>
        <v>0.0198153042377243</v>
      </c>
    </row>
    <row r="520" customFormat="false" ht="15" hidden="false" customHeight="false" outlineLevel="0" collapsed="false">
      <c r="B520" s="2" t="n">
        <v>4</v>
      </c>
      <c r="C520" s="2" t="n">
        <f aca="false">0</f>
        <v>0</v>
      </c>
      <c r="D520" s="2" t="n">
        <f aca="false">C520*(1-D$515)+C519*D$515</f>
        <v>0</v>
      </c>
      <c r="E520" s="2" t="n">
        <f aca="false">D520*(1-E$515)+D519*E$515</f>
        <v>0</v>
      </c>
      <c r="F520" s="2" t="n">
        <f aca="false">E520*(1-F$515)+E519*F$515</f>
        <v>0.501489916459528</v>
      </c>
      <c r="G520" s="2" t="n">
        <f aca="false">F520*(1-G$515)+F519*G$515</f>
        <v>0.448250437642633</v>
      </c>
      <c r="H520" s="2" t="n">
        <f aca="false">G520*(1-H$515)+G519*H$515</f>
        <v>0.399214261608244</v>
      </c>
      <c r="I520" s="2" t="n">
        <f aca="false">H520*(1-I$515)+H519*I$515</f>
        <v>0.379901023414152</v>
      </c>
      <c r="J520" s="2" t="n">
        <f aca="false">I520*(1-J$515)+I519*J$515</f>
        <v>0.287234102096299</v>
      </c>
      <c r="K520" s="2" t="n">
        <f aca="false">J520*(1-K$515)+J519*K$515</f>
        <v>0.209325234119782</v>
      </c>
      <c r="L520" s="2" t="n">
        <f aca="false">K520*(1-L$515)+K519*L$515</f>
        <v>0.121322269387587</v>
      </c>
      <c r="M520" s="2" t="n">
        <f aca="false">L520*(1-M$515)+L519*M$515</f>
        <v>0.112573415903843</v>
      </c>
      <c r="N520" s="2" t="n">
        <f aca="false">M520*(1-N$515)+M519*N$515</f>
        <v>0.0859188034917446</v>
      </c>
      <c r="O520" s="2" t="n">
        <f aca="false">N520*(1-O$515)+N519*O$515</f>
        <v>0.0859188034917446</v>
      </c>
    </row>
    <row r="521" customFormat="false" ht="15" hidden="false" customHeight="false" outlineLevel="0" collapsed="false">
      <c r="B521" s="2" t="n">
        <v>5</v>
      </c>
      <c r="C521" s="2" t="n">
        <f aca="false">0</f>
        <v>0</v>
      </c>
      <c r="D521" s="2" t="n">
        <f aca="false">C521*(1-D$515)+C520*D$515</f>
        <v>0</v>
      </c>
      <c r="E521" s="2" t="n">
        <f aca="false">D521*(1-E$515)+D520*E$515</f>
        <v>0</v>
      </c>
      <c r="F521" s="2" t="n">
        <f aca="false">E521*(1-F$515)+E520*F$515</f>
        <v>0</v>
      </c>
      <c r="G521" s="2" t="n">
        <f aca="false">F521*(1-G$515)+F520*G$515</f>
        <v>0.330990119816971</v>
      </c>
      <c r="H521" s="2" t="n">
        <f aca="false">G521*(1-H$515)+G520*H$515</f>
        <v>0.353361858545446</v>
      </c>
      <c r="I521" s="2" t="n">
        <f aca="false">H521*(1-I$515)+H520*I$515</f>
        <v>0.357064745434638</v>
      </c>
      <c r="J521" s="2" t="n">
        <f aca="false">I521*(1-J$515)+I520*J$515</f>
        <v>0.366228799332763</v>
      </c>
      <c r="K521" s="2" t="n">
        <f aca="false">J521*(1-K$515)+J520*K$515</f>
        <v>0.333762797380254</v>
      </c>
      <c r="L521" s="2" t="n">
        <f aca="false">K521*(1-L$515)+K520*L$515</f>
        <v>0.258960752639424</v>
      </c>
      <c r="M521" s="2" t="n">
        <f aca="false">L521*(1-M$515)+L520*M$515</f>
        <v>0.245784100748119</v>
      </c>
      <c r="N521" s="2" t="n">
        <f aca="false">M521*(1-N$515)+M520*N$515</f>
        <v>0.204095547651642</v>
      </c>
      <c r="O521" s="2" t="n">
        <f aca="false">N521*(1-O$515)+N520*O$515</f>
        <v>0.204095547651642</v>
      </c>
    </row>
    <row r="522" customFormat="false" ht="15" hidden="false" customHeight="false" outlineLevel="0" collapsed="false">
      <c r="B522" s="2" t="n">
        <v>6</v>
      </c>
      <c r="C522" s="2" t="n">
        <f aca="false">0</f>
        <v>0</v>
      </c>
      <c r="D522" s="2" t="n">
        <f aca="false">C522*(1-D$515)+C521*D$515</f>
        <v>0</v>
      </c>
      <c r="E522" s="2" t="n">
        <f aca="false">D522*(1-E$515)+D521*E$515</f>
        <v>0</v>
      </c>
      <c r="F522" s="2" t="n">
        <f aca="false">E522*(1-F$515)+E521*F$515</f>
        <v>0</v>
      </c>
      <c r="G522" s="2" t="n">
        <f aca="false">F522*(1-G$515)+F521*G$515</f>
        <v>0</v>
      </c>
      <c r="H522" s="2" t="n">
        <f aca="false">G522*(1-H$515)+G521*H$515</f>
        <v>0.0631485963841672</v>
      </c>
      <c r="I522" s="2" t="n">
        <f aca="false">H522*(1-I$515)+H521*I$515</f>
        <v>0.0865852499016466</v>
      </c>
      <c r="J522" s="2" t="n">
        <f aca="false">I522*(1-J$515)+I521*J$515</f>
        <v>0.19512696049151</v>
      </c>
      <c r="K522" s="2" t="n">
        <f aca="false">J522*(1-K$515)+J521*K$515</f>
        <v>0.26544804314937</v>
      </c>
      <c r="L522" s="2" t="n">
        <f aca="false">K522*(1-L$515)+K521*L$515</f>
        <v>0.306513483266845</v>
      </c>
      <c r="M522" s="2" t="n">
        <f aca="false">L522*(1-M$515)+L521*M$515</f>
        <v>0.30196108074718</v>
      </c>
      <c r="N522" s="2" t="n">
        <f aca="false">M522*(1-N$515)+M521*N$515</f>
        <v>0.284380381299321</v>
      </c>
      <c r="O522" s="2" t="n">
        <f aca="false">N522*(1-O$515)+N521*O$515</f>
        <v>0.284380381299321</v>
      </c>
    </row>
    <row r="523" customFormat="false" ht="15" hidden="false" customHeight="false" outlineLevel="0" collapsed="false">
      <c r="B523" s="2" t="n">
        <v>7</v>
      </c>
      <c r="C523" s="2" t="n">
        <f aca="false">0</f>
        <v>0</v>
      </c>
      <c r="D523" s="2" t="n">
        <f aca="false">C523*(1-D$515)+C522*D$515</f>
        <v>0</v>
      </c>
      <c r="E523" s="2" t="n">
        <f aca="false">D523*(1-E$515)+D522*E$515</f>
        <v>0</v>
      </c>
      <c r="F523" s="2" t="n">
        <f aca="false">E523*(1-F$515)+E522*F$515</f>
        <v>0</v>
      </c>
      <c r="G523" s="2" t="n">
        <f aca="false">F523*(1-G$515)+F522*G$515</f>
        <v>0</v>
      </c>
      <c r="H523" s="2" t="n">
        <f aca="false">G523*(1-H$515)+G522*H$515</f>
        <v>0</v>
      </c>
      <c r="I523" s="2" t="n">
        <f aca="false">H523*(1-I$515)+H522*I$515</f>
        <v>0.00509966967928714</v>
      </c>
      <c r="J523" s="2" t="n">
        <f aca="false">I523*(1-J$515)+I522*J$515</f>
        <v>0.0377993175705767</v>
      </c>
      <c r="K523" s="2" t="n">
        <f aca="false">J523*(1-K$515)+J522*K$515</f>
        <v>0.102459348445369</v>
      </c>
      <c r="L523" s="2" t="n">
        <f aca="false">K523*(1-L$515)+K522*L$515</f>
        <v>0.200435291673847</v>
      </c>
      <c r="M523" s="2" t="n">
        <f aca="false">L523*(1-M$515)+L522*M$515</f>
        <v>0.210590557634767</v>
      </c>
      <c r="N523" s="2" t="n">
        <f aca="false">M523*(1-N$515)+M522*N$515</f>
        <v>0.239185147540807</v>
      </c>
      <c r="O523" s="2" t="n">
        <f aca="false">N523*(1-O$515)+N522*O$515</f>
        <v>0.239185147540807</v>
      </c>
    </row>
    <row r="524" customFormat="false" ht="15" hidden="false" customHeight="false" outlineLevel="0" collapsed="false">
      <c r="B524" s="2" t="n">
        <v>8</v>
      </c>
      <c r="C524" s="2" t="n">
        <f aca="false">0</f>
        <v>0</v>
      </c>
      <c r="D524" s="2" t="n">
        <f aca="false">C524*(1-D$515)+C523*D$515</f>
        <v>0</v>
      </c>
      <c r="E524" s="2" t="n">
        <f aca="false">D524*(1-E$515)+D523*E$515</f>
        <v>0</v>
      </c>
      <c r="F524" s="2" t="n">
        <f aca="false">E524*(1-F$515)+E523*F$515</f>
        <v>0</v>
      </c>
      <c r="G524" s="2" t="n">
        <f aca="false">F524*(1-G$515)+F523*G$515</f>
        <v>0</v>
      </c>
      <c r="H524" s="2" t="n">
        <f aca="false">G524*(1-H$515)+G523*H$515</f>
        <v>0</v>
      </c>
      <c r="I524" s="2" t="n">
        <f aca="false">H524*(1-I$515)+H523*I$515</f>
        <v>0</v>
      </c>
      <c r="J524" s="2" t="n">
        <f aca="false">I524*(1-J$515)+I523*J$515</f>
        <v>0.00204646518340452</v>
      </c>
      <c r="K524" s="2" t="n">
        <f aca="false">J524*(1-K$515)+J523*K$515</f>
        <v>0.0167405170124163</v>
      </c>
      <c r="L524" s="2" t="n">
        <f aca="false">K524*(1-L$515)+K523*L$515</f>
        <v>0.0682679151386393</v>
      </c>
      <c r="M524" s="2" t="n">
        <f aca="false">L524*(1-M$515)+L523*M$515</f>
        <v>0.0809207973184363</v>
      </c>
      <c r="N524" s="2" t="n">
        <f aca="false">M524*(1-N$515)+M523*N$515</f>
        <v>0.121501210926205</v>
      </c>
      <c r="O524" s="2" t="n">
        <f aca="false">N524*(1-O$515)+N523*O$515</f>
        <v>0.121501210926205</v>
      </c>
    </row>
    <row r="525" customFormat="false" ht="15" hidden="false" customHeight="false" outlineLevel="0" collapsed="false">
      <c r="B525" s="2" t="n">
        <v>9</v>
      </c>
      <c r="C525" s="2" t="n">
        <f aca="false">0</f>
        <v>0</v>
      </c>
      <c r="D525" s="2" t="n">
        <f aca="false">C525*(1-D$515)+C524*D$515</f>
        <v>0</v>
      </c>
      <c r="E525" s="2" t="n">
        <f aca="false">D525*(1-E$515)+D524*E$515</f>
        <v>0</v>
      </c>
      <c r="F525" s="2" t="n">
        <f aca="false">E525*(1-F$515)+E524*F$515</f>
        <v>0</v>
      </c>
      <c r="G525" s="2" t="n">
        <f aca="false">F525*(1-G$515)+F524*G$515</f>
        <v>0</v>
      </c>
      <c r="H525" s="2" t="n">
        <f aca="false">G525*(1-H$515)+G524*H$515</f>
        <v>0</v>
      </c>
      <c r="I525" s="2" t="n">
        <f aca="false">H525*(1-I$515)+H524*I$515</f>
        <v>0</v>
      </c>
      <c r="J525" s="2" t="n">
        <f aca="false">I525*(1-J$515)+I524*J$515</f>
        <v>0</v>
      </c>
      <c r="K525" s="2" t="n">
        <f aca="false">J525*(1-K$515)+J524*K$515</f>
        <v>0.000841075983129203</v>
      </c>
      <c r="L525" s="2" t="n">
        <f aca="false">K525*(1-L$515)+K524*L$515</f>
        <v>0.0103985654426219</v>
      </c>
      <c r="M525" s="2" t="n">
        <f aca="false">L525*(1-M$515)+L524*M$515</f>
        <v>0.0159386168737716</v>
      </c>
      <c r="N525" s="2" t="n">
        <f aca="false">M525*(1-N$515)+M524*N$515</f>
        <v>0.0362749216000713</v>
      </c>
      <c r="O525" s="2" t="n">
        <f aca="false">N525*(1-O$515)+N524*O$515</f>
        <v>0.0362749216000713</v>
      </c>
    </row>
    <row r="526" customFormat="false" ht="15" hidden="false" customHeight="false" outlineLevel="0" collapsed="false">
      <c r="B526" s="2" t="n">
        <v>10</v>
      </c>
      <c r="C526" s="2" t="n">
        <f aca="false">0</f>
        <v>0</v>
      </c>
      <c r="D526" s="2" t="n">
        <f aca="false">C526*(1-D$515)+C525*D$515</f>
        <v>0</v>
      </c>
      <c r="E526" s="2" t="n">
        <f aca="false">D526*(1-E$515)+D525*E$515</f>
        <v>0</v>
      </c>
      <c r="F526" s="2" t="n">
        <f aca="false">E526*(1-F$515)+E525*F$515</f>
        <v>0</v>
      </c>
      <c r="G526" s="2" t="n">
        <f aca="false">F526*(1-G$515)+F525*G$515</f>
        <v>0</v>
      </c>
      <c r="H526" s="2" t="n">
        <f aca="false">G526*(1-H$515)+G525*H$515</f>
        <v>0</v>
      </c>
      <c r="I526" s="2" t="n">
        <f aca="false">H526*(1-I$515)+H525*I$515</f>
        <v>0</v>
      </c>
      <c r="J526" s="2" t="n">
        <f aca="false">I526*(1-J$515)+I525*J$515</f>
        <v>0</v>
      </c>
      <c r="K526" s="2" t="n">
        <f aca="false">J526*(1-K$515)+J525*K$515</f>
        <v>0</v>
      </c>
      <c r="L526" s="2" t="n">
        <f aca="false">K526*(1-L$515)+K525*L$515</f>
        <v>0.000505588519029231</v>
      </c>
      <c r="M526" s="2" t="n">
        <f aca="false">L526*(1-M$515)+L525*M$515</f>
        <v>0.00145268056778699</v>
      </c>
      <c r="N526" s="2" t="n">
        <f aca="false">M526*(1-N$515)+M525*N$515</f>
        <v>0.00598608361687565</v>
      </c>
      <c r="O526" s="2" t="n">
        <f aca="false">N526*(1-O$515)+N525*O$515</f>
        <v>0.00598608361687565</v>
      </c>
    </row>
    <row r="527" customFormat="false" ht="15" hidden="false" customHeight="false" outlineLevel="0" collapsed="false">
      <c r="B527" s="2" t="n">
        <v>11</v>
      </c>
      <c r="C527" s="2" t="n">
        <f aca="false">0</f>
        <v>0</v>
      </c>
      <c r="D527" s="2" t="n">
        <f aca="false">C527*(1-D$515)+C526*D$515</f>
        <v>0</v>
      </c>
      <c r="E527" s="2" t="n">
        <f aca="false">D527*(1-E$515)+D526*E$515</f>
        <v>0</v>
      </c>
      <c r="F527" s="2" t="n">
        <f aca="false">E527*(1-F$515)+E526*F$515</f>
        <v>0</v>
      </c>
      <c r="G527" s="2" t="n">
        <f aca="false">F527*(1-G$515)+F526*G$515</f>
        <v>0</v>
      </c>
      <c r="H527" s="2" t="n">
        <f aca="false">G527*(1-H$515)+G526*H$515</f>
        <v>0</v>
      </c>
      <c r="I527" s="2" t="n">
        <f aca="false">H527*(1-I$515)+H526*I$515</f>
        <v>0</v>
      </c>
      <c r="J527" s="2" t="n">
        <f aca="false">I527*(1-J$515)+I526*J$515</f>
        <v>0</v>
      </c>
      <c r="K527" s="2" t="n">
        <f aca="false">J527*(1-K$515)+J526*K$515</f>
        <v>0</v>
      </c>
      <c r="L527" s="2" t="n">
        <f aca="false">K527*(1-L$515)+K526*L$515</f>
        <v>0</v>
      </c>
      <c r="M527" s="2" t="n">
        <f aca="false">L527*(1-M$515)+L526*M$515</f>
        <v>4.84018986412337E-005</v>
      </c>
      <c r="N527" s="2" t="n">
        <f aca="false">M527*(1-N$515)+M526*N$515</f>
        <v>0.00048787374678442</v>
      </c>
      <c r="O527" s="2" t="n">
        <f aca="false">N527*(1-O$515)+N526*O$515</f>
        <v>0.00048787374678442</v>
      </c>
    </row>
    <row r="528" customFormat="false" ht="15" hidden="false" customHeight="false" outlineLevel="0" collapsed="false">
      <c r="B528" s="2" t="n">
        <v>12</v>
      </c>
      <c r="C528" s="2" t="n">
        <f aca="false">0</f>
        <v>0</v>
      </c>
      <c r="D528" s="2" t="n">
        <f aca="false">C528*(1-D$515)+C527*D$515</f>
        <v>0</v>
      </c>
      <c r="E528" s="2" t="n">
        <f aca="false">D528*(1-E$515)+D527*E$515</f>
        <v>0</v>
      </c>
      <c r="F528" s="2" t="n">
        <f aca="false">E528*(1-F$515)+E527*F$515</f>
        <v>0</v>
      </c>
      <c r="G528" s="2" t="n">
        <f aca="false">F528*(1-G$515)+F527*G$515</f>
        <v>0</v>
      </c>
      <c r="H528" s="2" t="n">
        <f aca="false">G528*(1-H$515)+G527*H$515</f>
        <v>0</v>
      </c>
      <c r="I528" s="2" t="n">
        <f aca="false">H528*(1-I$515)+H527*I$515</f>
        <v>0</v>
      </c>
      <c r="J528" s="2" t="n">
        <f aca="false">I528*(1-J$515)+I527*J$515</f>
        <v>0</v>
      </c>
      <c r="K528" s="2" t="n">
        <f aca="false">J528*(1-K$515)+J527*K$515</f>
        <v>0</v>
      </c>
      <c r="L528" s="2" t="n">
        <f aca="false">K528*(1-L$515)+K527*L$515</f>
        <v>0</v>
      </c>
      <c r="M528" s="2" t="n">
        <f aca="false">L528*(1-M$515)+L527*M$515</f>
        <v>0</v>
      </c>
      <c r="N528" s="2" t="n">
        <f aca="false">M528*(1-N$515)+M527*N$515</f>
        <v>1.51474720202378E-005</v>
      </c>
      <c r="O528" s="2" t="n">
        <f aca="false">N528*(1-O$515)+N527*O$515</f>
        <v>1.51474720202378E-005</v>
      </c>
    </row>
    <row r="529" customFormat="false" ht="15" hidden="false" customHeight="false" outlineLevel="0" collapsed="false">
      <c r="B529" s="2" t="n">
        <v>13</v>
      </c>
      <c r="C529" s="2" t="n">
        <f aca="false">0</f>
        <v>0</v>
      </c>
      <c r="D529" s="2" t="n">
        <f aca="false">C529*(1-D$515)+C528*D$515</f>
        <v>0</v>
      </c>
      <c r="E529" s="2" t="n">
        <f aca="false">D529*(1-E$515)+D528*E$515</f>
        <v>0</v>
      </c>
      <c r="F529" s="2" t="n">
        <f aca="false">E529*(1-F$515)+E528*F$515</f>
        <v>0</v>
      </c>
      <c r="G529" s="2" t="n">
        <f aca="false">F529*(1-G$515)+F528*G$515</f>
        <v>0</v>
      </c>
      <c r="H529" s="2" t="n">
        <f aca="false">G529*(1-H$515)+G528*H$515</f>
        <v>0</v>
      </c>
      <c r="I529" s="2" t="n">
        <f aca="false">H529*(1-I$515)+H528*I$515</f>
        <v>0</v>
      </c>
      <c r="J529" s="2" t="n">
        <f aca="false">I529*(1-J$515)+I528*J$515</f>
        <v>0</v>
      </c>
      <c r="K529" s="2" t="n">
        <f aca="false">J529*(1-K$515)+J528*K$515</f>
        <v>0</v>
      </c>
      <c r="L529" s="2" t="n">
        <f aca="false">K529*(1-L$515)+K528*L$515</f>
        <v>0</v>
      </c>
      <c r="M529" s="2" t="n">
        <f aca="false">L529*(1-M$515)+L528*M$515</f>
        <v>0</v>
      </c>
      <c r="N529" s="2" t="n">
        <f aca="false">M529*(1-N$515)+M528*N$515</f>
        <v>0</v>
      </c>
      <c r="O529" s="2" t="n">
        <f aca="false">N529*(1-O$515)+N528*O$515</f>
        <v>0</v>
      </c>
    </row>
    <row r="531" customFormat="false" ht="15" hidden="false" customHeight="false" outlineLevel="0" collapsed="false">
      <c r="A531" s="1" t="s">
        <v>91</v>
      </c>
      <c r="C531" s="2" t="n">
        <f aca="false">Schedule!G35</f>
        <v>0.99542301894891</v>
      </c>
      <c r="D531" s="2" t="n">
        <f aca="false">Schedule!L35</f>
        <v>0.841344746068543</v>
      </c>
      <c r="E531" s="2" t="n">
        <f aca="false">Schedule!Q35</f>
        <v>0.841344746068543</v>
      </c>
      <c r="F531" s="2" t="n">
        <f aca="false">Schedule!V35</f>
        <v>0.591439705940164</v>
      </c>
      <c r="G531" s="2" t="n">
        <f aca="false">Schedule!AA35</f>
        <v>0.605938963847754</v>
      </c>
      <c r="H531" s="2" t="n">
        <f aca="false">Schedule!AF35</f>
        <v>0.700208404531304</v>
      </c>
      <c r="I531" s="2" t="n">
        <f aca="false">Schedule!AK35</f>
        <v>0.544786515128255</v>
      </c>
      <c r="J531" s="2" t="n">
        <f aca="false">Schedule!AP35</f>
        <v>0.646169766672724</v>
      </c>
      <c r="K531" s="2" t="n">
        <f aca="false">Schedule!AU35</f>
        <v>0.617911422188953</v>
      </c>
      <c r="L531" s="2" t="n">
        <f aca="false">Schedule!AZ35</f>
        <v>0.432996644193328</v>
      </c>
      <c r="M531" s="2" t="n">
        <f aca="false">Schedule!BE35</f>
        <v>0.554682203627567</v>
      </c>
      <c r="N531" s="2" t="n">
        <f aca="false">Schedule!BJ35</f>
        <v>0.671388329230721</v>
      </c>
      <c r="O531" s="2" t="n">
        <f aca="false">Schedule!BO35</f>
        <v>0</v>
      </c>
    </row>
    <row r="532" customFormat="false" ht="15" hidden="false" customHeight="false" outlineLevel="0" collapsed="false">
      <c r="B532" s="2" t="n">
        <v>0</v>
      </c>
      <c r="C532" s="2" t="n">
        <f aca="false">1-C$531</f>
        <v>0.00457698105108972</v>
      </c>
      <c r="D532" s="2" t="n">
        <f aca="false">C532*(1-D$531)</f>
        <v>0.000726162090900107</v>
      </c>
      <c r="E532" s="2" t="n">
        <f aca="false">D532*(1-E$531)</f>
        <v>0.000115209430927154</v>
      </c>
      <c r="F532" s="2" t="n">
        <f aca="false">E532*(1-F$531)</f>
        <v>4.70699989780645E-005</v>
      </c>
      <c r="G532" s="2" t="n">
        <f aca="false">F532*(1-G$531)</f>
        <v>1.85484525689813E-005</v>
      </c>
      <c r="H532" s="2" t="n">
        <f aca="false">G532*(1-H$531)</f>
        <v>5.56067018913032E-006</v>
      </c>
      <c r="I532" s="2" t="n">
        <f aca="false">H532*(1-I$531)</f>
        <v>2.53129205501644E-006</v>
      </c>
      <c r="J532" s="2" t="n">
        <f aca="false">I532*(1-J$531)</f>
        <v>8.95647658445947E-007</v>
      </c>
      <c r="K532" s="2" t="n">
        <f aca="false">J532*(1-K$531)</f>
        <v>3.42216740035407E-007</v>
      </c>
      <c r="L532" s="2" t="n">
        <f aca="false">K532*(1-L$531)</f>
        <v>1.94038040013295E-007</v>
      </c>
      <c r="M532" s="2" t="n">
        <f aca="false">L532*(1-M$531)</f>
        <v>8.64085923911465E-008</v>
      </c>
      <c r="N532" s="2" t="n">
        <f aca="false">M532*(1-N$531)</f>
        <v>2.83948719144763E-008</v>
      </c>
      <c r="O532" s="2" t="n">
        <f aca="false">N532*(1-O$531)</f>
        <v>2.83948719144763E-008</v>
      </c>
    </row>
    <row r="533" customFormat="false" ht="15" hidden="false" customHeight="false" outlineLevel="0" collapsed="false">
      <c r="B533" s="2" t="n">
        <v>1</v>
      </c>
      <c r="C533" s="2" t="n">
        <f aca="false">C$531</f>
        <v>0.99542301894891</v>
      </c>
      <c r="D533" s="2" t="n">
        <f aca="false">C533*(1-D$531)+C532*D$531</f>
        <v>0.161779910800747</v>
      </c>
      <c r="E533" s="2" t="n">
        <f aca="false">D533*(1-E$531)+D532*E$531</f>
        <v>0.0262781854890738</v>
      </c>
      <c r="F533" s="2" t="n">
        <f aca="false">E533*(1-F$531)+E532*F$531</f>
        <v>0.010804362622724</v>
      </c>
      <c r="G533" s="2" t="n">
        <f aca="false">F533*(1-G$531)+F532*G$531</f>
        <v>0.00428609987648431</v>
      </c>
      <c r="H533" s="2" t="n">
        <f aca="false">G533*(1-H$531)+G532*H$531</f>
        <v>0.00129792450268926</v>
      </c>
      <c r="I533" s="2" t="n">
        <f aca="false">H533*(1-I$531)+H532*I$531</f>
        <v>0.000593862114103719</v>
      </c>
      <c r="J533" s="2" t="n">
        <f aca="false">I533*(1-J$531)+I532*J$531</f>
        <v>0.000211762014794119</v>
      </c>
      <c r="K533" s="2" t="n">
        <f aca="false">J533*(1-K$531)+J532*K$531</f>
        <v>8.14652779854975E-005</v>
      </c>
      <c r="L533" s="2" t="n">
        <f aca="false">K533*(1-L$531)+K532*L$531</f>
        <v>4.63392646995226E-005</v>
      </c>
      <c r="M533" s="2" t="n">
        <f aca="false">L533*(1-M$531)+L532*M$531</f>
        <v>2.07433286891324E-005</v>
      </c>
      <c r="N533" s="2" t="n">
        <f aca="false">M533*(1-N$531)+M532*N$531</f>
        <v>6.87451361832879E-006</v>
      </c>
      <c r="O533" s="2" t="n">
        <f aca="false">N533*(1-O$531)+N532*O$531</f>
        <v>6.87451361832879E-006</v>
      </c>
    </row>
    <row r="534" customFormat="false" ht="15" hidden="false" customHeight="false" outlineLevel="0" collapsed="false">
      <c r="B534" s="2" t="n">
        <v>2</v>
      </c>
      <c r="C534" s="2" t="n">
        <f aca="false">0</f>
        <v>0</v>
      </c>
      <c r="D534" s="2" t="n">
        <f aca="false">C534*(1-D$531)+C533*D$531</f>
        <v>0.837493927108354</v>
      </c>
      <c r="E534" s="2" t="n">
        <f aca="false">D534*(1-E$531)+D533*E$531</f>
        <v>0.268985489643075</v>
      </c>
      <c r="F534" s="2" t="n">
        <f aca="false">E534*(1-F$531)+E533*F$531</f>
        <v>0.125438753044703</v>
      </c>
      <c r="G534" s="2" t="n">
        <f aca="false">F534*(1-G$531)+F533*G$531</f>
        <v>0.0559773092910899</v>
      </c>
      <c r="H534" s="2" t="n">
        <f aca="false">G534*(1-H$531)+G533*H$531</f>
        <v>0.0197826900185954</v>
      </c>
      <c r="I534" s="2" t="n">
        <f aca="false">H534*(1-I$531)+H533*I$531</f>
        <v>0.00971243903022196</v>
      </c>
      <c r="J534" s="2" t="n">
        <f aca="false">I534*(1-J$531)+I533*J$531</f>
        <v>0.00382029031194655</v>
      </c>
      <c r="K534" s="2" t="n">
        <f aca="false">J534*(1-K$531)+J533*K$531</f>
        <v>0.00159053945984401</v>
      </c>
      <c r="L534" s="2" t="n">
        <f aca="false">K534*(1-L$531)+K533*L$531</f>
        <v>0.000937115403260483</v>
      </c>
      <c r="M534" s="2" t="n">
        <f aca="false">L534*(1-M$531)+L533*M$531</f>
        <v>0.000443017731784634</v>
      </c>
      <c r="N534" s="2" t="n">
        <f aca="false">M534*(1-N$531)+M533*N$531</f>
        <v>0.000159507625813445</v>
      </c>
      <c r="O534" s="2" t="n">
        <f aca="false">N534*(1-O$531)+N533*O$531</f>
        <v>0.000159507625813445</v>
      </c>
    </row>
    <row r="535" customFormat="false" ht="15" hidden="false" customHeight="false" outlineLevel="0" collapsed="false">
      <c r="B535" s="2" t="n">
        <v>3</v>
      </c>
      <c r="C535" s="2" t="n">
        <f aca="false">0</f>
        <v>0</v>
      </c>
      <c r="D535" s="2" t="n">
        <f aca="false">C535*(1-D$531)+C534*D$531</f>
        <v>0</v>
      </c>
      <c r="E535" s="2" t="n">
        <f aca="false">D535*(1-E$531)+D534*E$531</f>
        <v>0.704621115436925</v>
      </c>
      <c r="F535" s="2" t="n">
        <f aca="false">E535*(1-F$531)+E534*F$531</f>
        <v>0.446968909020351</v>
      </c>
      <c r="G535" s="2" t="n">
        <f aca="false">F535*(1-G$531)+F534*G$531</f>
        <v>0.25214125946266</v>
      </c>
      <c r="H535" s="2" t="n">
        <f aca="false">G535*(1-H$531)+G534*H$531</f>
        <v>0.114785612886467</v>
      </c>
      <c r="I535" s="2" t="n">
        <f aca="false">H535*(1-I$531)+H534*I$531</f>
        <v>0.0630293016102806</v>
      </c>
      <c r="J535" s="2" t="n">
        <f aca="false">I535*(1-J$531)+I534*J$531</f>
        <v>0.0285775569572024</v>
      </c>
      <c r="K535" s="2" t="n">
        <f aca="false">J535*(1-K$531)+J534*K$531</f>
        <v>0.0132797591149213</v>
      </c>
      <c r="L535" s="2" t="n">
        <f aca="false">K535*(1-L$531)+K534*L$531</f>
        <v>0.00821836623103412</v>
      </c>
      <c r="M535" s="2" t="n">
        <f aca="false">L535*(1-M$531)+L534*M$531</f>
        <v>0.00417958597671959</v>
      </c>
      <c r="N535" s="2" t="n">
        <f aca="false">M535*(1-N$531)+M534*N$531</f>
        <v>0.00167089766569614</v>
      </c>
      <c r="O535" s="2" t="n">
        <f aca="false">N535*(1-O$531)+N534*O$531</f>
        <v>0.00167089766569614</v>
      </c>
    </row>
    <row r="536" customFormat="false" ht="15" hidden="false" customHeight="false" outlineLevel="0" collapsed="false">
      <c r="B536" s="2" t="n">
        <v>4</v>
      </c>
      <c r="C536" s="2" t="n">
        <f aca="false">0</f>
        <v>0</v>
      </c>
      <c r="D536" s="2" t="n">
        <f aca="false">C536*(1-D$531)+C535*D$531</f>
        <v>0</v>
      </c>
      <c r="E536" s="2" t="n">
        <f aca="false">D536*(1-E$531)+D535*E$531</f>
        <v>0</v>
      </c>
      <c r="F536" s="2" t="n">
        <f aca="false">E536*(1-F$531)+E535*F$531</f>
        <v>0.416740905313245</v>
      </c>
      <c r="G536" s="2" t="n">
        <f aca="false">F536*(1-G$531)+F535*G$531</f>
        <v>0.435057230558715</v>
      </c>
      <c r="H536" s="2" t="n">
        <f aca="false">G536*(1-H$531)+G535*H$531</f>
        <v>0.306977930274252</v>
      </c>
      <c r="I536" s="2" t="n">
        <f aca="false">H536*(1-I$531)+H535*I$531</f>
        <v>0.202274147450137</v>
      </c>
      <c r="J536" s="2" t="n">
        <f aca="false">I536*(1-J$531)+I535*J$531</f>
        <v>0.112298337903418</v>
      </c>
      <c r="K536" s="2" t="n">
        <f aca="false">J536*(1-K$531)+J535*K$531</f>
        <v>0.060566311082172</v>
      </c>
      <c r="L536" s="2" t="n">
        <f aca="false">K536*(1-L$531)+K535*L$531</f>
        <v>0.040091392764879</v>
      </c>
      <c r="M536" s="2" t="n">
        <f aca="false">L536*(1-M$531)+L535*M$531</f>
        <v>0.022411992170806</v>
      </c>
      <c r="N536" s="2" t="n">
        <f aca="false">M536*(1-N$531)+M535*N$531</f>
        <v>0.0101709674383025</v>
      </c>
      <c r="O536" s="2" t="n">
        <f aca="false">N536*(1-O$531)+N535*O$531</f>
        <v>0.0101709674383025</v>
      </c>
    </row>
    <row r="537" customFormat="false" ht="15" hidden="false" customHeight="false" outlineLevel="0" collapsed="false">
      <c r="B537" s="2" t="n">
        <v>5</v>
      </c>
      <c r="C537" s="2" t="n">
        <f aca="false">0</f>
        <v>0</v>
      </c>
      <c r="D537" s="2" t="n">
        <f aca="false">C537*(1-D$531)+C536*D$531</f>
        <v>0</v>
      </c>
      <c r="E537" s="2" t="n">
        <f aca="false">D537*(1-E$531)+D536*E$531</f>
        <v>0</v>
      </c>
      <c r="F537" s="2" t="n">
        <f aca="false">E537*(1-F$531)+E536*F$531</f>
        <v>0</v>
      </c>
      <c r="G537" s="2" t="n">
        <f aca="false">F537*(1-G$531)+F536*G$531</f>
        <v>0.252519552358483</v>
      </c>
      <c r="H537" s="2" t="n">
        <f aca="false">G537*(1-H$531)+G536*H$531</f>
        <v>0.380333968777916</v>
      </c>
      <c r="I537" s="2" t="n">
        <f aca="false">H537*(1-I$531)+H536*I$531</f>
        <v>0.340370588197891</v>
      </c>
      <c r="J537" s="2" t="n">
        <f aca="false">I537*(1-J$531)+I536*J$531</f>
        <v>0.251136843301581</v>
      </c>
      <c r="K537" s="2" t="n">
        <f aca="false">J537*(1-K$531)+J536*K$531</f>
        <v>0.165346944976413</v>
      </c>
      <c r="L537" s="2" t="n">
        <f aca="false">K537*(1-L$531)+K536*L$531</f>
        <v>0.119977282123757</v>
      </c>
      <c r="M537" s="2" t="n">
        <f aca="false">L537*(1-M$531)+L536*M$531</f>
        <v>0.0756660009754266</v>
      </c>
      <c r="N537" s="2" t="n">
        <f aca="false">M537*(1-N$531)+M536*N$531</f>
        <v>0.0399118809792543</v>
      </c>
      <c r="O537" s="2" t="n">
        <f aca="false">N537*(1-O$531)+N536*O$531</f>
        <v>0.0399118809792543</v>
      </c>
    </row>
    <row r="538" customFormat="false" ht="15" hidden="false" customHeight="false" outlineLevel="0" collapsed="false">
      <c r="B538" s="2" t="n">
        <v>6</v>
      </c>
      <c r="C538" s="2" t="n">
        <f aca="false">0</f>
        <v>0</v>
      </c>
      <c r="D538" s="2" t="n">
        <f aca="false">C538*(1-D$531)+C537*D$531</f>
        <v>0</v>
      </c>
      <c r="E538" s="2" t="n">
        <f aca="false">D538*(1-E$531)+D537*E$531</f>
        <v>0</v>
      </c>
      <c r="F538" s="2" t="n">
        <f aca="false">E538*(1-F$531)+E537*F$531</f>
        <v>0</v>
      </c>
      <c r="G538" s="2" t="n">
        <f aca="false">F538*(1-G$531)+F537*G$531</f>
        <v>0</v>
      </c>
      <c r="H538" s="2" t="n">
        <f aca="false">G538*(1-H$531)+G537*H$531</f>
        <v>0.176816312869892</v>
      </c>
      <c r="I538" s="2" t="n">
        <f aca="false">H538*(1-I$531)+H537*I$531</f>
        <v>0.287689987399096</v>
      </c>
      <c r="J538" s="2" t="n">
        <f aca="false">I538*(1-J$531)+I537*J$531</f>
        <v>0.321730598925432</v>
      </c>
      <c r="K538" s="2" t="n">
        <f aca="false">J538*(1-K$531)+J537*K$531</f>
        <v>0.278109910990239</v>
      </c>
      <c r="L538" s="2" t="n">
        <f aca="false">K538*(1-L$531)+K537*L$531</f>
        <v>0.229283925116966</v>
      </c>
      <c r="M538" s="2" t="n">
        <f aca="false">L538*(1-M$531)+L537*M$531</f>
        <v>0.168653475510361</v>
      </c>
      <c r="N538" s="2" t="n">
        <f aca="false">M538*(1-N$531)+M537*N$531</f>
        <v>0.106222770342967</v>
      </c>
      <c r="O538" s="2" t="n">
        <f aca="false">N538*(1-O$531)+N537*O$531</f>
        <v>0.106222770342967</v>
      </c>
    </row>
    <row r="539" customFormat="false" ht="15" hidden="false" customHeight="false" outlineLevel="0" collapsed="false">
      <c r="B539" s="2" t="n">
        <v>7</v>
      </c>
      <c r="C539" s="2" t="n">
        <f aca="false">0</f>
        <v>0</v>
      </c>
      <c r="D539" s="2" t="n">
        <f aca="false">C539*(1-D$531)+C538*D$531</f>
        <v>0</v>
      </c>
      <c r="E539" s="2" t="n">
        <f aca="false">D539*(1-E$531)+D538*E$531</f>
        <v>0</v>
      </c>
      <c r="F539" s="2" t="n">
        <f aca="false">E539*(1-F$531)+E538*F$531</f>
        <v>0</v>
      </c>
      <c r="G539" s="2" t="n">
        <f aca="false">F539*(1-G$531)+F538*G$531</f>
        <v>0</v>
      </c>
      <c r="H539" s="2" t="n">
        <f aca="false">G539*(1-H$531)+G538*H$531</f>
        <v>0</v>
      </c>
      <c r="I539" s="2" t="n">
        <f aca="false">H539*(1-I$531)+H538*I$531</f>
        <v>0.0963271429062158</v>
      </c>
      <c r="J539" s="2" t="n">
        <f aca="false">I539*(1-J$531)+I538*J$531</f>
        <v>0.219980027482009</v>
      </c>
      <c r="K539" s="2" t="n">
        <f aca="false">J539*(1-K$531)+J538*K$531</f>
        <v>0.282852867791153</v>
      </c>
      <c r="L539" s="2" t="n">
        <f aca="false">K539*(1-L$531)+K538*L$531</f>
        <v>0.280799183412803</v>
      </c>
      <c r="M539" s="2" t="n">
        <f aca="false">L539*(1-M$531)+L538*M$531</f>
        <v>0.252224586420825</v>
      </c>
      <c r="N539" s="2" t="n">
        <f aca="false">M539*(1-N$531)+M538*N$531</f>
        <v>0.196115917894693</v>
      </c>
      <c r="O539" s="2" t="n">
        <f aca="false">N539*(1-O$531)+N538*O$531</f>
        <v>0.196115917894693</v>
      </c>
    </row>
    <row r="540" customFormat="false" ht="15" hidden="false" customHeight="false" outlineLevel="0" collapsed="false">
      <c r="B540" s="2" t="n">
        <v>8</v>
      </c>
      <c r="C540" s="2" t="n">
        <f aca="false">0</f>
        <v>0</v>
      </c>
      <c r="D540" s="2" t="n">
        <f aca="false">C540*(1-D$531)+C539*D$531</f>
        <v>0</v>
      </c>
      <c r="E540" s="2" t="n">
        <f aca="false">D540*(1-E$531)+D539*E$531</f>
        <v>0</v>
      </c>
      <c r="F540" s="2" t="n">
        <f aca="false">E540*(1-F$531)+E539*F$531</f>
        <v>0</v>
      </c>
      <c r="G540" s="2" t="n">
        <f aca="false">F540*(1-G$531)+F539*G$531</f>
        <v>0</v>
      </c>
      <c r="H540" s="2" t="n">
        <f aca="false">G540*(1-H$531)+G539*H$531</f>
        <v>0</v>
      </c>
      <c r="I540" s="2" t="n">
        <f aca="false">H540*(1-I$531)+H539*I$531</f>
        <v>0</v>
      </c>
      <c r="J540" s="2" t="n">
        <f aca="false">I540*(1-J$531)+I539*J$531</f>
        <v>0.0622436874559596</v>
      </c>
      <c r="K540" s="2" t="n">
        <f aca="false">J540*(1-K$531)+J539*K$531</f>
        <v>0.159710773652336</v>
      </c>
      <c r="L540" s="2" t="n">
        <f aca="false">K540*(1-L$531)+K539*L$531</f>
        <v>0.213030887173383</v>
      </c>
      <c r="M540" s="2" t="n">
        <f aca="false">L540*(1-M$531)+L539*M$531</f>
        <v>0.25062075506755</v>
      </c>
      <c r="N540" s="2" t="n">
        <f aca="false">M540*(1-N$531)+M539*N$531</f>
        <v>0.251697548720193</v>
      </c>
      <c r="O540" s="2" t="n">
        <f aca="false">N540*(1-O$531)+N539*O$531</f>
        <v>0.251697548720193</v>
      </c>
    </row>
    <row r="541" customFormat="false" ht="15" hidden="false" customHeight="false" outlineLevel="0" collapsed="false">
      <c r="B541" s="2" t="n">
        <v>9</v>
      </c>
      <c r="C541" s="2" t="n">
        <f aca="false">0</f>
        <v>0</v>
      </c>
      <c r="D541" s="2" t="n">
        <f aca="false">C541*(1-D$531)+C540*D$531</f>
        <v>0</v>
      </c>
      <c r="E541" s="2" t="n">
        <f aca="false">D541*(1-E$531)+D540*E$531</f>
        <v>0</v>
      </c>
      <c r="F541" s="2" t="n">
        <f aca="false">E541*(1-F$531)+E540*F$531</f>
        <v>0</v>
      </c>
      <c r="G541" s="2" t="n">
        <f aca="false">F541*(1-G$531)+F540*G$531</f>
        <v>0</v>
      </c>
      <c r="H541" s="2" t="n">
        <f aca="false">G541*(1-H$531)+G540*H$531</f>
        <v>0</v>
      </c>
      <c r="I541" s="2" t="n">
        <f aca="false">H541*(1-I$531)+H540*I$531</f>
        <v>0</v>
      </c>
      <c r="J541" s="2" t="n">
        <f aca="false">I541*(1-J$531)+I540*J$531</f>
        <v>0</v>
      </c>
      <c r="K541" s="2" t="n">
        <f aca="false">J541*(1-K$531)+J540*K$531</f>
        <v>0.0384610854381967</v>
      </c>
      <c r="L541" s="2" t="n">
        <f aca="false">K541*(1-L$531)+K540*L$531</f>
        <v>0.0909617935444062</v>
      </c>
      <c r="M541" s="2" t="n">
        <f aca="false">L541*(1-M$531)+L540*M$531</f>
        <v>0.158671347393347</v>
      </c>
      <c r="N541" s="2" t="n">
        <f aca="false">M541*(1-N$531)+M540*N$531</f>
        <v>0.220405106585485</v>
      </c>
      <c r="O541" s="2" t="n">
        <f aca="false">N541*(1-O$531)+N540*O$531</f>
        <v>0.220405106585485</v>
      </c>
    </row>
    <row r="542" customFormat="false" ht="15" hidden="false" customHeight="false" outlineLevel="0" collapsed="false">
      <c r="B542" s="2" t="n">
        <v>10</v>
      </c>
      <c r="C542" s="2" t="n">
        <f aca="false">0</f>
        <v>0</v>
      </c>
      <c r="D542" s="2" t="n">
        <f aca="false">C542*(1-D$531)+C541*D$531</f>
        <v>0</v>
      </c>
      <c r="E542" s="2" t="n">
        <f aca="false">D542*(1-E$531)+D541*E$531</f>
        <v>0</v>
      </c>
      <c r="F542" s="2" t="n">
        <f aca="false">E542*(1-F$531)+E541*F$531</f>
        <v>0</v>
      </c>
      <c r="G542" s="2" t="n">
        <f aca="false">F542*(1-G$531)+F541*G$531</f>
        <v>0</v>
      </c>
      <c r="H542" s="2" t="n">
        <f aca="false">G542*(1-H$531)+G541*H$531</f>
        <v>0</v>
      </c>
      <c r="I542" s="2" t="n">
        <f aca="false">H542*(1-I$531)+H541*I$531</f>
        <v>0</v>
      </c>
      <c r="J542" s="2" t="n">
        <f aca="false">I542*(1-J$531)+I541*J$531</f>
        <v>0</v>
      </c>
      <c r="K542" s="2" t="n">
        <f aca="false">J542*(1-K$531)+J541*K$531</f>
        <v>0</v>
      </c>
      <c r="L542" s="2" t="n">
        <f aca="false">K542*(1-L$531)+K541*L$531</f>
        <v>0.016653520926772</v>
      </c>
      <c r="M542" s="2" t="n">
        <f aca="false">L542*(1-M$531)+L541*M$531</f>
        <v>0.0578709973300794</v>
      </c>
      <c r="N542" s="2" t="n">
        <f aca="false">M542*(1-N$531)+M541*N$531</f>
        <v>0.125547175944928</v>
      </c>
      <c r="O542" s="2" t="n">
        <f aca="false">N542*(1-O$531)+N541*O$531</f>
        <v>0.125547175944928</v>
      </c>
    </row>
    <row r="543" customFormat="false" ht="15" hidden="false" customHeight="false" outlineLevel="0" collapsed="false">
      <c r="B543" s="2" t="n">
        <v>11</v>
      </c>
      <c r="C543" s="2" t="n">
        <f aca="false">0</f>
        <v>0</v>
      </c>
      <c r="D543" s="2" t="n">
        <f aca="false">C543*(1-D$531)+C542*D$531</f>
        <v>0</v>
      </c>
      <c r="E543" s="2" t="n">
        <f aca="false">D543*(1-E$531)+D542*E$531</f>
        <v>0</v>
      </c>
      <c r="F543" s="2" t="n">
        <f aca="false">E543*(1-F$531)+E542*F$531</f>
        <v>0</v>
      </c>
      <c r="G543" s="2" t="n">
        <f aca="false">F543*(1-G$531)+F542*G$531</f>
        <v>0</v>
      </c>
      <c r="H543" s="2" t="n">
        <f aca="false">G543*(1-H$531)+G542*H$531</f>
        <v>0</v>
      </c>
      <c r="I543" s="2" t="n">
        <f aca="false">H543*(1-I$531)+H542*I$531</f>
        <v>0</v>
      </c>
      <c r="J543" s="2" t="n">
        <f aca="false">I543*(1-J$531)+I542*J$531</f>
        <v>0</v>
      </c>
      <c r="K543" s="2" t="n">
        <f aca="false">J543*(1-K$531)+J542*K$531</f>
        <v>0</v>
      </c>
      <c r="L543" s="2" t="n">
        <f aca="false">K543*(1-L$531)+K542*L$531</f>
        <v>0</v>
      </c>
      <c r="M543" s="2" t="n">
        <f aca="false">L543*(1-M$531)+L542*M$531</f>
        <v>0.00923741168581971</v>
      </c>
      <c r="N543" s="2" t="n">
        <f aca="false">M543*(1-N$531)+M542*N$531</f>
        <v>0.0418894334960184</v>
      </c>
      <c r="O543" s="2" t="n">
        <f aca="false">N543*(1-O$531)+N542*O$531</f>
        <v>0.0418894334960184</v>
      </c>
    </row>
    <row r="544" customFormat="false" ht="15" hidden="false" customHeight="false" outlineLevel="0" collapsed="false">
      <c r="B544" s="2" t="n">
        <v>12</v>
      </c>
      <c r="C544" s="2" t="n">
        <f aca="false">0</f>
        <v>0</v>
      </c>
      <c r="D544" s="2" t="n">
        <f aca="false">C544*(1-D$531)+C543*D$531</f>
        <v>0</v>
      </c>
      <c r="E544" s="2" t="n">
        <f aca="false">D544*(1-E$531)+D543*E$531</f>
        <v>0</v>
      </c>
      <c r="F544" s="2" t="n">
        <f aca="false">E544*(1-F$531)+E543*F$531</f>
        <v>0</v>
      </c>
      <c r="G544" s="2" t="n">
        <f aca="false">F544*(1-G$531)+F543*G$531</f>
        <v>0</v>
      </c>
      <c r="H544" s="2" t="n">
        <f aca="false">G544*(1-H$531)+G543*H$531</f>
        <v>0</v>
      </c>
      <c r="I544" s="2" t="n">
        <f aca="false">H544*(1-I$531)+H543*I$531</f>
        <v>0</v>
      </c>
      <c r="J544" s="2" t="n">
        <f aca="false">I544*(1-J$531)+I543*J$531</f>
        <v>0</v>
      </c>
      <c r="K544" s="2" t="n">
        <f aca="false">J544*(1-K$531)+J543*K$531</f>
        <v>0</v>
      </c>
      <c r="L544" s="2" t="n">
        <f aca="false">K544*(1-L$531)+K543*L$531</f>
        <v>0</v>
      </c>
      <c r="M544" s="2" t="n">
        <f aca="false">L544*(1-M$531)+L543*M$531</f>
        <v>0</v>
      </c>
      <c r="N544" s="2" t="n">
        <f aca="false">M544*(1-N$531)+M543*N$531</f>
        <v>0.00620189039815883</v>
      </c>
      <c r="O544" s="2" t="n">
        <f aca="false">N544*(1-O$531)+N543*O$531</f>
        <v>0.00620189039815883</v>
      </c>
    </row>
    <row r="545" customFormat="false" ht="15" hidden="false" customHeight="false" outlineLevel="0" collapsed="false">
      <c r="B545" s="2" t="n">
        <v>13</v>
      </c>
      <c r="C545" s="2" t="n">
        <f aca="false">0</f>
        <v>0</v>
      </c>
      <c r="D545" s="2" t="n">
        <f aca="false">C545*(1-D$531)+C544*D$531</f>
        <v>0</v>
      </c>
      <c r="E545" s="2" t="n">
        <f aca="false">D545*(1-E$531)+D544*E$531</f>
        <v>0</v>
      </c>
      <c r="F545" s="2" t="n">
        <f aca="false">E545*(1-F$531)+E544*F$531</f>
        <v>0</v>
      </c>
      <c r="G545" s="2" t="n">
        <f aca="false">F545*(1-G$531)+F544*G$531</f>
        <v>0</v>
      </c>
      <c r="H545" s="2" t="n">
        <f aca="false">G545*(1-H$531)+G544*H$531</f>
        <v>0</v>
      </c>
      <c r="I545" s="2" t="n">
        <f aca="false">H545*(1-I$531)+H544*I$531</f>
        <v>0</v>
      </c>
      <c r="J545" s="2" t="n">
        <f aca="false">I545*(1-J$531)+I544*J$531</f>
        <v>0</v>
      </c>
      <c r="K545" s="2" t="n">
        <f aca="false">J545*(1-K$531)+J544*K$531</f>
        <v>0</v>
      </c>
      <c r="L545" s="2" t="n">
        <f aca="false">K545*(1-L$531)+K544*L$531</f>
        <v>0</v>
      </c>
      <c r="M545" s="2" t="n">
        <f aca="false">L545*(1-M$531)+L544*M$531</f>
        <v>0</v>
      </c>
      <c r="N545" s="2" t="n">
        <f aca="false">M545*(1-N$531)+M544*N$531</f>
        <v>0</v>
      </c>
      <c r="O545" s="2" t="n">
        <f aca="false">N545*(1-O$531)+N544*O$531</f>
        <v>0</v>
      </c>
    </row>
    <row r="547" customFormat="false" ht="15" hidden="false" customHeight="false" outlineLevel="0" collapsed="false">
      <c r="A547" s="1" t="s">
        <v>92</v>
      </c>
      <c r="C547" s="2" t="n">
        <f aca="false">Schedule!G36</f>
        <v>0.970031040466775</v>
      </c>
      <c r="D547" s="2" t="n">
        <f aca="false">Schedule!L36</f>
        <v>0.487535082565623</v>
      </c>
      <c r="E547" s="2" t="n">
        <f aca="false">Schedule!Q36</f>
        <v>0.245883850380261</v>
      </c>
      <c r="F547" s="2" t="n">
        <f aca="false">Schedule!V36</f>
        <v>0.994417631593983</v>
      </c>
      <c r="G547" s="2" t="n">
        <f aca="false">Schedule!AA36</f>
        <v>0.586577601141551</v>
      </c>
      <c r="H547" s="2" t="n">
        <f aca="false">Schedule!AF36</f>
        <v>0.389259328607937</v>
      </c>
      <c r="I547" s="2" t="n">
        <f aca="false">Schedule!AK36</f>
        <v>0.167899251597676</v>
      </c>
      <c r="J547" s="2" t="n">
        <f aca="false">Schedule!AP36</f>
        <v>0.462653875444673</v>
      </c>
      <c r="K547" s="2" t="n">
        <f aca="false">Schedule!AU36</f>
        <v>0.715237094620453</v>
      </c>
      <c r="L547" s="2" t="n">
        <f aca="false">Schedule!AZ36</f>
        <v>0.509972518195238</v>
      </c>
      <c r="M547" s="2" t="n">
        <f aca="false">Schedule!BE36</f>
        <v>0.643842961816324</v>
      </c>
      <c r="N547" s="2" t="n">
        <f aca="false">Schedule!BJ36</f>
        <v>0.41098963713127</v>
      </c>
      <c r="O547" s="2" t="n">
        <f aca="false">Schedule!BO36</f>
        <v>0</v>
      </c>
    </row>
    <row r="548" customFormat="false" ht="15" hidden="false" customHeight="false" outlineLevel="0" collapsed="false">
      <c r="B548" s="2" t="n">
        <v>0</v>
      </c>
      <c r="C548" s="2" t="n">
        <f aca="false">1-C$547</f>
        <v>0.0299689595332247</v>
      </c>
      <c r="D548" s="2" t="n">
        <f aca="false">C548*(1-D$547)</f>
        <v>0.0153580403727882</v>
      </c>
      <c r="E548" s="2" t="n">
        <f aca="false">D548*(1-E$547)</f>
        <v>0.0115817462716315</v>
      </c>
      <c r="F548" s="2" t="n">
        <f aca="false">E548*(1-F$547)</f>
        <v>6.46535744732583E-005</v>
      </c>
      <c r="G548" s="2" t="n">
        <f aca="false">F548*(1-G$547)</f>
        <v>2.67292358535079E-005</v>
      </c>
      <c r="H548" s="2" t="n">
        <f aca="false">G548*(1-H$547)</f>
        <v>1.63246314509682E-005</v>
      </c>
      <c r="I548" s="2" t="n">
        <f aca="false">H548*(1-I$547)</f>
        <v>1.35837380477427E-005</v>
      </c>
      <c r="J548" s="2" t="n">
        <f aca="false">I548*(1-J$547)</f>
        <v>7.2991689969293E-006</v>
      </c>
      <c r="K548" s="2" t="n">
        <f aca="false">J548*(1-K$547)</f>
        <v>2.0785325704219E-006</v>
      </c>
      <c r="L548" s="2" t="n">
        <f aca="false">K548*(1-L$547)</f>
        <v>1.01853808133302E-006</v>
      </c>
      <c r="M548" s="2" t="n">
        <f aca="false">L548*(1-M$547)</f>
        <v>3.62759506324854E-007</v>
      </c>
      <c r="N548" s="2" t="n">
        <f aca="false">M548*(1-N$547)</f>
        <v>2.13669108454483E-007</v>
      </c>
      <c r="O548" s="2" t="n">
        <f aca="false">N548*(1-O$547)</f>
        <v>2.13669108454483E-007</v>
      </c>
    </row>
    <row r="549" customFormat="false" ht="15" hidden="false" customHeight="false" outlineLevel="0" collapsed="false">
      <c r="B549" s="2" t="n">
        <v>1</v>
      </c>
      <c r="C549" s="2" t="n">
        <f aca="false">C$547</f>
        <v>0.970031040466775</v>
      </c>
      <c r="D549" s="2" t="n">
        <f aca="false">C549*(1-D$547)+C548*D$547</f>
        <v>0.511717796222026</v>
      </c>
      <c r="E549" s="2" t="n">
        <f aca="false">D549*(1-E$547)+D548*E$547</f>
        <v>0.389670948280009</v>
      </c>
      <c r="F549" s="2" t="n">
        <f aca="false">E549*(1-F$547)+E548*F$547</f>
        <v>0.0136923794875792</v>
      </c>
      <c r="G549" s="2" t="n">
        <f aca="false">F549*(1-G$547)+F548*G$547</f>
        <v>0.00569866071245495</v>
      </c>
      <c r="H549" s="2" t="n">
        <f aca="false">G549*(1-H$547)+G548*H$547</f>
        <v>0.00349080847396285</v>
      </c>
      <c r="I549" s="2" t="n">
        <f aca="false">H549*(1-I$547)+H548*I$547</f>
        <v>0.00290744523711688</v>
      </c>
      <c r="J549" s="2" t="n">
        <f aca="false">I549*(1-J$547)+I548*J$547</f>
        <v>0.00156858899957241</v>
      </c>
      <c r="K549" s="2" t="n">
        <f aca="false">J549*(1-K$547)+J548*K$547</f>
        <v>0.000451896597291145</v>
      </c>
      <c r="L549" s="2" t="n">
        <f aca="false">K549*(1-L$547)+K548*L$547</f>
        <v>0.000222501746095809</v>
      </c>
      <c r="M549" s="2" t="n">
        <f aca="false">L549*(1-M$547)+L548*M$547</f>
        <v>7.9901341455188E-005</v>
      </c>
      <c r="N549" s="2" t="n">
        <f aca="false">M549*(1-N$547)+M548*N$547</f>
        <v>4.72118085220889E-005</v>
      </c>
      <c r="O549" s="2" t="n">
        <f aca="false">N549*(1-O$547)+N548*O$547</f>
        <v>4.72118085220889E-005</v>
      </c>
    </row>
    <row r="550" customFormat="false" ht="15" hidden="false" customHeight="false" outlineLevel="0" collapsed="false">
      <c r="B550" s="2" t="n">
        <v>2</v>
      </c>
      <c r="C550" s="2" t="n">
        <f aca="false">0</f>
        <v>0</v>
      </c>
      <c r="D550" s="2" t="n">
        <f aca="false">C550*(1-D$547)+C549*D$547</f>
        <v>0.472924163405186</v>
      </c>
      <c r="E550" s="2" t="n">
        <f aca="false">D550*(1-E$547)+D549*E$547</f>
        <v>0.482462891212429</v>
      </c>
      <c r="F550" s="2" t="n">
        <f aca="false">E550*(1-F$547)+E549*F$547</f>
        <v>0.390188947090567</v>
      </c>
      <c r="G550" s="2" t="n">
        <f aca="false">F550*(1-G$547)+F549*G$547</f>
        <v>0.169344493627979</v>
      </c>
      <c r="H550" s="2" t="n">
        <f aca="false">G550*(1-H$547)+G549*H$547</f>
        <v>0.105643826577795</v>
      </c>
      <c r="I550" s="2" t="n">
        <f aca="false">H550*(1-I$547)+H549*I$547</f>
        <v>0.088492411289718</v>
      </c>
      <c r="J550" s="2" t="n">
        <f aca="false">I550*(1-J$547)+I549*J$547</f>
        <v>0.0488961950656813</v>
      </c>
      <c r="K550" s="2" t="n">
        <f aca="false">J550*(1-K$547)+J549*K$547</f>
        <v>0.0150457356076162</v>
      </c>
      <c r="L550" s="2" t="n">
        <f aca="false">K550*(1-L$547)+K549*L$547</f>
        <v>0.00760327877738485</v>
      </c>
      <c r="M550" s="2" t="n">
        <f aca="false">L550*(1-M$547)+L549*M$547</f>
        <v>0.00285121743305382</v>
      </c>
      <c r="N550" s="2" t="n">
        <f aca="false">M550*(1-N$547)+M549*N$547</f>
        <v>0.00171223523819165</v>
      </c>
      <c r="O550" s="2" t="n">
        <f aca="false">N550*(1-O$547)+N549*O$547</f>
        <v>0.00171223523819165</v>
      </c>
    </row>
    <row r="551" customFormat="false" ht="15" hidden="false" customHeight="false" outlineLevel="0" collapsed="false">
      <c r="B551" s="2" t="n">
        <v>3</v>
      </c>
      <c r="C551" s="2" t="n">
        <f aca="false">0</f>
        <v>0</v>
      </c>
      <c r="D551" s="2" t="n">
        <f aca="false">C551*(1-D$547)+C550*D$547</f>
        <v>0</v>
      </c>
      <c r="E551" s="2" t="n">
        <f aca="false">D551*(1-E$547)+D550*E$547</f>
        <v>0.116284414235931</v>
      </c>
      <c r="F551" s="2" t="n">
        <f aca="false">E551*(1-F$547)+E550*F$547</f>
        <v>0.480418748051592</v>
      </c>
      <c r="G551" s="2" t="n">
        <f aca="false">F551*(1-G$547)+F550*G$547</f>
        <v>0.427491967852395</v>
      </c>
      <c r="H551" s="2" t="n">
        <f aca="false">G551*(1-H$547)+G550*H$547</f>
        <v>0.327005655353964</v>
      </c>
      <c r="I551" s="2" t="n">
        <f aca="false">H551*(1-I$547)+H550*I$547</f>
        <v>0.289839169970152</v>
      </c>
      <c r="J551" s="2" t="n">
        <f aca="false">I551*(1-J$547)+I550*J$547</f>
        <v>0.196685311758426</v>
      </c>
      <c r="K551" s="2" t="n">
        <f aca="false">J551*(1-K$547)+J550*K$547</f>
        <v>0.0909810533185841</v>
      </c>
      <c r="L551" s="2" t="n">
        <f aca="false">K551*(1-L$547)+K550*L$547</f>
        <v>0.0522561281255664</v>
      </c>
      <c r="M551" s="2" t="n">
        <f aca="false">L551*(1-M$547)+L550*M$547</f>
        <v>0.0235067053476951</v>
      </c>
      <c r="N551" s="2" t="n">
        <f aca="false">M551*(1-N$547)+M550*N$547</f>
        <v>0.0150175138648873</v>
      </c>
      <c r="O551" s="2" t="n">
        <f aca="false">N551*(1-O$547)+N550*O$547</f>
        <v>0.0150175138648873</v>
      </c>
    </row>
    <row r="552" customFormat="false" ht="15" hidden="false" customHeight="false" outlineLevel="0" collapsed="false">
      <c r="B552" s="2" t="n">
        <v>4</v>
      </c>
      <c r="C552" s="2" t="n">
        <f aca="false">0</f>
        <v>0</v>
      </c>
      <c r="D552" s="2" t="n">
        <f aca="false">C552*(1-D$547)+C551*D$547</f>
        <v>0</v>
      </c>
      <c r="E552" s="2" t="n">
        <f aca="false">D552*(1-E$547)+D551*E$547</f>
        <v>0</v>
      </c>
      <c r="F552" s="2" t="n">
        <f aca="false">E552*(1-F$547)+E551*F$547</f>
        <v>0.115635271795788</v>
      </c>
      <c r="G552" s="2" t="n">
        <f aca="false">F552*(1-G$547)+F551*G$547</f>
        <v>0.329609088233994</v>
      </c>
      <c r="H552" s="2" t="n">
        <f aca="false">G552*(1-H$547)+G551*H$547</f>
        <v>0.367710912236464</v>
      </c>
      <c r="I552" s="2" t="n">
        <f aca="false">H552*(1-I$547)+H551*I$547</f>
        <v>0.360876530069801</v>
      </c>
      <c r="J552" s="2" t="n">
        <f aca="false">I552*(1-J$547)+I551*J$547</f>
        <v>0.32801082011834</v>
      </c>
      <c r="K552" s="2" t="n">
        <f aca="false">J552*(1-K$547)+J551*K$547</f>
        <v>0.234081945069441</v>
      </c>
      <c r="L552" s="2" t="n">
        <f aca="false">K552*(1-L$547)+K551*L$547</f>
        <v>0.161104422947272</v>
      </c>
      <c r="M552" s="2" t="n">
        <f aca="false">L552*(1-M$547)+L551*M$547</f>
        <v>0.0910232144206087</v>
      </c>
      <c r="N552" s="2" t="n">
        <f aca="false">M552*(1-N$547)+M551*N$547</f>
        <v>0.0632746288563618</v>
      </c>
      <c r="O552" s="2" t="n">
        <f aca="false">N552*(1-O$547)+N551*O$547</f>
        <v>0.0632746288563618</v>
      </c>
    </row>
    <row r="553" customFormat="false" ht="15" hidden="false" customHeight="false" outlineLevel="0" collapsed="false">
      <c r="B553" s="2" t="n">
        <v>5</v>
      </c>
      <c r="C553" s="2" t="n">
        <f aca="false">0</f>
        <v>0</v>
      </c>
      <c r="D553" s="2" t="n">
        <f aca="false">C553*(1-D$547)+C552*D$547</f>
        <v>0</v>
      </c>
      <c r="E553" s="2" t="n">
        <f aca="false">D553*(1-E$547)+D552*E$547</f>
        <v>0</v>
      </c>
      <c r="F553" s="2" t="n">
        <f aca="false">E553*(1-F$547)+E552*F$547</f>
        <v>0</v>
      </c>
      <c r="G553" s="2" t="n">
        <f aca="false">F553*(1-G$547)+F552*G$547</f>
        <v>0.0678290603373248</v>
      </c>
      <c r="H553" s="2" t="n">
        <f aca="false">G553*(1-H$547)+G552*H$547</f>
        <v>0.169729378239349</v>
      </c>
      <c r="I553" s="2" t="n">
        <f aca="false">H553*(1-I$547)+H552*I$547</f>
        <v>0.202970329627625</v>
      </c>
      <c r="J553" s="2" t="n">
        <f aca="false">I553*(1-J$547)+I552*J$547</f>
        <v>0.276026245218941</v>
      </c>
      <c r="K553" s="2" t="n">
        <f aca="false">J553*(1-K$547)+J552*K$547</f>
        <v>0.313207541535066</v>
      </c>
      <c r="L553" s="2" t="n">
        <f aca="false">K553*(1-L$547)+K552*L$547</f>
        <v>0.272855661851791</v>
      </c>
      <c r="M553" s="2" t="n">
        <f aca="false">L553*(1-M$547)+L552*M$547</f>
        <v>0.200905413208862</v>
      </c>
      <c r="N553" s="2" t="n">
        <f aca="false">M553*(1-N$547)+M552*N$547</f>
        <v>0.155744968201692</v>
      </c>
      <c r="O553" s="2" t="n">
        <f aca="false">N553*(1-O$547)+N552*O$547</f>
        <v>0.155744968201692</v>
      </c>
    </row>
    <row r="554" customFormat="false" ht="15" hidden="false" customHeight="false" outlineLevel="0" collapsed="false">
      <c r="B554" s="2" t="n">
        <v>6</v>
      </c>
      <c r="C554" s="2" t="n">
        <f aca="false">0</f>
        <v>0</v>
      </c>
      <c r="D554" s="2" t="n">
        <f aca="false">C554*(1-D$547)+C553*D$547</f>
        <v>0</v>
      </c>
      <c r="E554" s="2" t="n">
        <f aca="false">D554*(1-E$547)+D553*E$547</f>
        <v>0</v>
      </c>
      <c r="F554" s="2" t="n">
        <f aca="false">E554*(1-F$547)+E553*F$547</f>
        <v>0</v>
      </c>
      <c r="G554" s="2" t="n">
        <f aca="false">F554*(1-G$547)+F553*G$547</f>
        <v>0</v>
      </c>
      <c r="H554" s="2" t="n">
        <f aca="false">G554*(1-H$547)+G553*H$547</f>
        <v>0.0264030944870143</v>
      </c>
      <c r="I554" s="2" t="n">
        <f aca="false">H554*(1-I$547)+H553*I$547</f>
        <v>0.0504674702633075</v>
      </c>
      <c r="J554" s="2" t="n">
        <f aca="false">I554*(1-J$547)+I553*J$547</f>
        <v>0.121023509164603</v>
      </c>
      <c r="K554" s="2" t="n">
        <f aca="false">J554*(1-K$547)+J553*K$547</f>
        <v>0.231887215758329</v>
      </c>
      <c r="L554" s="2" t="n">
        <f aca="false">K554*(1-L$547)+K553*L$547</f>
        <v>0.273358347075149</v>
      </c>
      <c r="M554" s="2" t="n">
        <f aca="false">L554*(1-M$547)+L553*M$547</f>
        <v>0.273034696732081</v>
      </c>
      <c r="N554" s="2" t="n">
        <f aca="false">M554*(1-N$547)+M553*N$547</f>
        <v>0.243390308670334</v>
      </c>
      <c r="O554" s="2" t="n">
        <f aca="false">N554*(1-O$547)+N553*O$547</f>
        <v>0.243390308670334</v>
      </c>
    </row>
    <row r="555" customFormat="false" ht="15" hidden="false" customHeight="false" outlineLevel="0" collapsed="false">
      <c r="B555" s="2" t="n">
        <v>7</v>
      </c>
      <c r="C555" s="2" t="n">
        <f aca="false">0</f>
        <v>0</v>
      </c>
      <c r="D555" s="2" t="n">
        <f aca="false">C555*(1-D$547)+C554*D$547</f>
        <v>0</v>
      </c>
      <c r="E555" s="2" t="n">
        <f aca="false">D555*(1-E$547)+D554*E$547</f>
        <v>0</v>
      </c>
      <c r="F555" s="2" t="n">
        <f aca="false">E555*(1-F$547)+E554*F$547</f>
        <v>0</v>
      </c>
      <c r="G555" s="2" t="n">
        <f aca="false">F555*(1-G$547)+F554*G$547</f>
        <v>0</v>
      </c>
      <c r="H555" s="2" t="n">
        <f aca="false">G555*(1-H$547)+G554*H$547</f>
        <v>0</v>
      </c>
      <c r="I555" s="2" t="n">
        <f aca="false">H555*(1-I$547)+H554*I$547</f>
        <v>0.00443305980423243</v>
      </c>
      <c r="J555" s="2" t="n">
        <f aca="false">I555*(1-J$547)+I554*J$547</f>
        <v>0.0257310582069343</v>
      </c>
      <c r="K555" s="2" t="n">
        <f aca="false">J555*(1-K$547)+J554*K$547</f>
        <v>0.0938877539691591</v>
      </c>
      <c r="L555" s="2" t="n">
        <f aca="false">K555*(1-L$547)+K554*L$547</f>
        <v>0.164263687007369</v>
      </c>
      <c r="M555" s="2" t="n">
        <f aca="false">L555*(1-M$547)+L554*M$547</f>
        <v>0.234503516063753</v>
      </c>
      <c r="N555" s="2" t="n">
        <f aca="false">M555*(1-N$547)+M554*N$547</f>
        <v>0.250339432024869</v>
      </c>
      <c r="O555" s="2" t="n">
        <f aca="false">N555*(1-O$547)+N554*O$547</f>
        <v>0.250339432024869</v>
      </c>
    </row>
    <row r="556" customFormat="false" ht="15" hidden="false" customHeight="false" outlineLevel="0" collapsed="false">
      <c r="B556" s="2" t="n">
        <v>8</v>
      </c>
      <c r="C556" s="2" t="n">
        <f aca="false">0</f>
        <v>0</v>
      </c>
      <c r="D556" s="2" t="n">
        <f aca="false">C556*(1-D$547)+C555*D$547</f>
        <v>0</v>
      </c>
      <c r="E556" s="2" t="n">
        <f aca="false">D556*(1-E$547)+D555*E$547</f>
        <v>0</v>
      </c>
      <c r="F556" s="2" t="n">
        <f aca="false">E556*(1-F$547)+E555*F$547</f>
        <v>0</v>
      </c>
      <c r="G556" s="2" t="n">
        <f aca="false">F556*(1-G$547)+F555*G$547</f>
        <v>0</v>
      </c>
      <c r="H556" s="2" t="n">
        <f aca="false">G556*(1-H$547)+G555*H$547</f>
        <v>0</v>
      </c>
      <c r="I556" s="2" t="n">
        <f aca="false">H556*(1-I$547)+H555*I$547</f>
        <v>0</v>
      </c>
      <c r="J556" s="2" t="n">
        <f aca="false">I556*(1-J$547)+I555*J$547</f>
        <v>0.00205097229850614</v>
      </c>
      <c r="K556" s="2" t="n">
        <f aca="false">J556*(1-K$547)+J555*K$547</f>
        <v>0.018987848144013</v>
      </c>
      <c r="L556" s="2" t="n">
        <f aca="false">K556*(1-L$547)+K555*L$547</f>
        <v>0.057184741730249</v>
      </c>
      <c r="M556" s="2" t="n">
        <f aca="false">L556*(1-M$547)+L555*M$547</f>
        <v>0.126126767005638</v>
      </c>
      <c r="N556" s="2" t="n">
        <f aca="false">M556*(1-N$547)+M555*N$547</f>
        <v>0.1706684877745</v>
      </c>
      <c r="O556" s="2" t="n">
        <f aca="false">N556*(1-O$547)+N555*O$547</f>
        <v>0.1706684877745</v>
      </c>
    </row>
    <row r="557" customFormat="false" ht="15" hidden="false" customHeight="false" outlineLevel="0" collapsed="false">
      <c r="B557" s="2" t="n">
        <v>9</v>
      </c>
      <c r="C557" s="2" t="n">
        <f aca="false">0</f>
        <v>0</v>
      </c>
      <c r="D557" s="2" t="n">
        <f aca="false">C557*(1-D$547)+C556*D$547</f>
        <v>0</v>
      </c>
      <c r="E557" s="2" t="n">
        <f aca="false">D557*(1-E$547)+D556*E$547</f>
        <v>0</v>
      </c>
      <c r="F557" s="2" t="n">
        <f aca="false">E557*(1-F$547)+E556*F$547</f>
        <v>0</v>
      </c>
      <c r="G557" s="2" t="n">
        <f aca="false">F557*(1-G$547)+F556*G$547</f>
        <v>0</v>
      </c>
      <c r="H557" s="2" t="n">
        <f aca="false">G557*(1-H$547)+G556*H$547</f>
        <v>0</v>
      </c>
      <c r="I557" s="2" t="n">
        <f aca="false">H557*(1-I$547)+H556*I$547</f>
        <v>0</v>
      </c>
      <c r="J557" s="2" t="n">
        <f aca="false">I557*(1-J$547)+I556*J$547</f>
        <v>0</v>
      </c>
      <c r="K557" s="2" t="n">
        <f aca="false">J557*(1-K$547)+J556*K$547</f>
        <v>0.00146693146793056</v>
      </c>
      <c r="L557" s="2" t="n">
        <f aca="false">K557*(1-L$547)+K556*L$547</f>
        <v>0.0104021174663213</v>
      </c>
      <c r="M557" s="2" t="n">
        <f aca="false">L557*(1-M$547)+L556*M$547</f>
        <v>0.0405227808339487</v>
      </c>
      <c r="N557" s="2" t="n">
        <f aca="false">M557*(1-N$547)+M556*N$547</f>
        <v>0.0757051320476417</v>
      </c>
      <c r="O557" s="2" t="n">
        <f aca="false">N557*(1-O$547)+N556*O$547</f>
        <v>0.0757051320476417</v>
      </c>
    </row>
    <row r="558" customFormat="false" ht="15" hidden="false" customHeight="false" outlineLevel="0" collapsed="false">
      <c r="B558" s="2" t="n">
        <v>10</v>
      </c>
      <c r="C558" s="2" t="n">
        <f aca="false">0</f>
        <v>0</v>
      </c>
      <c r="D558" s="2" t="n">
        <f aca="false">C558*(1-D$547)+C557*D$547</f>
        <v>0</v>
      </c>
      <c r="E558" s="2" t="n">
        <f aca="false">D558*(1-E$547)+D557*E$547</f>
        <v>0</v>
      </c>
      <c r="F558" s="2" t="n">
        <f aca="false">E558*(1-F$547)+E557*F$547</f>
        <v>0</v>
      </c>
      <c r="G558" s="2" t="n">
        <f aca="false">F558*(1-G$547)+F557*G$547</f>
        <v>0</v>
      </c>
      <c r="H558" s="2" t="n">
        <f aca="false">G558*(1-H$547)+G557*H$547</f>
        <v>0</v>
      </c>
      <c r="I558" s="2" t="n">
        <f aca="false">H558*(1-I$547)+H557*I$547</f>
        <v>0</v>
      </c>
      <c r="J558" s="2" t="n">
        <f aca="false">I558*(1-J$547)+I557*J$547</f>
        <v>0</v>
      </c>
      <c r="K558" s="2" t="n">
        <f aca="false">J558*(1-K$547)+J557*K$547</f>
        <v>0</v>
      </c>
      <c r="L558" s="2" t="n">
        <f aca="false">K558*(1-L$547)+K557*L$547</f>
        <v>0.000748094734720387</v>
      </c>
      <c r="M558" s="2" t="n">
        <f aca="false">L558*(1-M$547)+L557*M$547</f>
        <v>0.00696376932367642</v>
      </c>
      <c r="N558" s="2" t="n">
        <f aca="false">M558*(1-N$547)+M557*N$547</f>
        <v>0.0207561752867673</v>
      </c>
      <c r="O558" s="2" t="n">
        <f aca="false">N558*(1-O$547)+N557*O$547</f>
        <v>0.0207561752867673</v>
      </c>
    </row>
    <row r="559" customFormat="false" ht="15" hidden="false" customHeight="false" outlineLevel="0" collapsed="false">
      <c r="B559" s="2" t="n">
        <v>11</v>
      </c>
      <c r="C559" s="2" t="n">
        <f aca="false">0</f>
        <v>0</v>
      </c>
      <c r="D559" s="2" t="n">
        <f aca="false">C559*(1-D$547)+C558*D$547</f>
        <v>0</v>
      </c>
      <c r="E559" s="2" t="n">
        <f aca="false">D559*(1-E$547)+D558*E$547</f>
        <v>0</v>
      </c>
      <c r="F559" s="2" t="n">
        <f aca="false">E559*(1-F$547)+E558*F$547</f>
        <v>0</v>
      </c>
      <c r="G559" s="2" t="n">
        <f aca="false">F559*(1-G$547)+F558*G$547</f>
        <v>0</v>
      </c>
      <c r="H559" s="2" t="n">
        <f aca="false">G559*(1-H$547)+G558*H$547</f>
        <v>0</v>
      </c>
      <c r="I559" s="2" t="n">
        <f aca="false">H559*(1-I$547)+H558*I$547</f>
        <v>0</v>
      </c>
      <c r="J559" s="2" t="n">
        <f aca="false">I559*(1-J$547)+I558*J$547</f>
        <v>0</v>
      </c>
      <c r="K559" s="2" t="n">
        <f aca="false">J559*(1-K$547)+J558*K$547</f>
        <v>0</v>
      </c>
      <c r="L559" s="2" t="n">
        <f aca="false">K559*(1-L$547)+K558*L$547</f>
        <v>0</v>
      </c>
      <c r="M559" s="2" t="n">
        <f aca="false">L559*(1-M$547)+L558*M$547</f>
        <v>0.000481655529721571</v>
      </c>
      <c r="N559" s="2" t="n">
        <f aca="false">M559*(1-N$547)+M558*N$547</f>
        <v>0.00314573712574268</v>
      </c>
      <c r="O559" s="2" t="n">
        <f aca="false">N559*(1-O$547)+N558*O$547</f>
        <v>0.00314573712574268</v>
      </c>
    </row>
    <row r="560" customFormat="false" ht="15" hidden="false" customHeight="false" outlineLevel="0" collapsed="false">
      <c r="B560" s="2" t="n">
        <v>12</v>
      </c>
      <c r="C560" s="2" t="n">
        <f aca="false">0</f>
        <v>0</v>
      </c>
      <c r="D560" s="2" t="n">
        <f aca="false">C560*(1-D$547)+C559*D$547</f>
        <v>0</v>
      </c>
      <c r="E560" s="2" t="n">
        <f aca="false">D560*(1-E$547)+D559*E$547</f>
        <v>0</v>
      </c>
      <c r="F560" s="2" t="n">
        <f aca="false">E560*(1-F$547)+E559*F$547</f>
        <v>0</v>
      </c>
      <c r="G560" s="2" t="n">
        <f aca="false">F560*(1-G$547)+F559*G$547</f>
        <v>0</v>
      </c>
      <c r="H560" s="2" t="n">
        <f aca="false">G560*(1-H$547)+G559*H$547</f>
        <v>0</v>
      </c>
      <c r="I560" s="2" t="n">
        <f aca="false">H560*(1-I$547)+H559*I$547</f>
        <v>0</v>
      </c>
      <c r="J560" s="2" t="n">
        <f aca="false">I560*(1-J$547)+I559*J$547</f>
        <v>0</v>
      </c>
      <c r="K560" s="2" t="n">
        <f aca="false">J560*(1-K$547)+J559*K$547</f>
        <v>0</v>
      </c>
      <c r="L560" s="2" t="n">
        <f aca="false">K560*(1-L$547)+K559*L$547</f>
        <v>0</v>
      </c>
      <c r="M560" s="2" t="n">
        <f aca="false">L560*(1-M$547)+L559*M$547</f>
        <v>0</v>
      </c>
      <c r="N560" s="2" t="n">
        <f aca="false">M560*(1-N$547)+M559*N$547</f>
        <v>0.000197955431382538</v>
      </c>
      <c r="O560" s="2" t="n">
        <f aca="false">N560*(1-O$547)+N559*O$547</f>
        <v>0.000197955431382538</v>
      </c>
    </row>
    <row r="561" customFormat="false" ht="15" hidden="false" customHeight="false" outlineLevel="0" collapsed="false">
      <c r="B561" s="2" t="n">
        <v>13</v>
      </c>
      <c r="C561" s="2" t="n">
        <f aca="false">0</f>
        <v>0</v>
      </c>
      <c r="D561" s="2" t="n">
        <f aca="false">C561*(1-D$547)+C560*D$547</f>
        <v>0</v>
      </c>
      <c r="E561" s="2" t="n">
        <f aca="false">D561*(1-E$547)+D560*E$547</f>
        <v>0</v>
      </c>
      <c r="F561" s="2" t="n">
        <f aca="false">E561*(1-F$547)+E560*F$547</f>
        <v>0</v>
      </c>
      <c r="G561" s="2" t="n">
        <f aca="false">F561*(1-G$547)+F560*G$547</f>
        <v>0</v>
      </c>
      <c r="H561" s="2" t="n">
        <f aca="false">G561*(1-H$547)+G560*H$547</f>
        <v>0</v>
      </c>
      <c r="I561" s="2" t="n">
        <f aca="false">H561*(1-I$547)+H560*I$547</f>
        <v>0</v>
      </c>
      <c r="J561" s="2" t="n">
        <f aca="false">I561*(1-J$547)+I560*J$547</f>
        <v>0</v>
      </c>
      <c r="K561" s="2" t="n">
        <f aca="false">J561*(1-K$547)+J560*K$547</f>
        <v>0</v>
      </c>
      <c r="L561" s="2" t="n">
        <f aca="false">K561*(1-L$547)+K560*L$547</f>
        <v>0</v>
      </c>
      <c r="M561" s="2" t="n">
        <f aca="false">L561*(1-M$547)+L560*M$547</f>
        <v>0</v>
      </c>
      <c r="N561" s="2" t="n">
        <f aca="false">M561*(1-N$547)+M560*N$547</f>
        <v>0</v>
      </c>
      <c r="O561" s="2" t="n">
        <f aca="false">N561*(1-O$547)+N560*O$547</f>
        <v>0</v>
      </c>
    </row>
    <row r="563" customFormat="false" ht="15" hidden="false" customHeight="false" outlineLevel="0" collapsed="false">
      <c r="A563" s="1" t="s">
        <v>93</v>
      </c>
      <c r="C563" s="2" t="n">
        <f aca="false">Schedule!G37</f>
        <v>0.998019493377932</v>
      </c>
      <c r="D563" s="2" t="n">
        <f aca="false">Schedule!L37</f>
        <v>0.869705482863191</v>
      </c>
      <c r="E563" s="2" t="n">
        <f aca="false">Schedule!Q37</f>
        <v>0.522428675027779</v>
      </c>
      <c r="F563" s="2" t="n">
        <f aca="false">Schedule!V37</f>
        <v>0.704538857537264</v>
      </c>
      <c r="G563" s="2" t="n">
        <f aca="false">Schedule!AA37</f>
        <v>0.620292847240567</v>
      </c>
      <c r="H563" s="2" t="n">
        <f aca="false">Schedule!AF37</f>
        <v>0.576814180380971</v>
      </c>
      <c r="I563" s="2" t="n">
        <f aca="false">Schedule!AK37</f>
        <v>0.627409464153284</v>
      </c>
      <c r="J563" s="2" t="n">
        <f aca="false">Schedule!AP37</f>
        <v>0.330874388040879</v>
      </c>
      <c r="K563" s="2" t="n">
        <f aca="false">Schedule!AU37</f>
        <v>0.353830233327276</v>
      </c>
      <c r="L563" s="2" t="n">
        <f aca="false">Schedule!AZ37</f>
        <v>0.798844211525758</v>
      </c>
      <c r="M563" s="2" t="n">
        <f aca="false">Schedule!BE37</f>
        <v>0.160172296919608</v>
      </c>
      <c r="N563" s="2" t="n">
        <f aca="false">Schedule!BJ37</f>
        <v>0.574365688155897</v>
      </c>
      <c r="O563" s="2" t="n">
        <f aca="false">Schedule!BO37</f>
        <v>0</v>
      </c>
    </row>
    <row r="564" customFormat="false" ht="15" hidden="false" customHeight="false" outlineLevel="0" collapsed="false">
      <c r="B564" s="2" t="n">
        <v>0</v>
      </c>
      <c r="C564" s="2" t="n">
        <f aca="false">1-C$563</f>
        <v>0.00198050662206795</v>
      </c>
      <c r="D564" s="2" t="n">
        <f aca="false">C564*(1-D$563)</f>
        <v>0.000258049154008595</v>
      </c>
      <c r="E564" s="2" t="n">
        <f aca="false">D564*(1-E$563)</f>
        <v>0.000123236876387846</v>
      </c>
      <c r="F564" s="2" t="n">
        <f aca="false">E564*(1-F$563)</f>
        <v>3.64117082910919E-005</v>
      </c>
      <c r="G564" s="2" t="n">
        <f aca="false">F564*(1-G$563)</f>
        <v>1.38257860823175E-005</v>
      </c>
      <c r="H564" s="2" t="n">
        <f aca="false">G564*(1-H$563)</f>
        <v>5.85087661512292E-006</v>
      </c>
      <c r="I564" s="2" t="n">
        <f aca="false">H564*(1-I$563)</f>
        <v>2.17998125320167E-006</v>
      </c>
      <c r="J564" s="2" t="n">
        <f aca="false">I564*(1-J$563)</f>
        <v>1.45868129010798E-006</v>
      </c>
      <c r="K564" s="2" t="n">
        <f aca="false">J564*(1-K$563)</f>
        <v>9.42555748878939E-007</v>
      </c>
      <c r="L564" s="2" t="n">
        <f aca="false">K564*(1-L$563)</f>
        <v>1.89600544846673E-007</v>
      </c>
      <c r="M564" s="2" t="n">
        <f aca="false">L564*(1-M$563)</f>
        <v>1.59231790081372E-007</v>
      </c>
      <c r="N564" s="2" t="n">
        <f aca="false">M564*(1-N$563)</f>
        <v>6.77745133949895E-008</v>
      </c>
      <c r="O564" s="2" t="n">
        <f aca="false">N564*(1-O$563)</f>
        <v>6.77745133949895E-008</v>
      </c>
    </row>
    <row r="565" customFormat="false" ht="15" hidden="false" customHeight="false" outlineLevel="0" collapsed="false">
      <c r="B565" s="2" t="n">
        <v>1</v>
      </c>
      <c r="C565" s="2" t="n">
        <f aca="false">C$563</f>
        <v>0.998019493377932</v>
      </c>
      <c r="D565" s="2" t="n">
        <f aca="false">C565*(1-D$563)+C564*D$563</f>
        <v>0.13175892545086</v>
      </c>
      <c r="E565" s="2" t="n">
        <f aca="false">D565*(1-E$563)+D564*E$563</f>
        <v>0.0630590968821039</v>
      </c>
      <c r="F565" s="2" t="n">
        <f aca="false">E565*(1-F$563)+E564*F$563</f>
        <v>0.0187183379755515</v>
      </c>
      <c r="G565" s="2" t="n">
        <f aca="false">F565*(1-G$563)+F564*G$563</f>
        <v>0.00713007273929422</v>
      </c>
      <c r="H565" s="2" t="n">
        <f aca="false">G565*(1-H$563)+G564*H$563</f>
        <v>0.00302532058558872</v>
      </c>
      <c r="I565" s="2" t="n">
        <f aca="false">H565*(1-I$563)+H564*I$563</f>
        <v>0.00113087671345452</v>
      </c>
      <c r="J565" s="2" t="n">
        <f aca="false">I565*(1-J$563)+I564*J$563</f>
        <v>0.00075741987290367</v>
      </c>
      <c r="K565" s="2" t="n">
        <f aca="false">J565*(1-K$563)+J564*K$563</f>
        <v>0.000489937948088678</v>
      </c>
      <c r="L565" s="2" t="n">
        <f aca="false">K565*(1-L$563)+K564*L$563</f>
        <v>9.93068094552626E-005</v>
      </c>
      <c r="M565" s="2" t="n">
        <f aca="false">L565*(1-M$563)+L564*M$563</f>
        <v>8.34309784398206E-005</v>
      </c>
      <c r="N565" s="2" t="n">
        <f aca="false">M565*(1-N$563)+M564*N$563</f>
        <v>3.56025443713996E-005</v>
      </c>
      <c r="O565" s="2" t="n">
        <f aca="false">N565*(1-O$563)+N564*O$563</f>
        <v>3.56025443713996E-005</v>
      </c>
    </row>
    <row r="566" customFormat="false" ht="15" hidden="false" customHeight="false" outlineLevel="0" collapsed="false">
      <c r="B566" s="2" t="n">
        <v>2</v>
      </c>
      <c r="C566" s="2" t="n">
        <f aca="false">0</f>
        <v>0</v>
      </c>
      <c r="D566" s="2" t="n">
        <f aca="false">C566*(1-D$563)+C565*D$563</f>
        <v>0.867983025395132</v>
      </c>
      <c r="E566" s="2" t="n">
        <f aca="false">D566*(1-E$563)+D565*E$563</f>
        <v>0.483358444337727</v>
      </c>
      <c r="F566" s="2" t="n">
        <f aca="false">E566*(1-F$563)+E565*F$563</f>
        <v>0.187241222257685</v>
      </c>
      <c r="G566" s="2" t="n">
        <f aca="false">F566*(1-G$563)+F565*G$563</f>
        <v>0.0827076825411278</v>
      </c>
      <c r="H566" s="2" t="n">
        <f aca="false">G566*(1-H$563)+G565*H$563</f>
        <v>0.0391134454881304</v>
      </c>
      <c r="I566" s="2" t="n">
        <f aca="false">H566*(1-I$563)+H565*I$563</f>
        <v>0.0164714143807299</v>
      </c>
      <c r="J566" s="2" t="n">
        <f aca="false">I566*(1-J$563)+I565*J$563</f>
        <v>0.0113956233678521</v>
      </c>
      <c r="K566" s="2" t="n">
        <f aca="false">J566*(1-K$563)+J565*K$563</f>
        <v>0.00763150534305146</v>
      </c>
      <c r="L566" s="2" t="n">
        <f aca="false">K566*(1-L$563)+K565*L$563</f>
        <v>0.00192650556836436</v>
      </c>
      <c r="M566" s="2" t="n">
        <f aca="false">L566*(1-M$563)+L565*M$563</f>
        <v>0.00163383894622123</v>
      </c>
      <c r="N566" s="2" t="n">
        <f aca="false">M566*(1-N$563)+M565*N$563</f>
        <v>0.000743337806884075</v>
      </c>
      <c r="O566" s="2" t="n">
        <f aca="false">N566*(1-O$563)+N565*O$563</f>
        <v>0.000743337806884075</v>
      </c>
    </row>
    <row r="567" customFormat="false" ht="15" hidden="false" customHeight="false" outlineLevel="0" collapsed="false">
      <c r="B567" s="2" t="n">
        <v>3</v>
      </c>
      <c r="C567" s="2" t="n">
        <f aca="false">0</f>
        <v>0</v>
      </c>
      <c r="D567" s="2" t="n">
        <f aca="false">C567*(1-D$563)+C566*D$563</f>
        <v>0</v>
      </c>
      <c r="E567" s="2" t="n">
        <f aca="false">D567*(1-E$563)+D566*E$563</f>
        <v>0.453459221903781</v>
      </c>
      <c r="F567" s="2" t="n">
        <f aca="false">E567*(1-F$563)+E566*F$563</f>
        <v>0.474524385918646</v>
      </c>
      <c r="G567" s="2" t="n">
        <f aca="false">F567*(1-G$563)+F566*G$563</f>
        <v>0.296324694367111</v>
      </c>
      <c r="H567" s="2" t="n">
        <f aca="false">G567*(1-H$563)+G566*H$563</f>
        <v>0.173107372775274</v>
      </c>
      <c r="I567" s="2" t="n">
        <f aca="false">H567*(1-I$563)+H566*I$563</f>
        <v>0.0890383146562532</v>
      </c>
      <c r="J567" s="2" t="n">
        <f aca="false">I567*(1-J$563)+I566*J$563</f>
        <v>0.0650277859355659</v>
      </c>
      <c r="K567" s="2" t="n">
        <f aca="false">J567*(1-K$563)+J566*K$563</f>
        <v>0.0460511053403853</v>
      </c>
      <c r="L567" s="2" t="n">
        <f aca="false">K567*(1-L$563)+K566*L$563</f>
        <v>0.0153598302733802</v>
      </c>
      <c r="M567" s="2" t="n">
        <f aca="false">L567*(1-M$563)+L566*M$563</f>
        <v>0.0132081838001109</v>
      </c>
      <c r="N567" s="2" t="n">
        <f aca="false">M567*(1-N$563)+M566*N$563</f>
        <v>0.00656027725315287</v>
      </c>
      <c r="O567" s="2" t="n">
        <f aca="false">N567*(1-O$563)+N566*O$563</f>
        <v>0.00656027725315287</v>
      </c>
    </row>
    <row r="568" customFormat="false" ht="15" hidden="false" customHeight="false" outlineLevel="0" collapsed="false">
      <c r="B568" s="2" t="n">
        <v>4</v>
      </c>
      <c r="C568" s="2" t="n">
        <f aca="false">0</f>
        <v>0</v>
      </c>
      <c r="D568" s="2" t="n">
        <f aca="false">C568*(1-D$563)+C567*D$563</f>
        <v>0</v>
      </c>
      <c r="E568" s="2" t="n">
        <f aca="false">D568*(1-E$563)+D567*E$563</f>
        <v>0</v>
      </c>
      <c r="F568" s="2" t="n">
        <f aca="false">E568*(1-F$563)+E567*F$563</f>
        <v>0.319479642139827</v>
      </c>
      <c r="G568" s="2" t="n">
        <f aca="false">F568*(1-G$563)+F567*G$563</f>
        <v>0.415652787708075</v>
      </c>
      <c r="H568" s="2" t="n">
        <f aca="false">G568*(1-H$563)+G567*H$563</f>
        <v>0.346822651351182</v>
      </c>
      <c r="I568" s="2" t="n">
        <f aca="false">H568*(1-I$563)+H567*I$563</f>
        <v>0.237832041504633</v>
      </c>
      <c r="J568" s="2" t="n">
        <f aca="false">I568*(1-J$563)+I567*J$563</f>
        <v>0.188600008189354</v>
      </c>
      <c r="K568" s="2" t="n">
        <f aca="false">J568*(1-K$563)+J567*K$563</f>
        <v>0.144876419956526</v>
      </c>
      <c r="L568" s="2" t="n">
        <f aca="false">K568*(1-L$563)+K567*L$563</f>
        <v>0.0659303894232102</v>
      </c>
      <c r="M568" s="2" t="n">
        <f aca="false">L568*(1-M$563)+L567*M$563</f>
        <v>0.057830386807673</v>
      </c>
      <c r="N568" s="2" t="n">
        <f aca="false">M568*(1-N$563)+M567*N$563</f>
        <v>0.0322009244702024</v>
      </c>
      <c r="O568" s="2" t="n">
        <f aca="false">N568*(1-O$563)+N567*O$563</f>
        <v>0.0322009244702024</v>
      </c>
    </row>
    <row r="569" customFormat="false" ht="15" hidden="false" customHeight="false" outlineLevel="0" collapsed="false">
      <c r="B569" s="2" t="n">
        <v>5</v>
      </c>
      <c r="C569" s="2" t="n">
        <f aca="false">0</f>
        <v>0</v>
      </c>
      <c r="D569" s="2" t="n">
        <f aca="false">C569*(1-D$563)+C568*D$563</f>
        <v>0</v>
      </c>
      <c r="E569" s="2" t="n">
        <f aca="false">D569*(1-E$563)+D568*E$563</f>
        <v>0</v>
      </c>
      <c r="F569" s="2" t="n">
        <f aca="false">E569*(1-F$563)+E568*F$563</f>
        <v>0</v>
      </c>
      <c r="G569" s="2" t="n">
        <f aca="false">F569*(1-G$563)+F568*G$563</f>
        <v>0.19817093685831</v>
      </c>
      <c r="H569" s="2" t="n">
        <f aca="false">G569*(1-H$563)+G568*H$563</f>
        <v>0.323617552403954</v>
      </c>
      <c r="I569" s="2" t="n">
        <f aca="false">H569*(1-I$563)+H568*I$563</f>
        <v>0.338176651100058</v>
      </c>
      <c r="J569" s="2" t="n">
        <f aca="false">I569*(1-J$563)+I568*J$563</f>
        <v>0.304975189806971</v>
      </c>
      <c r="K569" s="2" t="n">
        <f aca="false">J569*(1-K$563)+J568*K$563</f>
        <v>0.263798132141705</v>
      </c>
      <c r="L569" s="2" t="n">
        <f aca="false">K569*(1-L$563)+K568*L$563</f>
        <v>0.168798210737843</v>
      </c>
      <c r="M569" s="2" t="n">
        <f aca="false">L569*(1-M$563)+L568*M$563</f>
        <v>0.152321635518762</v>
      </c>
      <c r="N569" s="2" t="n">
        <f aca="false">M569*(1-N$563)+M568*N$563</f>
        <v>0.0980491044281074</v>
      </c>
      <c r="O569" s="2" t="n">
        <f aca="false">N569*(1-O$563)+N568*O$563</f>
        <v>0.0980491044281074</v>
      </c>
    </row>
    <row r="570" customFormat="false" ht="15" hidden="false" customHeight="false" outlineLevel="0" collapsed="false">
      <c r="B570" s="2" t="n">
        <v>6</v>
      </c>
      <c r="C570" s="2" t="n">
        <f aca="false">0</f>
        <v>0</v>
      </c>
      <c r="D570" s="2" t="n">
        <f aca="false">C570*(1-D$563)+C569*D$563</f>
        <v>0</v>
      </c>
      <c r="E570" s="2" t="n">
        <f aca="false">D570*(1-E$563)+D569*E$563</f>
        <v>0</v>
      </c>
      <c r="F570" s="2" t="n">
        <f aca="false">E570*(1-F$563)+E569*F$563</f>
        <v>0</v>
      </c>
      <c r="G570" s="2" t="n">
        <f aca="false">F570*(1-G$563)+F569*G$563</f>
        <v>0</v>
      </c>
      <c r="H570" s="2" t="n">
        <f aca="false">G570*(1-H$563)+G569*H$563</f>
        <v>0.114307806519255</v>
      </c>
      <c r="I570" s="2" t="n">
        <f aca="false">H570*(1-I$563)+H569*I$563</f>
        <v>0.245630722026834</v>
      </c>
      <c r="J570" s="2" t="n">
        <f aca="false">I570*(1-J$563)+I569*J$563</f>
        <v>0.276251799674612</v>
      </c>
      <c r="K570" s="2" t="n">
        <f aca="false">J570*(1-K$563)+J569*K$563</f>
        <v>0.286415003507095</v>
      </c>
      <c r="L570" s="2" t="n">
        <f aca="false">K570*(1-L$563)+K569*L$563</f>
        <v>0.268347646734031</v>
      </c>
      <c r="M570" s="2" t="n">
        <f aca="false">L570*(1-M$563)+L569*M$563</f>
        <v>0.25240258491347</v>
      </c>
      <c r="N570" s="2" t="n">
        <f aca="false">M570*(1-N$563)+M569*N$563</f>
        <v>0.194919521543083</v>
      </c>
      <c r="O570" s="2" t="n">
        <f aca="false">N570*(1-O$563)+N569*O$563</f>
        <v>0.194919521543083</v>
      </c>
    </row>
    <row r="571" customFormat="false" ht="15" hidden="false" customHeight="false" outlineLevel="0" collapsed="false">
      <c r="B571" s="2" t="n">
        <v>7</v>
      </c>
      <c r="C571" s="2" t="n">
        <f aca="false">0</f>
        <v>0</v>
      </c>
      <c r="D571" s="2" t="n">
        <f aca="false">C571*(1-D$563)+C570*D$563</f>
        <v>0</v>
      </c>
      <c r="E571" s="2" t="n">
        <f aca="false">D571*(1-E$563)+D570*E$563</f>
        <v>0</v>
      </c>
      <c r="F571" s="2" t="n">
        <f aca="false">E571*(1-F$563)+E570*F$563</f>
        <v>0</v>
      </c>
      <c r="G571" s="2" t="n">
        <f aca="false">F571*(1-G$563)+F570*G$563</f>
        <v>0</v>
      </c>
      <c r="H571" s="2" t="n">
        <f aca="false">G571*(1-H$563)+G570*H$563</f>
        <v>0</v>
      </c>
      <c r="I571" s="2" t="n">
        <f aca="false">H571*(1-I$563)+H570*I$563</f>
        <v>0.0717177996367833</v>
      </c>
      <c r="J571" s="2" t="n">
        <f aca="false">I571*(1-J$563)+I570*J$563</f>
        <v>0.129261131404992</v>
      </c>
      <c r="K571" s="2" t="n">
        <f aca="false">J571*(1-K$563)+J570*K$563</f>
        <v>0.181270873855764</v>
      </c>
      <c r="L571" s="2" t="n">
        <f aca="false">K571*(1-L$563)+K570*L$563</f>
        <v>0.265264653203643</v>
      </c>
      <c r="M571" s="2" t="n">
        <f aca="false">L571*(1-M$563)+L570*M$563</f>
        <v>0.265758463358794</v>
      </c>
      <c r="N571" s="2" t="n">
        <f aca="false">M571*(1-N$563)+M570*N$563</f>
        <v>0.258087305044619</v>
      </c>
      <c r="O571" s="2" t="n">
        <f aca="false">N571*(1-O$563)+N570*O$563</f>
        <v>0.258087305044619</v>
      </c>
    </row>
    <row r="572" customFormat="false" ht="15" hidden="false" customHeight="false" outlineLevel="0" collapsed="false">
      <c r="B572" s="2" t="n">
        <v>8</v>
      </c>
      <c r="C572" s="2" t="n">
        <f aca="false">0</f>
        <v>0</v>
      </c>
      <c r="D572" s="2" t="n">
        <f aca="false">C572*(1-D$563)+C571*D$563</f>
        <v>0</v>
      </c>
      <c r="E572" s="2" t="n">
        <f aca="false">D572*(1-E$563)+D571*E$563</f>
        <v>0</v>
      </c>
      <c r="F572" s="2" t="n">
        <f aca="false">E572*(1-F$563)+E571*F$563</f>
        <v>0</v>
      </c>
      <c r="G572" s="2" t="n">
        <f aca="false">F572*(1-G$563)+F571*G$563</f>
        <v>0</v>
      </c>
      <c r="H572" s="2" t="n">
        <f aca="false">G572*(1-H$563)+G571*H$563</f>
        <v>0</v>
      </c>
      <c r="I572" s="2" t="n">
        <f aca="false">H572*(1-I$563)+H571*I$563</f>
        <v>0</v>
      </c>
      <c r="J572" s="2" t="n">
        <f aca="false">I572*(1-J$563)+I571*J$563</f>
        <v>0.0237295830664591</v>
      </c>
      <c r="K572" s="2" t="n">
        <f aca="false">J572*(1-K$563)+J571*K$563</f>
        <v>0.061069835438471</v>
      </c>
      <c r="L572" s="2" t="n">
        <f aca="false">K572*(1-L$563)+K571*L$563</f>
        <v>0.157091739197511</v>
      </c>
      <c r="M572" s="2" t="n">
        <f aca="false">L572*(1-M$563)+L571*M$563</f>
        <v>0.17441804329836</v>
      </c>
      <c r="N572" s="2" t="n">
        <f aca="false">M572*(1-N$563)+M571*N$563</f>
        <v>0.22688084652282</v>
      </c>
      <c r="O572" s="2" t="n">
        <f aca="false">N572*(1-O$563)+N571*O$563</f>
        <v>0.22688084652282</v>
      </c>
    </row>
    <row r="573" customFormat="false" ht="15" hidden="false" customHeight="false" outlineLevel="0" collapsed="false">
      <c r="B573" s="2" t="n">
        <v>9</v>
      </c>
      <c r="C573" s="2" t="n">
        <f aca="false">0</f>
        <v>0</v>
      </c>
      <c r="D573" s="2" t="n">
        <f aca="false">C573*(1-D$563)+C572*D$563</f>
        <v>0</v>
      </c>
      <c r="E573" s="2" t="n">
        <f aca="false">D573*(1-E$563)+D572*E$563</f>
        <v>0</v>
      </c>
      <c r="F573" s="2" t="n">
        <f aca="false">E573*(1-F$563)+E572*F$563</f>
        <v>0</v>
      </c>
      <c r="G573" s="2" t="n">
        <f aca="false">F573*(1-G$563)+F572*G$563</f>
        <v>0</v>
      </c>
      <c r="H573" s="2" t="n">
        <f aca="false">G573*(1-H$563)+G572*H$563</f>
        <v>0</v>
      </c>
      <c r="I573" s="2" t="n">
        <f aca="false">H573*(1-I$563)+H572*I$563</f>
        <v>0</v>
      </c>
      <c r="J573" s="2" t="n">
        <f aca="false">I573*(1-J$563)+I572*J$563</f>
        <v>0</v>
      </c>
      <c r="K573" s="2" t="n">
        <f aca="false">J573*(1-K$563)+J572*K$563</f>
        <v>0.00839624391316419</v>
      </c>
      <c r="L573" s="2" t="n">
        <f aca="false">K573*(1-L$563)+K572*L$563</f>
        <v>0.0504742376034277</v>
      </c>
      <c r="M573" s="2" t="n">
        <f aca="false">L573*(1-M$563)+L572*M$563</f>
        <v>0.067551407725582</v>
      </c>
      <c r="N573" s="2" t="n">
        <f aca="false">M573*(1-N$563)+M572*N$563</f>
        <v>0.128931936407246</v>
      </c>
      <c r="O573" s="2" t="n">
        <f aca="false">N573*(1-O$563)+N572*O$563</f>
        <v>0.128931936407246</v>
      </c>
    </row>
    <row r="574" customFormat="false" ht="15" hidden="false" customHeight="false" outlineLevel="0" collapsed="false">
      <c r="B574" s="2" t="n">
        <v>10</v>
      </c>
      <c r="C574" s="2" t="n">
        <f aca="false">0</f>
        <v>0</v>
      </c>
      <c r="D574" s="2" t="n">
        <f aca="false">C574*(1-D$563)+C573*D$563</f>
        <v>0</v>
      </c>
      <c r="E574" s="2" t="n">
        <f aca="false">D574*(1-E$563)+D573*E$563</f>
        <v>0</v>
      </c>
      <c r="F574" s="2" t="n">
        <f aca="false">E574*(1-F$563)+E573*F$563</f>
        <v>0</v>
      </c>
      <c r="G574" s="2" t="n">
        <f aca="false">F574*(1-G$563)+F573*G$563</f>
        <v>0</v>
      </c>
      <c r="H574" s="2" t="n">
        <f aca="false">G574*(1-H$563)+G573*H$563</f>
        <v>0</v>
      </c>
      <c r="I574" s="2" t="n">
        <f aca="false">H574*(1-I$563)+H573*I$563</f>
        <v>0</v>
      </c>
      <c r="J574" s="2" t="n">
        <f aca="false">I574*(1-J$563)+I573*J$563</f>
        <v>0</v>
      </c>
      <c r="K574" s="2" t="n">
        <f aca="false">J574*(1-K$563)+J573*K$563</f>
        <v>0</v>
      </c>
      <c r="L574" s="2" t="n">
        <f aca="false">K574*(1-L$563)+K573*L$563</f>
        <v>0.00670729084858959</v>
      </c>
      <c r="M574" s="2" t="n">
        <f aca="false">L574*(1-M$563)+L573*M$563</f>
        <v>0.0137175432394702</v>
      </c>
      <c r="N574" s="2" t="n">
        <f aca="false">M574*(1-N$563)+M573*N$563</f>
        <v>0.0446378678611271</v>
      </c>
      <c r="O574" s="2" t="n">
        <f aca="false">N574*(1-O$563)+N573*O$563</f>
        <v>0.0446378678611271</v>
      </c>
    </row>
    <row r="575" customFormat="false" ht="15" hidden="false" customHeight="false" outlineLevel="0" collapsed="false">
      <c r="B575" s="2" t="n">
        <v>11</v>
      </c>
      <c r="C575" s="2" t="n">
        <f aca="false">0</f>
        <v>0</v>
      </c>
      <c r="D575" s="2" t="n">
        <f aca="false">C575*(1-D$563)+C574*D$563</f>
        <v>0</v>
      </c>
      <c r="E575" s="2" t="n">
        <f aca="false">D575*(1-E$563)+D574*E$563</f>
        <v>0</v>
      </c>
      <c r="F575" s="2" t="n">
        <f aca="false">E575*(1-F$563)+E574*F$563</f>
        <v>0</v>
      </c>
      <c r="G575" s="2" t="n">
        <f aca="false">F575*(1-G$563)+F574*G$563</f>
        <v>0</v>
      </c>
      <c r="H575" s="2" t="n">
        <f aca="false">G575*(1-H$563)+G574*H$563</f>
        <v>0</v>
      </c>
      <c r="I575" s="2" t="n">
        <f aca="false">H575*(1-I$563)+H574*I$563</f>
        <v>0</v>
      </c>
      <c r="J575" s="2" t="n">
        <f aca="false">I575*(1-J$563)+I574*J$563</f>
        <v>0</v>
      </c>
      <c r="K575" s="2" t="n">
        <f aca="false">J575*(1-K$563)+J574*K$563</f>
        <v>0</v>
      </c>
      <c r="L575" s="2" t="n">
        <f aca="false">K575*(1-L$563)+K574*L$563</f>
        <v>0</v>
      </c>
      <c r="M575" s="2" t="n">
        <f aca="false">L575*(1-M$563)+L574*M$563</f>
        <v>0.00107432218132646</v>
      </c>
      <c r="N575" s="2" t="n">
        <f aca="false">M575*(1-N$563)+M574*N$563</f>
        <v>0.00833615454489433</v>
      </c>
      <c r="O575" s="2" t="n">
        <f aca="false">N575*(1-O$563)+N574*O$563</f>
        <v>0.00833615454489433</v>
      </c>
    </row>
    <row r="576" customFormat="false" ht="15" hidden="false" customHeight="false" outlineLevel="0" collapsed="false">
      <c r="B576" s="2" t="n">
        <v>12</v>
      </c>
      <c r="C576" s="2" t="n">
        <f aca="false">0</f>
        <v>0</v>
      </c>
      <c r="D576" s="2" t="n">
        <f aca="false">C576*(1-D$563)+C575*D$563</f>
        <v>0</v>
      </c>
      <c r="E576" s="2" t="n">
        <f aca="false">D576*(1-E$563)+D575*E$563</f>
        <v>0</v>
      </c>
      <c r="F576" s="2" t="n">
        <f aca="false">E576*(1-F$563)+E575*F$563</f>
        <v>0</v>
      </c>
      <c r="G576" s="2" t="n">
        <f aca="false">F576*(1-G$563)+F575*G$563</f>
        <v>0</v>
      </c>
      <c r="H576" s="2" t="n">
        <f aca="false">G576*(1-H$563)+G575*H$563</f>
        <v>0</v>
      </c>
      <c r="I576" s="2" t="n">
        <f aca="false">H576*(1-I$563)+H575*I$563</f>
        <v>0</v>
      </c>
      <c r="J576" s="2" t="n">
        <f aca="false">I576*(1-J$563)+I575*J$563</f>
        <v>0</v>
      </c>
      <c r="K576" s="2" t="n">
        <f aca="false">J576*(1-K$563)+J575*K$563</f>
        <v>0</v>
      </c>
      <c r="L576" s="2" t="n">
        <f aca="false">K576*(1-L$563)+K575*L$563</f>
        <v>0</v>
      </c>
      <c r="M576" s="2" t="n">
        <f aca="false">L576*(1-M$563)+L575*M$563</f>
        <v>0</v>
      </c>
      <c r="N576" s="2" t="n">
        <f aca="false">M576*(1-N$563)+M575*N$563</f>
        <v>0.00061705379897872</v>
      </c>
      <c r="O576" s="2" t="n">
        <f aca="false">N576*(1-O$563)+N575*O$563</f>
        <v>0.00061705379897872</v>
      </c>
    </row>
    <row r="577" customFormat="false" ht="15" hidden="false" customHeight="false" outlineLevel="0" collapsed="false">
      <c r="B577" s="2" t="n">
        <v>13</v>
      </c>
      <c r="C577" s="2" t="n">
        <f aca="false">0</f>
        <v>0</v>
      </c>
      <c r="D577" s="2" t="n">
        <f aca="false">C577*(1-D$563)+C576*D$563</f>
        <v>0</v>
      </c>
      <c r="E577" s="2" t="n">
        <f aca="false">D577*(1-E$563)+D576*E$563</f>
        <v>0</v>
      </c>
      <c r="F577" s="2" t="n">
        <f aca="false">E577*(1-F$563)+E576*F$563</f>
        <v>0</v>
      </c>
      <c r="G577" s="2" t="n">
        <f aca="false">F577*(1-G$563)+F576*G$563</f>
        <v>0</v>
      </c>
      <c r="H577" s="2" t="n">
        <f aca="false">G577*(1-H$563)+G576*H$563</f>
        <v>0</v>
      </c>
      <c r="I577" s="2" t="n">
        <f aca="false">H577*(1-I$563)+H576*I$563</f>
        <v>0</v>
      </c>
      <c r="J577" s="2" t="n">
        <f aca="false">I577*(1-J$563)+I576*J$563</f>
        <v>0</v>
      </c>
      <c r="K577" s="2" t="n">
        <f aca="false">J577*(1-K$563)+J576*K$563</f>
        <v>0</v>
      </c>
      <c r="L577" s="2" t="n">
        <f aca="false">K577*(1-L$563)+K576*L$563</f>
        <v>0</v>
      </c>
      <c r="M577" s="2" t="n">
        <f aca="false">L577*(1-M$563)+L576*M$563</f>
        <v>0</v>
      </c>
      <c r="N577" s="2" t="n">
        <f aca="false">M577*(1-N$563)+M576*N$563</f>
        <v>0</v>
      </c>
      <c r="O577" s="2" t="n">
        <f aca="false">N577*(1-O$563)+N576*O$563</f>
        <v>0</v>
      </c>
    </row>
    <row r="579" customFormat="false" ht="15" hidden="false" customHeight="false" outlineLevel="0" collapsed="false">
      <c r="A579" s="1" t="s">
        <v>94</v>
      </c>
      <c r="C579" s="2" t="n">
        <f aca="false">Schedule!G38</f>
        <v>0.620292847240567</v>
      </c>
      <c r="D579" s="2" t="n">
        <f aca="false">Schedule!L38</f>
        <v>0.999032396786782</v>
      </c>
      <c r="E579" s="2" t="n">
        <f aca="false">Schedule!Q38</f>
        <v>0.721566024768411</v>
      </c>
      <c r="F579" s="2" t="n">
        <f aca="false">Schedule!V38</f>
        <v>0.92904969486101</v>
      </c>
      <c r="G579" s="2" t="n">
        <f aca="false">Schedule!AA38</f>
        <v>0.413422398858449</v>
      </c>
      <c r="H579" s="2" t="n">
        <f aca="false">Schedule!AF38</f>
        <v>0.782672264321914</v>
      </c>
      <c r="I579" s="2" t="n">
        <f aca="false">Schedule!AK38</f>
        <v>0.342279459683951</v>
      </c>
      <c r="J579" s="2" t="n">
        <f aca="false">Schedule!AP38</f>
        <v>0.622669718470157</v>
      </c>
      <c r="K579" s="2" t="n">
        <f aca="false">Schedule!AU38</f>
        <v>0.554682203627567</v>
      </c>
      <c r="L579" s="2" t="n">
        <f aca="false">Schedule!AZ38</f>
        <v>0.682606513358741</v>
      </c>
      <c r="M579" s="2" t="n">
        <f aca="false">Schedule!BE38</f>
        <v>0.671388329230721</v>
      </c>
      <c r="N579" s="2" t="n">
        <f aca="false">Schedule!BJ38</f>
        <v>0.425634311844103</v>
      </c>
      <c r="O579" s="2" t="n">
        <f aca="false">Schedule!BO38</f>
        <v>0</v>
      </c>
    </row>
    <row r="580" customFormat="false" ht="15" hidden="false" customHeight="false" outlineLevel="0" collapsed="false">
      <c r="B580" s="2" t="n">
        <v>0</v>
      </c>
      <c r="C580" s="2" t="n">
        <f aca="false">1-C$579</f>
        <v>0.379707152759433</v>
      </c>
      <c r="D580" s="2" t="n">
        <f aca="false">C580*(1-D$579)</f>
        <v>0.000367405861092005</v>
      </c>
      <c r="E580" s="2" t="n">
        <f aca="false">D580*(1-E$579)</f>
        <v>0.000102298274427232</v>
      </c>
      <c r="F580" s="2" t="n">
        <f aca="false">E580*(1-F$579)</f>
        <v>7.25809378580428E-006</v>
      </c>
      <c r="G580" s="2" t="n">
        <f aca="false">F580*(1-G$579)</f>
        <v>4.25743524173747E-006</v>
      </c>
      <c r="H580" s="2" t="n">
        <f aca="false">G580*(1-H$579)</f>
        <v>9.25258760882887E-007</v>
      </c>
      <c r="I580" s="2" t="n">
        <f aca="false">H580*(1-I$579)</f>
        <v>6.08561692140051E-007</v>
      </c>
      <c r="J580" s="2" t="n">
        <f aca="false">I580*(1-J$579)</f>
        <v>2.29628754623483E-007</v>
      </c>
      <c r="K580" s="2" t="n">
        <f aca="false">J580*(1-K$579)</f>
        <v>1.02257770992676E-007</v>
      </c>
      <c r="L580" s="2" t="n">
        <f aca="false">K580*(1-L$579)</f>
        <v>3.24559504715287E-008</v>
      </c>
      <c r="M580" s="2" t="n">
        <f aca="false">L580*(1-M$579)</f>
        <v>1.0665404110854E-008</v>
      </c>
      <c r="N580" s="2" t="n">
        <f aca="false">M580*(1-N$579)</f>
        <v>6.1258421715914E-009</v>
      </c>
      <c r="O580" s="2" t="n">
        <f aca="false">N580*(1-O$579)</f>
        <v>6.1258421715914E-009</v>
      </c>
    </row>
    <row r="581" customFormat="false" ht="15" hidden="false" customHeight="false" outlineLevel="0" collapsed="false">
      <c r="B581" s="2" t="n">
        <v>1</v>
      </c>
      <c r="C581" s="2" t="n">
        <f aca="false">C$579</f>
        <v>0.620292847240567</v>
      </c>
      <c r="D581" s="2" t="n">
        <f aca="false">C581*(1-D$579)+C580*D$579</f>
        <v>0.379939944250468</v>
      </c>
      <c r="E581" s="2" t="n">
        <f aca="false">D581*(1-E$579)+D580*E$579</f>
        <v>0.106053296613591</v>
      </c>
      <c r="F581" s="2" t="n">
        <f aca="false">E581*(1-F$579)+E580*F$579</f>
        <v>0.00761955393637153</v>
      </c>
      <c r="G581" s="2" t="n">
        <f aca="false">F581*(1-G$579)+F580*G$579</f>
        <v>0.00447246032830954</v>
      </c>
      <c r="H581" s="2" t="n">
        <f aca="false">G581*(1-H$579)+G580*H$579</f>
        <v>0.000975321852542435</v>
      </c>
      <c r="I581" s="2" t="n">
        <f aca="false">H581*(1-I$579)+H580*I$579</f>
        <v>0.000641805912905003</v>
      </c>
      <c r="J581" s="2" t="n">
        <f aca="false">I581*(1-J$579)+I580*J$579</f>
        <v>0.000242551738741479</v>
      </c>
      <c r="K581" s="2" t="n">
        <f aca="false">J581*(1-K$579)+J580*K$579</f>
        <v>0.000108139976786288</v>
      </c>
      <c r="L581" s="2" t="n">
        <f aca="false">K581*(1-L$579)+K580*L$579</f>
        <v>3.4392726098026E-005</v>
      </c>
      <c r="M581" s="2" t="n">
        <f aca="false">L581*(1-M$579)+L580*M$579</f>
        <v>1.13236417317432E-005</v>
      </c>
      <c r="N581" s="2" t="n">
        <f aca="false">M581*(1-N$579)+M580*N$579</f>
        <v>6.50845083762278E-006</v>
      </c>
      <c r="O581" s="2" t="n">
        <f aca="false">N581*(1-O$579)+N580*O$579</f>
        <v>6.50845083762278E-006</v>
      </c>
    </row>
    <row r="582" customFormat="false" ht="15" hidden="false" customHeight="false" outlineLevel="0" collapsed="false">
      <c r="B582" s="2" t="n">
        <v>2</v>
      </c>
      <c r="C582" s="2" t="n">
        <f aca="false">0</f>
        <v>0</v>
      </c>
      <c r="D582" s="2" t="n">
        <f aca="false">C582*(1-D$579)+C581*D$579</f>
        <v>0.61969264988844</v>
      </c>
      <c r="E582" s="2" t="n">
        <f aca="false">D582*(1-E$579)+D581*E$579</f>
        <v>0.446695243153777</v>
      </c>
      <c r="F582" s="2" t="n">
        <f aca="false">E582*(1-F$579)+E581*F$579</f>
        <v>0.130221946663757</v>
      </c>
      <c r="G582" s="2" t="n">
        <f aca="false">F582*(1-G$579)+F581*G$579</f>
        <v>0.0795353713566154</v>
      </c>
      <c r="H582" s="2" t="n">
        <f aca="false">G582*(1-H$579)+G581*H$579</f>
        <v>0.0207857128154969</v>
      </c>
      <c r="I582" s="2" t="n">
        <f aca="false">H582*(1-I$579)+H581*I$579</f>
        <v>0.014005022900569</v>
      </c>
      <c r="J582" s="2" t="n">
        <f aca="false">I582*(1-J$579)+I581*J$579</f>
        <v>0.00568415234100464</v>
      </c>
      <c r="K582" s="2" t="n">
        <f aca="false">J582*(1-K$579)+J581*K$579</f>
        <v>0.00266579332768021</v>
      </c>
      <c r="L582" s="2" t="n">
        <f aca="false">K582*(1-L$579)+K581*L$579</f>
        <v>0.00091992249144621</v>
      </c>
      <c r="M582" s="2" t="n">
        <f aca="false">L582*(1-M$579)+L581*M$579</f>
        <v>0.000325388141805021</v>
      </c>
      <c r="N582" s="2" t="n">
        <f aca="false">M582*(1-N$579)+M581*N$579</f>
        <v>0.000191711514441669</v>
      </c>
      <c r="O582" s="2" t="n">
        <f aca="false">N582*(1-O$579)+N581*O$579</f>
        <v>0.000191711514441669</v>
      </c>
    </row>
    <row r="583" customFormat="false" ht="15" hidden="false" customHeight="false" outlineLevel="0" collapsed="false">
      <c r="B583" s="2" t="n">
        <v>3</v>
      </c>
      <c r="C583" s="2" t="n">
        <f aca="false">0</f>
        <v>0</v>
      </c>
      <c r="D583" s="2" t="n">
        <f aca="false">C583*(1-D$579)+C582*D$579</f>
        <v>0</v>
      </c>
      <c r="E583" s="2" t="n">
        <f aca="false">D583*(1-E$579)+D582*E$579</f>
        <v>0.447149161958205</v>
      </c>
      <c r="F583" s="2" t="n">
        <f aca="false">E583*(1-F$579)+E582*F$579</f>
        <v>0.44672744883146</v>
      </c>
      <c r="G583" s="2" t="n">
        <f aca="false">F583*(1-G$579)+F582*G$579</f>
        <v>0.31587698487339</v>
      </c>
      <c r="H583" s="2" t="n">
        <f aca="false">G583*(1-H$579)+G582*H$579</f>
        <v>0.130898959068721</v>
      </c>
      <c r="I583" s="2" t="n">
        <f aca="false">H583*(1-I$579)+H582*I$579</f>
        <v>0.0932094566371218</v>
      </c>
      <c r="J583" s="2" t="n">
        <f aca="false">I583*(1-J$579)+I582*J$579</f>
        <v>0.0438912541807942</v>
      </c>
      <c r="K583" s="2" t="n">
        <f aca="false">J583*(1-K$579)+J582*K$579</f>
        <v>0.0226984547380769</v>
      </c>
      <c r="L583" s="2" t="n">
        <f aca="false">K583*(1-L$579)+K582*L$579</f>
        <v>0.00902402957942981</v>
      </c>
      <c r="M583" s="2" t="n">
        <f aca="false">L583*(1-M$579)+L582*M$579</f>
        <v>0.00358302666172166</v>
      </c>
      <c r="N583" s="2" t="n">
        <f aca="false">M583*(1-N$579)+M582*N$579</f>
        <v>0.0021964639320601</v>
      </c>
      <c r="O583" s="2" t="n">
        <f aca="false">N583*(1-O$579)+N582*O$579</f>
        <v>0.0021964639320601</v>
      </c>
    </row>
    <row r="584" customFormat="false" ht="15" hidden="false" customHeight="false" outlineLevel="0" collapsed="false">
      <c r="B584" s="2" t="n">
        <v>4</v>
      </c>
      <c r="C584" s="2" t="n">
        <f aca="false">0</f>
        <v>0</v>
      </c>
      <c r="D584" s="2" t="n">
        <f aca="false">C584*(1-D$579)+C583*D$579</f>
        <v>0</v>
      </c>
      <c r="E584" s="2" t="n">
        <f aca="false">D584*(1-E$579)+D583*E$579</f>
        <v>0</v>
      </c>
      <c r="F584" s="2" t="n">
        <f aca="false">E584*(1-F$579)+E583*F$579</f>
        <v>0.415423792474626</v>
      </c>
      <c r="G584" s="2" t="n">
        <f aca="false">F584*(1-G$579)+F583*G$579</f>
        <v>0.428365425178709</v>
      </c>
      <c r="H584" s="2" t="n">
        <f aca="false">G584*(1-H$579)+G583*H$579</f>
        <v>0.340323842894904</v>
      </c>
      <c r="I584" s="2" t="n">
        <f aca="false">H584*(1-I$579)+H583*I$579</f>
        <v>0.268642006814504</v>
      </c>
      <c r="J584" s="2" t="n">
        <f aca="false">I584*(1-J$579)+I583*J$579</f>
        <v>0.159405470185052</v>
      </c>
      <c r="K584" s="2" t="n">
        <f aca="false">J584*(1-K$579)+J583*K$579</f>
        <v>0.0953317903014994</v>
      </c>
      <c r="L584" s="2" t="n">
        <f aca="false">K584*(1-L$579)+K583*L$579</f>
        <v>0.0457518023589361</v>
      </c>
      <c r="M584" s="2" t="n">
        <f aca="false">L584*(1-M$579)+L583*M$579</f>
        <v>0.0210932043561378</v>
      </c>
      <c r="N584" s="2" t="n">
        <f aca="false">M584*(1-N$579)+M583*N$579</f>
        <v>0.013640271922907</v>
      </c>
      <c r="O584" s="2" t="n">
        <f aca="false">N584*(1-O$579)+N583*O$579</f>
        <v>0.013640271922907</v>
      </c>
    </row>
    <row r="585" customFormat="false" ht="15" hidden="false" customHeight="false" outlineLevel="0" collapsed="false">
      <c r="B585" s="2" t="n">
        <v>5</v>
      </c>
      <c r="C585" s="2" t="n">
        <f aca="false">0</f>
        <v>0</v>
      </c>
      <c r="D585" s="2" t="n">
        <f aca="false">C585*(1-D$579)+C584*D$579</f>
        <v>0</v>
      </c>
      <c r="E585" s="2" t="n">
        <f aca="false">D585*(1-E$579)+D584*E$579</f>
        <v>0</v>
      </c>
      <c r="F585" s="2" t="n">
        <f aca="false">E585*(1-F$579)+E584*F$579</f>
        <v>0</v>
      </c>
      <c r="G585" s="2" t="n">
        <f aca="false">F585*(1-G$579)+F584*G$579</f>
        <v>0.171745500827735</v>
      </c>
      <c r="H585" s="2" t="n">
        <f aca="false">G585*(1-H$579)+G584*H$579</f>
        <v>0.37259479808963</v>
      </c>
      <c r="I585" s="2" t="n">
        <f aca="false">H585*(1-I$579)+H584*I$579</f>
        <v>0.361549112982094</v>
      </c>
      <c r="J585" s="2" t="n">
        <f aca="false">I585*(1-J$579)+I584*J$579</f>
        <v>0.303698671340844</v>
      </c>
      <c r="K585" s="2" t="n">
        <f aca="false">J585*(1-K$579)+J584*K$579</f>
        <v>0.223661800555273</v>
      </c>
      <c r="L585" s="2" t="n">
        <f aca="false">K585*(1-L$579)+K584*L$579</f>
        <v>0.136062899696653</v>
      </c>
      <c r="M585" s="2" t="n">
        <f aca="false">L585*(1-M$579)+L584*M$579</f>
        <v>0.0754290829440903</v>
      </c>
      <c r="N585" s="2" t="n">
        <f aca="false">M585*(1-N$579)+M584*N$579</f>
        <v>0.0523018686528625</v>
      </c>
      <c r="O585" s="2" t="n">
        <f aca="false">N585*(1-O$579)+N584*O$579</f>
        <v>0.0523018686528625</v>
      </c>
    </row>
    <row r="586" customFormat="false" ht="15" hidden="false" customHeight="false" outlineLevel="0" collapsed="false">
      <c r="B586" s="2" t="n">
        <v>6</v>
      </c>
      <c r="C586" s="2" t="n">
        <f aca="false">0</f>
        <v>0</v>
      </c>
      <c r="D586" s="2" t="n">
        <f aca="false">C586*(1-D$579)+C585*D$579</f>
        <v>0</v>
      </c>
      <c r="E586" s="2" t="n">
        <f aca="false">D586*(1-E$579)+D585*E$579</f>
        <v>0</v>
      </c>
      <c r="F586" s="2" t="n">
        <f aca="false">E586*(1-F$579)+E585*F$579</f>
        <v>0</v>
      </c>
      <c r="G586" s="2" t="n">
        <f aca="false">F586*(1-G$579)+F585*G$579</f>
        <v>0</v>
      </c>
      <c r="H586" s="2" t="n">
        <f aca="false">G586*(1-H$579)+G585*H$579</f>
        <v>0.134420440019944</v>
      </c>
      <c r="I586" s="2" t="n">
        <f aca="false">H586*(1-I$579)+H585*I$579</f>
        <v>0.215942630610608</v>
      </c>
      <c r="J586" s="2" t="n">
        <f aca="false">I586*(1-J$579)+I585*J$579</f>
        <v>0.306607377996291</v>
      </c>
      <c r="K586" s="2" t="n">
        <f aca="false">J586*(1-K$579)+J585*K$579</f>
        <v>0.304993970178942</v>
      </c>
      <c r="L586" s="2" t="n">
        <f aca="false">K586*(1-L$579)+K585*L$579</f>
        <v>0.249476101448228</v>
      </c>
      <c r="M586" s="2" t="n">
        <f aca="false">L586*(1-M$579)+L585*M$579</f>
        <v>0.173331801411531</v>
      </c>
      <c r="N586" s="2" t="n">
        <f aca="false">M586*(1-N$579)+M585*N$579</f>
        <v>0.131661045208975</v>
      </c>
      <c r="O586" s="2" t="n">
        <f aca="false">N586*(1-O$579)+N585*O$579</f>
        <v>0.131661045208975</v>
      </c>
    </row>
    <row r="587" customFormat="false" ht="15" hidden="false" customHeight="false" outlineLevel="0" collapsed="false">
      <c r="B587" s="2" t="n">
        <v>7</v>
      </c>
      <c r="C587" s="2" t="n">
        <f aca="false">0</f>
        <v>0</v>
      </c>
      <c r="D587" s="2" t="n">
        <f aca="false">C587*(1-D$579)+C586*D$579</f>
        <v>0</v>
      </c>
      <c r="E587" s="2" t="n">
        <f aca="false">D587*(1-E$579)+D586*E$579</f>
        <v>0</v>
      </c>
      <c r="F587" s="2" t="n">
        <f aca="false">E587*(1-F$579)+E586*F$579</f>
        <v>0</v>
      </c>
      <c r="G587" s="2" t="n">
        <f aca="false">F587*(1-G$579)+F586*G$579</f>
        <v>0</v>
      </c>
      <c r="H587" s="2" t="n">
        <f aca="false">G587*(1-H$579)+G586*H$579</f>
        <v>0</v>
      </c>
      <c r="I587" s="2" t="n">
        <f aca="false">H587*(1-I$579)+H586*I$579</f>
        <v>0.0460093555805054</v>
      </c>
      <c r="J587" s="2" t="n">
        <f aca="false">I587*(1-J$579)+I586*J$579</f>
        <v>0.151821660102211</v>
      </c>
      <c r="K587" s="2" t="n">
        <f aca="false">J587*(1-K$579)+J586*K$579</f>
        <v>0.237678543193775</v>
      </c>
      <c r="L587" s="2" t="n">
        <f aca="false">K587*(1-L$579)+K586*L$579</f>
        <v>0.283628492103374</v>
      </c>
      <c r="M587" s="2" t="n">
        <f aca="false">L587*(1-M$579)+L586*M$579</f>
        <v>0.260698975602181</v>
      </c>
      <c r="N587" s="2" t="n">
        <f aca="false">M587*(1-N$579)+M586*N$579</f>
        <v>0.22351250853778</v>
      </c>
      <c r="O587" s="2" t="n">
        <f aca="false">N587*(1-O$579)+N586*O$579</f>
        <v>0.22351250853778</v>
      </c>
    </row>
    <row r="588" customFormat="false" ht="15" hidden="false" customHeight="false" outlineLevel="0" collapsed="false">
      <c r="B588" s="2" t="n">
        <v>8</v>
      </c>
      <c r="C588" s="2" t="n">
        <f aca="false">0</f>
        <v>0</v>
      </c>
      <c r="D588" s="2" t="n">
        <f aca="false">C588*(1-D$579)+C587*D$579</f>
        <v>0</v>
      </c>
      <c r="E588" s="2" t="n">
        <f aca="false">D588*(1-E$579)+D587*E$579</f>
        <v>0</v>
      </c>
      <c r="F588" s="2" t="n">
        <f aca="false">E588*(1-F$579)+E587*F$579</f>
        <v>0</v>
      </c>
      <c r="G588" s="2" t="n">
        <f aca="false">F588*(1-G$579)+F587*G$579</f>
        <v>0</v>
      </c>
      <c r="H588" s="2" t="n">
        <f aca="false">G588*(1-H$579)+G587*H$579</f>
        <v>0</v>
      </c>
      <c r="I588" s="2" t="n">
        <f aca="false">H588*(1-I$579)+H587*I$579</f>
        <v>0</v>
      </c>
      <c r="J588" s="2" t="n">
        <f aca="false">I588*(1-J$579)+I587*J$579</f>
        <v>0.0286486324863067</v>
      </c>
      <c r="K588" s="2" t="n">
        <f aca="false">J588*(1-K$579)+J587*K$579</f>
        <v>0.0969705188717758</v>
      </c>
      <c r="L588" s="2" t="n">
        <f aca="false">K588*(1-L$579)+K587*L$579</f>
        <v>0.193018732755812</v>
      </c>
      <c r="M588" s="2" t="n">
        <f aca="false">L588*(1-M$579)+L587*M$579</f>
        <v>0.25385306769617</v>
      </c>
      <c r="N588" s="2" t="n">
        <f aca="false">M588*(1-N$579)+M587*N$579</f>
        <v>0.256766920996693</v>
      </c>
      <c r="O588" s="2" t="n">
        <f aca="false">N588*(1-O$579)+N587*O$579</f>
        <v>0.256766920996693</v>
      </c>
    </row>
    <row r="589" customFormat="false" ht="15" hidden="false" customHeight="false" outlineLevel="0" collapsed="false">
      <c r="B589" s="2" t="n">
        <v>9</v>
      </c>
      <c r="C589" s="2" t="n">
        <f aca="false">0</f>
        <v>0</v>
      </c>
      <c r="D589" s="2" t="n">
        <f aca="false">C589*(1-D$579)+C588*D$579</f>
        <v>0</v>
      </c>
      <c r="E589" s="2" t="n">
        <f aca="false">D589*(1-E$579)+D588*E$579</f>
        <v>0</v>
      </c>
      <c r="F589" s="2" t="n">
        <f aca="false">E589*(1-F$579)+E588*F$579</f>
        <v>0</v>
      </c>
      <c r="G589" s="2" t="n">
        <f aca="false">F589*(1-G$579)+F588*G$579</f>
        <v>0</v>
      </c>
      <c r="H589" s="2" t="n">
        <f aca="false">G589*(1-H$579)+G588*H$579</f>
        <v>0</v>
      </c>
      <c r="I589" s="2" t="n">
        <f aca="false">H589*(1-I$579)+H588*I$579</f>
        <v>0</v>
      </c>
      <c r="J589" s="2" t="n">
        <f aca="false">I589*(1-J$579)+I588*J$579</f>
        <v>0</v>
      </c>
      <c r="K589" s="2" t="n">
        <f aca="false">J589*(1-K$579)+J588*K$579</f>
        <v>0.0158908865984209</v>
      </c>
      <c r="L589" s="2" t="n">
        <f aca="false">K589*(1-L$579)+K588*L$579</f>
        <v>0.0712363716889445</v>
      </c>
      <c r="M589" s="2" t="n">
        <f aca="false">L589*(1-M$579)+L588*M$579</f>
        <v>0.152999627615401</v>
      </c>
      <c r="N589" s="2" t="n">
        <f aca="false">M589*(1-N$579)+M588*N$579</f>
        <v>0.19592631218129</v>
      </c>
      <c r="O589" s="2" t="n">
        <f aca="false">N589*(1-O$579)+N588*O$579</f>
        <v>0.19592631218129</v>
      </c>
    </row>
    <row r="590" customFormat="false" ht="15" hidden="false" customHeight="false" outlineLevel="0" collapsed="false">
      <c r="B590" s="2" t="n">
        <v>10</v>
      </c>
      <c r="C590" s="2" t="n">
        <f aca="false">0</f>
        <v>0</v>
      </c>
      <c r="D590" s="2" t="n">
        <f aca="false">C590*(1-D$579)+C589*D$579</f>
        <v>0</v>
      </c>
      <c r="E590" s="2" t="n">
        <f aca="false">D590*(1-E$579)+D589*E$579</f>
        <v>0</v>
      </c>
      <c r="F590" s="2" t="n">
        <f aca="false">E590*(1-F$579)+E589*F$579</f>
        <v>0</v>
      </c>
      <c r="G590" s="2" t="n">
        <f aca="false">F590*(1-G$579)+F589*G$579</f>
        <v>0</v>
      </c>
      <c r="H590" s="2" t="n">
        <f aca="false">G590*(1-H$579)+G589*H$579</f>
        <v>0</v>
      </c>
      <c r="I590" s="2" t="n">
        <f aca="false">H590*(1-I$579)+H589*I$579</f>
        <v>0</v>
      </c>
      <c r="J590" s="2" t="n">
        <f aca="false">I590*(1-J$579)+I589*J$579</f>
        <v>0</v>
      </c>
      <c r="K590" s="2" t="n">
        <f aca="false">J590*(1-K$579)+J589*K$579</f>
        <v>0</v>
      </c>
      <c r="L590" s="2" t="n">
        <f aca="false">K590*(1-L$579)+K589*L$579</f>
        <v>0.0108472226951272</v>
      </c>
      <c r="M590" s="2" t="n">
        <f aca="false">L590*(1-M$579)+L589*M$579</f>
        <v>0.0513917925417513</v>
      </c>
      <c r="N590" s="2" t="n">
        <f aca="false">M590*(1-N$579)+M589*N$579</f>
        <v>0.0946395735012934</v>
      </c>
      <c r="O590" s="2" t="n">
        <f aca="false">N590*(1-O$579)+N589*O$579</f>
        <v>0.0946395735012934</v>
      </c>
    </row>
    <row r="591" customFormat="false" ht="15" hidden="false" customHeight="false" outlineLevel="0" collapsed="false">
      <c r="B591" s="2" t="n">
        <v>11</v>
      </c>
      <c r="C591" s="2" t="n">
        <f aca="false">0</f>
        <v>0</v>
      </c>
      <c r="D591" s="2" t="n">
        <f aca="false">C591*(1-D$579)+C590*D$579</f>
        <v>0</v>
      </c>
      <c r="E591" s="2" t="n">
        <f aca="false">D591*(1-E$579)+D590*E$579</f>
        <v>0</v>
      </c>
      <c r="F591" s="2" t="n">
        <f aca="false">E591*(1-F$579)+E590*F$579</f>
        <v>0</v>
      </c>
      <c r="G591" s="2" t="n">
        <f aca="false">F591*(1-G$579)+F590*G$579</f>
        <v>0</v>
      </c>
      <c r="H591" s="2" t="n">
        <f aca="false">G591*(1-H$579)+G590*H$579</f>
        <v>0</v>
      </c>
      <c r="I591" s="2" t="n">
        <f aca="false">H591*(1-I$579)+H590*I$579</f>
        <v>0</v>
      </c>
      <c r="J591" s="2" t="n">
        <f aca="false">I591*(1-J$579)+I590*J$579</f>
        <v>0</v>
      </c>
      <c r="K591" s="2" t="n">
        <f aca="false">J591*(1-K$579)+J590*K$579</f>
        <v>0</v>
      </c>
      <c r="L591" s="2" t="n">
        <f aca="false">K591*(1-L$579)+K590*L$579</f>
        <v>0</v>
      </c>
      <c r="M591" s="2" t="n">
        <f aca="false">L591*(1-M$579)+L590*M$579</f>
        <v>0.00728269872207502</v>
      </c>
      <c r="N591" s="2" t="n">
        <f aca="false">M591*(1-N$579)+M590*N$579</f>
        <v>0.0260570425160799</v>
      </c>
      <c r="O591" s="2" t="n">
        <f aca="false">N591*(1-O$579)+N590*O$579</f>
        <v>0.0260570425160799</v>
      </c>
    </row>
    <row r="592" customFormat="false" ht="15" hidden="false" customHeight="false" outlineLevel="0" collapsed="false">
      <c r="B592" s="2" t="n">
        <v>12</v>
      </c>
      <c r="C592" s="2" t="n">
        <f aca="false">0</f>
        <v>0</v>
      </c>
      <c r="D592" s="2" t="n">
        <f aca="false">C592*(1-D$579)+C591*D$579</f>
        <v>0</v>
      </c>
      <c r="E592" s="2" t="n">
        <f aca="false">D592*(1-E$579)+D591*E$579</f>
        <v>0</v>
      </c>
      <c r="F592" s="2" t="n">
        <f aca="false">E592*(1-F$579)+E591*F$579</f>
        <v>0</v>
      </c>
      <c r="G592" s="2" t="n">
        <f aca="false">F592*(1-G$579)+F591*G$579</f>
        <v>0</v>
      </c>
      <c r="H592" s="2" t="n">
        <f aca="false">G592*(1-H$579)+G591*H$579</f>
        <v>0</v>
      </c>
      <c r="I592" s="2" t="n">
        <f aca="false">H592*(1-I$579)+H591*I$579</f>
        <v>0</v>
      </c>
      <c r="J592" s="2" t="n">
        <f aca="false">I592*(1-J$579)+I591*J$579</f>
        <v>0</v>
      </c>
      <c r="K592" s="2" t="n">
        <f aca="false">J592*(1-K$579)+J591*K$579</f>
        <v>0</v>
      </c>
      <c r="L592" s="2" t="n">
        <f aca="false">K592*(1-L$579)+K591*L$579</f>
        <v>0</v>
      </c>
      <c r="M592" s="2" t="n">
        <f aca="false">L592*(1-M$579)+L591*M$579</f>
        <v>0</v>
      </c>
      <c r="N592" s="2" t="n">
        <f aca="false">M592*(1-N$579)+M591*N$579</f>
        <v>0.00309976645893833</v>
      </c>
      <c r="O592" s="2" t="n">
        <f aca="false">N592*(1-O$579)+N591*O$579</f>
        <v>0.00309976645893833</v>
      </c>
    </row>
    <row r="593" customFormat="false" ht="15" hidden="false" customHeight="false" outlineLevel="0" collapsed="false">
      <c r="B593" s="2" t="n">
        <v>13</v>
      </c>
      <c r="C593" s="2" t="n">
        <f aca="false">0</f>
        <v>0</v>
      </c>
      <c r="D593" s="2" t="n">
        <f aca="false">C593*(1-D$579)+C592*D$579</f>
        <v>0</v>
      </c>
      <c r="E593" s="2" t="n">
        <f aca="false">D593*(1-E$579)+D592*E$579</f>
        <v>0</v>
      </c>
      <c r="F593" s="2" t="n">
        <f aca="false">E593*(1-F$579)+E592*F$579</f>
        <v>0</v>
      </c>
      <c r="G593" s="2" t="n">
        <f aca="false">F593*(1-G$579)+F592*G$579</f>
        <v>0</v>
      </c>
      <c r="H593" s="2" t="n">
        <f aca="false">G593*(1-H$579)+G592*H$579</f>
        <v>0</v>
      </c>
      <c r="I593" s="2" t="n">
        <f aca="false">H593*(1-I$579)+H592*I$579</f>
        <v>0</v>
      </c>
      <c r="J593" s="2" t="n">
        <f aca="false">I593*(1-J$579)+I592*J$579</f>
        <v>0</v>
      </c>
      <c r="K593" s="2" t="n">
        <f aca="false">J593*(1-K$579)+J592*K$579</f>
        <v>0</v>
      </c>
      <c r="L593" s="2" t="n">
        <f aca="false">K593*(1-L$579)+K592*L$579</f>
        <v>0</v>
      </c>
      <c r="M593" s="2" t="n">
        <f aca="false">L593*(1-M$579)+L592*M$579</f>
        <v>0</v>
      </c>
      <c r="N593" s="2" t="n">
        <f aca="false">M593*(1-N$579)+M592*N$579</f>
        <v>0</v>
      </c>
      <c r="O593" s="2" t="n">
        <f aca="false">N593*(1-O$579)+N592*O$579</f>
        <v>0</v>
      </c>
    </row>
    <row r="595" customFormat="false" ht="15" hidden="false" customHeight="false" outlineLevel="0" collapsed="false">
      <c r="A595" s="1" t="s">
        <v>95</v>
      </c>
      <c r="C595" s="2" t="n">
        <f aca="false">Schedule!G39</f>
        <v>0.833665030507882</v>
      </c>
      <c r="D595" s="2" t="n">
        <f aca="false">Schedule!L39</f>
        <v>0.998311995128459</v>
      </c>
      <c r="E595" s="2" t="n">
        <f aca="false">Schedule!Q39</f>
        <v>0.145427006388604</v>
      </c>
      <c r="F595" s="2" t="n">
        <f aca="false">Schedule!V39</f>
        <v>0.836765263568869</v>
      </c>
      <c r="G595" s="2" t="n">
        <f aca="false">Schedule!AA39</f>
        <v>0.69584943984712</v>
      </c>
      <c r="H595" s="2" t="n">
        <f aca="false">Schedule!AF39</f>
        <v>0.394061036152246</v>
      </c>
      <c r="I595" s="2" t="n">
        <f aca="false">Schedule!AK39</f>
        <v>0.574365688155897</v>
      </c>
      <c r="J595" s="2" t="n">
        <f aca="false">Schedule!AP39</f>
        <v>0.379707152759433</v>
      </c>
      <c r="K595" s="2" t="n">
        <f aca="false">Schedule!AU39</f>
        <v>0.666856699123512</v>
      </c>
      <c r="L595" s="2" t="n">
        <f aca="false">Schedule!AZ39</f>
        <v>0.603532007320995</v>
      </c>
      <c r="M595" s="2" t="n">
        <f aca="false">Schedule!BE39</f>
        <v>0.650806957537142</v>
      </c>
      <c r="N595" s="2" t="n">
        <f aca="false">Schedule!BJ39</f>
        <v>0.648491124483723</v>
      </c>
      <c r="O595" s="2" t="n">
        <f aca="false">Schedule!BO39</f>
        <v>0</v>
      </c>
    </row>
    <row r="596" customFormat="false" ht="15" hidden="false" customHeight="false" outlineLevel="0" collapsed="false">
      <c r="B596" s="2" t="n">
        <v>0</v>
      </c>
      <c r="C596" s="2" t="n">
        <f aca="false">1-C$595</f>
        <v>0.166334969492118</v>
      </c>
      <c r="D596" s="2" t="n">
        <f aca="false">C596*(1-D$595)</f>
        <v>0.000280774238810315</v>
      </c>
      <c r="E596" s="2" t="n">
        <f aca="false">D596*(1-E$595)</f>
        <v>0.000239942081789092</v>
      </c>
      <c r="F596" s="2" t="n">
        <f aca="false">E596*(1-F$595)</f>
        <v>3.91668824795793E-005</v>
      </c>
      <c r="G596" s="2" t="n">
        <f aca="false">F596*(1-G$595)</f>
        <v>1.1912629245606E-005</v>
      </c>
      <c r="H596" s="2" t="n">
        <f aca="false">G596*(1-H$595)</f>
        <v>7.21832622178499E-006</v>
      </c>
      <c r="I596" s="2" t="n">
        <f aca="false">H596*(1-I$595)</f>
        <v>3.0723673140757E-006</v>
      </c>
      <c r="J596" s="2" t="n">
        <f aca="false">I596*(1-J$595)</f>
        <v>1.90576746901687E-006</v>
      </c>
      <c r="K596" s="2" t="n">
        <f aca="false">J596*(1-K$595)</f>
        <v>6.34893665331309E-007</v>
      </c>
      <c r="L596" s="2" t="n">
        <f aca="false">K596*(1-L$595)</f>
        <v>2.5171501705852E-007</v>
      </c>
      <c r="M596" s="2" t="n">
        <f aca="false">L596*(1-M$595)</f>
        <v>8.78971326402549E-008</v>
      </c>
      <c r="N596" s="2" t="n">
        <f aca="false">M596*(1-N$595)</f>
        <v>3.0896622255481E-008</v>
      </c>
      <c r="O596" s="2" t="n">
        <f aca="false">N596*(1-O$595)</f>
        <v>3.0896622255481E-008</v>
      </c>
    </row>
    <row r="597" customFormat="false" ht="15" hidden="false" customHeight="false" outlineLevel="0" collapsed="false">
      <c r="B597" s="2" t="n">
        <v>1</v>
      </c>
      <c r="C597" s="2" t="n">
        <f aca="false">C$595</f>
        <v>0.833665030507882</v>
      </c>
      <c r="D597" s="2" t="n">
        <f aca="false">C597*(1-D$595)+C596*D$595</f>
        <v>0.167461425886039</v>
      </c>
      <c r="E597" s="2" t="n">
        <f aca="false">D597*(1-E$595)+D596*E$595</f>
        <v>0.143148844190886</v>
      </c>
      <c r="F597" s="2" t="n">
        <f aca="false">E597*(1-F$595)+E596*F$595</f>
        <v>0.0235676390512299</v>
      </c>
      <c r="G597" s="2" t="n">
        <f aca="false">F597*(1-G$595)+F596*G$595</f>
        <v>0.00719536487214643</v>
      </c>
      <c r="H597" s="2" t="n">
        <f aca="false">G597*(1-H$595)+G596*H$595</f>
        <v>0.00436464623815876</v>
      </c>
      <c r="I597" s="2" t="n">
        <f aca="false">H597*(1-I$595)+H596*I$595</f>
        <v>0.00186188915692936</v>
      </c>
      <c r="J597" s="2" t="n">
        <f aca="false">I597*(1-J$595)+I596*J$595</f>
        <v>0.00115608312624311</v>
      </c>
      <c r="K597" s="2" t="n">
        <f aca="false">J597*(1-K$595)+J596*K$595</f>
        <v>0.000386412222567926</v>
      </c>
      <c r="L597" s="2" t="n">
        <f aca="false">K597*(1-L$595)+K596*L$595</f>
        <v>0.000153583256876411</v>
      </c>
      <c r="M597" s="2" t="n">
        <f aca="false">L597*(1-M$595)+L596*M$595</f>
        <v>5.3794022624447E-005</v>
      </c>
      <c r="N597" s="2" t="n">
        <f aca="false">M597*(1-N$595)+M596*N$595</f>
        <v>1.89660769126013E-005</v>
      </c>
      <c r="O597" s="2" t="n">
        <f aca="false">N597*(1-O$595)+N596*O$595</f>
        <v>1.89660769126013E-005</v>
      </c>
    </row>
    <row r="598" customFormat="false" ht="15" hidden="false" customHeight="false" outlineLevel="0" collapsed="false">
      <c r="B598" s="2" t="n">
        <v>2</v>
      </c>
      <c r="C598" s="2" t="n">
        <f aca="false">0</f>
        <v>0</v>
      </c>
      <c r="D598" s="2" t="n">
        <f aca="false">C598*(1-D$595)+C597*D$595</f>
        <v>0.832257799875151</v>
      </c>
      <c r="E598" s="2" t="n">
        <f aca="false">D598*(1-E$595)+D597*E$595</f>
        <v>0.735578453347915</v>
      </c>
      <c r="F598" s="2" t="n">
        <f aca="false">E598*(1-F$595)+E597*F$595</f>
        <v>0.239853935295632</v>
      </c>
      <c r="G598" s="2" t="n">
        <f aca="false">F598*(1-G$595)+F597*G$595</f>
        <v>0.0893512372073565</v>
      </c>
      <c r="H598" s="2" t="n">
        <f aca="false">G598*(1-H$595)+G597*H$595</f>
        <v>0.056976809028952</v>
      </c>
      <c r="I598" s="2" t="n">
        <f aca="false">H598*(1-I$595)+H597*I$595</f>
        <v>0.0267581879422479</v>
      </c>
      <c r="J598" s="2" t="n">
        <f aca="false">I598*(1-J$595)+I597*J$595</f>
        <v>0.0173048852162265</v>
      </c>
      <c r="K598" s="2" t="n">
        <f aca="false">J598*(1-K$595)+J597*K$595</f>
        <v>0.00653594835970131</v>
      </c>
      <c r="L598" s="2" t="n">
        <f aca="false">K598*(1-L$595)+K597*L$595</f>
        <v>0.0028245064707642</v>
      </c>
      <c r="M598" s="2" t="n">
        <f aca="false">L598*(1-M$595)+L597*M$595</f>
        <v>0.00108625106011856</v>
      </c>
      <c r="N598" s="2" t="n">
        <f aca="false">M598*(1-N$595)+M597*N$595</f>
        <v>0.000416711834892871</v>
      </c>
      <c r="O598" s="2" t="n">
        <f aca="false">N598*(1-O$595)+N597*O$595</f>
        <v>0.000416711834892871</v>
      </c>
    </row>
    <row r="599" customFormat="false" ht="15" hidden="false" customHeight="false" outlineLevel="0" collapsed="false">
      <c r="B599" s="2" t="n">
        <v>3</v>
      </c>
      <c r="C599" s="2" t="n">
        <f aca="false">0</f>
        <v>0</v>
      </c>
      <c r="D599" s="2" t="n">
        <f aca="false">C599*(1-D$595)+C598*D$595</f>
        <v>0</v>
      </c>
      <c r="E599" s="2" t="n">
        <f aca="false">D599*(1-E$595)+D598*E$595</f>
        <v>0.121032760379409</v>
      </c>
      <c r="F599" s="2" t="n">
        <f aca="false">E599*(1-F$595)+E598*F$595</f>
        <v>0.635263249131314</v>
      </c>
      <c r="G599" s="2" t="n">
        <f aca="false">F599*(1-G$595)+F598*G$595</f>
        <v>0.360117899588421</v>
      </c>
      <c r="H599" s="2" t="n">
        <f aca="false">G599*(1-H$595)+G598*H$595</f>
        <v>0.253419308055053</v>
      </c>
      <c r="I599" s="2" t="n">
        <f aca="false">H599*(1-I$595)+H598*I$595</f>
        <v>0.140589476918862</v>
      </c>
      <c r="J599" s="2" t="n">
        <f aca="false">I599*(1-J$595)+I598*J$595</f>
        <v>0.0973669222866159</v>
      </c>
      <c r="K599" s="2" t="n">
        <f aca="false">J599*(1-K$595)+J598*K$595</f>
        <v>0.0439770165207518</v>
      </c>
      <c r="L599" s="2" t="n">
        <f aca="false">K599*(1-L$595)+K598*L$595</f>
        <v>0.0213801334972708</v>
      </c>
      <c r="M599" s="2" t="n">
        <f aca="false">L599*(1-M$595)+L598*M$595</f>
        <v>0.00930400232695608</v>
      </c>
      <c r="N599" s="2" t="n">
        <f aca="false">M599*(1-N$595)+M598*N$595</f>
        <v>0.00397486356719708</v>
      </c>
      <c r="O599" s="2" t="n">
        <f aca="false">N599*(1-O$595)+N598*O$595</f>
        <v>0.00397486356719708</v>
      </c>
    </row>
    <row r="600" customFormat="false" ht="15" hidden="false" customHeight="false" outlineLevel="0" collapsed="false">
      <c r="B600" s="2" t="n">
        <v>4</v>
      </c>
      <c r="C600" s="2" t="n">
        <f aca="false">0</f>
        <v>0</v>
      </c>
      <c r="D600" s="2" t="n">
        <f aca="false">C600*(1-D$595)+C599*D$595</f>
        <v>0</v>
      </c>
      <c r="E600" s="2" t="n">
        <f aca="false">D600*(1-E$595)+D599*E$595</f>
        <v>0</v>
      </c>
      <c r="F600" s="2" t="n">
        <f aca="false">E600*(1-F$595)+E599*F$595</f>
        <v>0.101276009639344</v>
      </c>
      <c r="G600" s="2" t="n">
        <f aca="false">F600*(1-G$595)+F599*G$595</f>
        <v>0.472850731125342</v>
      </c>
      <c r="H600" s="2" t="n">
        <f aca="false">G600*(1-H$595)+G599*H$595</f>
        <v>0.428427114721526</v>
      </c>
      <c r="I600" s="2" t="n">
        <f aca="false">H600*(1-I$595)+H599*I$595</f>
        <v>0.327908635412883</v>
      </c>
      <c r="J600" s="2" t="n">
        <f aca="false">I600*(1-J$595)+I599*J$595</f>
        <v>0.256782211083826</v>
      </c>
      <c r="K600" s="2" t="n">
        <f aca="false">J600*(1-K$595)+J599*K$595</f>
        <v>0.150475057806697</v>
      </c>
      <c r="L600" s="2" t="n">
        <f aca="false">K600*(1-L$595)+K599*L$595</f>
        <v>0.0862000811736363</v>
      </c>
      <c r="M600" s="2" t="n">
        <f aca="false">L600*(1-M$595)+L599*M$595</f>
        <v>0.0440148082386641</v>
      </c>
      <c r="N600" s="2" t="n">
        <f aca="false">M600*(1-N$595)+M599*N$595</f>
        <v>0.0215051586812443</v>
      </c>
      <c r="O600" s="2" t="n">
        <f aca="false">N600*(1-O$595)+N599*O$595</f>
        <v>0.0215051586812443</v>
      </c>
    </row>
    <row r="601" customFormat="false" ht="15" hidden="false" customHeight="false" outlineLevel="0" collapsed="false">
      <c r="B601" s="2" t="n">
        <v>5</v>
      </c>
      <c r="C601" s="2" t="n">
        <f aca="false">0</f>
        <v>0</v>
      </c>
      <c r="D601" s="2" t="n">
        <f aca="false">C601*(1-D$595)+C600*D$595</f>
        <v>0</v>
      </c>
      <c r="E601" s="2" t="n">
        <f aca="false">D601*(1-E$595)+D600*E$595</f>
        <v>0</v>
      </c>
      <c r="F601" s="2" t="n">
        <f aca="false">E601*(1-F$595)+E600*F$595</f>
        <v>0</v>
      </c>
      <c r="G601" s="2" t="n">
        <f aca="false">F601*(1-G$595)+F600*G$595</f>
        <v>0.0704728545774893</v>
      </c>
      <c r="H601" s="2" t="n">
        <f aca="false">G601*(1-H$595)+G600*H$595</f>
        <v>0.229034297534676</v>
      </c>
      <c r="I601" s="2" t="n">
        <f aca="false">H601*(1-I$595)+H600*I$595</f>
        <v>0.343558690191544</v>
      </c>
      <c r="J601" s="2" t="n">
        <f aca="false">I601*(1-J$595)+I600*J$595</f>
        <v>0.33761625245101</v>
      </c>
      <c r="K601" s="2" t="n">
        <f aca="false">J601*(1-K$595)+J600*K$595</f>
        <v>0.283711530448076</v>
      </c>
      <c r="L601" s="2" t="n">
        <f aca="false">K601*(1-L$595)+K600*L$595</f>
        <v>0.203299054666456</v>
      </c>
      <c r="M601" s="2" t="n">
        <f aca="false">L601*(1-M$595)+L600*M$595</f>
        <v>0.127090227996871</v>
      </c>
      <c r="N601" s="2" t="n">
        <f aca="false">M601*(1-N$595)+M600*N$595</f>
        <v>0.0732165556209143</v>
      </c>
      <c r="O601" s="2" t="n">
        <f aca="false">N601*(1-O$595)+N600*O$595</f>
        <v>0.0732165556209143</v>
      </c>
    </row>
    <row r="602" customFormat="false" ht="15" hidden="false" customHeight="false" outlineLevel="0" collapsed="false">
      <c r="B602" s="2" t="n">
        <v>6</v>
      </c>
      <c r="C602" s="2" t="n">
        <f aca="false">0</f>
        <v>0</v>
      </c>
      <c r="D602" s="2" t="n">
        <f aca="false">C602*(1-D$595)+C601*D$595</f>
        <v>0</v>
      </c>
      <c r="E602" s="2" t="n">
        <f aca="false">D602*(1-E$595)+D601*E$595</f>
        <v>0</v>
      </c>
      <c r="F602" s="2" t="n">
        <f aca="false">E602*(1-F$595)+E601*F$595</f>
        <v>0</v>
      </c>
      <c r="G602" s="2" t="n">
        <f aca="false">F602*(1-G$595)+F601*G$595</f>
        <v>0</v>
      </c>
      <c r="H602" s="2" t="n">
        <f aca="false">G602*(1-H$595)+G601*H$595</f>
        <v>0.0277706060954119</v>
      </c>
      <c r="I602" s="2" t="n">
        <f aca="false">H602*(1-I$595)+H601*I$595</f>
        <v>0.143369564729721</v>
      </c>
      <c r="J602" s="2" t="n">
        <f aca="false">I602*(1-J$595)+I601*J$595</f>
        <v>0.219382807572231</v>
      </c>
      <c r="K602" s="2" t="n">
        <f aca="false">J602*(1-K$595)+J601*K$595</f>
        <v>0.298227572350095</v>
      </c>
      <c r="L602" s="2" t="n">
        <f aca="false">K602*(1-L$595)+K601*L$595</f>
        <v>0.289466676442614</v>
      </c>
      <c r="M602" s="2" t="n">
        <f aca="false">L602*(1-M$595)+L601*M$595</f>
        <v>0.233388188676261</v>
      </c>
      <c r="N602" s="2" t="n">
        <f aca="false">M602*(1-N$595)+M601*N$595</f>
        <v>0.164454904624957</v>
      </c>
      <c r="O602" s="2" t="n">
        <f aca="false">N602*(1-O$595)+N601*O$595</f>
        <v>0.164454904624957</v>
      </c>
    </row>
    <row r="603" customFormat="false" ht="15" hidden="false" customHeight="false" outlineLevel="0" collapsed="false">
      <c r="B603" s="2" t="n">
        <v>7</v>
      </c>
      <c r="C603" s="2" t="n">
        <f aca="false">0</f>
        <v>0</v>
      </c>
      <c r="D603" s="2" t="n">
        <f aca="false">C603*(1-D$595)+C602*D$595</f>
        <v>0</v>
      </c>
      <c r="E603" s="2" t="n">
        <f aca="false">D603*(1-E$595)+D602*E$595</f>
        <v>0</v>
      </c>
      <c r="F603" s="2" t="n">
        <f aca="false">E603*(1-F$595)+E602*F$595</f>
        <v>0</v>
      </c>
      <c r="G603" s="2" t="n">
        <f aca="false">F603*(1-G$595)+F602*G$595</f>
        <v>0</v>
      </c>
      <c r="H603" s="2" t="n">
        <f aca="false">G603*(1-H$595)+G602*H$595</f>
        <v>0</v>
      </c>
      <c r="I603" s="2" t="n">
        <f aca="false">H603*(1-I$595)+H602*I$595</f>
        <v>0.0159504832804976</v>
      </c>
      <c r="J603" s="2" t="n">
        <f aca="false">I603*(1-J$595)+I602*J$595</f>
        <v>0.0643324199048046</v>
      </c>
      <c r="K603" s="2" t="n">
        <f aca="false">J603*(1-K$595)+J602*K$595</f>
        <v>0.167728809622525</v>
      </c>
      <c r="L603" s="2" t="n">
        <f aca="false">K603*(1-L$595)+K602*L$595</f>
        <v>0.246488989844402</v>
      </c>
      <c r="M603" s="2" t="n">
        <f aca="false">L603*(1-M$595)+L602*M$595</f>
        <v>0.274459167301369</v>
      </c>
      <c r="N603" s="2" t="n">
        <f aca="false">M603*(1-N$595)+M602*N$595</f>
        <v>0.247825002189126</v>
      </c>
      <c r="O603" s="2" t="n">
        <f aca="false">N603*(1-O$595)+N602*O$595</f>
        <v>0.247825002189126</v>
      </c>
    </row>
    <row r="604" customFormat="false" ht="15" hidden="false" customHeight="false" outlineLevel="0" collapsed="false">
      <c r="B604" s="2" t="n">
        <v>8</v>
      </c>
      <c r="C604" s="2" t="n">
        <f aca="false">0</f>
        <v>0</v>
      </c>
      <c r="D604" s="2" t="n">
        <f aca="false">C604*(1-D$595)+C603*D$595</f>
        <v>0</v>
      </c>
      <c r="E604" s="2" t="n">
        <f aca="false">D604*(1-E$595)+D603*E$595</f>
        <v>0</v>
      </c>
      <c r="F604" s="2" t="n">
        <f aca="false">E604*(1-F$595)+E603*F$595</f>
        <v>0</v>
      </c>
      <c r="G604" s="2" t="n">
        <f aca="false">F604*(1-G$595)+F603*G$595</f>
        <v>0</v>
      </c>
      <c r="H604" s="2" t="n">
        <f aca="false">G604*(1-H$595)+G603*H$595</f>
        <v>0</v>
      </c>
      <c r="I604" s="2" t="n">
        <f aca="false">H604*(1-I$595)+H603*I$595</f>
        <v>0</v>
      </c>
      <c r="J604" s="2" t="n">
        <f aca="false">I604*(1-J$595)+I603*J$595</f>
        <v>0.0060565125915747</v>
      </c>
      <c r="K604" s="2" t="n">
        <f aca="false">J604*(1-K$595)+J603*K$595</f>
        <v>0.0449181917809029</v>
      </c>
      <c r="L604" s="2" t="n">
        <f aca="false">K604*(1-L$595)+K603*L$595</f>
        <v>0.119038330487189</v>
      </c>
      <c r="M604" s="2" t="n">
        <f aca="false">L604*(1-M$595)+L603*M$595</f>
        <v>0.201984106339559</v>
      </c>
      <c r="N604" s="2" t="n">
        <f aca="false">M604*(1-N$595)+M603*N$595</f>
        <v>0.24898354011971</v>
      </c>
      <c r="O604" s="2" t="n">
        <f aca="false">N604*(1-O$595)+N603*O$595</f>
        <v>0.24898354011971</v>
      </c>
    </row>
    <row r="605" customFormat="false" ht="15" hidden="false" customHeight="false" outlineLevel="0" collapsed="false">
      <c r="B605" s="2" t="n">
        <v>9</v>
      </c>
      <c r="C605" s="2" t="n">
        <f aca="false">0</f>
        <v>0</v>
      </c>
      <c r="D605" s="2" t="n">
        <f aca="false">C605*(1-D$595)+C604*D$595</f>
        <v>0</v>
      </c>
      <c r="E605" s="2" t="n">
        <f aca="false">D605*(1-E$595)+D604*E$595</f>
        <v>0</v>
      </c>
      <c r="F605" s="2" t="n">
        <f aca="false">E605*(1-F$595)+E604*F$595</f>
        <v>0</v>
      </c>
      <c r="G605" s="2" t="n">
        <f aca="false">F605*(1-G$595)+F604*G$595</f>
        <v>0</v>
      </c>
      <c r="H605" s="2" t="n">
        <f aca="false">G605*(1-H$595)+G604*H$595</f>
        <v>0</v>
      </c>
      <c r="I605" s="2" t="n">
        <f aca="false">H605*(1-I$595)+H604*I$595</f>
        <v>0</v>
      </c>
      <c r="J605" s="2" t="n">
        <f aca="false">I605*(1-J$595)+I604*J$595</f>
        <v>0</v>
      </c>
      <c r="K605" s="2" t="n">
        <f aca="false">J605*(1-K$595)+J604*K$595</f>
        <v>0.00403882599501749</v>
      </c>
      <c r="L605" s="2" t="n">
        <f aca="false">K605*(1-L$595)+K604*L$595</f>
        <v>0.0287108316857821</v>
      </c>
      <c r="M605" s="2" t="n">
        <f aca="false">L605*(1-M$595)+L604*M$595</f>
        <v>0.0874965963626655</v>
      </c>
      <c r="N605" s="2" t="n">
        <f aca="false">M605*(1-N$595)+M604*N$595</f>
        <v>0.161740730446923</v>
      </c>
      <c r="O605" s="2" t="n">
        <f aca="false">N605*(1-O$595)+N604*O$595</f>
        <v>0.161740730446923</v>
      </c>
    </row>
    <row r="606" customFormat="false" ht="15" hidden="false" customHeight="false" outlineLevel="0" collapsed="false">
      <c r="B606" s="2" t="n">
        <v>10</v>
      </c>
      <c r="C606" s="2" t="n">
        <f aca="false">0</f>
        <v>0</v>
      </c>
      <c r="D606" s="2" t="n">
        <f aca="false">C606*(1-D$595)+C605*D$595</f>
        <v>0</v>
      </c>
      <c r="E606" s="2" t="n">
        <f aca="false">D606*(1-E$595)+D605*E$595</f>
        <v>0</v>
      </c>
      <c r="F606" s="2" t="n">
        <f aca="false">E606*(1-F$595)+E605*F$595</f>
        <v>0</v>
      </c>
      <c r="G606" s="2" t="n">
        <f aca="false">F606*(1-G$595)+F605*G$595</f>
        <v>0</v>
      </c>
      <c r="H606" s="2" t="n">
        <f aca="false">G606*(1-H$595)+G605*H$595</f>
        <v>0</v>
      </c>
      <c r="I606" s="2" t="n">
        <f aca="false">H606*(1-I$595)+H605*I$595</f>
        <v>0</v>
      </c>
      <c r="J606" s="2" t="n">
        <f aca="false">I606*(1-J$595)+I605*J$595</f>
        <v>0</v>
      </c>
      <c r="K606" s="2" t="n">
        <f aca="false">J606*(1-K$595)+J605*K$595</f>
        <v>0</v>
      </c>
      <c r="L606" s="2" t="n">
        <f aca="false">K606*(1-L$595)+K605*L$595</f>
        <v>0.00243756075999312</v>
      </c>
      <c r="M606" s="2" t="n">
        <f aca="false">L606*(1-M$595)+L605*M$595</f>
        <v>0.0195363882757549</v>
      </c>
      <c r="N606" s="2" t="n">
        <f aca="false">M606*(1-N$595)+M605*N$595</f>
        <v>0.0636079800381834</v>
      </c>
      <c r="O606" s="2" t="n">
        <f aca="false">N606*(1-O$595)+N605*O$595</f>
        <v>0.0636079800381834</v>
      </c>
    </row>
    <row r="607" customFormat="false" ht="15" hidden="false" customHeight="false" outlineLevel="0" collapsed="false">
      <c r="B607" s="2" t="n">
        <v>11</v>
      </c>
      <c r="C607" s="2" t="n">
        <f aca="false">0</f>
        <v>0</v>
      </c>
      <c r="D607" s="2" t="n">
        <f aca="false">C607*(1-D$595)+C606*D$595</f>
        <v>0</v>
      </c>
      <c r="E607" s="2" t="n">
        <f aca="false">D607*(1-E$595)+D606*E$595</f>
        <v>0</v>
      </c>
      <c r="F607" s="2" t="n">
        <f aca="false">E607*(1-F$595)+E606*F$595</f>
        <v>0</v>
      </c>
      <c r="G607" s="2" t="n">
        <f aca="false">F607*(1-G$595)+F606*G$595</f>
        <v>0</v>
      </c>
      <c r="H607" s="2" t="n">
        <f aca="false">G607*(1-H$595)+G606*H$595</f>
        <v>0</v>
      </c>
      <c r="I607" s="2" t="n">
        <f aca="false">H607*(1-I$595)+H606*I$595</f>
        <v>0</v>
      </c>
      <c r="J607" s="2" t="n">
        <f aca="false">I607*(1-J$595)+I606*J$595</f>
        <v>0</v>
      </c>
      <c r="K607" s="2" t="n">
        <f aca="false">J607*(1-K$595)+J606*K$595</f>
        <v>0</v>
      </c>
      <c r="L607" s="2" t="n">
        <f aca="false">K607*(1-L$595)+K606*L$595</f>
        <v>0</v>
      </c>
      <c r="M607" s="2" t="n">
        <f aca="false">L607*(1-M$595)+L606*M$595</f>
        <v>0.00158638150202305</v>
      </c>
      <c r="N607" s="2" t="n">
        <f aca="false">M607*(1-N$595)+M606*N$595</f>
        <v>0.0132268015792109</v>
      </c>
      <c r="O607" s="2" t="n">
        <f aca="false">N607*(1-O$595)+N606*O$595</f>
        <v>0.0132268015792109</v>
      </c>
    </row>
    <row r="608" customFormat="false" ht="15" hidden="false" customHeight="false" outlineLevel="0" collapsed="false">
      <c r="B608" s="2" t="n">
        <v>12</v>
      </c>
      <c r="C608" s="2" t="n">
        <f aca="false">0</f>
        <v>0</v>
      </c>
      <c r="D608" s="2" t="n">
        <f aca="false">C608*(1-D$595)+C607*D$595</f>
        <v>0</v>
      </c>
      <c r="E608" s="2" t="n">
        <f aca="false">D608*(1-E$595)+D607*E$595</f>
        <v>0</v>
      </c>
      <c r="F608" s="2" t="n">
        <f aca="false">E608*(1-F$595)+E607*F$595</f>
        <v>0</v>
      </c>
      <c r="G608" s="2" t="n">
        <f aca="false">F608*(1-G$595)+F607*G$595</f>
        <v>0</v>
      </c>
      <c r="H608" s="2" t="n">
        <f aca="false">G608*(1-H$595)+G607*H$595</f>
        <v>0</v>
      </c>
      <c r="I608" s="2" t="n">
        <f aca="false">H608*(1-I$595)+H607*I$595</f>
        <v>0</v>
      </c>
      <c r="J608" s="2" t="n">
        <f aca="false">I608*(1-J$595)+I607*J$595</f>
        <v>0</v>
      </c>
      <c r="K608" s="2" t="n">
        <f aca="false">J608*(1-K$595)+J607*K$595</f>
        <v>0</v>
      </c>
      <c r="L608" s="2" t="n">
        <f aca="false">K608*(1-L$595)+K607*L$595</f>
        <v>0</v>
      </c>
      <c r="M608" s="2" t="n">
        <f aca="false">L608*(1-M$595)+L607*M$595</f>
        <v>0</v>
      </c>
      <c r="N608" s="2" t="n">
        <f aca="false">M608*(1-N$595)+M607*N$595</f>
        <v>0.0010287543241071</v>
      </c>
      <c r="O608" s="2" t="n">
        <f aca="false">N608*(1-O$595)+N607*O$595</f>
        <v>0.0010287543241071</v>
      </c>
    </row>
    <row r="609" customFormat="false" ht="15" hidden="false" customHeight="false" outlineLevel="0" collapsed="false">
      <c r="B609" s="2" t="n">
        <v>13</v>
      </c>
      <c r="C609" s="2" t="n">
        <f aca="false">0</f>
        <v>0</v>
      </c>
      <c r="D609" s="2" t="n">
        <f aca="false">C609*(1-D$595)+C608*D$595</f>
        <v>0</v>
      </c>
      <c r="E609" s="2" t="n">
        <f aca="false">D609*(1-E$595)+D608*E$595</f>
        <v>0</v>
      </c>
      <c r="F609" s="2" t="n">
        <f aca="false">E609*(1-F$595)+E608*F$595</f>
        <v>0</v>
      </c>
      <c r="G609" s="2" t="n">
        <f aca="false">F609*(1-G$595)+F608*G$595</f>
        <v>0</v>
      </c>
      <c r="H609" s="2" t="n">
        <f aca="false">G609*(1-H$595)+G608*H$595</f>
        <v>0</v>
      </c>
      <c r="I609" s="2" t="n">
        <f aca="false">H609*(1-I$595)+H608*I$595</f>
        <v>0</v>
      </c>
      <c r="J609" s="2" t="n">
        <f aca="false">I609*(1-J$595)+I608*J$595</f>
        <v>0</v>
      </c>
      <c r="K609" s="2" t="n">
        <f aca="false">J609*(1-K$595)+J608*K$595</f>
        <v>0</v>
      </c>
      <c r="L609" s="2" t="n">
        <f aca="false">K609*(1-L$595)+K608*L$595</f>
        <v>0</v>
      </c>
      <c r="M609" s="2" t="n">
        <f aca="false">L609*(1-M$595)+L608*M$595</f>
        <v>0</v>
      </c>
      <c r="N609" s="2" t="n">
        <f aca="false">M609*(1-N$595)+M608*N$595</f>
        <v>0</v>
      </c>
      <c r="O609" s="2" t="n">
        <f aca="false">N609*(1-O$595)+N608*O$595</f>
        <v>0</v>
      </c>
    </row>
    <row r="611" customFormat="false" ht="15" hidden="false" customHeight="false" outlineLevel="0" collapsed="false">
      <c r="A611" s="1" t="s">
        <v>96</v>
      </c>
      <c r="C611" s="2" t="n">
        <f aca="false">Schedule!G40</f>
        <v>0.744168358652066</v>
      </c>
      <c r="D611" s="2" t="n">
        <f aca="false">Schedule!L40</f>
        <v>0.107950757167325</v>
      </c>
      <c r="E611" s="2" t="n">
        <f aca="false">Schedule!Q40</f>
        <v>0.962051056406311</v>
      </c>
      <c r="F611" s="2" t="n">
        <f aca="false">Schedule!V40</f>
        <v>0.639173324850217</v>
      </c>
      <c r="G611" s="2" t="n">
        <f aca="false">Schedule!AA40</f>
        <v>0.684830585730692</v>
      </c>
      <c r="H611" s="2" t="n">
        <f aca="false">Schedule!AF40</f>
        <v>0.425634311844103</v>
      </c>
      <c r="I611" s="2" t="n">
        <f aca="false">Schedule!AK40</f>
        <v>0.706693239916112</v>
      </c>
      <c r="J611" s="2" t="n">
        <f aca="false">Schedule!AP40</f>
        <v>0.617911422188953</v>
      </c>
      <c r="K611" s="2" t="n">
        <f aca="false">Schedule!AU40</f>
        <v>0.382088577811047</v>
      </c>
      <c r="L611" s="2" t="n">
        <f aca="false">Schedule!AZ40</f>
        <v>0.219169829793377</v>
      </c>
      <c r="M611" s="2" t="n">
        <f aca="false">Schedule!BE40</f>
        <v>0.487535082565623</v>
      </c>
      <c r="N611" s="2" t="n">
        <f aca="false">Schedule!BJ40</f>
        <v>0.648491124483723</v>
      </c>
      <c r="O611" s="2" t="n">
        <f aca="false">Schedule!BO40</f>
        <v>0</v>
      </c>
    </row>
    <row r="612" customFormat="false" ht="15" hidden="false" customHeight="false" outlineLevel="0" collapsed="false">
      <c r="B612" s="2" t="n">
        <v>0</v>
      </c>
      <c r="C612" s="2" t="n">
        <f aca="false">1-C$611</f>
        <v>0.255831641347934</v>
      </c>
      <c r="D612" s="2" t="n">
        <f aca="false">C612*(1-D$611)</f>
        <v>0.228214421957065</v>
      </c>
      <c r="E612" s="2" t="n">
        <f aca="false">D612*(1-E$611)</f>
        <v>0.00866049622611504</v>
      </c>
      <c r="F612" s="2" t="n">
        <f aca="false">E612*(1-F$611)</f>
        <v>0.00312493805841633</v>
      </c>
      <c r="G612" s="2" t="n">
        <f aca="false">F612*(1-G$611)</f>
        <v>0.000984884897498946</v>
      </c>
      <c r="H612" s="2" t="n">
        <f aca="false">G612*(1-H$611)</f>
        <v>0.000565684091906332</v>
      </c>
      <c r="I612" s="2" t="n">
        <f aca="false">H612*(1-I$611)</f>
        <v>0.000165918968228042</v>
      </c>
      <c r="J612" s="2" t="n">
        <f aca="false">I612*(1-J$611)</f>
        <v>6.33957426021291E-005</v>
      </c>
      <c r="K612" s="2" t="n">
        <f aca="false">J612*(1-K$611)</f>
        <v>3.91729534720064E-005</v>
      </c>
      <c r="L612" s="2" t="n">
        <f aca="false">K612*(1-L$611)</f>
        <v>3.05874239270428E-005</v>
      </c>
      <c r="M612" s="2" t="n">
        <f aca="false">L612*(1-M$611)</f>
        <v>1.56749816773023E-005</v>
      </c>
      <c r="N612" s="2" t="n">
        <f aca="false">M612*(1-N$611)</f>
        <v>5.50989518312678E-006</v>
      </c>
      <c r="O612" s="2" t="n">
        <f aca="false">N612*(1-O$611)</f>
        <v>5.50989518312678E-006</v>
      </c>
    </row>
    <row r="613" customFormat="false" ht="15" hidden="false" customHeight="false" outlineLevel="0" collapsed="false">
      <c r="B613" s="2" t="n">
        <v>1</v>
      </c>
      <c r="C613" s="2" t="n">
        <f aca="false">C$611</f>
        <v>0.744168358652066</v>
      </c>
      <c r="D613" s="2" t="n">
        <f aca="false">C613*(1-D$611)+C612*D$611</f>
        <v>0.691452040266479</v>
      </c>
      <c r="E613" s="2" t="n">
        <f aca="false">D613*(1-E$611)+D612*E$611</f>
        <v>0.245793800204764</v>
      </c>
      <c r="F613" s="2" t="n">
        <f aca="false">E613*(1-F$611)+E612*F$611</f>
        <v>0.0942245178680137</v>
      </c>
      <c r="G613" s="2" t="n">
        <f aca="false">F613*(1-G$611)+F612*G$611</f>
        <v>0.0318367392671873</v>
      </c>
      <c r="H613" s="2" t="n">
        <f aca="false">G613*(1-H$611)+G612*H$611</f>
        <v>0.0187051314634305</v>
      </c>
      <c r="I613" s="2" t="n">
        <f aca="false">H613*(1-I$611)+H612*I$611</f>
        <v>0.00588610663016028</v>
      </c>
      <c r="J613" s="2" t="n">
        <f aca="false">I613*(1-J$611)+I612*J$611</f>
        <v>0.00235153733678803</v>
      </c>
      <c r="K613" s="2" t="n">
        <f aca="false">J613*(1-K$611)+J612*K$611</f>
        <v>0.00147726456923524</v>
      </c>
      <c r="L613" s="2" t="n">
        <f aca="false">K613*(1-L$611)+K612*L$611</f>
        <v>0.00116207827458113</v>
      </c>
      <c r="M613" s="2" t="n">
        <f aca="false">L613*(1-M$611)+L612*M$611</f>
        <v>0.000610436789285241</v>
      </c>
      <c r="N613" s="2" t="n">
        <f aca="false">M613*(1-N$611)+M612*N$611</f>
        <v>0.000224739035869597</v>
      </c>
      <c r="O613" s="2" t="n">
        <f aca="false">N613*(1-O$611)+N612*O$611</f>
        <v>0.000224739035869597</v>
      </c>
    </row>
    <row r="614" customFormat="false" ht="15" hidden="false" customHeight="false" outlineLevel="0" collapsed="false">
      <c r="B614" s="2" t="n">
        <v>2</v>
      </c>
      <c r="C614" s="2" t="n">
        <f aca="false">0</f>
        <v>0</v>
      </c>
      <c r="D614" s="2" t="n">
        <f aca="false">C614*(1-D$611)+C613*D$611</f>
        <v>0.0803335377764558</v>
      </c>
      <c r="E614" s="2" t="n">
        <f aca="false">D614*(1-E$611)+D613*E$611</f>
        <v>0.668260738686426</v>
      </c>
      <c r="F614" s="2" t="n">
        <f aca="false">E614*(1-F$611)+E613*F$611</f>
        <v>0.39823114097781</v>
      </c>
      <c r="G614" s="2" t="n">
        <f aca="false">F614*(1-G$611)+F613*G$611</f>
        <v>0.190038107207519</v>
      </c>
      <c r="H614" s="2" t="n">
        <f aca="false">G614*(1-H$611)+G613*H$611</f>
        <v>0.12270217683144</v>
      </c>
      <c r="I614" s="2" t="n">
        <f aca="false">H614*(1-I$611)+H613*I$611</f>
        <v>0.0492081678986184</v>
      </c>
      <c r="J614" s="2" t="n">
        <f aca="false">I614*(1-J$611)+I613*J$611</f>
        <v>0.0224389714080685</v>
      </c>
      <c r="K614" s="2" t="n">
        <f aca="false">J614*(1-K$611)+J613*K$611</f>
        <v>0.0147637922918998</v>
      </c>
      <c r="L614" s="2" t="n">
        <f aca="false">K614*(1-L$611)+K613*L$611</f>
        <v>0.0118517862723784</v>
      </c>
      <c r="M614" s="2" t="n">
        <f aca="false">L614*(1-M$611)+L613*M$611</f>
        <v>0.00664017860106991</v>
      </c>
      <c r="N614" s="2" t="n">
        <f aca="false">M614*(1-N$611)+M613*N$611</f>
        <v>0.00272994455319915</v>
      </c>
      <c r="O614" s="2" t="n">
        <f aca="false">N614*(1-O$611)+N613*O$611</f>
        <v>0.00272994455319915</v>
      </c>
    </row>
    <row r="615" customFormat="false" ht="15" hidden="false" customHeight="false" outlineLevel="0" collapsed="false">
      <c r="B615" s="2" t="n">
        <v>3</v>
      </c>
      <c r="C615" s="2" t="n">
        <f aca="false">0</f>
        <v>0</v>
      </c>
      <c r="D615" s="2" t="n">
        <f aca="false">C615*(1-D$611)+C614*D$611</f>
        <v>0</v>
      </c>
      <c r="E615" s="2" t="n">
        <f aca="false">D615*(1-E$611)+D614*E$611</f>
        <v>0.0772849648826956</v>
      </c>
      <c r="F615" s="2" t="n">
        <f aca="false">E615*(1-F$611)+E614*F$611</f>
        <v>0.455020915130755</v>
      </c>
      <c r="G615" s="2" t="n">
        <f aca="false">F615*(1-G$611)+F614*G$611</f>
        <v>0.41612954083408</v>
      </c>
      <c r="H615" s="2" t="n">
        <f aca="false">G615*(1-H$611)+G614*H$611</f>
        <v>0.319897269068592</v>
      </c>
      <c r="I615" s="2" t="n">
        <f aca="false">H615*(1-I$611)+H614*I$611</f>
        <v>0.180540830439962</v>
      </c>
      <c r="J615" s="2" t="n">
        <f aca="false">I615*(1-J$611)+I614*J$611</f>
        <v>0.0993888781491788</v>
      </c>
      <c r="K615" s="2" t="n">
        <f aca="false">J615*(1-K$611)+J614*K$611</f>
        <v>0.0699871977197752</v>
      </c>
      <c r="L615" s="2" t="n">
        <f aca="false">K615*(1-L$611)+K614*L$611</f>
        <v>0.0578838933515371</v>
      </c>
      <c r="M615" s="2" t="n">
        <f aca="false">L615*(1-M$611)+L614*M$611</f>
        <v>0.0354416262260299</v>
      </c>
      <c r="N615" s="2" t="n">
        <f aca="false">M615*(1-N$611)+M614*N$611</f>
        <v>0.0167641430689605</v>
      </c>
      <c r="O615" s="2" t="n">
        <f aca="false">N615*(1-O$611)+N614*O$611</f>
        <v>0.0167641430689605</v>
      </c>
    </row>
    <row r="616" customFormat="false" ht="15" hidden="false" customHeight="false" outlineLevel="0" collapsed="false">
      <c r="B616" s="2" t="n">
        <v>4</v>
      </c>
      <c r="C616" s="2" t="n">
        <f aca="false">0</f>
        <v>0</v>
      </c>
      <c r="D616" s="2" t="n">
        <f aca="false">C616*(1-D$611)+C615*D$611</f>
        <v>0</v>
      </c>
      <c r="E616" s="2" t="n">
        <f aca="false">D616*(1-E$611)+D615*E$611</f>
        <v>0</v>
      </c>
      <c r="F616" s="2" t="n">
        <f aca="false">E616*(1-F$611)+E615*F$611</f>
        <v>0.0493984879650048</v>
      </c>
      <c r="G616" s="2" t="n">
        <f aca="false">F616*(1-G$611)+F615*G$611</f>
        <v>0.327181132346431</v>
      </c>
      <c r="H616" s="2" t="n">
        <f aca="false">G616*(1-H$611)+G615*H$611</f>
        <v>0.365040626982699</v>
      </c>
      <c r="I616" s="2" t="n">
        <f aca="false">H616*(1-I$611)+H615*I$611</f>
        <v>0.333138121117686</v>
      </c>
      <c r="J616" s="2" t="n">
        <f aca="false">I616*(1-J$611)+I615*J$611</f>
        <v>0.238846512212833</v>
      </c>
      <c r="K616" s="2" t="n">
        <f aca="false">J616*(1-K$611)+J615*K$611</f>
        <v>0.185561343148558</v>
      </c>
      <c r="L616" s="2" t="n">
        <f aca="false">K616*(1-L$611)+K615*L$611</f>
        <v>0.160230977366416</v>
      </c>
      <c r="M616" s="2" t="n">
        <f aca="false">L616*(1-M$611)+L615*M$611</f>
        <v>0.110333183310871</v>
      </c>
      <c r="N616" s="2" t="n">
        <f aca="false">M616*(1-N$611)+M615*N$611</f>
        <v>0.0617666732425856</v>
      </c>
      <c r="O616" s="2" t="n">
        <f aca="false">N616*(1-O$611)+N615*O$611</f>
        <v>0.0617666732425856</v>
      </c>
    </row>
    <row r="617" customFormat="false" ht="15" hidden="false" customHeight="false" outlineLevel="0" collapsed="false">
      <c r="B617" s="2" t="n">
        <v>5</v>
      </c>
      <c r="C617" s="2" t="n">
        <f aca="false">0</f>
        <v>0</v>
      </c>
      <c r="D617" s="2" t="n">
        <f aca="false">C617*(1-D$611)+C616*D$611</f>
        <v>0</v>
      </c>
      <c r="E617" s="2" t="n">
        <f aca="false">D617*(1-E$611)+D616*E$611</f>
        <v>0</v>
      </c>
      <c r="F617" s="2" t="n">
        <f aca="false">E617*(1-F$611)+E616*F$611</f>
        <v>0</v>
      </c>
      <c r="G617" s="2" t="n">
        <f aca="false">F617*(1-G$611)+F616*G$611</f>
        <v>0.0338295954472847</v>
      </c>
      <c r="H617" s="2" t="n">
        <f aca="false">G617*(1-H$611)+G616*H$611</f>
        <v>0.158690074983763</v>
      </c>
      <c r="I617" s="2" t="n">
        <f aca="false">H617*(1-I$611)+H616*I$611</f>
        <v>0.304516615134369</v>
      </c>
      <c r="J617" s="2" t="n">
        <f aca="false">I617*(1-J$611)+I616*J$611</f>
        <v>0.32220217060171</v>
      </c>
      <c r="K617" s="2" t="n">
        <f aca="false">J617*(1-K$611)+J616*K$611</f>
        <v>0.290352925635401</v>
      </c>
      <c r="L617" s="2" t="n">
        <f aca="false">K617*(1-L$611)+K616*L$611</f>
        <v>0.267385772337981</v>
      </c>
      <c r="M617" s="2" t="n">
        <f aca="false">L617*(1-M$611)+L616*M$611</f>
        <v>0.215144050524217</v>
      </c>
      <c r="N617" s="2" t="n">
        <f aca="false">M617*(1-N$611)+M616*N$611</f>
        <v>0.14717513338692</v>
      </c>
      <c r="O617" s="2" t="n">
        <f aca="false">N617*(1-O$611)+N616*O$611</f>
        <v>0.14717513338692</v>
      </c>
    </row>
    <row r="618" customFormat="false" ht="15" hidden="false" customHeight="false" outlineLevel="0" collapsed="false">
      <c r="B618" s="2" t="n">
        <v>6</v>
      </c>
      <c r="C618" s="2" t="n">
        <f aca="false">0</f>
        <v>0</v>
      </c>
      <c r="D618" s="2" t="n">
        <f aca="false">C618*(1-D$611)+C617*D$611</f>
        <v>0</v>
      </c>
      <c r="E618" s="2" t="n">
        <f aca="false">D618*(1-E$611)+D617*E$611</f>
        <v>0</v>
      </c>
      <c r="F618" s="2" t="n">
        <f aca="false">E618*(1-F$611)+E617*F$611</f>
        <v>0</v>
      </c>
      <c r="G618" s="2" t="n">
        <f aca="false">F618*(1-G$611)+F617*G$611</f>
        <v>0</v>
      </c>
      <c r="H618" s="2" t="n">
        <f aca="false">G618*(1-H$611)+G617*H$611</f>
        <v>0.0143990365781694</v>
      </c>
      <c r="I618" s="2" t="n">
        <f aca="false">H618*(1-I$611)+H617*I$611</f>
        <v>0.116368537999878</v>
      </c>
      <c r="J618" s="2" t="n">
        <f aca="false">I618*(1-J$611)+I617*J$611</f>
        <v>0.232627383924168</v>
      </c>
      <c r="K618" s="2" t="n">
        <f aca="false">J618*(1-K$611)+J617*K$611</f>
        <v>0.266852886773518</v>
      </c>
      <c r="L618" s="2" t="n">
        <f aca="false">K618*(1-L$611)+K617*L$611</f>
        <v>0.272003386291015</v>
      </c>
      <c r="M618" s="2" t="n">
        <f aca="false">L618*(1-M$611)+L617*M$611</f>
        <v>0.269752137491166</v>
      </c>
      <c r="N618" s="2" t="n">
        <f aca="false">M618*(1-N$611)+M617*N$611</f>
        <v>0.234339277768064</v>
      </c>
      <c r="O618" s="2" t="n">
        <f aca="false">N618*(1-O$611)+N617*O$611</f>
        <v>0.234339277768064</v>
      </c>
    </row>
    <row r="619" customFormat="false" ht="15" hidden="false" customHeight="false" outlineLevel="0" collapsed="false">
      <c r="B619" s="2" t="n">
        <v>7</v>
      </c>
      <c r="C619" s="2" t="n">
        <f aca="false">0</f>
        <v>0</v>
      </c>
      <c r="D619" s="2" t="n">
        <f aca="false">C619*(1-D$611)+C618*D$611</f>
        <v>0</v>
      </c>
      <c r="E619" s="2" t="n">
        <f aca="false">D619*(1-E$611)+D618*E$611</f>
        <v>0</v>
      </c>
      <c r="F619" s="2" t="n">
        <f aca="false">E619*(1-F$611)+E618*F$611</f>
        <v>0</v>
      </c>
      <c r="G619" s="2" t="n">
        <f aca="false">F619*(1-G$611)+F618*G$611</f>
        <v>0</v>
      </c>
      <c r="H619" s="2" t="n">
        <f aca="false">G619*(1-H$611)+G618*H$611</f>
        <v>0</v>
      </c>
      <c r="I619" s="2" t="n">
        <f aca="false">H619*(1-I$611)+H618*I$611</f>
        <v>0.0101757018110972</v>
      </c>
      <c r="J619" s="2" t="n">
        <f aca="false">I619*(1-J$611)+I618*J$611</f>
        <v>0.0757934682467854</v>
      </c>
      <c r="K619" s="2" t="n">
        <f aca="false">J619*(1-K$611)+J618*K$611</f>
        <v>0.135717916040494</v>
      </c>
      <c r="L619" s="2" t="n">
        <f aca="false">K619*(1-L$611)+K618*L$611</f>
        <v>0.164458745256011</v>
      </c>
      <c r="M619" s="2" t="n">
        <f aca="false">L619*(1-M$611)+L618*M$611</f>
        <v>0.216890530702502</v>
      </c>
      <c r="N619" s="2" t="n">
        <f aca="false">M619*(1-N$611)+M618*N$611</f>
        <v>0.251170813530899</v>
      </c>
      <c r="O619" s="2" t="n">
        <f aca="false">N619*(1-O$611)+N618*O$611</f>
        <v>0.251170813530899</v>
      </c>
    </row>
    <row r="620" customFormat="false" ht="15" hidden="false" customHeight="false" outlineLevel="0" collapsed="false">
      <c r="B620" s="2" t="n">
        <v>8</v>
      </c>
      <c r="C620" s="2" t="n">
        <f aca="false">0</f>
        <v>0</v>
      </c>
      <c r="D620" s="2" t="n">
        <f aca="false">C620*(1-D$611)+C619*D$611</f>
        <v>0</v>
      </c>
      <c r="E620" s="2" t="n">
        <f aca="false">D620*(1-E$611)+D619*E$611</f>
        <v>0</v>
      </c>
      <c r="F620" s="2" t="n">
        <f aca="false">E620*(1-F$611)+E619*F$611</f>
        <v>0</v>
      </c>
      <c r="G620" s="2" t="n">
        <f aca="false">F620*(1-G$611)+F619*G$611</f>
        <v>0</v>
      </c>
      <c r="H620" s="2" t="n">
        <f aca="false">G620*(1-H$611)+G619*H$611</f>
        <v>0</v>
      </c>
      <c r="I620" s="2" t="n">
        <f aca="false">H620*(1-I$611)+H619*I$611</f>
        <v>0</v>
      </c>
      <c r="J620" s="2" t="n">
        <f aca="false">I620*(1-J$611)+I619*J$611</f>
        <v>0.00628768237786575</v>
      </c>
      <c r="K620" s="2" t="n">
        <f aca="false">J620*(1-K$611)+J619*K$611</f>
        <v>0.0328450492501604</v>
      </c>
      <c r="L620" s="2" t="n">
        <f aca="false">K620*(1-L$611)+K619*L$611</f>
        <v>0.0553916779549547</v>
      </c>
      <c r="M620" s="2" t="n">
        <f aca="false">L620*(1-M$611)+L619*M$611</f>
        <v>0.108565699616765</v>
      </c>
      <c r="N620" s="2" t="n">
        <f aca="false">M620*(1-N$611)+M619*N$611</f>
        <v>0.178813391137064</v>
      </c>
      <c r="O620" s="2" t="n">
        <f aca="false">N620*(1-O$611)+N619*O$611</f>
        <v>0.178813391137064</v>
      </c>
    </row>
    <row r="621" customFormat="false" ht="15" hidden="false" customHeight="false" outlineLevel="0" collapsed="false">
      <c r="B621" s="2" t="n">
        <v>9</v>
      </c>
      <c r="C621" s="2" t="n">
        <f aca="false">0</f>
        <v>0</v>
      </c>
      <c r="D621" s="2" t="n">
        <f aca="false">C621*(1-D$611)+C620*D$611</f>
        <v>0</v>
      </c>
      <c r="E621" s="2" t="n">
        <f aca="false">D621*(1-E$611)+D620*E$611</f>
        <v>0</v>
      </c>
      <c r="F621" s="2" t="n">
        <f aca="false">E621*(1-F$611)+E620*F$611</f>
        <v>0</v>
      </c>
      <c r="G621" s="2" t="n">
        <f aca="false">F621*(1-G$611)+F620*G$611</f>
        <v>0</v>
      </c>
      <c r="H621" s="2" t="n">
        <f aca="false">G621*(1-H$611)+G620*H$611</f>
        <v>0</v>
      </c>
      <c r="I621" s="2" t="n">
        <f aca="false">H621*(1-I$611)+H620*I$611</f>
        <v>0</v>
      </c>
      <c r="J621" s="2" t="n">
        <f aca="false">I621*(1-J$611)+I620*J$611</f>
        <v>0</v>
      </c>
      <c r="K621" s="2" t="n">
        <f aca="false">J621*(1-K$611)+J620*K$611</f>
        <v>0.00240245161748631</v>
      </c>
      <c r="L621" s="2" t="n">
        <f aca="false">K621*(1-L$611)+K620*L$611</f>
        <v>0.00907455055910777</v>
      </c>
      <c r="M621" s="2" t="n">
        <f aca="false">L621*(1-M$611)+L620*M$611</f>
        <v>0.0316557750882445</v>
      </c>
      <c r="N621" s="2" t="n">
        <f aca="false">M621*(1-N$611)+M620*N$611</f>
        <v>0.0815311785297033</v>
      </c>
      <c r="O621" s="2" t="n">
        <f aca="false">N621*(1-O$611)+N620*O$611</f>
        <v>0.0815311785297033</v>
      </c>
    </row>
    <row r="622" customFormat="false" ht="15" hidden="false" customHeight="false" outlineLevel="0" collapsed="false">
      <c r="B622" s="2" t="n">
        <v>10</v>
      </c>
      <c r="C622" s="2" t="n">
        <f aca="false">0</f>
        <v>0</v>
      </c>
      <c r="D622" s="2" t="n">
        <f aca="false">C622*(1-D$611)+C621*D$611</f>
        <v>0</v>
      </c>
      <c r="E622" s="2" t="n">
        <f aca="false">D622*(1-E$611)+D621*E$611</f>
        <v>0</v>
      </c>
      <c r="F622" s="2" t="n">
        <f aca="false">E622*(1-F$611)+E621*F$611</f>
        <v>0</v>
      </c>
      <c r="G622" s="2" t="n">
        <f aca="false">F622*(1-G$611)+F621*G$611</f>
        <v>0</v>
      </c>
      <c r="H622" s="2" t="n">
        <f aca="false">G622*(1-H$611)+G621*H$611</f>
        <v>0</v>
      </c>
      <c r="I622" s="2" t="n">
        <f aca="false">H622*(1-I$611)+H621*I$611</f>
        <v>0</v>
      </c>
      <c r="J622" s="2" t="n">
        <f aca="false">I622*(1-J$611)+I621*J$611</f>
        <v>0</v>
      </c>
      <c r="K622" s="2" t="n">
        <f aca="false">J622*(1-K$611)+J621*K$611</f>
        <v>0</v>
      </c>
      <c r="L622" s="2" t="n">
        <f aca="false">K622*(1-L$611)+K621*L$611</f>
        <v>0.000526544912091299</v>
      </c>
      <c r="M622" s="2" t="n">
        <f aca="false">L622*(1-M$611)+L621*M$611</f>
        <v>0.00469399755098089</v>
      </c>
      <c r="N622" s="2" t="n">
        <f aca="false">M622*(1-N$611)+M621*N$611</f>
        <v>0.0221784709842009</v>
      </c>
      <c r="O622" s="2" t="n">
        <f aca="false">N622*(1-O$611)+N621*O$611</f>
        <v>0.0221784709842009</v>
      </c>
    </row>
    <row r="623" customFormat="false" ht="15" hidden="false" customHeight="false" outlineLevel="0" collapsed="false">
      <c r="B623" s="2" t="n">
        <v>11</v>
      </c>
      <c r="C623" s="2" t="n">
        <f aca="false">0</f>
        <v>0</v>
      </c>
      <c r="D623" s="2" t="n">
        <f aca="false">C623*(1-D$611)+C622*D$611</f>
        <v>0</v>
      </c>
      <c r="E623" s="2" t="n">
        <f aca="false">D623*(1-E$611)+D622*E$611</f>
        <v>0</v>
      </c>
      <c r="F623" s="2" t="n">
        <f aca="false">E623*(1-F$611)+E622*F$611</f>
        <v>0</v>
      </c>
      <c r="G623" s="2" t="n">
        <f aca="false">F623*(1-G$611)+F622*G$611</f>
        <v>0</v>
      </c>
      <c r="H623" s="2" t="n">
        <f aca="false">G623*(1-H$611)+G622*H$611</f>
        <v>0</v>
      </c>
      <c r="I623" s="2" t="n">
        <f aca="false">H623*(1-I$611)+H622*I$611</f>
        <v>0</v>
      </c>
      <c r="J623" s="2" t="n">
        <f aca="false">I623*(1-J$611)+I622*J$611</f>
        <v>0</v>
      </c>
      <c r="K623" s="2" t="n">
        <f aca="false">J623*(1-K$611)+J622*K$611</f>
        <v>0</v>
      </c>
      <c r="L623" s="2" t="n">
        <f aca="false">K623*(1-L$611)+K622*L$611</f>
        <v>0</v>
      </c>
      <c r="M623" s="2" t="n">
        <f aca="false">L623*(1-M$611)+L622*M$611</f>
        <v>0.00025670911719094</v>
      </c>
      <c r="N623" s="2" t="n">
        <f aca="false">M623*(1-N$611)+M622*N$611</f>
        <v>0.003134251283278</v>
      </c>
      <c r="O623" s="2" t="n">
        <f aca="false">N623*(1-O$611)+N622*O$611</f>
        <v>0.003134251283278</v>
      </c>
    </row>
    <row r="624" customFormat="false" ht="15" hidden="false" customHeight="false" outlineLevel="0" collapsed="false">
      <c r="B624" s="2" t="n">
        <v>12</v>
      </c>
      <c r="C624" s="2" t="n">
        <f aca="false">0</f>
        <v>0</v>
      </c>
      <c r="D624" s="2" t="n">
        <f aca="false">C624*(1-D$611)+C623*D$611</f>
        <v>0</v>
      </c>
      <c r="E624" s="2" t="n">
        <f aca="false">D624*(1-E$611)+D623*E$611</f>
        <v>0</v>
      </c>
      <c r="F624" s="2" t="n">
        <f aca="false">E624*(1-F$611)+E623*F$611</f>
        <v>0</v>
      </c>
      <c r="G624" s="2" t="n">
        <f aca="false">F624*(1-G$611)+F623*G$611</f>
        <v>0</v>
      </c>
      <c r="H624" s="2" t="n">
        <f aca="false">G624*(1-H$611)+G623*H$611</f>
        <v>0</v>
      </c>
      <c r="I624" s="2" t="n">
        <f aca="false">H624*(1-I$611)+H623*I$611</f>
        <v>0</v>
      </c>
      <c r="J624" s="2" t="n">
        <f aca="false">I624*(1-J$611)+I623*J$611</f>
        <v>0</v>
      </c>
      <c r="K624" s="2" t="n">
        <f aca="false">J624*(1-K$611)+J623*K$611</f>
        <v>0</v>
      </c>
      <c r="L624" s="2" t="n">
        <f aca="false">K624*(1-L$611)+K623*L$611</f>
        <v>0</v>
      </c>
      <c r="M624" s="2" t="n">
        <f aca="false">L624*(1-M$611)+L623*M$611</f>
        <v>0</v>
      </c>
      <c r="N624" s="2" t="n">
        <f aca="false">M624*(1-N$611)+M623*N$611</f>
        <v>0.000166473584072377</v>
      </c>
      <c r="O624" s="2" t="n">
        <f aca="false">N624*(1-O$611)+N623*O$611</f>
        <v>0.000166473584072377</v>
      </c>
    </row>
    <row r="625" customFormat="false" ht="15" hidden="false" customHeight="false" outlineLevel="0" collapsed="false">
      <c r="B625" s="2" t="n">
        <v>13</v>
      </c>
      <c r="C625" s="2" t="n">
        <f aca="false">0</f>
        <v>0</v>
      </c>
      <c r="D625" s="2" t="n">
        <f aca="false">C625*(1-D$611)+C624*D$611</f>
        <v>0</v>
      </c>
      <c r="E625" s="2" t="n">
        <f aca="false">D625*(1-E$611)+D624*E$611</f>
        <v>0</v>
      </c>
      <c r="F625" s="2" t="n">
        <f aca="false">E625*(1-F$611)+E624*F$611</f>
        <v>0</v>
      </c>
      <c r="G625" s="2" t="n">
        <f aca="false">F625*(1-G$611)+F624*G$611</f>
        <v>0</v>
      </c>
      <c r="H625" s="2" t="n">
        <f aca="false">G625*(1-H$611)+G624*H$611</f>
        <v>0</v>
      </c>
      <c r="I625" s="2" t="n">
        <f aca="false">H625*(1-I$611)+H624*I$611</f>
        <v>0</v>
      </c>
      <c r="J625" s="2" t="n">
        <f aca="false">I625*(1-J$611)+I624*J$611</f>
        <v>0</v>
      </c>
      <c r="K625" s="2" t="n">
        <f aca="false">J625*(1-K$611)+J624*K$611</f>
        <v>0</v>
      </c>
      <c r="L625" s="2" t="n">
        <f aca="false">K625*(1-L$611)+K624*L$611</f>
        <v>0</v>
      </c>
      <c r="M625" s="2" t="n">
        <f aca="false">L625*(1-M$611)+L624*M$611</f>
        <v>0</v>
      </c>
      <c r="N625" s="2" t="n">
        <f aca="false">M625*(1-N$611)+M624*N$611</f>
        <v>0</v>
      </c>
      <c r="O625" s="2" t="n">
        <f aca="false">N625*(1-O$611)+N624*O$611</f>
        <v>0</v>
      </c>
    </row>
    <row r="627" customFormat="false" ht="15" hidden="false" customHeight="false" outlineLevel="0" collapsed="false">
      <c r="A627" s="1" t="s">
        <v>97</v>
      </c>
      <c r="C627" s="2" t="n">
        <f aca="false">Schedule!G41</f>
        <v>0.9985646283379</v>
      </c>
      <c r="D627" s="2" t="n">
        <f aca="false">Schedule!L41</f>
        <v>0.596287776693183</v>
      </c>
      <c r="E627" s="2" t="n">
        <f aca="false">Schedule!Q41</f>
        <v>0.975865925995275</v>
      </c>
      <c r="F627" s="2" t="n">
        <f aca="false">Schedule!V41</f>
        <v>0.22474965994458</v>
      </c>
      <c r="G627" s="2" t="n">
        <f aca="false">Schedule!AA41</f>
        <v>0.301967544680181</v>
      </c>
      <c r="H627" s="2" t="n">
        <f aca="false">Schedule!AF41</f>
        <v>0.643842961816324</v>
      </c>
      <c r="I627" s="2" t="n">
        <f aca="false">Schedule!AK41</f>
        <v>0.356157038183677</v>
      </c>
      <c r="J627" s="2" t="n">
        <f aca="false">Schedule!AP41</f>
        <v>0.0836010529867114</v>
      </c>
      <c r="K627" s="2" t="n">
        <f aca="false">Schedule!AU41</f>
        <v>0.581702183505625</v>
      </c>
      <c r="L627" s="2" t="n">
        <f aca="false">Schedule!AZ41</f>
        <v>0.217327735678086</v>
      </c>
      <c r="M627" s="2" t="n">
        <f aca="false">Schedule!BE41</f>
        <v>0.58901036286873</v>
      </c>
      <c r="N627" s="2" t="n">
        <f aca="false">Schedule!BJ41</f>
        <v>0.497506626980399</v>
      </c>
      <c r="O627" s="2" t="n">
        <f aca="false">Schedule!BO41</f>
        <v>0</v>
      </c>
    </row>
    <row r="628" customFormat="false" ht="15" hidden="false" customHeight="false" outlineLevel="0" collapsed="false">
      <c r="B628" s="2" t="n">
        <v>0</v>
      </c>
      <c r="C628" s="2" t="n">
        <f aca="false">1-C$627</f>
        <v>0.00143537166209962</v>
      </c>
      <c r="D628" s="2" t="n">
        <f aca="false">C628*(1-D$627)</f>
        <v>0.000579477084977838</v>
      </c>
      <c r="E628" s="2" t="n">
        <f aca="false">D628*(1-E$627)</f>
        <v>1.39851428528973E-005</v>
      </c>
      <c r="F628" s="2" t="n">
        <f aca="false">E628*(1-F$627)</f>
        <v>1.08419867524323E-005</v>
      </c>
      <c r="G628" s="2" t="n">
        <f aca="false">F628*(1-G$627)</f>
        <v>7.56805863334526E-006</v>
      </c>
      <c r="H628" s="2" t="n">
        <f aca="false">G628*(1-H$627)</f>
        <v>2.69541734765265E-006</v>
      </c>
      <c r="I628" s="2" t="n">
        <f aca="false">H628*(1-I$627)</f>
        <v>1.73542548844378E-006</v>
      </c>
      <c r="J628" s="2" t="n">
        <f aca="false">I628*(1-J$627)</f>
        <v>1.5903420902299E-006</v>
      </c>
      <c r="K628" s="2" t="n">
        <f aca="false">J628*(1-K$627)</f>
        <v>6.65236623822269E-007</v>
      </c>
      <c r="L628" s="2" t="n">
        <f aca="false">K628*(1-L$627)</f>
        <v>5.20662254676841E-007</v>
      </c>
      <c r="M628" s="2" t="n">
        <f aca="false">L628*(1-M$627)</f>
        <v>2.13986791117584E-007</v>
      </c>
      <c r="N628" s="2" t="n">
        <f aca="false">M628*(1-N$627)</f>
        <v>1.07526944450315E-007</v>
      </c>
      <c r="O628" s="2" t="n">
        <f aca="false">N628*(1-O$627)</f>
        <v>1.07526944450315E-007</v>
      </c>
    </row>
    <row r="629" customFormat="false" ht="15" hidden="false" customHeight="false" outlineLevel="0" collapsed="false">
      <c r="B629" s="2" t="n">
        <v>1</v>
      </c>
      <c r="C629" s="2" t="n">
        <f aca="false">C$627</f>
        <v>0.9985646283379</v>
      </c>
      <c r="D629" s="2" t="n">
        <f aca="false">C629*(1-D$627)+C628*D$627</f>
        <v>0.403988640798961</v>
      </c>
      <c r="E629" s="2" t="n">
        <f aca="false">D629*(1-E$627)+D628*E$627</f>
        <v>0.0103153836962352</v>
      </c>
      <c r="F629" s="2" t="n">
        <f aca="false">E629*(1-F$627)+E628*F$627</f>
        <v>0.00800014787440898</v>
      </c>
      <c r="G629" s="2" t="n">
        <f aca="false">F629*(1-G$627)+F628*G$627</f>
        <v>0.00558763679181442</v>
      </c>
      <c r="H629" s="2" t="n">
        <f aca="false">G629*(1-H$627)+G628*H$627</f>
        <v>0.00199494881150446</v>
      </c>
      <c r="I629" s="2" t="n">
        <f aca="false">H629*(1-I$627)+H628*I$627</f>
        <v>0.00128539374333019</v>
      </c>
      <c r="J629" s="2" t="n">
        <f aca="false">I629*(1-J$627)+I628*J$627</f>
        <v>0.00117807855628347</v>
      </c>
      <c r="K629" s="2" t="n">
        <f aca="false">J629*(1-K$627)+J628*K$627</f>
        <v>0.000493712793218629</v>
      </c>
      <c r="L629" s="2" t="n">
        <f aca="false">K629*(1-L$627)+K628*L$627</f>
        <v>0.000386559884162267</v>
      </c>
      <c r="M629" s="2" t="n">
        <f aca="false">L629*(1-M$627)+L628*M$627</f>
        <v>0.000159178781984915</v>
      </c>
      <c r="N629" s="2" t="n">
        <f aca="false">M629*(1-N$627)+M628*N$627</f>
        <v>8.00927429194191E-005</v>
      </c>
      <c r="O629" s="2" t="n">
        <f aca="false">N629*(1-O$627)+N628*O$627</f>
        <v>8.00927429194191E-005</v>
      </c>
    </row>
    <row r="630" customFormat="false" ht="15" hidden="false" customHeight="false" outlineLevel="0" collapsed="false">
      <c r="B630" s="2" t="n">
        <v>2</v>
      </c>
      <c r="C630" s="2" t="n">
        <f aca="false">0</f>
        <v>0</v>
      </c>
      <c r="D630" s="2" t="n">
        <f aca="false">C630*(1-D$627)+C629*D$627</f>
        <v>0.595431882116061</v>
      </c>
      <c r="E630" s="2" t="n">
        <f aca="false">D630*(1-E$627)+D629*E$627</f>
        <v>0.408608946152613</v>
      </c>
      <c r="F630" s="2" t="n">
        <f aca="false">E630*(1-F$627)+E629*F$627</f>
        <v>0.319092603432427</v>
      </c>
      <c r="G630" s="2" t="n">
        <f aca="false">F630*(1-G$627)+F629*G$627</f>
        <v>0.225152778459044</v>
      </c>
      <c r="H630" s="2" t="n">
        <f aca="false">G630*(1-H$627)+G629*H$627</f>
        <v>0.0837873073363941</v>
      </c>
      <c r="I630" s="2" t="n">
        <f aca="false">H630*(1-I$627)+H629*I$627</f>
        <v>0.054656383178112</v>
      </c>
      <c r="J630" s="2" t="n">
        <f aca="false">I630*(1-J$627)+I629*J$627</f>
        <v>0.0501945122624216</v>
      </c>
      <c r="K630" s="2" t="n">
        <f aca="false">J630*(1-K$627)+J629*K$627</f>
        <v>0.0216815457479023</v>
      </c>
      <c r="L630" s="2" t="n">
        <f aca="false">K630*(1-L$627)+K629*L$627</f>
        <v>0.0170768419879354</v>
      </c>
      <c r="M630" s="2" t="n">
        <f aca="false">L630*(1-M$627)+L629*M$627</f>
        <v>0.00724609286961053</v>
      </c>
      <c r="N630" s="2" t="n">
        <f aca="false">M630*(1-N$627)+M629*N$627</f>
        <v>0.00372030614617604</v>
      </c>
      <c r="O630" s="2" t="n">
        <f aca="false">N630*(1-O$627)+N629*O$627</f>
        <v>0.00372030614617604</v>
      </c>
    </row>
    <row r="631" customFormat="false" ht="15" hidden="false" customHeight="false" outlineLevel="0" collapsed="false">
      <c r="B631" s="2" t="n">
        <v>3</v>
      </c>
      <c r="C631" s="2" t="n">
        <f aca="false">0</f>
        <v>0</v>
      </c>
      <c r="D631" s="2" t="n">
        <f aca="false">C631*(1-D$627)+C630*D$627</f>
        <v>0</v>
      </c>
      <c r="E631" s="2" t="n">
        <f aca="false">D631*(1-E$627)+D630*E$627</f>
        <v>0.581061685008299</v>
      </c>
      <c r="F631" s="2" t="n">
        <f aca="false">E631*(1-F$627)+E630*F$627</f>
        <v>0.542302990593972</v>
      </c>
      <c r="G631" s="2" t="n">
        <f aca="false">F631*(1-G$627)+F630*G$627</f>
        <v>0.474900698035688</v>
      </c>
      <c r="H631" s="2" t="n">
        <f aca="false">G631*(1-H$627)+G630*H$627</f>
        <v>0.314102257787996</v>
      </c>
      <c r="I631" s="2" t="n">
        <f aca="false">H631*(1-I$627)+H630*I$627</f>
        <v>0.232073967185733</v>
      </c>
      <c r="J631" s="2" t="n">
        <f aca="false">I631*(1-J$627)+I630*J$627</f>
        <v>0.217241670344338</v>
      </c>
      <c r="K631" s="2" t="n">
        <f aca="false">J631*(1-K$627)+J630*K$627</f>
        <v>0.120069973739678</v>
      </c>
      <c r="L631" s="2" t="n">
        <f aca="false">K631*(1-L$627)+K630*L$627</f>
        <v>0.098687439467299</v>
      </c>
      <c r="M631" s="2" t="n">
        <f aca="false">L631*(1-M$627)+L630*M$627</f>
        <v>0.0506179518320452</v>
      </c>
      <c r="N631" s="2" t="n">
        <f aca="false">M631*(1-N$627)+M630*N$627</f>
        <v>0.0290401645737747</v>
      </c>
      <c r="O631" s="2" t="n">
        <f aca="false">N631*(1-O$627)+N630*O$627</f>
        <v>0.0290401645737747</v>
      </c>
    </row>
    <row r="632" customFormat="false" ht="15" hidden="false" customHeight="false" outlineLevel="0" collapsed="false">
      <c r="B632" s="2" t="n">
        <v>4</v>
      </c>
      <c r="C632" s="2" t="n">
        <f aca="false">0</f>
        <v>0</v>
      </c>
      <c r="D632" s="2" t="n">
        <f aca="false">C632*(1-D$627)+C631*D$627</f>
        <v>0</v>
      </c>
      <c r="E632" s="2" t="n">
        <f aca="false">D632*(1-E$627)+D631*E$627</f>
        <v>0</v>
      </c>
      <c r="F632" s="2" t="n">
        <f aca="false">E632*(1-F$627)+E631*F$627</f>
        <v>0.13059341611244</v>
      </c>
      <c r="G632" s="2" t="n">
        <f aca="false">F632*(1-G$627)+F631*G$627</f>
        <v>0.25491634543995</v>
      </c>
      <c r="H632" s="2" t="n">
        <f aca="false">G632*(1-H$627)+G631*H$627</f>
        <v>0.396551722568436</v>
      </c>
      <c r="I632" s="2" t="n">
        <f aca="false">H632*(1-I$627)+H631*I$627</f>
        <v>0.367186765392405</v>
      </c>
      <c r="J632" s="2" t="n">
        <f aca="false">I632*(1-J$627)+I631*J$627</f>
        <v>0.355891193190347</v>
      </c>
      <c r="K632" s="2" t="n">
        <f aca="false">J632*(1-K$627)+J631*K$627</f>
        <v>0.27523846300881</v>
      </c>
      <c r="L632" s="2" t="n">
        <f aca="false">K632*(1-L$627)+K631*L$627</f>
        <v>0.241516046587361</v>
      </c>
      <c r="M632" s="2" t="n">
        <f aca="false">L632*(1-M$627)+L631*M$627</f>
        <v>0.157388516879538</v>
      </c>
      <c r="N632" s="2" t="n">
        <f aca="false">M632*(1-N$627)+M631*N$627</f>
        <v>0.104269453201969</v>
      </c>
      <c r="O632" s="2" t="n">
        <f aca="false">N632*(1-O$627)+N631*O$627</f>
        <v>0.104269453201969</v>
      </c>
    </row>
    <row r="633" customFormat="false" ht="15" hidden="false" customHeight="false" outlineLevel="0" collapsed="false">
      <c r="B633" s="2" t="n">
        <v>5</v>
      </c>
      <c r="C633" s="2" t="n">
        <f aca="false">0</f>
        <v>0</v>
      </c>
      <c r="D633" s="2" t="n">
        <f aca="false">C633*(1-D$627)+C632*D$627</f>
        <v>0</v>
      </c>
      <c r="E633" s="2" t="n">
        <f aca="false">D633*(1-E$627)+D632*E$627</f>
        <v>0</v>
      </c>
      <c r="F633" s="2" t="n">
        <f aca="false">E633*(1-F$627)+E632*F$627</f>
        <v>0</v>
      </c>
      <c r="G633" s="2" t="n">
        <f aca="false">F633*(1-G$627)+F632*G$627</f>
        <v>0.0394349732148706</v>
      </c>
      <c r="H633" s="2" t="n">
        <f aca="false">G633*(1-H$627)+G632*H$627</f>
        <v>0.178171138124512</v>
      </c>
      <c r="I633" s="2" t="n">
        <f aca="false">H633*(1-I$627)+H632*I$627</f>
        <v>0.25594892027688</v>
      </c>
      <c r="J633" s="2" t="n">
        <f aca="false">I633*(1-J$627)+I632*J$627</f>
        <v>0.265248521260511</v>
      </c>
      <c r="K633" s="2" t="n">
        <f aca="false">J633*(1-K$627)+J632*K$627</f>
        <v>0.31797556144088</v>
      </c>
      <c r="L633" s="2" t="n">
        <f aca="false">K633*(1-L$627)+K632*L$627</f>
        <v>0.308687604609187</v>
      </c>
      <c r="M633" s="2" t="n">
        <f aca="false">L633*(1-M$627)+L632*M$627</f>
        <v>0.269122860844293</v>
      </c>
      <c r="N633" s="2" t="n">
        <f aca="false">M633*(1-N$627)+M632*N$627</f>
        <v>0.21353428426052</v>
      </c>
      <c r="O633" s="2" t="n">
        <f aca="false">N633*(1-O$627)+N632*O$627</f>
        <v>0.21353428426052</v>
      </c>
    </row>
    <row r="634" customFormat="false" ht="15" hidden="false" customHeight="false" outlineLevel="0" collapsed="false">
      <c r="B634" s="2" t="n">
        <v>6</v>
      </c>
      <c r="C634" s="2" t="n">
        <f aca="false">0</f>
        <v>0</v>
      </c>
      <c r="D634" s="2" t="n">
        <f aca="false">C634*(1-D$627)+C633*D$627</f>
        <v>0</v>
      </c>
      <c r="E634" s="2" t="n">
        <f aca="false">D634*(1-E$627)+D633*E$627</f>
        <v>0</v>
      </c>
      <c r="F634" s="2" t="n">
        <f aca="false">E634*(1-F$627)+E633*F$627</f>
        <v>0</v>
      </c>
      <c r="G634" s="2" t="n">
        <f aca="false">F634*(1-G$627)+F633*G$627</f>
        <v>0</v>
      </c>
      <c r="H634" s="2" t="n">
        <f aca="false">G634*(1-H$627)+G633*H$627</f>
        <v>0.0253899299538097</v>
      </c>
      <c r="I634" s="2" t="n">
        <f aca="false">H634*(1-I$627)+H633*I$627</f>
        <v>0.0798040325460106</v>
      </c>
      <c r="J634" s="2" t="n">
        <f aca="false">I634*(1-J$627)+I633*J$627</f>
        <v>0.0945299306385374</v>
      </c>
      <c r="K634" s="2" t="n">
        <f aca="false">J634*(1-K$627)+J633*K$627</f>
        <v>0.193837307568342</v>
      </c>
      <c r="L634" s="2" t="n">
        <f aca="false">K634*(1-L$627)+K633*L$627</f>
        <v>0.220815993193492</v>
      </c>
      <c r="M634" s="2" t="n">
        <f aca="false">L634*(1-M$627)+L633*M$627</f>
        <v>0.272573282919311</v>
      </c>
      <c r="N634" s="2" t="n">
        <f aca="false">M634*(1-N$627)+M633*N$627</f>
        <v>0.27085667507111</v>
      </c>
      <c r="O634" s="2" t="n">
        <f aca="false">N634*(1-O$627)+N633*O$627</f>
        <v>0.27085667507111</v>
      </c>
    </row>
    <row r="635" customFormat="false" ht="15" hidden="false" customHeight="false" outlineLevel="0" collapsed="false">
      <c r="B635" s="2" t="n">
        <v>7</v>
      </c>
      <c r="C635" s="2" t="n">
        <f aca="false">0</f>
        <v>0</v>
      </c>
      <c r="D635" s="2" t="n">
        <f aca="false">C635*(1-D$627)+C634*D$627</f>
        <v>0</v>
      </c>
      <c r="E635" s="2" t="n">
        <f aca="false">D635*(1-E$627)+D634*E$627</f>
        <v>0</v>
      </c>
      <c r="F635" s="2" t="n">
        <f aca="false">E635*(1-F$627)+E634*F$627</f>
        <v>0</v>
      </c>
      <c r="G635" s="2" t="n">
        <f aca="false">F635*(1-G$627)+F634*G$627</f>
        <v>0</v>
      </c>
      <c r="H635" s="2" t="n">
        <f aca="false">G635*(1-H$627)+G634*H$627</f>
        <v>0</v>
      </c>
      <c r="I635" s="2" t="n">
        <f aca="false">H635*(1-I$627)+H634*I$627</f>
        <v>0.00904280225203987</v>
      </c>
      <c r="J635" s="2" t="n">
        <f aca="false">I635*(1-J$627)+I634*J$627</f>
        <v>0.014958515615251</v>
      </c>
      <c r="K635" s="2" t="n">
        <f aca="false">J635*(1-K$627)+J634*K$627</f>
        <v>0.061245381478929</v>
      </c>
      <c r="L635" s="2" t="n">
        <f aca="false">K635*(1-L$627)+K634*L$627</f>
        <v>0.0900612845451372</v>
      </c>
      <c r="M635" s="2" t="n">
        <f aca="false">L635*(1-M$627)+L634*M$627</f>
        <v>0.1670771629329</v>
      </c>
      <c r="N635" s="2" t="n">
        <f aca="false">M635*(1-N$627)+M634*N$627</f>
        <v>0.219562181746859</v>
      </c>
      <c r="O635" s="2" t="n">
        <f aca="false">N635*(1-O$627)+N634*O$627</f>
        <v>0.219562181746859</v>
      </c>
    </row>
    <row r="636" customFormat="false" ht="15" hidden="false" customHeight="false" outlineLevel="0" collapsed="false">
      <c r="B636" s="2" t="n">
        <v>8</v>
      </c>
      <c r="C636" s="2" t="n">
        <f aca="false">0</f>
        <v>0</v>
      </c>
      <c r="D636" s="2" t="n">
        <f aca="false">C636*(1-D$627)+C635*D$627</f>
        <v>0</v>
      </c>
      <c r="E636" s="2" t="n">
        <f aca="false">D636*(1-E$627)+D635*E$627</f>
        <v>0</v>
      </c>
      <c r="F636" s="2" t="n">
        <f aca="false">E636*(1-F$627)+E635*F$627</f>
        <v>0</v>
      </c>
      <c r="G636" s="2" t="n">
        <f aca="false">F636*(1-G$627)+F635*G$627</f>
        <v>0</v>
      </c>
      <c r="H636" s="2" t="n">
        <f aca="false">G636*(1-H$627)+G635*H$627</f>
        <v>0</v>
      </c>
      <c r="I636" s="2" t="n">
        <f aca="false">H636*(1-I$627)+H635*I$627</f>
        <v>0</v>
      </c>
      <c r="J636" s="2" t="n">
        <f aca="false">I636*(1-J$627)+I635*J$627</f>
        <v>0.000755987790221139</v>
      </c>
      <c r="K636" s="2" t="n">
        <f aca="false">J636*(1-K$627)+J635*K$627</f>
        <v>0.00901762923734041</v>
      </c>
      <c r="L636" s="2" t="n">
        <f aca="false">K636*(1-L$627)+K635*L$627</f>
        <v>0.0203681683715609</v>
      </c>
      <c r="M636" s="2" t="n">
        <f aca="false">L636*(1-M$627)+L635*M$627</f>
        <v>0.0614181360184116</v>
      </c>
      <c r="N636" s="2" t="n">
        <f aca="false">M636*(1-N$627)+M635*N$627</f>
        <v>0.11398420210867</v>
      </c>
      <c r="O636" s="2" t="n">
        <f aca="false">N636*(1-O$627)+N635*O$627</f>
        <v>0.11398420210867</v>
      </c>
    </row>
    <row r="637" customFormat="false" ht="15" hidden="false" customHeight="false" outlineLevel="0" collapsed="false">
      <c r="B637" s="2" t="n">
        <v>9</v>
      </c>
      <c r="C637" s="2" t="n">
        <f aca="false">0</f>
        <v>0</v>
      </c>
      <c r="D637" s="2" t="n">
        <f aca="false">C637*(1-D$627)+C636*D$627</f>
        <v>0</v>
      </c>
      <c r="E637" s="2" t="n">
        <f aca="false">D637*(1-E$627)+D636*E$627</f>
        <v>0</v>
      </c>
      <c r="F637" s="2" t="n">
        <f aca="false">E637*(1-F$627)+E636*F$627</f>
        <v>0</v>
      </c>
      <c r="G637" s="2" t="n">
        <f aca="false">F637*(1-G$627)+F636*G$627</f>
        <v>0</v>
      </c>
      <c r="H637" s="2" t="n">
        <f aca="false">G637*(1-H$627)+G636*H$627</f>
        <v>0</v>
      </c>
      <c r="I637" s="2" t="n">
        <f aca="false">H637*(1-I$627)+H636*I$627</f>
        <v>0</v>
      </c>
      <c r="J637" s="2" t="n">
        <f aca="false">I637*(1-J$627)+I636*J$627</f>
        <v>0</v>
      </c>
      <c r="K637" s="2" t="n">
        <f aca="false">J637*(1-K$627)+J636*K$627</f>
        <v>0.000439759748275229</v>
      </c>
      <c r="L637" s="2" t="n">
        <f aca="false">K637*(1-L$627)+K636*L$627</f>
        <v>0.0023039687012759</v>
      </c>
      <c r="M637" s="2" t="n">
        <f aca="false">L637*(1-M$627)+L636*M$627</f>
        <v>0.0129439695040037</v>
      </c>
      <c r="N637" s="2" t="n">
        <f aca="false">M637*(1-N$627)+M636*N$627</f>
        <v>0.037060188582273</v>
      </c>
      <c r="O637" s="2" t="n">
        <f aca="false">N637*(1-O$627)+N636*O$627</f>
        <v>0.037060188582273</v>
      </c>
    </row>
    <row r="638" customFormat="false" ht="15" hidden="false" customHeight="false" outlineLevel="0" collapsed="false">
      <c r="B638" s="2" t="n">
        <v>10</v>
      </c>
      <c r="C638" s="2" t="n">
        <f aca="false">0</f>
        <v>0</v>
      </c>
      <c r="D638" s="2" t="n">
        <f aca="false">C638*(1-D$627)+C637*D$627</f>
        <v>0</v>
      </c>
      <c r="E638" s="2" t="n">
        <f aca="false">D638*(1-E$627)+D637*E$627</f>
        <v>0</v>
      </c>
      <c r="F638" s="2" t="n">
        <f aca="false">E638*(1-F$627)+E637*F$627</f>
        <v>0</v>
      </c>
      <c r="G638" s="2" t="n">
        <f aca="false">F638*(1-G$627)+F637*G$627</f>
        <v>0</v>
      </c>
      <c r="H638" s="2" t="n">
        <f aca="false">G638*(1-H$627)+G637*H$627</f>
        <v>0</v>
      </c>
      <c r="I638" s="2" t="n">
        <f aca="false">H638*(1-I$627)+H637*I$627</f>
        <v>0</v>
      </c>
      <c r="J638" s="2" t="n">
        <f aca="false">I638*(1-J$627)+I637*J$627</f>
        <v>0</v>
      </c>
      <c r="K638" s="2" t="n">
        <f aca="false">J638*(1-K$627)+J637*K$627</f>
        <v>0</v>
      </c>
      <c r="L638" s="2" t="n">
        <f aca="false">K638*(1-L$627)+K637*L$627</f>
        <v>9.55719903350204E-005</v>
      </c>
      <c r="M638" s="2" t="n">
        <f aca="false">L638*(1-M$627)+L637*M$627</f>
        <v>0.00139634053840442</v>
      </c>
      <c r="N638" s="2" t="n">
        <f aca="false">M638*(1-N$627)+M637*N$627</f>
        <v>0.00714136247470085</v>
      </c>
      <c r="O638" s="2" t="n">
        <f aca="false">N638*(1-O$627)+N637*O$627</f>
        <v>0.00714136247470085</v>
      </c>
    </row>
    <row r="639" customFormat="false" ht="15" hidden="false" customHeight="false" outlineLevel="0" collapsed="false">
      <c r="B639" s="2" t="n">
        <v>11</v>
      </c>
      <c r="C639" s="2" t="n">
        <f aca="false">0</f>
        <v>0</v>
      </c>
      <c r="D639" s="2" t="n">
        <f aca="false">C639*(1-D$627)+C638*D$627</f>
        <v>0</v>
      </c>
      <c r="E639" s="2" t="n">
        <f aca="false">D639*(1-E$627)+D638*E$627</f>
        <v>0</v>
      </c>
      <c r="F639" s="2" t="n">
        <f aca="false">E639*(1-F$627)+E638*F$627</f>
        <v>0</v>
      </c>
      <c r="G639" s="2" t="n">
        <f aca="false">F639*(1-G$627)+F638*G$627</f>
        <v>0</v>
      </c>
      <c r="H639" s="2" t="n">
        <f aca="false">G639*(1-H$627)+G638*H$627</f>
        <v>0</v>
      </c>
      <c r="I639" s="2" t="n">
        <f aca="false">H639*(1-I$627)+H638*I$627</f>
        <v>0</v>
      </c>
      <c r="J639" s="2" t="n">
        <f aca="false">I639*(1-J$627)+I638*J$627</f>
        <v>0</v>
      </c>
      <c r="K639" s="2" t="n">
        <f aca="false">J639*(1-K$627)+J638*K$627</f>
        <v>0</v>
      </c>
      <c r="L639" s="2" t="n">
        <f aca="false">K639*(1-L$627)+K638*L$627</f>
        <v>0</v>
      </c>
      <c r="M639" s="2" t="n">
        <f aca="false">L639*(1-M$627)+L638*M$627</f>
        <v>5.62928927073171E-005</v>
      </c>
      <c r="N639" s="2" t="n">
        <f aca="false">M639*(1-N$627)+M638*N$627</f>
        <v>0.000722975476911106</v>
      </c>
      <c r="O639" s="2" t="n">
        <f aca="false">N639*(1-O$627)+N638*O$627</f>
        <v>0.000722975476911106</v>
      </c>
    </row>
    <row r="640" customFormat="false" ht="15" hidden="false" customHeight="false" outlineLevel="0" collapsed="false">
      <c r="B640" s="2" t="n">
        <v>12</v>
      </c>
      <c r="C640" s="2" t="n">
        <f aca="false">0</f>
        <v>0</v>
      </c>
      <c r="D640" s="2" t="n">
        <f aca="false">C640*(1-D$627)+C639*D$627</f>
        <v>0</v>
      </c>
      <c r="E640" s="2" t="n">
        <f aca="false">D640*(1-E$627)+D639*E$627</f>
        <v>0</v>
      </c>
      <c r="F640" s="2" t="n">
        <f aca="false">E640*(1-F$627)+E639*F$627</f>
        <v>0</v>
      </c>
      <c r="G640" s="2" t="n">
        <f aca="false">F640*(1-G$627)+F639*G$627</f>
        <v>0</v>
      </c>
      <c r="H640" s="2" t="n">
        <f aca="false">G640*(1-H$627)+G639*H$627</f>
        <v>0</v>
      </c>
      <c r="I640" s="2" t="n">
        <f aca="false">H640*(1-I$627)+H639*I$627</f>
        <v>0</v>
      </c>
      <c r="J640" s="2" t="n">
        <f aca="false">I640*(1-J$627)+I639*J$627</f>
        <v>0</v>
      </c>
      <c r="K640" s="2" t="n">
        <f aca="false">J640*(1-K$627)+J639*K$627</f>
        <v>0</v>
      </c>
      <c r="L640" s="2" t="n">
        <f aca="false">K640*(1-L$627)+K639*L$627</f>
        <v>0</v>
      </c>
      <c r="M640" s="2" t="n">
        <f aca="false">L640*(1-M$627)+L639*M$627</f>
        <v>0</v>
      </c>
      <c r="N640" s="2" t="n">
        <f aca="false">M640*(1-N$627)+M639*N$627</f>
        <v>2.80060871737868E-005</v>
      </c>
      <c r="O640" s="2" t="n">
        <f aca="false">N640*(1-O$627)+N639*O$627</f>
        <v>2.80060871737868E-005</v>
      </c>
    </row>
    <row r="641" customFormat="false" ht="15" hidden="false" customHeight="false" outlineLevel="0" collapsed="false">
      <c r="B641" s="2" t="n">
        <v>13</v>
      </c>
      <c r="C641" s="2" t="n">
        <f aca="false">0</f>
        <v>0</v>
      </c>
      <c r="D641" s="2" t="n">
        <f aca="false">C641*(1-D$627)+C640*D$627</f>
        <v>0</v>
      </c>
      <c r="E641" s="2" t="n">
        <f aca="false">D641*(1-E$627)+D640*E$627</f>
        <v>0</v>
      </c>
      <c r="F641" s="2" t="n">
        <f aca="false">E641*(1-F$627)+E640*F$627</f>
        <v>0</v>
      </c>
      <c r="G641" s="2" t="n">
        <f aca="false">F641*(1-G$627)+F640*G$627</f>
        <v>0</v>
      </c>
      <c r="H641" s="2" t="n">
        <f aca="false">G641*(1-H$627)+G640*H$627</f>
        <v>0</v>
      </c>
      <c r="I641" s="2" t="n">
        <f aca="false">H641*(1-I$627)+H640*I$627</f>
        <v>0</v>
      </c>
      <c r="J641" s="2" t="n">
        <f aca="false">I641*(1-J$627)+I640*J$627</f>
        <v>0</v>
      </c>
      <c r="K641" s="2" t="n">
        <f aca="false">J641*(1-K$627)+J640*K$627</f>
        <v>0</v>
      </c>
      <c r="L641" s="2" t="n">
        <f aca="false">K641*(1-L$627)+K640*L$627</f>
        <v>0</v>
      </c>
      <c r="M641" s="2" t="n">
        <f aca="false">L641*(1-M$627)+L640*M$627</f>
        <v>0</v>
      </c>
      <c r="N641" s="2" t="n">
        <f aca="false">M641*(1-N$627)+M640*N$627</f>
        <v>0</v>
      </c>
      <c r="O641" s="2" t="n">
        <f aca="false">N641*(1-O$627)+N640*O$627</f>
        <v>0</v>
      </c>
    </row>
    <row r="643" customFormat="false" ht="15" hidden="false" customHeight="false" outlineLevel="0" collapsed="false">
      <c r="A643" s="1" t="s">
        <v>98</v>
      </c>
      <c r="C643" s="2" t="n">
        <f aca="false">Schedule!G42</f>
        <v>0.786329507059644</v>
      </c>
      <c r="D643" s="2" t="n">
        <f aca="false">Schedule!L42</f>
        <v>0.669125611959121</v>
      </c>
      <c r="E643" s="2" t="n">
        <f aca="false">Schedule!Q42</f>
        <v>0.746174582585778</v>
      </c>
      <c r="F643" s="2" t="n">
        <f aca="false">Schedule!V42</f>
        <v>0.999505698080732</v>
      </c>
      <c r="G643" s="2" t="n">
        <f aca="false">Schedule!AA42</f>
        <v>0.379707152759433</v>
      </c>
      <c r="H643" s="2" t="n">
        <f aca="false">Schedule!AF42</f>
        <v>0.627409464153284</v>
      </c>
      <c r="I643" s="2" t="n">
        <f aca="false">Schedule!AK42</f>
        <v>0.650806957537142</v>
      </c>
      <c r="J643" s="2" t="n">
        <f aca="false">Schedule!AP42</f>
        <v>0.126363665515411</v>
      </c>
      <c r="K643" s="2" t="n">
        <f aca="false">Schedule!AU42</f>
        <v>0.569460183207674</v>
      </c>
      <c r="L643" s="2" t="n">
        <f aca="false">Schedule!AZ42</f>
        <v>0.490027481804762</v>
      </c>
      <c r="M643" s="2" t="n">
        <f aca="false">Schedule!BE42</f>
        <v>0.321861401163654</v>
      </c>
      <c r="N643" s="2" t="n">
        <f aca="false">Schedule!BJ42</f>
        <v>0.51744815844579</v>
      </c>
      <c r="O643" s="2" t="n">
        <f aca="false">Schedule!BO42</f>
        <v>0</v>
      </c>
    </row>
    <row r="644" customFormat="false" ht="15" hidden="false" customHeight="false" outlineLevel="0" collapsed="false">
      <c r="B644" s="2" t="n">
        <v>0</v>
      </c>
      <c r="C644" s="2" t="n">
        <f aca="false">1-C$643</f>
        <v>0.213670492940356</v>
      </c>
      <c r="D644" s="2" t="n">
        <f aca="false">C644*(1-D$643)</f>
        <v>0.0706980935940333</v>
      </c>
      <c r="E644" s="2" t="n">
        <f aca="false">D644*(1-E$643)</f>
        <v>0.0179449731168953</v>
      </c>
      <c r="F644" s="2" t="n">
        <f aca="false">E644*(1-F$643)</f>
        <v>8.87023465289844E-006</v>
      </c>
      <c r="G644" s="2" t="n">
        <f aca="false">F644*(1-G$643)</f>
        <v>5.50214310853831E-006</v>
      </c>
      <c r="H644" s="2" t="n">
        <f aca="false">G644*(1-H$643)</f>
        <v>2.05004644911561E-006</v>
      </c>
      <c r="I644" s="2" t="n">
        <f aca="false">H644*(1-I$643)</f>
        <v>7.15861956756856E-007</v>
      </c>
      <c r="J644" s="2" t="n">
        <f aca="false">I644*(1-J$643)</f>
        <v>6.25403015898025E-007</v>
      </c>
      <c r="K644" s="2" t="n">
        <f aca="false">J644*(1-K$643)</f>
        <v>2.69260899886104E-007</v>
      </c>
      <c r="L644" s="2" t="n">
        <f aca="false">K644*(1-L$643)</f>
        <v>1.37315659166432E-007</v>
      </c>
      <c r="M644" s="2" t="n">
        <f aca="false">L644*(1-M$643)</f>
        <v>9.31190487054137E-008</v>
      </c>
      <c r="N644" s="2" t="n">
        <f aca="false">M644*(1-N$643)</f>
        <v>4.49347684365736E-008</v>
      </c>
      <c r="O644" s="2" t="n">
        <f aca="false">N644*(1-O$643)</f>
        <v>4.49347684365736E-008</v>
      </c>
    </row>
    <row r="645" customFormat="false" ht="15" hidden="false" customHeight="false" outlineLevel="0" collapsed="false">
      <c r="B645" s="2" t="n">
        <v>1</v>
      </c>
      <c r="C645" s="2" t="n">
        <f aca="false">C$643</f>
        <v>0.786329507059644</v>
      </c>
      <c r="D645" s="2" t="n">
        <f aca="false">C645*(1-D$643)+C644*D$643</f>
        <v>0.403148693793169</v>
      </c>
      <c r="E645" s="2" t="n">
        <f aca="false">D645*(1-E$643)+D644*E$643</f>
        <v>0.155082505959188</v>
      </c>
      <c r="F645" s="2" t="n">
        <f aca="false">E645*(1-F$643)+E644*F$643</f>
        <v>0.0180127604625829</v>
      </c>
      <c r="G645" s="2" t="n">
        <f aca="false">F645*(1-G$643)+F644*G$643</f>
        <v>0.0111765545655422</v>
      </c>
      <c r="H645" s="2" t="n">
        <f aca="false">G645*(1-H$643)+G644*H$643</f>
        <v>0.00416773055115486</v>
      </c>
      <c r="I645" s="2" t="n">
        <f aca="false">H645*(1-I$643)+H644*I$643</f>
        <v>0.00145667669581553</v>
      </c>
      <c r="J645" s="2" t="n">
        <f aca="false">I645*(1-J$643)+I644*J$643</f>
        <v>0.00127269614800226</v>
      </c>
      <c r="K645" s="2" t="n">
        <f aca="false">J645*(1-K$643)+J644*K$643</f>
        <v>0.000548302508509204</v>
      </c>
      <c r="L645" s="2" t="n">
        <f aca="false">K645*(1-L$643)+K644*L$643</f>
        <v>0.000279751156237924</v>
      </c>
      <c r="M645" s="2" t="n">
        <f aca="false">L645*(1-M$643)+L644*M$643</f>
        <v>0.000189754253724495</v>
      </c>
      <c r="N645" s="2" t="n">
        <f aca="false">M645*(1-N$643)+M644*N$643</f>
        <v>9.16144488577686E-005</v>
      </c>
      <c r="O645" s="2" t="n">
        <f aca="false">N645*(1-O$643)+N644*O$643</f>
        <v>9.16144488577686E-005</v>
      </c>
    </row>
    <row r="646" customFormat="false" ht="15" hidden="false" customHeight="false" outlineLevel="0" collapsed="false">
      <c r="B646" s="2" t="n">
        <v>2</v>
      </c>
      <c r="C646" s="2" t="n">
        <f aca="false">0</f>
        <v>0</v>
      </c>
      <c r="D646" s="2" t="n">
        <f aca="false">C646*(1-D$643)+C645*D$643</f>
        <v>0.526153212612798</v>
      </c>
      <c r="E646" s="2" t="n">
        <f aca="false">D646*(1-E$643)+D645*E$643</f>
        <v>0.434370367126397</v>
      </c>
      <c r="F646" s="2" t="n">
        <f aca="false">E646*(1-F$643)+E645*F$643</f>
        <v>0.155220558484991</v>
      </c>
      <c r="G646" s="2" t="n">
        <f aca="false">F646*(1-G$643)+F645*G$643</f>
        <v>0.103121776161511</v>
      </c>
      <c r="H646" s="2" t="n">
        <f aca="false">G646*(1-H$643)+G645*H$643</f>
        <v>0.0454344739485293</v>
      </c>
      <c r="I646" s="2" t="n">
        <f aca="false">H646*(1-I$643)+H645*I$643</f>
        <v>0.0185777902306181</v>
      </c>
      <c r="J646" s="2" t="n">
        <f aca="false">I646*(1-J$643)+I645*J$643</f>
        <v>0.0164143035666549</v>
      </c>
      <c r="K646" s="2" t="n">
        <f aca="false">J646*(1-K$643)+J645*K$643</f>
        <v>0.0077917610319703</v>
      </c>
      <c r="L646" s="2" t="n">
        <f aca="false">K646*(1-L$643)+K645*L$643</f>
        <v>0.00424226729216142</v>
      </c>
      <c r="M646" s="2" t="n">
        <f aca="false">L646*(1-M$643)+L645*M$643</f>
        <v>0.0029668862965195</v>
      </c>
      <c r="N646" s="2" t="n">
        <f aca="false">M646*(1-N$643)+M645*N$643</f>
        <v>0.00152986443521443</v>
      </c>
      <c r="O646" s="2" t="n">
        <f aca="false">N646*(1-O$643)+N645*O$643</f>
        <v>0.00152986443521443</v>
      </c>
    </row>
    <row r="647" customFormat="false" ht="15" hidden="false" customHeight="false" outlineLevel="0" collapsed="false">
      <c r="B647" s="2" t="n">
        <v>3</v>
      </c>
      <c r="C647" s="2" t="n">
        <f aca="false">0</f>
        <v>0</v>
      </c>
      <c r="D647" s="2" t="n">
        <f aca="false">C647*(1-D$643)+C646*D$643</f>
        <v>0</v>
      </c>
      <c r="E647" s="2" t="n">
        <f aca="false">D647*(1-E$643)+D646*E$643</f>
        <v>0.39260215379752</v>
      </c>
      <c r="F647" s="2" t="n">
        <f aca="false">E647*(1-F$643)+E646*F$643</f>
        <v>0.434349721018384</v>
      </c>
      <c r="G647" s="2" t="n">
        <f aca="false">F647*(1-G$643)+F646*G$643</f>
        <v>0.328362381460704</v>
      </c>
      <c r="H647" s="2" t="n">
        <f aca="false">G647*(1-H$643)+G646*H$643</f>
        <v>0.187044293984376</v>
      </c>
      <c r="I647" s="2" t="n">
        <f aca="false">H647*(1-I$643)+H646*I$643</f>
        <v>0.0948836378494643</v>
      </c>
      <c r="J647" s="2" t="n">
        <f aca="false">I647*(1-J$643)+I646*J$643</f>
        <v>0.0852413512440865</v>
      </c>
      <c r="K647" s="2" t="n">
        <f aca="false">J647*(1-K$643)+J646*K$643</f>
        <v>0.046047088064053</v>
      </c>
      <c r="L647" s="2" t="n">
        <f aca="false">K647*(1-L$643)+K646*L$643</f>
        <v>0.0273009264929039</v>
      </c>
      <c r="M647" s="2" t="n">
        <f aca="false">L647*(1-M$643)+L646*M$643</f>
        <v>0.0198792341335977</v>
      </c>
      <c r="N647" s="2" t="n">
        <f aca="false">M647*(1-N$643)+M646*N$643</f>
        <v>0.011127970890307</v>
      </c>
      <c r="O647" s="2" t="n">
        <f aca="false">N647*(1-O$643)+N646*O$643</f>
        <v>0.011127970890307</v>
      </c>
    </row>
    <row r="648" customFormat="false" ht="15" hidden="false" customHeight="false" outlineLevel="0" collapsed="false">
      <c r="B648" s="2" t="n">
        <v>4</v>
      </c>
      <c r="C648" s="2" t="n">
        <f aca="false">0</f>
        <v>0</v>
      </c>
      <c r="D648" s="2" t="n">
        <f aca="false">C648*(1-D$643)+C647*D$643</f>
        <v>0</v>
      </c>
      <c r="E648" s="2" t="n">
        <f aca="false">D648*(1-E$643)+D647*E$643</f>
        <v>0</v>
      </c>
      <c r="F648" s="2" t="n">
        <f aca="false">E648*(1-F$643)+E647*F$643</f>
        <v>0.392408089799389</v>
      </c>
      <c r="G648" s="2" t="n">
        <f aca="false">F648*(1-G$643)+F647*G$643</f>
        <v>0.40833362717164</v>
      </c>
      <c r="H648" s="2" t="n">
        <f aca="false">G648*(1-H$643)+G647*H$643</f>
        <v>0.358158910752471</v>
      </c>
      <c r="I648" s="2" t="n">
        <f aca="false">H648*(1-I$643)+H647*I$643</f>
        <v>0.246796327623493</v>
      </c>
      <c r="J648" s="2" t="n">
        <f aca="false">I648*(1-J$643)+I647*J$643</f>
        <v>0.227600083305341</v>
      </c>
      <c r="K648" s="2" t="n">
        <f aca="false">J648*(1-K$643)+J647*K$643</f>
        <v>0.146532453664527</v>
      </c>
      <c r="L648" s="2" t="n">
        <f aca="false">K648*(1-L$643)+K647*L$643</f>
        <v>0.0972918630010959</v>
      </c>
      <c r="M648" s="2" t="n">
        <f aca="false">L648*(1-M$643)+L647*M$643</f>
        <v>0.0747644821078129</v>
      </c>
      <c r="N648" s="2" t="n">
        <f aca="false">M648*(1-N$643)+M647*N$643</f>
        <v>0.0463642116177147</v>
      </c>
      <c r="O648" s="2" t="n">
        <f aca="false">N648*(1-O$643)+N647*O$643</f>
        <v>0.0463642116177147</v>
      </c>
    </row>
    <row r="649" customFormat="false" ht="15" hidden="false" customHeight="false" outlineLevel="0" collapsed="false">
      <c r="B649" s="2" t="n">
        <v>5</v>
      </c>
      <c r="C649" s="2" t="n">
        <f aca="false">0</f>
        <v>0</v>
      </c>
      <c r="D649" s="2" t="n">
        <f aca="false">C649*(1-D$643)+C648*D$643</f>
        <v>0</v>
      </c>
      <c r="E649" s="2" t="n">
        <f aca="false">D649*(1-E$643)+D648*E$643</f>
        <v>0</v>
      </c>
      <c r="F649" s="2" t="n">
        <f aca="false">E649*(1-F$643)+E648*F$643</f>
        <v>0</v>
      </c>
      <c r="G649" s="2" t="n">
        <f aca="false">F649*(1-G$643)+F648*G$643</f>
        <v>0.149000158497494</v>
      </c>
      <c r="H649" s="2" t="n">
        <f aca="false">G649*(1-H$643)+G648*H$643</f>
        <v>0.311708431115352</v>
      </c>
      <c r="I649" s="2" t="n">
        <f aca="false">H649*(1-I$643)+H648*I$643</f>
        <v>0.341938726444127</v>
      </c>
      <c r="J649" s="2" t="n">
        <f aca="false">I649*(1-J$643)+I648*J$643</f>
        <v>0.329916184183222</v>
      </c>
      <c r="K649" s="2" t="n">
        <f aca="false">J649*(1-K$643)+J648*K$643</f>
        <v>0.271651238632209</v>
      </c>
      <c r="L649" s="2" t="n">
        <f aca="false">K649*(1-L$643)+K648*L$643</f>
        <v>0.210339595508024</v>
      </c>
      <c r="M649" s="2" t="n">
        <f aca="false">L649*(1-M$643)+L648*M$643</f>
        <v>0.17395389392497</v>
      </c>
      <c r="N649" s="2" t="n">
        <f aca="false">M649*(1-N$643)+M648*N$643</f>
        <v>0.122628515442861</v>
      </c>
      <c r="O649" s="2" t="n">
        <f aca="false">N649*(1-O$643)+N648*O$643</f>
        <v>0.122628515442861</v>
      </c>
    </row>
    <row r="650" customFormat="false" ht="15" hidden="false" customHeight="false" outlineLevel="0" collapsed="false">
      <c r="B650" s="2" t="n">
        <v>6</v>
      </c>
      <c r="C650" s="2" t="n">
        <f aca="false">0</f>
        <v>0</v>
      </c>
      <c r="D650" s="2" t="n">
        <f aca="false">C650*(1-D$643)+C649*D$643</f>
        <v>0</v>
      </c>
      <c r="E650" s="2" t="n">
        <f aca="false">D650*(1-E$643)+D649*E$643</f>
        <v>0</v>
      </c>
      <c r="F650" s="2" t="n">
        <f aca="false">E650*(1-F$643)+E649*F$643</f>
        <v>0</v>
      </c>
      <c r="G650" s="2" t="n">
        <f aca="false">F650*(1-G$643)+F649*G$643</f>
        <v>0</v>
      </c>
      <c r="H650" s="2" t="n">
        <f aca="false">G650*(1-H$643)+G649*H$643</f>
        <v>0.0934841096016672</v>
      </c>
      <c r="I650" s="2" t="n">
        <f aca="false">H650*(1-I$643)+H649*I$643</f>
        <v>0.235506016346596</v>
      </c>
      <c r="J650" s="2" t="n">
        <f aca="false">I650*(1-J$643)+I649*J$643</f>
        <v>0.248955243725259</v>
      </c>
      <c r="K650" s="2" t="n">
        <f aca="false">J650*(1-K$643)+J649*K$643</f>
        <v>0.295059275711116</v>
      </c>
      <c r="L650" s="2" t="n">
        <f aca="false">K650*(1-L$643)+K649*L$643</f>
        <v>0.283588694247347</v>
      </c>
      <c r="M650" s="2" t="n">
        <f aca="false">L650*(1-M$643)+L649*M$643</f>
        <v>0.260012636693134</v>
      </c>
      <c r="N650" s="2" t="n">
        <f aca="false">M650*(1-N$643)+M649*N$643</f>
        <v>0.215481698729588</v>
      </c>
      <c r="O650" s="2" t="n">
        <f aca="false">N650*(1-O$643)+N649*O$643</f>
        <v>0.215481698729588</v>
      </c>
    </row>
    <row r="651" customFormat="false" ht="15" hidden="false" customHeight="false" outlineLevel="0" collapsed="false">
      <c r="B651" s="2" t="n">
        <v>7</v>
      </c>
      <c r="C651" s="2" t="n">
        <f aca="false">0</f>
        <v>0</v>
      </c>
      <c r="D651" s="2" t="n">
        <f aca="false">C651*(1-D$643)+C650*D$643</f>
        <v>0</v>
      </c>
      <c r="E651" s="2" t="n">
        <f aca="false">D651*(1-E$643)+D650*E$643</f>
        <v>0</v>
      </c>
      <c r="F651" s="2" t="n">
        <f aca="false">E651*(1-F$643)+E650*F$643</f>
        <v>0</v>
      </c>
      <c r="G651" s="2" t="n">
        <f aca="false">F651*(1-G$643)+F650*G$643</f>
        <v>0</v>
      </c>
      <c r="H651" s="2" t="n">
        <f aca="false">G651*(1-H$643)+G650*H$643</f>
        <v>0</v>
      </c>
      <c r="I651" s="2" t="n">
        <f aca="false">H651*(1-I$643)+H650*I$643</f>
        <v>0.0608401089479298</v>
      </c>
      <c r="J651" s="2" t="n">
        <f aca="false">I651*(1-J$643)+I650*J$643</f>
        <v>0.0829115332474006</v>
      </c>
      <c r="K651" s="2" t="n">
        <f aca="false">J651*(1-K$643)+J650*K$643</f>
        <v>0.177466815036604</v>
      </c>
      <c r="L651" s="2" t="n">
        <f aca="false">K651*(1-L$643)+K650*L$643</f>
        <v>0.235090352420161</v>
      </c>
      <c r="M651" s="2" t="n">
        <f aca="false">L651*(1-M$643)+L650*M$643</f>
        <v>0.250700096674773</v>
      </c>
      <c r="N651" s="2" t="n">
        <f aca="false">M651*(1-N$643)+M650*N$643</f>
        <v>0.255518853357726</v>
      </c>
      <c r="O651" s="2" t="n">
        <f aca="false">N651*(1-O$643)+N650*O$643</f>
        <v>0.255518853357726</v>
      </c>
    </row>
    <row r="652" customFormat="false" ht="15" hidden="false" customHeight="false" outlineLevel="0" collapsed="false">
      <c r="B652" s="2" t="n">
        <v>8</v>
      </c>
      <c r="C652" s="2" t="n">
        <f aca="false">0</f>
        <v>0</v>
      </c>
      <c r="D652" s="2" t="n">
        <f aca="false">C652*(1-D$643)+C651*D$643</f>
        <v>0</v>
      </c>
      <c r="E652" s="2" t="n">
        <f aca="false">D652*(1-E$643)+D651*E$643</f>
        <v>0</v>
      </c>
      <c r="F652" s="2" t="n">
        <f aca="false">E652*(1-F$643)+E651*F$643</f>
        <v>0</v>
      </c>
      <c r="G652" s="2" t="n">
        <f aca="false">F652*(1-G$643)+F651*G$643</f>
        <v>0</v>
      </c>
      <c r="H652" s="2" t="n">
        <f aca="false">G652*(1-H$643)+G651*H$643</f>
        <v>0</v>
      </c>
      <c r="I652" s="2" t="n">
        <f aca="false">H652*(1-I$643)+H651*I$643</f>
        <v>0</v>
      </c>
      <c r="J652" s="2" t="n">
        <f aca="false">I652*(1-J$643)+I651*J$643</f>
        <v>0.00768797917701738</v>
      </c>
      <c r="K652" s="2" t="n">
        <f aca="false">J652*(1-K$643)+J651*K$643</f>
        <v>0.0505247980594702</v>
      </c>
      <c r="L652" s="2" t="n">
        <f aca="false">K652*(1-L$643)+K651*L$643</f>
        <v>0.112729874973992</v>
      </c>
      <c r="M652" s="2" t="n">
        <f aca="false">L652*(1-M$643)+L651*M$643</f>
        <v>0.15211298969187</v>
      </c>
      <c r="N652" s="2" t="n">
        <f aca="false">M652*(1-N$643)+M651*N$643</f>
        <v>0.203126706646671</v>
      </c>
      <c r="O652" s="2" t="n">
        <f aca="false">N652*(1-O$643)+N651*O$643</f>
        <v>0.203126706646671</v>
      </c>
    </row>
    <row r="653" customFormat="false" ht="15" hidden="false" customHeight="false" outlineLevel="0" collapsed="false">
      <c r="B653" s="2" t="n">
        <v>9</v>
      </c>
      <c r="C653" s="2" t="n">
        <f aca="false">0</f>
        <v>0</v>
      </c>
      <c r="D653" s="2" t="n">
        <f aca="false">C653*(1-D$643)+C652*D$643</f>
        <v>0</v>
      </c>
      <c r="E653" s="2" t="n">
        <f aca="false">D653*(1-E$643)+D652*E$643</f>
        <v>0</v>
      </c>
      <c r="F653" s="2" t="n">
        <f aca="false">E653*(1-F$643)+E652*F$643</f>
        <v>0</v>
      </c>
      <c r="G653" s="2" t="n">
        <f aca="false">F653*(1-G$643)+F652*G$643</f>
        <v>0</v>
      </c>
      <c r="H653" s="2" t="n">
        <f aca="false">G653*(1-H$643)+G652*H$643</f>
        <v>0</v>
      </c>
      <c r="I653" s="2" t="n">
        <f aca="false">H653*(1-I$643)+H652*I$643</f>
        <v>0</v>
      </c>
      <c r="J653" s="2" t="n">
        <f aca="false">I653*(1-J$643)+I652*J$643</f>
        <v>0</v>
      </c>
      <c r="K653" s="2" t="n">
        <f aca="false">J653*(1-K$643)+J652*K$643</f>
        <v>0.0043779980306411</v>
      </c>
      <c r="L653" s="2" t="n">
        <f aca="false">K653*(1-L$643)+K652*L$643</f>
        <v>0.0269911982421161</v>
      </c>
      <c r="M653" s="2" t="n">
        <f aca="false">L653*(1-M$643)+L652*M$643</f>
        <v>0.0545871688689554</v>
      </c>
      <c r="N653" s="2" t="n">
        <f aca="false">M653*(1-N$643)+M652*N$643</f>
        <v>0.105051725254686</v>
      </c>
      <c r="O653" s="2" t="n">
        <f aca="false">N653*(1-O$643)+N652*O$643</f>
        <v>0.105051725254686</v>
      </c>
    </row>
    <row r="654" customFormat="false" ht="15" hidden="false" customHeight="false" outlineLevel="0" collapsed="false">
      <c r="B654" s="2" t="n">
        <v>10</v>
      </c>
      <c r="C654" s="2" t="n">
        <f aca="false">0</f>
        <v>0</v>
      </c>
      <c r="D654" s="2" t="n">
        <f aca="false">C654*(1-D$643)+C653*D$643</f>
        <v>0</v>
      </c>
      <c r="E654" s="2" t="n">
        <f aca="false">D654*(1-E$643)+D653*E$643</f>
        <v>0</v>
      </c>
      <c r="F654" s="2" t="n">
        <f aca="false">E654*(1-F$643)+E653*F$643</f>
        <v>0</v>
      </c>
      <c r="G654" s="2" t="n">
        <f aca="false">F654*(1-G$643)+F653*G$643</f>
        <v>0</v>
      </c>
      <c r="H654" s="2" t="n">
        <f aca="false">G654*(1-H$643)+G653*H$643</f>
        <v>0</v>
      </c>
      <c r="I654" s="2" t="n">
        <f aca="false">H654*(1-I$643)+H653*I$643</f>
        <v>0</v>
      </c>
      <c r="J654" s="2" t="n">
        <f aca="false">I654*(1-J$643)+I653*J$643</f>
        <v>0</v>
      </c>
      <c r="K654" s="2" t="n">
        <f aca="false">J654*(1-K$643)+J653*K$643</f>
        <v>0</v>
      </c>
      <c r="L654" s="2" t="n">
        <f aca="false">K654*(1-L$643)+K653*L$643</f>
        <v>0.00214533935030126</v>
      </c>
      <c r="M654" s="2" t="n">
        <f aca="false">L654*(1-M$643)+L653*M$643</f>
        <v>0.0101422623063352</v>
      </c>
      <c r="N654" s="2" t="n">
        <f aca="false">M654*(1-N$643)+M653*N$643</f>
        <v>0.0331401973594582</v>
      </c>
      <c r="O654" s="2" t="n">
        <f aca="false">N654*(1-O$643)+N653*O$643</f>
        <v>0.0331401973594582</v>
      </c>
    </row>
    <row r="655" customFormat="false" ht="15" hidden="false" customHeight="false" outlineLevel="0" collapsed="false">
      <c r="B655" s="2" t="n">
        <v>11</v>
      </c>
      <c r="C655" s="2" t="n">
        <f aca="false">0</f>
        <v>0</v>
      </c>
      <c r="D655" s="2" t="n">
        <f aca="false">C655*(1-D$643)+C654*D$643</f>
        <v>0</v>
      </c>
      <c r="E655" s="2" t="n">
        <f aca="false">D655*(1-E$643)+D654*E$643</f>
        <v>0</v>
      </c>
      <c r="F655" s="2" t="n">
        <f aca="false">E655*(1-F$643)+E654*F$643</f>
        <v>0</v>
      </c>
      <c r="G655" s="2" t="n">
        <f aca="false">F655*(1-G$643)+F654*G$643</f>
        <v>0</v>
      </c>
      <c r="H655" s="2" t="n">
        <f aca="false">G655*(1-H$643)+G654*H$643</f>
        <v>0</v>
      </c>
      <c r="I655" s="2" t="n">
        <f aca="false">H655*(1-I$643)+H654*I$643</f>
        <v>0</v>
      </c>
      <c r="J655" s="2" t="n">
        <f aca="false">I655*(1-J$643)+I654*J$643</f>
        <v>0</v>
      </c>
      <c r="K655" s="2" t="n">
        <f aca="false">J655*(1-K$643)+J654*K$643</f>
        <v>0</v>
      </c>
      <c r="L655" s="2" t="n">
        <f aca="false">K655*(1-L$643)+K654*L$643</f>
        <v>0</v>
      </c>
      <c r="M655" s="2" t="n">
        <f aca="false">L655*(1-M$643)+L654*M$643</f>
        <v>0.000690501929259488</v>
      </c>
      <c r="N655" s="2" t="n">
        <f aca="false">M655*(1-N$643)+M654*N$643</f>
        <v>0.00558129793044822</v>
      </c>
      <c r="O655" s="2" t="n">
        <f aca="false">N655*(1-O$643)+N654*O$643</f>
        <v>0.00558129793044822</v>
      </c>
    </row>
    <row r="656" customFormat="false" ht="15" hidden="false" customHeight="false" outlineLevel="0" collapsed="false">
      <c r="B656" s="2" t="n">
        <v>12</v>
      </c>
      <c r="C656" s="2" t="n">
        <f aca="false">0</f>
        <v>0</v>
      </c>
      <c r="D656" s="2" t="n">
        <f aca="false">C656*(1-D$643)+C655*D$643</f>
        <v>0</v>
      </c>
      <c r="E656" s="2" t="n">
        <f aca="false">D656*(1-E$643)+D655*E$643</f>
        <v>0</v>
      </c>
      <c r="F656" s="2" t="n">
        <f aca="false">E656*(1-F$643)+E655*F$643</f>
        <v>0</v>
      </c>
      <c r="G656" s="2" t="n">
        <f aca="false">F656*(1-G$643)+F655*G$643</f>
        <v>0</v>
      </c>
      <c r="H656" s="2" t="n">
        <f aca="false">G656*(1-H$643)+G655*H$643</f>
        <v>0</v>
      </c>
      <c r="I656" s="2" t="n">
        <f aca="false">H656*(1-I$643)+H655*I$643</f>
        <v>0</v>
      </c>
      <c r="J656" s="2" t="n">
        <f aca="false">I656*(1-J$643)+I655*J$643</f>
        <v>0</v>
      </c>
      <c r="K656" s="2" t="n">
        <f aca="false">J656*(1-K$643)+J655*K$643</f>
        <v>0</v>
      </c>
      <c r="L656" s="2" t="n">
        <f aca="false">K656*(1-L$643)+K655*L$643</f>
        <v>0</v>
      </c>
      <c r="M656" s="2" t="n">
        <f aca="false">L656*(1-M$643)+L655*M$643</f>
        <v>0</v>
      </c>
      <c r="N656" s="2" t="n">
        <f aca="false">M656*(1-N$643)+M655*N$643</f>
        <v>0.000357298951698587</v>
      </c>
      <c r="O656" s="2" t="n">
        <f aca="false">N656*(1-O$643)+N655*O$643</f>
        <v>0.000357298951698587</v>
      </c>
    </row>
    <row r="657" customFormat="false" ht="15" hidden="false" customHeight="false" outlineLevel="0" collapsed="false">
      <c r="B657" s="2" t="n">
        <v>13</v>
      </c>
      <c r="C657" s="2" t="n">
        <f aca="false">0</f>
        <v>0</v>
      </c>
      <c r="D657" s="2" t="n">
        <f aca="false">C657*(1-D$643)+C656*D$643</f>
        <v>0</v>
      </c>
      <c r="E657" s="2" t="n">
        <f aca="false">D657*(1-E$643)+D656*E$643</f>
        <v>0</v>
      </c>
      <c r="F657" s="2" t="n">
        <f aca="false">E657*(1-F$643)+E656*F$643</f>
        <v>0</v>
      </c>
      <c r="G657" s="2" t="n">
        <f aca="false">F657*(1-G$643)+F656*G$643</f>
        <v>0</v>
      </c>
      <c r="H657" s="2" t="n">
        <f aca="false">G657*(1-H$643)+G656*H$643</f>
        <v>0</v>
      </c>
      <c r="I657" s="2" t="n">
        <f aca="false">H657*(1-I$643)+H656*I$643</f>
        <v>0</v>
      </c>
      <c r="J657" s="2" t="n">
        <f aca="false">I657*(1-J$643)+I656*J$643</f>
        <v>0</v>
      </c>
      <c r="K657" s="2" t="n">
        <f aca="false">J657*(1-K$643)+J656*K$643</f>
        <v>0</v>
      </c>
      <c r="L657" s="2" t="n">
        <f aca="false">K657*(1-L$643)+K656*L$643</f>
        <v>0</v>
      </c>
      <c r="M657" s="2" t="n">
        <f aca="false">L657*(1-M$643)+L656*M$643</f>
        <v>0</v>
      </c>
      <c r="N657" s="2" t="n">
        <f aca="false">M657*(1-N$643)+M656*N$643</f>
        <v>0</v>
      </c>
      <c r="O657" s="2" t="n">
        <f aca="false">N657*(1-O$643)+N656*O$643</f>
        <v>0</v>
      </c>
    </row>
    <row r="659" customFormat="false" ht="15" hidden="false" customHeight="false" outlineLevel="0" collapsed="false">
      <c r="A659" s="1" t="s">
        <v>99</v>
      </c>
      <c r="C659" s="2" t="n">
        <f aca="false">Schedule!G43</f>
        <v>0.684830585730692</v>
      </c>
      <c r="D659" s="2" t="n">
        <f aca="false">Schedule!L43</f>
        <v>0.289019981362493</v>
      </c>
      <c r="E659" s="2" t="n">
        <f aca="false">Schedule!Q43</f>
        <v>0.98422239260891</v>
      </c>
      <c r="F659" s="2" t="n">
        <f aca="false">Schedule!V43</f>
        <v>0.639173324850217</v>
      </c>
      <c r="G659" s="2" t="n">
        <f aca="false">Schedule!AA43</f>
        <v>0.569460183207674</v>
      </c>
      <c r="H659" s="2" t="n">
        <f aca="false">Schedule!AF43</f>
        <v>0.372590535846716</v>
      </c>
      <c r="I659" s="2" t="n">
        <f aca="false">Schedule!AK43</f>
        <v>0.752143342435738</v>
      </c>
      <c r="J659" s="2" t="n">
        <f aca="false">Schedule!AP43</f>
        <v>0.430539816792326</v>
      </c>
      <c r="K659" s="2" t="n">
        <f aca="false">Schedule!AU43</f>
        <v>0.432996644193328</v>
      </c>
      <c r="L659" s="2" t="n">
        <f aca="false">Schedule!AZ43</f>
        <v>0.272174377601955</v>
      </c>
      <c r="M659" s="2" t="n">
        <f aca="false">Schedule!BE43</f>
        <v>0.622669718470157</v>
      </c>
      <c r="N659" s="2" t="n">
        <f aca="false">Schedule!BJ43</f>
        <v>0.0752879864124234</v>
      </c>
      <c r="O659" s="2" t="n">
        <f aca="false">Schedule!BO43</f>
        <v>0</v>
      </c>
    </row>
    <row r="660" customFormat="false" ht="15" hidden="false" customHeight="false" outlineLevel="0" collapsed="false">
      <c r="B660" s="2" t="n">
        <v>0</v>
      </c>
      <c r="C660" s="2" t="n">
        <f aca="false">1-C$659</f>
        <v>0.315169414269308</v>
      </c>
      <c r="D660" s="2" t="n">
        <f aca="false">C660*(1-D$659)</f>
        <v>0.224079156031165</v>
      </c>
      <c r="E660" s="2" t="n">
        <f aca="false">D660*(1-E$659)</f>
        <v>0.00353543294838662</v>
      </c>
      <c r="F660" s="2" t="n">
        <f aca="false">E660*(1-F$659)</f>
        <v>0.00127567851598134</v>
      </c>
      <c r="G660" s="2" t="n">
        <f aca="false">F660*(1-G$659)</f>
        <v>0.000549230394556513</v>
      </c>
      <c r="H660" s="2" t="n">
        <f aca="false">G660*(1-H$659)</f>
        <v>0.000344592347545399</v>
      </c>
      <c r="I660" s="2" t="n">
        <f aca="false">H660*(1-I$659)</f>
        <v>8.54095074848251E-005</v>
      </c>
      <c r="J660" s="2" t="n">
        <f aca="false">I660*(1-J$659)</f>
        <v>4.86373137799857E-005</v>
      </c>
      <c r="K660" s="2" t="n">
        <f aca="false">J660*(1-K$659)</f>
        <v>2.7577520130674E-005</v>
      </c>
      <c r="L660" s="2" t="n">
        <f aca="false">K660*(1-L$659)</f>
        <v>2.00716257533024E-005</v>
      </c>
      <c r="M660" s="2" t="n">
        <f aca="false">L660*(1-M$659)</f>
        <v>7.57363219625523E-006</v>
      </c>
      <c r="N660" s="2" t="n">
        <f aca="false">M660*(1-N$659)</f>
        <v>7.00342867837088E-006</v>
      </c>
      <c r="O660" s="2" t="n">
        <f aca="false">N660*(1-O$659)</f>
        <v>7.00342867837088E-006</v>
      </c>
    </row>
    <row r="661" customFormat="false" ht="15" hidden="false" customHeight="false" outlineLevel="0" collapsed="false">
      <c r="B661" s="2" t="n">
        <v>1</v>
      </c>
      <c r="C661" s="2" t="n">
        <f aca="false">C$659</f>
        <v>0.684830585730692</v>
      </c>
      <c r="D661" s="2" t="n">
        <f aca="false">C661*(1-D$659)+C660*D$659</f>
        <v>0.577991120844485</v>
      </c>
      <c r="E661" s="2" t="n">
        <f aca="false">D661*(1-E$659)+D660*E$659</f>
        <v>0.229663040062999</v>
      </c>
      <c r="F661" s="2" t="n">
        <f aca="false">E661*(1-F$659)+E660*F$659</f>
        <v>0.0851283055831287</v>
      </c>
      <c r="G661" s="2" t="n">
        <f aca="false">F661*(1-G$659)+F660*G$659</f>
        <v>0.0373775732110262</v>
      </c>
      <c r="H661" s="2" t="n">
        <f aca="false">G661*(1-H$659)+G660*H$659</f>
        <v>0.0236556812266912</v>
      </c>
      <c r="I661" s="2" t="n">
        <f aca="false">H661*(1-I$659)+H660*I$659</f>
        <v>0.00612240092131392</v>
      </c>
      <c r="J661" s="2" t="n">
        <f aca="false">I661*(1-J$659)+I660*J$659</f>
        <v>0.0035232357440271</v>
      </c>
      <c r="K661" s="2" t="n">
        <f aca="false">J661*(1-K$659)+J660*K$659</f>
        <v>0.00201874628381069</v>
      </c>
      <c r="L661" s="2" t="n">
        <f aca="false">K661*(1-L$659)+K660*L$659</f>
        <v>0.00147680116485563</v>
      </c>
      <c r="M661" s="2" t="n">
        <f aca="false">L661*(1-M$659)+L660*M$659</f>
        <v>0.000569739792855621</v>
      </c>
      <c r="N661" s="2" t="n">
        <f aca="false">M661*(1-N$659)+M660*N$659</f>
        <v>0.000527415434590375</v>
      </c>
      <c r="O661" s="2" t="n">
        <f aca="false">N661*(1-O$659)+N660*O$659</f>
        <v>0.000527415434590375</v>
      </c>
    </row>
    <row r="662" customFormat="false" ht="15" hidden="false" customHeight="false" outlineLevel="0" collapsed="false">
      <c r="B662" s="2" t="n">
        <v>2</v>
      </c>
      <c r="C662" s="2" t="n">
        <f aca="false">0</f>
        <v>0</v>
      </c>
      <c r="D662" s="2" t="n">
        <f aca="false">C662*(1-D$659)+C661*D$659</f>
        <v>0.19792972312435</v>
      </c>
      <c r="E662" s="2" t="n">
        <f aca="false">D662*(1-E$659)+D661*E$659</f>
        <v>0.571994661326748</v>
      </c>
      <c r="F662" s="2" t="n">
        <f aca="false">E662*(1-F$659)+E661*F$659</f>
        <v>0.353185420762232</v>
      </c>
      <c r="G662" s="2" t="n">
        <f aca="false">F662*(1-G$659)+F661*G$659</f>
        <v>0.200537566842219</v>
      </c>
      <c r="H662" s="2" t="n">
        <f aca="false">G662*(1-H$659)+G661*H$659</f>
        <v>0.139745697386426</v>
      </c>
      <c r="I662" s="2" t="n">
        <f aca="false">H662*(1-I$659)+H661*I$659</f>
        <v>0.0524293646086244</v>
      </c>
      <c r="J662" s="2" t="n">
        <f aca="false">I662*(1-J$659)+I661*J$659</f>
        <v>0.0324923729464808</v>
      </c>
      <c r="K662" s="2" t="n">
        <f aca="false">J662*(1-K$659)+J661*K$659</f>
        <v>0.0199488337526423</v>
      </c>
      <c r="L662" s="2" t="n">
        <f aca="false">K662*(1-L$659)+K661*L$659</f>
        <v>0.0150687233554644</v>
      </c>
      <c r="M662" s="2" t="n">
        <f aca="false">L662*(1-M$659)+L661*M$659</f>
        <v>0.00660544499156976</v>
      </c>
      <c r="N662" s="2" t="n">
        <f aca="false">M662*(1-N$659)+M661*N$659</f>
        <v>0.00615102890057958</v>
      </c>
      <c r="O662" s="2" t="n">
        <f aca="false">N662*(1-O$659)+N661*O$659</f>
        <v>0.00615102890057958</v>
      </c>
    </row>
    <row r="663" customFormat="false" ht="15" hidden="false" customHeight="false" outlineLevel="0" collapsed="false">
      <c r="B663" s="2" t="n">
        <v>3</v>
      </c>
      <c r="C663" s="2" t="n">
        <f aca="false">0</f>
        <v>0</v>
      </c>
      <c r="D663" s="2" t="n">
        <f aca="false">C663*(1-D$659)+C662*D$659</f>
        <v>0</v>
      </c>
      <c r="E663" s="2" t="n">
        <f aca="false">D663*(1-E$659)+D662*E$659</f>
        <v>0.194806865661867</v>
      </c>
      <c r="F663" s="2" t="n">
        <f aca="false">E663*(1-F$659)+E662*F$659</f>
        <v>0.435895243109913</v>
      </c>
      <c r="G663" s="2" t="n">
        <f aca="false">F663*(1-G$659)+F662*G$659</f>
        <v>0.388795292522729</v>
      </c>
      <c r="H663" s="2" t="n">
        <f aca="false">G663*(1-H$659)+G662*H$659</f>
        <v>0.318652245634144</v>
      </c>
      <c r="I663" s="2" t="n">
        <f aca="false">H663*(1-I$659)+H662*I$659</f>
        <v>0.184088876451465</v>
      </c>
      <c r="J663" s="2" t="n">
        <f aca="false">I663*(1-J$659)+I662*J$659</f>
        <v>0.127404214343681</v>
      </c>
      <c r="K663" s="2" t="n">
        <f aca="false">J663*(1-K$659)+J662*K$659</f>
        <v>0.0863077055244841</v>
      </c>
      <c r="L663" s="2" t="n">
        <f aca="false">K663*(1-L$659)+K662*L$659</f>
        <v>0.0682465209016151</v>
      </c>
      <c r="M663" s="2" t="n">
        <f aca="false">L663*(1-M$659)+L662*M$659</f>
        <v>0.0351343166746904</v>
      </c>
      <c r="N663" s="2" t="n">
        <f aca="false">M663*(1-N$659)+M662*N$659</f>
        <v>0.0329864353710499</v>
      </c>
      <c r="O663" s="2" t="n">
        <f aca="false">N663*(1-O$659)+N662*O$659</f>
        <v>0.0329864353710499</v>
      </c>
    </row>
    <row r="664" customFormat="false" ht="15" hidden="false" customHeight="false" outlineLevel="0" collapsed="false">
      <c r="B664" s="2" t="n">
        <v>4</v>
      </c>
      <c r="C664" s="2" t="n">
        <f aca="false">0</f>
        <v>0</v>
      </c>
      <c r="D664" s="2" t="n">
        <f aca="false">C664*(1-D$659)+C663*D$659</f>
        <v>0</v>
      </c>
      <c r="E664" s="2" t="n">
        <f aca="false">D664*(1-E$659)+D663*E$659</f>
        <v>0</v>
      </c>
      <c r="F664" s="2" t="n">
        <f aca="false">E664*(1-F$659)+E663*F$659</f>
        <v>0.124515352028745</v>
      </c>
      <c r="G664" s="2" t="n">
        <f aca="false">F664*(1-G$659)+F663*G$659</f>
        <v>0.301833801851012</v>
      </c>
      <c r="H664" s="2" t="n">
        <f aca="false">G664*(1-H$659)+G663*H$659</f>
        <v>0.334234830258416</v>
      </c>
      <c r="I664" s="2" t="n">
        <f aca="false">H664*(1-I$659)+H663*I$659</f>
        <v>0.322514492975328</v>
      </c>
      <c r="J664" s="2" t="n">
        <f aca="false">I664*(1-J$659)+I663*J$659</f>
        <v>0.262916753397779</v>
      </c>
      <c r="K664" s="2" t="n">
        <f aca="false">J664*(1-K$659)+J663*K$659</f>
        <v>0.204240278741237</v>
      </c>
      <c r="L664" s="2" t="n">
        <f aca="false">K664*(1-L$659)+K663*L$659</f>
        <v>0.172142054026971</v>
      </c>
      <c r="M664" s="2" t="n">
        <f aca="false">L664*(1-M$659)+L663*M$659</f>
        <v>0.107449451665499</v>
      </c>
      <c r="N664" s="2" t="n">
        <f aca="false">M664*(1-N$659)+M663*N$659</f>
        <v>0.102004990764898</v>
      </c>
      <c r="O664" s="2" t="n">
        <f aca="false">N664*(1-O$659)+N663*O$659</f>
        <v>0.102004990764898</v>
      </c>
    </row>
    <row r="665" customFormat="false" ht="15" hidden="false" customHeight="false" outlineLevel="0" collapsed="false">
      <c r="B665" s="2" t="n">
        <v>5</v>
      </c>
      <c r="C665" s="2" t="n">
        <f aca="false">0</f>
        <v>0</v>
      </c>
      <c r="D665" s="2" t="n">
        <f aca="false">C665*(1-D$659)+C664*D$659</f>
        <v>0</v>
      </c>
      <c r="E665" s="2" t="n">
        <f aca="false">D665*(1-E$659)+D664*E$659</f>
        <v>0</v>
      </c>
      <c r="F665" s="2" t="n">
        <f aca="false">E665*(1-F$659)+E664*F$659</f>
        <v>0</v>
      </c>
      <c r="G665" s="2" t="n">
        <f aca="false">F665*(1-G$659)+F664*G$659</f>
        <v>0.070906535178457</v>
      </c>
      <c r="H665" s="2" t="n">
        <f aca="false">G665*(1-H$659)+G664*H$659</f>
        <v>0.156947849209602</v>
      </c>
      <c r="I665" s="2" t="n">
        <f aca="false">H665*(1-I$659)+H664*I$659</f>
        <v>0.290293071705998</v>
      </c>
      <c r="J665" s="2" t="n">
        <f aca="false">I665*(1-J$659)+I664*J$659</f>
        <v>0.304165676516084</v>
      </c>
      <c r="K665" s="2" t="n">
        <f aca="false">J665*(1-K$659)+J664*K$659</f>
        <v>0.286305031229269</v>
      </c>
      <c r="L665" s="2" t="n">
        <f aca="false">K665*(1-L$659)+K664*L$659</f>
        <v>0.263969108297781</v>
      </c>
      <c r="M665" s="2" t="n">
        <f aca="false">L665*(1-M$659)+L664*M$659</f>
        <v>0.206791182267032</v>
      </c>
      <c r="N665" s="2" t="n">
        <f aca="false">M665*(1-N$659)+M664*N$659</f>
        <v>0.199311943403317</v>
      </c>
      <c r="O665" s="2" t="n">
        <f aca="false">N665*(1-O$659)+N664*O$659</f>
        <v>0.199311943403317</v>
      </c>
    </row>
    <row r="666" customFormat="false" ht="15" hidden="false" customHeight="false" outlineLevel="0" collapsed="false">
      <c r="B666" s="2" t="n">
        <v>6</v>
      </c>
      <c r="C666" s="2" t="n">
        <f aca="false">0</f>
        <v>0</v>
      </c>
      <c r="D666" s="2" t="n">
        <f aca="false">C666*(1-D$659)+C665*D$659</f>
        <v>0</v>
      </c>
      <c r="E666" s="2" t="n">
        <f aca="false">D666*(1-E$659)+D665*E$659</f>
        <v>0</v>
      </c>
      <c r="F666" s="2" t="n">
        <f aca="false">E666*(1-F$659)+E665*F$659</f>
        <v>0</v>
      </c>
      <c r="G666" s="2" t="n">
        <f aca="false">F666*(1-G$659)+F665*G$659</f>
        <v>0</v>
      </c>
      <c r="H666" s="2" t="n">
        <f aca="false">G666*(1-H$659)+G665*H$659</f>
        <v>0.0264191039371753</v>
      </c>
      <c r="I666" s="2" t="n">
        <f aca="false">H666*(1-I$659)+H665*I$659</f>
        <v>0.124595430690321</v>
      </c>
      <c r="J666" s="2" t="n">
        <f aca="false">I666*(1-J$659)+I665*J$659</f>
        <v>0.195934862696131</v>
      </c>
      <c r="K666" s="2" t="n">
        <f aca="false">J666*(1-K$659)+J665*K$659</f>
        <v>0.242798441878484</v>
      </c>
      <c r="L666" s="2" t="n">
        <f aca="false">K666*(1-L$659)+K665*L$659</f>
        <v>0.254639820756618</v>
      </c>
      <c r="M666" s="2" t="n">
        <f aca="false">L666*(1-M$659)+L665*M$659</f>
        <v>0.260448885603401</v>
      </c>
      <c r="N666" s="2" t="n">
        <f aca="false">M666*(1-N$659)+M665*N$659</f>
        <v>0.25640910516369</v>
      </c>
      <c r="O666" s="2" t="n">
        <f aca="false">N666*(1-O$659)+N665*O$659</f>
        <v>0.25640910516369</v>
      </c>
    </row>
    <row r="667" customFormat="false" ht="15" hidden="false" customHeight="false" outlineLevel="0" collapsed="false">
      <c r="B667" s="2" t="n">
        <v>7</v>
      </c>
      <c r="C667" s="2" t="n">
        <f aca="false">0</f>
        <v>0</v>
      </c>
      <c r="D667" s="2" t="n">
        <f aca="false">C667*(1-D$659)+C666*D$659</f>
        <v>0</v>
      </c>
      <c r="E667" s="2" t="n">
        <f aca="false">D667*(1-E$659)+D666*E$659</f>
        <v>0</v>
      </c>
      <c r="F667" s="2" t="n">
        <f aca="false">E667*(1-F$659)+E666*F$659</f>
        <v>0</v>
      </c>
      <c r="G667" s="2" t="n">
        <f aca="false">F667*(1-G$659)+F666*G$659</f>
        <v>0</v>
      </c>
      <c r="H667" s="2" t="n">
        <f aca="false">G667*(1-H$659)+G666*H$659</f>
        <v>0</v>
      </c>
      <c r="I667" s="2" t="n">
        <f aca="false">H667*(1-I$659)+H666*I$659</f>
        <v>0.0198709531394642</v>
      </c>
      <c r="J667" s="2" t="n">
        <f aca="false">I667*(1-J$659)+I666*J$659</f>
        <v>0.0649590105178823</v>
      </c>
      <c r="K667" s="2" t="n">
        <f aca="false">J667*(1-K$659)+J666*K$659</f>
        <v>0.121671114981426</v>
      </c>
      <c r="L667" s="2" t="n">
        <f aca="false">K667*(1-L$659)+K666*L$659</f>
        <v>0.154638869790221</v>
      </c>
      <c r="M667" s="2" t="n">
        <f aca="false">L667*(1-M$659)+L666*M$659</f>
        <v>0.216906433775215</v>
      </c>
      <c r="N667" s="2" t="n">
        <f aca="false">M667*(1-N$659)+M666*N$659</f>
        <v>0.220184657296819</v>
      </c>
      <c r="O667" s="2" t="n">
        <f aca="false">N667*(1-O$659)+N666*O$659</f>
        <v>0.220184657296819</v>
      </c>
    </row>
    <row r="668" customFormat="false" ht="15" hidden="false" customHeight="false" outlineLevel="0" collapsed="false">
      <c r="B668" s="2" t="n">
        <v>8</v>
      </c>
      <c r="C668" s="2" t="n">
        <f aca="false">0</f>
        <v>0</v>
      </c>
      <c r="D668" s="2" t="n">
        <f aca="false">C668*(1-D$659)+C667*D$659</f>
        <v>0</v>
      </c>
      <c r="E668" s="2" t="n">
        <f aca="false">D668*(1-E$659)+D667*E$659</f>
        <v>0</v>
      </c>
      <c r="F668" s="2" t="n">
        <f aca="false">E668*(1-F$659)+E667*F$659</f>
        <v>0</v>
      </c>
      <c r="G668" s="2" t="n">
        <f aca="false">F668*(1-G$659)+F667*G$659</f>
        <v>0</v>
      </c>
      <c r="H668" s="2" t="n">
        <f aca="false">G668*(1-H$659)+G667*H$659</f>
        <v>0</v>
      </c>
      <c r="I668" s="2" t="n">
        <f aca="false">H668*(1-I$659)+H667*I$659</f>
        <v>0</v>
      </c>
      <c r="J668" s="2" t="n">
        <f aca="false">I668*(1-J$659)+I667*J$659</f>
        <v>0.00855523652415382</v>
      </c>
      <c r="K668" s="2" t="n">
        <f aca="false">J668*(1-K$659)+J667*K$659</f>
        <v>0.0329778813832772</v>
      </c>
      <c r="L668" s="2" t="n">
        <f aca="false">K668*(1-L$659)+K667*L$659</f>
        <v>0.057117907035358</v>
      </c>
      <c r="M668" s="2" t="n">
        <f aca="false">L668*(1-M$659)+L667*M$659</f>
        <v>0.117841257458867</v>
      </c>
      <c r="N668" s="2" t="n">
        <f aca="false">M668*(1-N$659)+M667*N$659</f>
        <v>0.125299675107317</v>
      </c>
      <c r="O668" s="2" t="n">
        <f aca="false">N668*(1-O$659)+N667*O$659</f>
        <v>0.125299675107317</v>
      </c>
    </row>
    <row r="669" customFormat="false" ht="15" hidden="false" customHeight="false" outlineLevel="0" collapsed="false">
      <c r="B669" s="2" t="n">
        <v>9</v>
      </c>
      <c r="C669" s="2" t="n">
        <f aca="false">0</f>
        <v>0</v>
      </c>
      <c r="D669" s="2" t="n">
        <f aca="false">C669*(1-D$659)+C668*D$659</f>
        <v>0</v>
      </c>
      <c r="E669" s="2" t="n">
        <f aca="false">D669*(1-E$659)+D668*E$659</f>
        <v>0</v>
      </c>
      <c r="F669" s="2" t="n">
        <f aca="false">E669*(1-F$659)+E668*F$659</f>
        <v>0</v>
      </c>
      <c r="G669" s="2" t="n">
        <f aca="false">F669*(1-G$659)+F668*G$659</f>
        <v>0</v>
      </c>
      <c r="H669" s="2" t="n">
        <f aca="false">G669*(1-H$659)+G668*H$659</f>
        <v>0</v>
      </c>
      <c r="I669" s="2" t="n">
        <f aca="false">H669*(1-I$659)+H668*I$659</f>
        <v>0</v>
      </c>
      <c r="J669" s="2" t="n">
        <f aca="false">I669*(1-J$659)+I668*J$659</f>
        <v>0</v>
      </c>
      <c r="K669" s="2" t="n">
        <f aca="false">J669*(1-K$659)+J668*K$659</f>
        <v>0.0037043887052388</v>
      </c>
      <c r="L669" s="2" t="n">
        <f aca="false">K669*(1-L$659)+K668*L$659</f>
        <v>0.0116718833551193</v>
      </c>
      <c r="M669" s="2" t="n">
        <f aca="false">L669*(1-M$659)+L668*M$659</f>
        <v>0.0399697461256816</v>
      </c>
      <c r="N669" s="2" t="n">
        <f aca="false">M669*(1-N$659)+M668*N$659</f>
        <v>0.0458325354128494</v>
      </c>
      <c r="O669" s="2" t="n">
        <f aca="false">N669*(1-O$659)+N668*O$659</f>
        <v>0.0458325354128494</v>
      </c>
    </row>
    <row r="670" customFormat="false" ht="15" hidden="false" customHeight="false" outlineLevel="0" collapsed="false">
      <c r="B670" s="2" t="n">
        <v>10</v>
      </c>
      <c r="C670" s="2" t="n">
        <f aca="false">0</f>
        <v>0</v>
      </c>
      <c r="D670" s="2" t="n">
        <f aca="false">C670*(1-D$659)+C669*D$659</f>
        <v>0</v>
      </c>
      <c r="E670" s="2" t="n">
        <f aca="false">D670*(1-E$659)+D669*E$659</f>
        <v>0</v>
      </c>
      <c r="F670" s="2" t="n">
        <f aca="false">E670*(1-F$659)+E669*F$659</f>
        <v>0</v>
      </c>
      <c r="G670" s="2" t="n">
        <f aca="false">F670*(1-G$659)+F669*G$659</f>
        <v>0</v>
      </c>
      <c r="H670" s="2" t="n">
        <f aca="false">G670*(1-H$659)+G669*H$659</f>
        <v>0</v>
      </c>
      <c r="I670" s="2" t="n">
        <f aca="false">H670*(1-I$659)+H669*I$659</f>
        <v>0</v>
      </c>
      <c r="J670" s="2" t="n">
        <f aca="false">I670*(1-J$659)+I669*J$659</f>
        <v>0</v>
      </c>
      <c r="K670" s="2" t="n">
        <f aca="false">J670*(1-K$659)+J669*K$659</f>
        <v>0</v>
      </c>
      <c r="L670" s="2" t="n">
        <f aca="false">K670*(1-L$659)+K669*L$659</f>
        <v>0.00100823969024408</v>
      </c>
      <c r="M670" s="2" t="n">
        <f aca="false">L670*(1-M$659)+L669*M$659</f>
        <v>0.00764816768891799</v>
      </c>
      <c r="N670" s="2" t="n">
        <f aca="false">M670*(1-N$659)+M669*N$659</f>
        <v>0.0100815942470931</v>
      </c>
      <c r="O670" s="2" t="n">
        <f aca="false">N670*(1-O$659)+N669*O$659</f>
        <v>0.0100815942470931</v>
      </c>
    </row>
    <row r="671" customFormat="false" ht="15" hidden="false" customHeight="false" outlineLevel="0" collapsed="false">
      <c r="B671" s="2" t="n">
        <v>11</v>
      </c>
      <c r="C671" s="2" t="n">
        <f aca="false">0</f>
        <v>0</v>
      </c>
      <c r="D671" s="2" t="n">
        <f aca="false">C671*(1-D$659)+C670*D$659</f>
        <v>0</v>
      </c>
      <c r="E671" s="2" t="n">
        <f aca="false">D671*(1-E$659)+D670*E$659</f>
        <v>0</v>
      </c>
      <c r="F671" s="2" t="n">
        <f aca="false">E671*(1-F$659)+E670*F$659</f>
        <v>0</v>
      </c>
      <c r="G671" s="2" t="n">
        <f aca="false">F671*(1-G$659)+F670*G$659</f>
        <v>0</v>
      </c>
      <c r="H671" s="2" t="n">
        <f aca="false">G671*(1-H$659)+G670*H$659</f>
        <v>0</v>
      </c>
      <c r="I671" s="2" t="n">
        <f aca="false">H671*(1-I$659)+H670*I$659</f>
        <v>0</v>
      </c>
      <c r="J671" s="2" t="n">
        <f aca="false">I671*(1-J$659)+I670*J$659</f>
        <v>0</v>
      </c>
      <c r="K671" s="2" t="n">
        <f aca="false">J671*(1-K$659)+J670*K$659</f>
        <v>0</v>
      </c>
      <c r="L671" s="2" t="n">
        <f aca="false">K671*(1-L$659)+K670*L$659</f>
        <v>0</v>
      </c>
      <c r="M671" s="2" t="n">
        <f aca="false">L671*(1-M$659)+L670*M$659</f>
        <v>0.000627800324074721</v>
      </c>
      <c r="N671" s="2" t="n">
        <f aca="false">M671*(1-N$659)+M670*N$659</f>
        <v>0.00115634964684926</v>
      </c>
      <c r="O671" s="2" t="n">
        <f aca="false">N671*(1-O$659)+N670*O$659</f>
        <v>0.00115634964684926</v>
      </c>
    </row>
    <row r="672" customFormat="false" ht="15" hidden="false" customHeight="false" outlineLevel="0" collapsed="false">
      <c r="B672" s="2" t="n">
        <v>12</v>
      </c>
      <c r="C672" s="2" t="n">
        <f aca="false">0</f>
        <v>0</v>
      </c>
      <c r="D672" s="2" t="n">
        <f aca="false">C672*(1-D$659)+C671*D$659</f>
        <v>0</v>
      </c>
      <c r="E672" s="2" t="n">
        <f aca="false">D672*(1-E$659)+D671*E$659</f>
        <v>0</v>
      </c>
      <c r="F672" s="2" t="n">
        <f aca="false">E672*(1-F$659)+E671*F$659</f>
        <v>0</v>
      </c>
      <c r="G672" s="2" t="n">
        <f aca="false">F672*(1-G$659)+F671*G$659</f>
        <v>0</v>
      </c>
      <c r="H672" s="2" t="n">
        <f aca="false">G672*(1-H$659)+G671*H$659</f>
        <v>0</v>
      </c>
      <c r="I672" s="2" t="n">
        <f aca="false">H672*(1-I$659)+H671*I$659</f>
        <v>0</v>
      </c>
      <c r="J672" s="2" t="n">
        <f aca="false">I672*(1-J$659)+I671*J$659</f>
        <v>0</v>
      </c>
      <c r="K672" s="2" t="n">
        <f aca="false">J672*(1-K$659)+J671*K$659</f>
        <v>0</v>
      </c>
      <c r="L672" s="2" t="n">
        <f aca="false">K672*(1-L$659)+K671*L$659</f>
        <v>0</v>
      </c>
      <c r="M672" s="2" t="n">
        <f aca="false">L672*(1-M$659)+L671*M$659</f>
        <v>0</v>
      </c>
      <c r="N672" s="2" t="n">
        <f aca="false">M672*(1-N$659)+M671*N$659</f>
        <v>4.72658222686526E-005</v>
      </c>
      <c r="O672" s="2" t="n">
        <f aca="false">N672*(1-O$659)+N671*O$659</f>
        <v>4.72658222686526E-005</v>
      </c>
    </row>
    <row r="673" customFormat="false" ht="15" hidden="false" customHeight="false" outlineLevel="0" collapsed="false">
      <c r="B673" s="2" t="n">
        <v>13</v>
      </c>
      <c r="C673" s="2" t="n">
        <f aca="false">0</f>
        <v>0</v>
      </c>
      <c r="D673" s="2" t="n">
        <f aca="false">C673*(1-D$659)+C672*D$659</f>
        <v>0</v>
      </c>
      <c r="E673" s="2" t="n">
        <f aca="false">D673*(1-E$659)+D672*E$659</f>
        <v>0</v>
      </c>
      <c r="F673" s="2" t="n">
        <f aca="false">E673*(1-F$659)+E672*F$659</f>
        <v>0</v>
      </c>
      <c r="G673" s="2" t="n">
        <f aca="false">F673*(1-G$659)+F672*G$659</f>
        <v>0</v>
      </c>
      <c r="H673" s="2" t="n">
        <f aca="false">G673*(1-H$659)+G672*H$659</f>
        <v>0</v>
      </c>
      <c r="I673" s="2" t="n">
        <f aca="false">H673*(1-I$659)+H672*I$659</f>
        <v>0</v>
      </c>
      <c r="J673" s="2" t="n">
        <f aca="false">I673*(1-J$659)+I672*J$659</f>
        <v>0</v>
      </c>
      <c r="K673" s="2" t="n">
        <f aca="false">J673*(1-K$659)+J672*K$659</f>
        <v>0</v>
      </c>
      <c r="L673" s="2" t="n">
        <f aca="false">K673*(1-L$659)+K672*L$659</f>
        <v>0</v>
      </c>
      <c r="M673" s="2" t="n">
        <f aca="false">L673*(1-M$659)+L672*M$659</f>
        <v>0</v>
      </c>
      <c r="N673" s="2" t="n">
        <f aca="false">M673*(1-N$659)+M672*N$659</f>
        <v>0</v>
      </c>
      <c r="O673" s="2" t="n">
        <f aca="false">N673*(1-O$659)+N672*O$659</f>
        <v>0</v>
      </c>
    </row>
    <row r="675" customFormat="false" ht="15" hidden="false" customHeight="false" outlineLevel="0" collapsed="false">
      <c r="A675" s="1" t="s">
        <v>100</v>
      </c>
      <c r="C675" s="2" t="n">
        <f aca="false">Schedule!G44</f>
        <v>0.379707152759433</v>
      </c>
      <c r="D675" s="2" t="n">
        <f aca="false">Schedule!L44</f>
        <v>0.970453446827581</v>
      </c>
      <c r="E675" s="2" t="n">
        <f aca="false">Schedule!Q44</f>
        <v>0.339986490349139</v>
      </c>
      <c r="F675" s="2" t="n">
        <f aca="false">Schedule!V44</f>
        <v>0.904266222788901</v>
      </c>
      <c r="G675" s="2" t="n">
        <f aca="false">Schedule!AA44</f>
        <v>0.428085675068554</v>
      </c>
      <c r="H675" s="2" t="n">
        <f aca="false">Schedule!AF44</f>
        <v>0.617911422188953</v>
      </c>
      <c r="I675" s="2" t="n">
        <f aca="false">Schedule!AK44</f>
        <v>0.634482847309957</v>
      </c>
      <c r="J675" s="2" t="n">
        <f aca="false">Schedule!AP44</f>
        <v>0.627409464153284</v>
      </c>
      <c r="K675" s="2" t="n">
        <f aca="false">Schedule!AU44</f>
        <v>0.564543935862038</v>
      </c>
      <c r="L675" s="2" t="n">
        <f aca="false">Schedule!AZ44</f>
        <v>0.736061463030662</v>
      </c>
      <c r="M675" s="2" t="n">
        <f aca="false">Schedule!BE44</f>
        <v>0.356157038183677</v>
      </c>
      <c r="N675" s="2" t="n">
        <f aca="false">Schedule!BJ44</f>
        <v>0.492520270510441</v>
      </c>
      <c r="O675" s="2" t="n">
        <f aca="false">Schedule!BO44</f>
        <v>0</v>
      </c>
    </row>
    <row r="676" customFormat="false" ht="15" hidden="false" customHeight="false" outlineLevel="0" collapsed="false">
      <c r="B676" s="2" t="n">
        <v>0</v>
      </c>
      <c r="C676" s="2" t="n">
        <f aca="false">1-C$675</f>
        <v>0.620292847240567</v>
      </c>
      <c r="D676" s="2" t="n">
        <f aca="false">C676*(1-D$675)</f>
        <v>0.0183275155934643</v>
      </c>
      <c r="E676" s="2" t="n">
        <f aca="false">D676*(1-E$675)</f>
        <v>0.0120964078900233</v>
      </c>
      <c r="F676" s="2" t="n">
        <f aca="false">E676*(1-F$675)</f>
        <v>0.00115803481799807</v>
      </c>
      <c r="G676" s="2" t="n">
        <f aca="false">F676*(1-G$675)</f>
        <v>0.000662296701182473</v>
      </c>
      <c r="H676" s="2" t="n">
        <f aca="false">G676*(1-H$675)</f>
        <v>0.000253056004643759</v>
      </c>
      <c r="I676" s="2" t="n">
        <f aca="false">H676*(1-I$675)</f>
        <v>9.24963102885051E-005</v>
      </c>
      <c r="J676" s="2" t="n">
        <f aca="false">I676*(1-J$675)</f>
        <v>3.44632498142382E-005</v>
      </c>
      <c r="K676" s="2" t="n">
        <f aca="false">J676*(1-K$675)</f>
        <v>1.50072311215115E-005</v>
      </c>
      <c r="L676" s="2" t="n">
        <f aca="false">K676*(1-L$675)</f>
        <v>3.96098662617246E-006</v>
      </c>
      <c r="M676" s="2" t="n">
        <f aca="false">L676*(1-M$675)</f>
        <v>2.55025336110972E-006</v>
      </c>
      <c r="N676" s="2" t="n">
        <f aca="false">M676*(1-N$675)</f>
        <v>1.2942018858258E-006</v>
      </c>
      <c r="O676" s="2" t="n">
        <f aca="false">N676*(1-O$675)</f>
        <v>1.2942018858258E-006</v>
      </c>
    </row>
    <row r="677" customFormat="false" ht="15" hidden="false" customHeight="false" outlineLevel="0" collapsed="false">
      <c r="B677" s="2" t="n">
        <v>1</v>
      </c>
      <c r="C677" s="2" t="n">
        <f aca="false">C$675</f>
        <v>0.379707152759433</v>
      </c>
      <c r="D677" s="2" t="n">
        <f aca="false">C677*(1-D$675)+C676*D$675</f>
        <v>0.613184369226057</v>
      </c>
      <c r="E677" s="2" t="n">
        <f aca="false">D677*(1-E$675)+D676*E$675</f>
        <v>0.41094107529938</v>
      </c>
      <c r="F677" s="2" t="n">
        <f aca="false">E677*(1-F$675)+E676*F$675</f>
        <v>0.0502793144216254</v>
      </c>
      <c r="G677" s="2" t="n">
        <f aca="false">F677*(1-G$675)+F676*G$675</f>
        <v>0.0292511982822754</v>
      </c>
      <c r="H677" s="2" t="n">
        <f aca="false">G677*(1-H$675)+G676*H$675</f>
        <v>0.0115857894474823</v>
      </c>
      <c r="I677" s="2" t="n">
        <f aca="false">H677*(1-I$675)+H676*I$675</f>
        <v>0.00439536446486532</v>
      </c>
      <c r="J677" s="2" t="n">
        <f aca="false">I677*(1-J$675)+I676*J$675</f>
        <v>0.00169570426168005</v>
      </c>
      <c r="K677" s="2" t="n">
        <f aca="false">J677*(1-K$675)+J676*K$675</f>
        <v>0.000757860722425889</v>
      </c>
      <c r="L677" s="2" t="n">
        <f aca="false">K677*(1-L$675)+K676*L$675</f>
        <v>0.000211074894798953</v>
      </c>
      <c r="M677" s="2" t="n">
        <f aca="false">L677*(1-M$675)+L676*M$675</f>
        <v>0.00013730981869749</v>
      </c>
      <c r="N677" s="2" t="n">
        <f aca="false">M677*(1-N$675)+M676*N$675</f>
        <v>7.09380011241465E-005</v>
      </c>
      <c r="O677" s="2" t="n">
        <f aca="false">N677*(1-O$675)+N676*O$675</f>
        <v>7.09380011241465E-005</v>
      </c>
    </row>
    <row r="678" customFormat="false" ht="15" hidden="false" customHeight="false" outlineLevel="0" collapsed="false">
      <c r="B678" s="2" t="n">
        <v>2</v>
      </c>
      <c r="C678" s="2" t="n">
        <f aca="false">0</f>
        <v>0</v>
      </c>
      <c r="D678" s="2" t="n">
        <f aca="false">C678*(1-D$675)+C677*D$675</f>
        <v>0.368488115180479</v>
      </c>
      <c r="E678" s="2" t="n">
        <f aca="false">D678*(1-E$675)+D677*E$675</f>
        <v>0.451681535795016</v>
      </c>
      <c r="F678" s="2" t="n">
        <f aca="false">E678*(1-F$675)+E677*F$675</f>
        <v>0.414841313467947</v>
      </c>
      <c r="G678" s="2" t="n">
        <f aca="false">F678*(1-G$675)+F677*G$675</f>
        <v>0.258777544001861</v>
      </c>
      <c r="H678" s="2" t="n">
        <f aca="false">G678*(1-H$675)+G677*H$675</f>
        <v>0.116950593288439</v>
      </c>
      <c r="I678" s="2" t="n">
        <f aca="false">H678*(1-I$675)+H677*I$675</f>
        <v>0.0500984325411735</v>
      </c>
      <c r="J678" s="2" t="n">
        <f aca="false">I678*(1-J$675)+I677*J$675</f>
        <v>0.0214238950892559</v>
      </c>
      <c r="K678" s="2" t="n">
        <f aca="false">J678*(1-K$675)+J677*K$675</f>
        <v>0.0102864645920189</v>
      </c>
      <c r="L678" s="2" t="n">
        <f aca="false">K678*(1-L$675)+K677*L$675</f>
        <v>0.00327282648712663</v>
      </c>
      <c r="M678" s="2" t="n">
        <f aca="false">L678*(1-M$675)+L677*M$675</f>
        <v>0.00218236210834905</v>
      </c>
      <c r="N678" s="2" t="n">
        <f aca="false">M678*(1-N$675)+M677*N$675</f>
        <v>0.00117513240144187</v>
      </c>
      <c r="O678" s="2" t="n">
        <f aca="false">N678*(1-O$675)+N677*O$675</f>
        <v>0.00117513240144187</v>
      </c>
    </row>
    <row r="679" customFormat="false" ht="15" hidden="false" customHeight="false" outlineLevel="0" collapsed="false">
      <c r="B679" s="2" t="n">
        <v>3</v>
      </c>
      <c r="C679" s="2" t="n">
        <f aca="false">0</f>
        <v>0</v>
      </c>
      <c r="D679" s="2" t="n">
        <f aca="false">C679*(1-D$675)+C678*D$675</f>
        <v>0</v>
      </c>
      <c r="E679" s="2" t="n">
        <f aca="false">D679*(1-E$675)+D678*E$675</f>
        <v>0.12528098101558</v>
      </c>
      <c r="F679" s="2" t="n">
        <f aca="false">E679*(1-F$675)+E678*F$675</f>
        <v>0.420433977802183</v>
      </c>
      <c r="G679" s="2" t="n">
        <f aca="false">F679*(1-G$675)+F678*G$675</f>
        <v>0.41803983831523</v>
      </c>
      <c r="H679" s="2" t="n">
        <f aca="false">G679*(1-H$675)+G678*H$675</f>
        <v>0.31962984753498</v>
      </c>
      <c r="I679" s="2" t="n">
        <f aca="false">H679*(1-I$675)+H678*I$675</f>
        <v>0.191033337209976</v>
      </c>
      <c r="J679" s="2" t="n">
        <f aca="false">I679*(1-J$675)+I678*J$675</f>
        <v>0.102609444191228</v>
      </c>
      <c r="K679" s="2" t="n">
        <f aca="false">J679*(1-K$675)+J678*K$675</f>
        <v>0.0567766347660801</v>
      </c>
      <c r="L679" s="2" t="n">
        <f aca="false">K679*(1-L$675)+K678*L$675</f>
        <v>0.0225570120912161</v>
      </c>
      <c r="M679" s="2" t="n">
        <f aca="false">L679*(1-M$675)+L678*M$675</f>
        <v>0.0156888136626793</v>
      </c>
      <c r="N679" s="2" t="n">
        <f aca="false">M679*(1-N$675)+M678*N$675</f>
        <v>0.00903661248950441</v>
      </c>
      <c r="O679" s="2" t="n">
        <f aca="false">N679*(1-O$675)+N678*O$675</f>
        <v>0.00903661248950441</v>
      </c>
    </row>
    <row r="680" customFormat="false" ht="15" hidden="false" customHeight="false" outlineLevel="0" collapsed="false">
      <c r="B680" s="2" t="n">
        <v>4</v>
      </c>
      <c r="C680" s="2" t="n">
        <f aca="false">0</f>
        <v>0</v>
      </c>
      <c r="D680" s="2" t="n">
        <f aca="false">C680*(1-D$675)+C679*D$675</f>
        <v>0</v>
      </c>
      <c r="E680" s="2" t="n">
        <f aca="false">D680*(1-E$675)+D679*E$675</f>
        <v>0</v>
      </c>
      <c r="F680" s="2" t="n">
        <f aca="false">E680*(1-F$675)+E679*F$675</f>
        <v>0.113287359490247</v>
      </c>
      <c r="G680" s="2" t="n">
        <f aca="false">F680*(1-G$675)+F679*G$675</f>
        <v>0.244772426935335</v>
      </c>
      <c r="H680" s="2" t="n">
        <f aca="false">G680*(1-H$675)+G679*H$675</f>
        <v>0.351836339520084</v>
      </c>
      <c r="I680" s="2" t="n">
        <f aca="false">H680*(1-I$675)+H679*I$675</f>
        <v>0.33140187278351</v>
      </c>
      <c r="J680" s="2" t="n">
        <f aca="false">I680*(1-J$675)+I679*J$675</f>
        <v>0.243333325095338</v>
      </c>
      <c r="K680" s="2" t="n">
        <f aca="false">J680*(1-K$675)+J679*K$675</f>
        <v>0.163888511499951</v>
      </c>
      <c r="L680" s="2" t="n">
        <f aca="false">K680*(1-L$675)+K679*L$675</f>
        <v>0.085047586803258</v>
      </c>
      <c r="M680" s="2" t="n">
        <f aca="false">L680*(1-M$675)+L679*M$675</f>
        <v>0.0627911287994214</v>
      </c>
      <c r="N680" s="2" t="n">
        <f aca="false">M680*(1-N$675)+M679*N$675</f>
        <v>0.0395922838066052</v>
      </c>
      <c r="O680" s="2" t="n">
        <f aca="false">N680*(1-O$675)+N679*O$675</f>
        <v>0.0395922838066052</v>
      </c>
    </row>
    <row r="681" customFormat="false" ht="15" hidden="false" customHeight="false" outlineLevel="0" collapsed="false">
      <c r="B681" s="2" t="n">
        <v>5</v>
      </c>
      <c r="C681" s="2" t="n">
        <f aca="false">0</f>
        <v>0</v>
      </c>
      <c r="D681" s="2" t="n">
        <f aca="false">C681*(1-D$675)+C680*D$675</f>
        <v>0</v>
      </c>
      <c r="E681" s="2" t="n">
        <f aca="false">D681*(1-E$675)+D680*E$675</f>
        <v>0</v>
      </c>
      <c r="F681" s="2" t="n">
        <f aca="false">E681*(1-F$675)+E680*F$675</f>
        <v>0</v>
      </c>
      <c r="G681" s="2" t="n">
        <f aca="false">F681*(1-G$675)+F680*G$675</f>
        <v>0.0484966957641163</v>
      </c>
      <c r="H681" s="2" t="n">
        <f aca="false">G681*(1-H$675)+G680*H$675</f>
        <v>0.169777711953301</v>
      </c>
      <c r="I681" s="2" t="n">
        <f aca="false">H681*(1-I$675)+H680*I$675</f>
        <v>0.285290788349217</v>
      </c>
      <c r="J681" s="2" t="n">
        <f aca="false">I681*(1-J$675)+I680*J$675</f>
        <v>0.314221319125664</v>
      </c>
      <c r="K681" s="2" t="n">
        <f aca="false">J681*(1-K$675)+J680*K$675</f>
        <v>0.274201931970419</v>
      </c>
      <c r="L681" s="2" t="n">
        <f aca="false">K681*(1-L$675)+K680*L$675</f>
        <v>0.19300447430701</v>
      </c>
      <c r="M681" s="2" t="n">
        <f aca="false">L681*(1-M$675)+L680*M$675</f>
        <v>0.154554869002145</v>
      </c>
      <c r="N681" s="2" t="n">
        <f aca="false">M681*(1-N$675)+M680*N$675</f>
        <v>0.10935936685445</v>
      </c>
      <c r="O681" s="2" t="n">
        <f aca="false">N681*(1-O$675)+N680*O$675</f>
        <v>0.10935936685445</v>
      </c>
    </row>
    <row r="682" customFormat="false" ht="15" hidden="false" customHeight="false" outlineLevel="0" collapsed="false">
      <c r="B682" s="2" t="n">
        <v>6</v>
      </c>
      <c r="C682" s="2" t="n">
        <f aca="false">0</f>
        <v>0</v>
      </c>
      <c r="D682" s="2" t="n">
        <f aca="false">C682*(1-D$675)+C681*D$675</f>
        <v>0</v>
      </c>
      <c r="E682" s="2" t="n">
        <f aca="false">D682*(1-E$675)+D681*E$675</f>
        <v>0</v>
      </c>
      <c r="F682" s="2" t="n">
        <f aca="false">E682*(1-F$675)+E681*F$675</f>
        <v>0</v>
      </c>
      <c r="G682" s="2" t="n">
        <f aca="false">F682*(1-G$675)+F681*G$675</f>
        <v>0</v>
      </c>
      <c r="H682" s="2" t="n">
        <f aca="false">G682*(1-H$675)+G681*H$675</f>
        <v>0.02996666225107</v>
      </c>
      <c r="I682" s="2" t="n">
        <f aca="false">H682*(1-I$675)+H681*I$675</f>
        <v>0.118674375151535</v>
      </c>
      <c r="J682" s="2" t="n">
        <f aca="false">I682*(1-J$675)+I681*J$675</f>
        <v>0.223211089675035</v>
      </c>
      <c r="K682" s="2" t="n">
        <f aca="false">J682*(1-K$675)+J681*K$675</f>
        <v>0.2745903628128</v>
      </c>
      <c r="L682" s="2" t="n">
        <f aca="false">K682*(1-L$675)+K681*L$675</f>
        <v>0.274304453838671</v>
      </c>
      <c r="M682" s="2" t="n">
        <f aca="false">L682*(1-M$675)+L681*M$675</f>
        <v>0.245348893924281</v>
      </c>
      <c r="N682" s="2" t="n">
        <f aca="false">M682*(1-N$675)+M681*N$675</f>
        <v>0.200630996208899</v>
      </c>
      <c r="O682" s="2" t="n">
        <f aca="false">N682*(1-O$675)+N681*O$675</f>
        <v>0.200630996208899</v>
      </c>
    </row>
    <row r="683" customFormat="false" ht="15" hidden="false" customHeight="false" outlineLevel="0" collapsed="false">
      <c r="B683" s="2" t="n">
        <v>7</v>
      </c>
      <c r="C683" s="2" t="n">
        <f aca="false">0</f>
        <v>0</v>
      </c>
      <c r="D683" s="2" t="n">
        <f aca="false">C683*(1-D$675)+C682*D$675</f>
        <v>0</v>
      </c>
      <c r="E683" s="2" t="n">
        <f aca="false">D683*(1-E$675)+D682*E$675</f>
        <v>0</v>
      </c>
      <c r="F683" s="2" t="n">
        <f aca="false">E683*(1-F$675)+E682*F$675</f>
        <v>0</v>
      </c>
      <c r="G683" s="2" t="n">
        <f aca="false">F683*(1-G$675)+F682*G$675</f>
        <v>0</v>
      </c>
      <c r="H683" s="2" t="n">
        <f aca="false">G683*(1-H$675)+G682*H$675</f>
        <v>0</v>
      </c>
      <c r="I683" s="2" t="n">
        <f aca="false">H683*(1-I$675)+H682*I$675</f>
        <v>0.0190133331894347</v>
      </c>
      <c r="J683" s="2" t="n">
        <f aca="false">I683*(1-J$675)+I682*J$675</f>
        <v>0.0815416141238343</v>
      </c>
      <c r="K683" s="2" t="n">
        <f aca="false">J683*(1-K$675)+J682*K$675</f>
        <v>0.16152025744302</v>
      </c>
      <c r="L683" s="2" t="n">
        <f aca="false">K683*(1-L$675)+K682*L$675</f>
        <v>0.244746804626531</v>
      </c>
      <c r="M683" s="2" t="n">
        <f aca="false">L683*(1-M$675)+L682*M$675</f>
        <v>0.255273969425599</v>
      </c>
      <c r="N683" s="2" t="n">
        <f aca="false">M683*(1-N$675)+M682*N$675</f>
        <v>0.250385668554853</v>
      </c>
      <c r="O683" s="2" t="n">
        <f aca="false">N683*(1-O$675)+N682*O$675</f>
        <v>0.250385668554853</v>
      </c>
    </row>
    <row r="684" customFormat="false" ht="15" hidden="false" customHeight="false" outlineLevel="0" collapsed="false">
      <c r="B684" s="2" t="n">
        <v>8</v>
      </c>
      <c r="C684" s="2" t="n">
        <f aca="false">0</f>
        <v>0</v>
      </c>
      <c r="D684" s="2" t="n">
        <f aca="false">C684*(1-D$675)+C683*D$675</f>
        <v>0</v>
      </c>
      <c r="E684" s="2" t="n">
        <f aca="false">D684*(1-E$675)+D683*E$675</f>
        <v>0</v>
      </c>
      <c r="F684" s="2" t="n">
        <f aca="false">E684*(1-F$675)+E683*F$675</f>
        <v>0</v>
      </c>
      <c r="G684" s="2" t="n">
        <f aca="false">F684*(1-G$675)+F683*G$675</f>
        <v>0</v>
      </c>
      <c r="H684" s="2" t="n">
        <f aca="false">G684*(1-H$675)+G683*H$675</f>
        <v>0</v>
      </c>
      <c r="I684" s="2" t="n">
        <f aca="false">H684*(1-I$675)+H683*I$675</f>
        <v>0</v>
      </c>
      <c r="J684" s="2" t="n">
        <f aca="false">I684*(1-J$675)+I683*J$675</f>
        <v>0.0119291451881511</v>
      </c>
      <c r="K684" s="2" t="n">
        <f aca="false">J684*(1-K$675)+J683*K$675</f>
        <v>0.0512284423861756</v>
      </c>
      <c r="L684" s="2" t="n">
        <f aca="false">K684*(1-L$675)+K683*L$675</f>
        <v>0.132409997137224</v>
      </c>
      <c r="M684" s="2" t="n">
        <f aca="false">L684*(1-M$675)+L683*M$675</f>
        <v>0.172419541771625</v>
      </c>
      <c r="N684" s="2" t="n">
        <f aca="false">M684*(1-N$675)+M683*N$675</f>
        <v>0.213227026892748</v>
      </c>
      <c r="O684" s="2" t="n">
        <f aca="false">N684*(1-O$675)+N683*O$675</f>
        <v>0.213227026892748</v>
      </c>
    </row>
    <row r="685" customFormat="false" ht="15" hidden="false" customHeight="false" outlineLevel="0" collapsed="false">
      <c r="B685" s="2" t="n">
        <v>9</v>
      </c>
      <c r="C685" s="2" t="n">
        <f aca="false">0</f>
        <v>0</v>
      </c>
      <c r="D685" s="2" t="n">
        <f aca="false">C685*(1-D$675)+C684*D$675</f>
        <v>0</v>
      </c>
      <c r="E685" s="2" t="n">
        <f aca="false">D685*(1-E$675)+D684*E$675</f>
        <v>0</v>
      </c>
      <c r="F685" s="2" t="n">
        <f aca="false">E685*(1-F$675)+E684*F$675</f>
        <v>0</v>
      </c>
      <c r="G685" s="2" t="n">
        <f aca="false">F685*(1-G$675)+F684*G$675</f>
        <v>0</v>
      </c>
      <c r="H685" s="2" t="n">
        <f aca="false">G685*(1-H$675)+G684*H$675</f>
        <v>0</v>
      </c>
      <c r="I685" s="2" t="n">
        <f aca="false">H685*(1-I$675)+H684*I$675</f>
        <v>0</v>
      </c>
      <c r="J685" s="2" t="n">
        <f aca="false">I685*(1-J$675)+I684*J$675</f>
        <v>0</v>
      </c>
      <c r="K685" s="2" t="n">
        <f aca="false">J685*(1-K$675)+J684*K$675</f>
        <v>0.00673452657598852</v>
      </c>
      <c r="L685" s="2" t="n">
        <f aca="false">K685*(1-L$675)+K684*L$675</f>
        <v>0.0394847833431979</v>
      </c>
      <c r="M685" s="2" t="n">
        <f aca="false">L685*(1-M$675)+L684*M$675</f>
        <v>0.072580752260663</v>
      </c>
      <c r="N685" s="2" t="n">
        <f aca="false">M685*(1-N$675)+M684*N$675</f>
        <v>0.121753379878037</v>
      </c>
      <c r="O685" s="2" t="n">
        <f aca="false">N685*(1-O$675)+N684*O$675</f>
        <v>0.121753379878037</v>
      </c>
    </row>
    <row r="686" customFormat="false" ht="15" hidden="false" customHeight="false" outlineLevel="0" collapsed="false">
      <c r="B686" s="2" t="n">
        <v>10</v>
      </c>
      <c r="C686" s="2" t="n">
        <f aca="false">0</f>
        <v>0</v>
      </c>
      <c r="D686" s="2" t="n">
        <f aca="false">C686*(1-D$675)+C685*D$675</f>
        <v>0</v>
      </c>
      <c r="E686" s="2" t="n">
        <f aca="false">D686*(1-E$675)+D685*E$675</f>
        <v>0</v>
      </c>
      <c r="F686" s="2" t="n">
        <f aca="false">E686*(1-F$675)+E685*F$675</f>
        <v>0</v>
      </c>
      <c r="G686" s="2" t="n">
        <f aca="false">F686*(1-G$675)+F685*G$675</f>
        <v>0</v>
      </c>
      <c r="H686" s="2" t="n">
        <f aca="false">G686*(1-H$675)+G685*H$675</f>
        <v>0</v>
      </c>
      <c r="I686" s="2" t="n">
        <f aca="false">H686*(1-I$675)+H685*I$675</f>
        <v>0</v>
      </c>
      <c r="J686" s="2" t="n">
        <f aca="false">I686*(1-J$675)+I685*J$675</f>
        <v>0</v>
      </c>
      <c r="K686" s="2" t="n">
        <f aca="false">J686*(1-K$675)+J685*K$675</f>
        <v>0</v>
      </c>
      <c r="L686" s="2" t="n">
        <f aca="false">K686*(1-L$675)+K685*L$675</f>
        <v>0.00495702548434099</v>
      </c>
      <c r="M686" s="2" t="n">
        <f aca="false">L686*(1-M$675)+L685*M$675</f>
        <v>0.0172543294584746</v>
      </c>
      <c r="N686" s="2" t="n">
        <f aca="false">M686*(1-N$675)+M685*N$675</f>
        <v>0.0445037141833835</v>
      </c>
      <c r="O686" s="2" t="n">
        <f aca="false">N686*(1-O$675)+N685*O$675</f>
        <v>0.0445037141833835</v>
      </c>
    </row>
    <row r="687" customFormat="false" ht="15" hidden="false" customHeight="false" outlineLevel="0" collapsed="false">
      <c r="B687" s="2" t="n">
        <v>11</v>
      </c>
      <c r="C687" s="2" t="n">
        <f aca="false">0</f>
        <v>0</v>
      </c>
      <c r="D687" s="2" t="n">
        <f aca="false">C687*(1-D$675)+C686*D$675</f>
        <v>0</v>
      </c>
      <c r="E687" s="2" t="n">
        <f aca="false">D687*(1-E$675)+D686*E$675</f>
        <v>0</v>
      </c>
      <c r="F687" s="2" t="n">
        <f aca="false">E687*(1-F$675)+E686*F$675</f>
        <v>0</v>
      </c>
      <c r="G687" s="2" t="n">
        <f aca="false">F687*(1-G$675)+F686*G$675</f>
        <v>0</v>
      </c>
      <c r="H687" s="2" t="n">
        <f aca="false">G687*(1-H$675)+G686*H$675</f>
        <v>0</v>
      </c>
      <c r="I687" s="2" t="n">
        <f aca="false">H687*(1-I$675)+H686*I$675</f>
        <v>0</v>
      </c>
      <c r="J687" s="2" t="n">
        <f aca="false">I687*(1-J$675)+I686*J$675</f>
        <v>0</v>
      </c>
      <c r="K687" s="2" t="n">
        <f aca="false">J687*(1-K$675)+J686*K$675</f>
        <v>0</v>
      </c>
      <c r="L687" s="2" t="n">
        <f aca="false">K687*(1-L$675)+K686*L$675</f>
        <v>0</v>
      </c>
      <c r="M687" s="2" t="n">
        <f aca="false">L687*(1-M$675)+L686*M$675</f>
        <v>0.00176547951470389</v>
      </c>
      <c r="N687" s="2" t="n">
        <f aca="false">M687*(1-N$675)+M686*N$675</f>
        <v>0.00939405207890548</v>
      </c>
      <c r="O687" s="2" t="n">
        <f aca="false">N687*(1-O$675)+N686*O$675</f>
        <v>0.00939405207890548</v>
      </c>
    </row>
    <row r="688" customFormat="false" ht="15" hidden="false" customHeight="false" outlineLevel="0" collapsed="false">
      <c r="B688" s="2" t="n">
        <v>12</v>
      </c>
      <c r="C688" s="2" t="n">
        <f aca="false">0</f>
        <v>0</v>
      </c>
      <c r="D688" s="2" t="n">
        <f aca="false">C688*(1-D$675)+C687*D$675</f>
        <v>0</v>
      </c>
      <c r="E688" s="2" t="n">
        <f aca="false">D688*(1-E$675)+D687*E$675</f>
        <v>0</v>
      </c>
      <c r="F688" s="2" t="n">
        <f aca="false">E688*(1-F$675)+E687*F$675</f>
        <v>0</v>
      </c>
      <c r="G688" s="2" t="n">
        <f aca="false">F688*(1-G$675)+F687*G$675</f>
        <v>0</v>
      </c>
      <c r="H688" s="2" t="n">
        <f aca="false">G688*(1-H$675)+G687*H$675</f>
        <v>0</v>
      </c>
      <c r="I688" s="2" t="n">
        <f aca="false">H688*(1-I$675)+H687*I$675</f>
        <v>0</v>
      </c>
      <c r="J688" s="2" t="n">
        <f aca="false">I688*(1-J$675)+I687*J$675</f>
        <v>0</v>
      </c>
      <c r="K688" s="2" t="n">
        <f aca="false">J688*(1-K$675)+J687*K$675</f>
        <v>0</v>
      </c>
      <c r="L688" s="2" t="n">
        <f aca="false">K688*(1-L$675)+K687*L$675</f>
        <v>0</v>
      </c>
      <c r="M688" s="2" t="n">
        <f aca="false">L688*(1-M$675)+L687*M$675</f>
        <v>0</v>
      </c>
      <c r="N688" s="2" t="n">
        <f aca="false">M688*(1-N$675)+M687*N$675</f>
        <v>0.000869534448162602</v>
      </c>
      <c r="O688" s="2" t="n">
        <f aca="false">N688*(1-O$675)+N687*O$675</f>
        <v>0.000869534448162602</v>
      </c>
    </row>
    <row r="689" customFormat="false" ht="15" hidden="false" customHeight="false" outlineLevel="0" collapsed="false">
      <c r="B689" s="2" t="n">
        <v>13</v>
      </c>
      <c r="C689" s="2" t="n">
        <f aca="false">0</f>
        <v>0</v>
      </c>
      <c r="D689" s="2" t="n">
        <f aca="false">C689*(1-D$675)+C688*D$675</f>
        <v>0</v>
      </c>
      <c r="E689" s="2" t="n">
        <f aca="false">D689*(1-E$675)+D688*E$675</f>
        <v>0</v>
      </c>
      <c r="F689" s="2" t="n">
        <f aca="false">E689*(1-F$675)+E688*F$675</f>
        <v>0</v>
      </c>
      <c r="G689" s="2" t="n">
        <f aca="false">F689*(1-G$675)+F688*G$675</f>
        <v>0</v>
      </c>
      <c r="H689" s="2" t="n">
        <f aca="false">G689*(1-H$675)+G688*H$675</f>
        <v>0</v>
      </c>
      <c r="I689" s="2" t="n">
        <f aca="false">H689*(1-I$675)+H688*I$675</f>
        <v>0</v>
      </c>
      <c r="J689" s="2" t="n">
        <f aca="false">I689*(1-J$675)+I688*J$675</f>
        <v>0</v>
      </c>
      <c r="K689" s="2" t="n">
        <f aca="false">J689*(1-K$675)+J688*K$675</f>
        <v>0</v>
      </c>
      <c r="L689" s="2" t="n">
        <f aca="false">K689*(1-L$675)+K688*L$675</f>
        <v>0</v>
      </c>
      <c r="M689" s="2" t="n">
        <f aca="false">L689*(1-M$675)+L688*M$675</f>
        <v>0</v>
      </c>
      <c r="N689" s="2" t="n">
        <f aca="false">M689*(1-N$675)+M688*N$675</f>
        <v>0</v>
      </c>
      <c r="O689" s="2" t="n">
        <f aca="false">N689*(1-O$675)+N688*O$675</f>
        <v>0</v>
      </c>
    </row>
    <row r="691" customFormat="false" ht="15" hidden="false" customHeight="false" outlineLevel="0" collapsed="false">
      <c r="A691" s="1" t="s">
        <v>101</v>
      </c>
      <c r="C691" s="2" t="n">
        <f aca="false">Schedule!G45</f>
        <v>0.994896696941652</v>
      </c>
      <c r="D691" s="2" t="n">
        <f aca="false">Schedule!L45</f>
        <v>0.337699424942871</v>
      </c>
      <c r="E691" s="2" t="n">
        <f aca="false">Schedule!Q45</f>
        <v>0.126363665515411</v>
      </c>
      <c r="F691" s="2" t="n">
        <f aca="false">Schedule!V45</f>
        <v>0.812595116901775</v>
      </c>
      <c r="G691" s="2" t="n">
        <f aca="false">Schedule!AA45</f>
        <v>0.132961615077904</v>
      </c>
      <c r="H691" s="2" t="n">
        <f aca="false">Schedule!AF45</f>
        <v>0.282645648497201</v>
      </c>
      <c r="I691" s="2" t="n">
        <f aca="false">Schedule!AK45</f>
        <v>0.337699424942871</v>
      </c>
      <c r="J691" s="2" t="n">
        <f aca="false">Schedule!AP45</f>
        <v>0.324105107136862</v>
      </c>
      <c r="K691" s="2" t="n">
        <f aca="false">Schedule!AU45</f>
        <v>0.299791595468696</v>
      </c>
      <c r="L691" s="2" t="n">
        <f aca="false">Schedule!AZ45</f>
        <v>0.389259328607937</v>
      </c>
      <c r="M691" s="2" t="n">
        <f aca="false">Schedule!BE45</f>
        <v>0.109114688043218</v>
      </c>
      <c r="N691" s="2" t="n">
        <f aca="false">Schedule!BJ45</f>
        <v>0.221020868167314</v>
      </c>
      <c r="O691" s="2" t="n">
        <f aca="false">Schedule!BO45</f>
        <v>0</v>
      </c>
    </row>
    <row r="692" customFormat="false" ht="15" hidden="false" customHeight="false" outlineLevel="0" collapsed="false">
      <c r="B692" s="2" t="n">
        <v>0</v>
      </c>
      <c r="C692" s="2" t="n">
        <f aca="false">1-C$691</f>
        <v>0.00510330305834761</v>
      </c>
      <c r="D692" s="2" t="n">
        <f aca="false">C692*(1-D$691)</f>
        <v>0.00337992055023443</v>
      </c>
      <c r="E692" s="2" t="n">
        <f aca="false">D692*(1-E$691)</f>
        <v>0.00295282140035594</v>
      </c>
      <c r="F692" s="2" t="n">
        <f aca="false">E692*(1-F$691)</f>
        <v>0.000553373149343641</v>
      </c>
      <c r="G692" s="2" t="n">
        <f aca="false">F692*(1-G$691)</f>
        <v>0.000479795761666164</v>
      </c>
      <c r="H692" s="2" t="n">
        <f aca="false">G692*(1-H$691)</f>
        <v>0.000344183577463823</v>
      </c>
      <c r="I692" s="2" t="n">
        <f aca="false">H692*(1-I$691)</f>
        <v>0.00022795298127951</v>
      </c>
      <c r="J692" s="2" t="n">
        <f aca="false">I692*(1-J$691)</f>
        <v>0.000154072255859747</v>
      </c>
      <c r="K692" s="2" t="n">
        <f aca="false">J692*(1-K$691)</f>
        <v>0.000107882688458092</v>
      </c>
      <c r="L692" s="2" t="n">
        <f aca="false">K692*(1-L$691)</f>
        <v>6.58883455804761E-005</v>
      </c>
      <c r="M692" s="2" t="n">
        <f aca="false">L692*(1-M$691)</f>
        <v>5.86989593067787E-005</v>
      </c>
      <c r="N692" s="2" t="n">
        <f aca="false">M692*(1-N$691)</f>
        <v>4.57252643602767E-005</v>
      </c>
      <c r="O692" s="2" t="n">
        <f aca="false">N692*(1-O$691)</f>
        <v>4.57252643602767E-005</v>
      </c>
    </row>
    <row r="693" customFormat="false" ht="15" hidden="false" customHeight="false" outlineLevel="0" collapsed="false">
      <c r="B693" s="2" t="n">
        <v>1</v>
      </c>
      <c r="C693" s="2" t="n">
        <f aca="false">C$691</f>
        <v>0.994896696941652</v>
      </c>
      <c r="D693" s="2" t="n">
        <f aca="false">C693*(1-D$691)+C692*D$691</f>
        <v>0.660644037015008</v>
      </c>
      <c r="E693" s="2" t="n">
        <f aca="false">D693*(1-E$691)+D692*E$691</f>
        <v>0.577589734046771</v>
      </c>
      <c r="F693" s="2" t="n">
        <f aca="false">E693*(1-F$691)+E692*F$691</f>
        <v>0.110642584838782</v>
      </c>
      <c r="G693" s="2" t="n">
        <f aca="false">F693*(1-G$691)+F692*G$691</f>
        <v>0.096004945449901</v>
      </c>
      <c r="H693" s="2" t="n">
        <f aca="false">G693*(1-H$691)+G692*H$691</f>
        <v>0.0690051775684777</v>
      </c>
      <c r="I693" s="2" t="n">
        <f aca="false">H693*(1-I$691)+H692*I$691</f>
        <v>0.0458183993817064</v>
      </c>
      <c r="J693" s="2" t="n">
        <f aca="false">I693*(1-J$691)+I692*J$691</f>
        <v>0.0310423028666787</v>
      </c>
      <c r="K693" s="2" t="n">
        <f aca="false">J693*(1-K$691)+J692*K$691</f>
        <v>0.0217822709306563</v>
      </c>
      <c r="L693" s="2" t="n">
        <f aca="false">K693*(1-L$691)+K692*L$691</f>
        <v>0.0133453131155104</v>
      </c>
      <c r="M693" s="2" t="n">
        <f aca="false">L693*(1-M$691)+L692*M$691</f>
        <v>0.0118963328243461</v>
      </c>
      <c r="N693" s="2" t="n">
        <f aca="false">M693*(1-N$691)+M692*N$691</f>
        <v>0.00927996871044835</v>
      </c>
      <c r="O693" s="2" t="n">
        <f aca="false">N693*(1-O$691)+N692*O$691</f>
        <v>0.00927996871044835</v>
      </c>
    </row>
    <row r="694" customFormat="false" ht="15" hidden="false" customHeight="false" outlineLevel="0" collapsed="false">
      <c r="B694" s="2" t="n">
        <v>2</v>
      </c>
      <c r="C694" s="2" t="n">
        <f aca="false">0</f>
        <v>0</v>
      </c>
      <c r="D694" s="2" t="n">
        <f aca="false">C694*(1-D$691)+C693*D$691</f>
        <v>0.335976042434758</v>
      </c>
      <c r="E694" s="2" t="n">
        <f aca="false">D694*(1-E$691)+D693*E$691</f>
        <v>0.377002280305456</v>
      </c>
      <c r="F694" s="2" t="n">
        <f aca="false">E694*(1-F$691)+E693*F$691</f>
        <v>0.539998665727409</v>
      </c>
      <c r="G694" s="2" t="n">
        <f aca="false">F694*(1-G$691)+F693*G$691</f>
        <v>0.482910787768938</v>
      </c>
      <c r="H694" s="2" t="n">
        <f aca="false">G694*(1-H$691)+G693*H$691</f>
        <v>0.373553535059318</v>
      </c>
      <c r="I694" s="2" t="n">
        <f aca="false">H694*(1-I$691)+H693*I$691</f>
        <v>0.270707729867365</v>
      </c>
      <c r="J694" s="2" t="n">
        <f aca="false">I694*(1-J$691)+I693*J$691</f>
        <v>0.197819949316374</v>
      </c>
      <c r="K694" s="2" t="n">
        <f aca="false">J694*(1-K$691)+J693*K$691</f>
        <v>0.147821412598706</v>
      </c>
      <c r="L694" s="2" t="n">
        <f aca="false">K694*(1-L$691)+K693*L$691</f>
        <v>0.09875950093468</v>
      </c>
      <c r="M694" s="2" t="n">
        <f aca="false">L694*(1-M$691)+L693*M$691</f>
        <v>0.0894395584763265</v>
      </c>
      <c r="N694" s="2" t="n">
        <f aca="false">M694*(1-N$691)+M693*N$691</f>
        <v>0.0723008874222319</v>
      </c>
      <c r="O694" s="2" t="n">
        <f aca="false">N694*(1-O$691)+N693*O$691</f>
        <v>0.0723008874222319</v>
      </c>
    </row>
    <row r="695" customFormat="false" ht="15" hidden="false" customHeight="false" outlineLevel="0" collapsed="false">
      <c r="B695" s="2" t="n">
        <v>3</v>
      </c>
      <c r="C695" s="2" t="n">
        <f aca="false">0</f>
        <v>0</v>
      </c>
      <c r="D695" s="2" t="n">
        <f aca="false">C695*(1-D$691)+C694*D$691</f>
        <v>0</v>
      </c>
      <c r="E695" s="2" t="n">
        <f aca="false">D695*(1-E$691)+D694*E$691</f>
        <v>0.0424551642474174</v>
      </c>
      <c r="F695" s="2" t="n">
        <f aca="false">E695*(1-F$691)+E694*F$691</f>
        <v>0.314306517129751</v>
      </c>
      <c r="G695" s="2" t="n">
        <f aca="false">F695*(1-G$691)+F694*G$691</f>
        <v>0.344314909717698</v>
      </c>
      <c r="H695" s="2" t="n">
        <f aca="false">G695*(1-H$691)+G694*H$691</f>
        <v>0.38348843154853</v>
      </c>
      <c r="I695" s="2" t="n">
        <f aca="false">H695*(1-I$691)+H694*I$691</f>
        <v>0.380133422717256</v>
      </c>
      <c r="J695" s="2" t="n">
        <f aca="false">I695*(1-J$691)+I694*J$691</f>
        <v>0.344667996812617</v>
      </c>
      <c r="K695" s="2" t="n">
        <f aca="false">J695*(1-K$691)+J694*K$691</f>
        <v>0.300644186362255</v>
      </c>
      <c r="L695" s="2" t="n">
        <f aca="false">K695*(1-L$691)+K694*L$691</f>
        <v>0.241156496051053</v>
      </c>
      <c r="M695" s="2" t="n">
        <f aca="false">L695*(1-M$691)+L694*M$691</f>
        <v>0.225618892350639</v>
      </c>
      <c r="N695" s="2" t="n">
        <f aca="false">M695*(1-N$691)+M694*N$691</f>
        <v>0.195520417751292</v>
      </c>
      <c r="O695" s="2" t="n">
        <f aca="false">N695*(1-O$691)+N694*O$691</f>
        <v>0.195520417751292</v>
      </c>
    </row>
    <row r="696" customFormat="false" ht="15" hidden="false" customHeight="false" outlineLevel="0" collapsed="false">
      <c r="B696" s="2" t="n">
        <v>4</v>
      </c>
      <c r="C696" s="2" t="n">
        <f aca="false">0</f>
        <v>0</v>
      </c>
      <c r="D696" s="2" t="n">
        <f aca="false">C696*(1-D$691)+C695*D$691</f>
        <v>0</v>
      </c>
      <c r="E696" s="2" t="n">
        <f aca="false">D696*(1-E$691)+D695*E$691</f>
        <v>0</v>
      </c>
      <c r="F696" s="2" t="n">
        <f aca="false">E696*(1-F$691)+E695*F$691</f>
        <v>0.0344988591547142</v>
      </c>
      <c r="G696" s="2" t="n">
        <f aca="false">F696*(1-G$691)+F695*G$691</f>
        <v>0.0717025372702408</v>
      </c>
      <c r="H696" s="2" t="n">
        <f aca="false">G696*(1-H$691)+G695*H$691</f>
        <v>0.148755238069013</v>
      </c>
      <c r="I696" s="2" t="n">
        <f aca="false">H696*(1-I$691)+H695*I$691</f>
        <v>0.228024502522049</v>
      </c>
      <c r="J696" s="2" t="n">
        <f aca="false">I696*(1-J$691)+I695*J$691</f>
        <v>0.277323780398389</v>
      </c>
      <c r="K696" s="2" t="n">
        <f aca="false">J696*(1-K$691)+J695*K$691</f>
        <v>0.2975130104828</v>
      </c>
      <c r="L696" s="2" t="n">
        <f aca="false">K696*(1-L$691)+K695*L$691</f>
        <v>0.29873184990339</v>
      </c>
      <c r="M696" s="2" t="n">
        <f aca="false">L696*(1-M$691)+L695*M$691</f>
        <v>0.292449533128814</v>
      </c>
      <c r="N696" s="2" t="n">
        <f aca="false">M696*(1-N$691)+M695*N$691</f>
        <v>0.277678566883844</v>
      </c>
      <c r="O696" s="2" t="n">
        <f aca="false">N696*(1-O$691)+N695*O$691</f>
        <v>0.277678566883844</v>
      </c>
    </row>
    <row r="697" customFormat="false" ht="15" hidden="false" customHeight="false" outlineLevel="0" collapsed="false">
      <c r="B697" s="2" t="n">
        <v>5</v>
      </c>
      <c r="C697" s="2" t="n">
        <f aca="false">0</f>
        <v>0</v>
      </c>
      <c r="D697" s="2" t="n">
        <f aca="false">C697*(1-D$691)+C696*D$691</f>
        <v>0</v>
      </c>
      <c r="E697" s="2" t="n">
        <f aca="false">D697*(1-E$691)+D696*E$691</f>
        <v>0</v>
      </c>
      <c r="F697" s="2" t="n">
        <f aca="false">E697*(1-F$691)+E696*F$691</f>
        <v>0</v>
      </c>
      <c r="G697" s="2" t="n">
        <f aca="false">F697*(1-G$691)+F696*G$691</f>
        <v>0.00458702403155593</v>
      </c>
      <c r="H697" s="2" t="n">
        <f aca="false">G697*(1-H$691)+G696*H$691</f>
        <v>0.0235569317951265</v>
      </c>
      <c r="I697" s="2" t="n">
        <f aca="false">H697*(1-I$691)+H696*I$691</f>
        <v>0.0658363278276393</v>
      </c>
      <c r="J697" s="2" t="n">
        <f aca="false">I697*(1-J$691)+I696*J$691</f>
        <v>0.118402343563303</v>
      </c>
      <c r="K697" s="2" t="n">
        <f aca="false">J697*(1-K$691)+J696*K$691</f>
        <v>0.166045654666271</v>
      </c>
      <c r="L697" s="2" t="n">
        <f aca="false">K697*(1-L$691)+K696*L$691</f>
        <v>0.217220549325274</v>
      </c>
      <c r="M697" s="2" t="n">
        <f aca="false">L697*(1-M$691)+L696*M$691</f>
        <v>0.226114629459852</v>
      </c>
      <c r="N697" s="2" t="n">
        <f aca="false">M697*(1-N$691)+M696*N$691</f>
        <v>0.240776027458561</v>
      </c>
      <c r="O697" s="2" t="n">
        <f aca="false">N697*(1-O$691)+N696*O$691</f>
        <v>0.240776027458561</v>
      </c>
    </row>
    <row r="698" customFormat="false" ht="15" hidden="false" customHeight="false" outlineLevel="0" collapsed="false">
      <c r="B698" s="2" t="n">
        <v>6</v>
      </c>
      <c r="C698" s="2" t="n">
        <f aca="false">0</f>
        <v>0</v>
      </c>
      <c r="D698" s="2" t="n">
        <f aca="false">C698*(1-D$691)+C697*D$691</f>
        <v>0</v>
      </c>
      <c r="E698" s="2" t="n">
        <f aca="false">D698*(1-E$691)+D697*E$691</f>
        <v>0</v>
      </c>
      <c r="F698" s="2" t="n">
        <f aca="false">E698*(1-F$691)+E697*F$691</f>
        <v>0</v>
      </c>
      <c r="G698" s="2" t="n">
        <f aca="false">F698*(1-G$691)+F697*G$691</f>
        <v>0</v>
      </c>
      <c r="H698" s="2" t="n">
        <f aca="false">G698*(1-H$691)+G697*H$691</f>
        <v>0.00129650238207137</v>
      </c>
      <c r="I698" s="2" t="n">
        <f aca="false">H698*(1-I$691)+H697*I$691</f>
        <v>0.00881383659384145</v>
      </c>
      <c r="J698" s="2" t="n">
        <f aca="false">I698*(1-J$691)+I697*J$691</f>
        <v>0.0272951172243823</v>
      </c>
      <c r="K698" s="2" t="n">
        <f aca="false">J698*(1-K$691)+J697*K$691</f>
        <v>0.054608297967255</v>
      </c>
      <c r="L698" s="2" t="n">
        <f aca="false">K698*(1-L$691)+K697*L$691</f>
        <v>0.0979863286177572</v>
      </c>
      <c r="M698" s="2" t="n">
        <f aca="false">L698*(1-M$691)+L697*M$691</f>
        <v>0.110996533414334</v>
      </c>
      <c r="N698" s="2" t="n">
        <f aca="false">M698*(1-N$691)+M697*N$691</f>
        <v>0.136440034944083</v>
      </c>
      <c r="O698" s="2" t="n">
        <f aca="false">N698*(1-O$691)+N697*O$691</f>
        <v>0.136440034944083</v>
      </c>
    </row>
    <row r="699" customFormat="false" ht="15" hidden="false" customHeight="false" outlineLevel="0" collapsed="false">
      <c r="B699" s="2" t="n">
        <v>7</v>
      </c>
      <c r="C699" s="2" t="n">
        <f aca="false">0</f>
        <v>0</v>
      </c>
      <c r="D699" s="2" t="n">
        <f aca="false">C699*(1-D$691)+C698*D$691</f>
        <v>0</v>
      </c>
      <c r="E699" s="2" t="n">
        <f aca="false">D699*(1-E$691)+D698*E$691</f>
        <v>0</v>
      </c>
      <c r="F699" s="2" t="n">
        <f aca="false">E699*(1-F$691)+E698*F$691</f>
        <v>0</v>
      </c>
      <c r="G699" s="2" t="n">
        <f aca="false">F699*(1-G$691)+F698*G$691</f>
        <v>0</v>
      </c>
      <c r="H699" s="2" t="n">
        <f aca="false">G699*(1-H$691)+G698*H$691</f>
        <v>0</v>
      </c>
      <c r="I699" s="2" t="n">
        <f aca="false">H699*(1-I$691)+H698*I$691</f>
        <v>0.000437828108862564</v>
      </c>
      <c r="J699" s="2" t="n">
        <f aca="false">I699*(1-J$691)+I698*J$691</f>
        <v>0.00315253523626591</v>
      </c>
      <c r="K699" s="2" t="n">
        <f aca="false">J699*(1-K$691)+J698*K$691</f>
        <v>0.0103902784092171</v>
      </c>
      <c r="L699" s="2" t="n">
        <f aca="false">K699*(1-L$691)+K698*L$691</f>
        <v>0.0276025550147516</v>
      </c>
      <c r="M699" s="2" t="n">
        <f aca="false">L699*(1-M$691)+L698*M$691</f>
        <v>0.035282458514748</v>
      </c>
      <c r="N699" s="2" t="n">
        <f aca="false">M699*(1-N$691)+M698*N$691</f>
        <v>0.0520168490815395</v>
      </c>
      <c r="O699" s="2" t="n">
        <f aca="false">N699*(1-O$691)+N698*O$691</f>
        <v>0.0520168490815395</v>
      </c>
    </row>
    <row r="700" customFormat="false" ht="15" hidden="false" customHeight="false" outlineLevel="0" collapsed="false">
      <c r="B700" s="2" t="n">
        <v>8</v>
      </c>
      <c r="C700" s="2" t="n">
        <f aca="false">0</f>
        <v>0</v>
      </c>
      <c r="D700" s="2" t="n">
        <f aca="false">C700*(1-D$691)+C699*D$691</f>
        <v>0</v>
      </c>
      <c r="E700" s="2" t="n">
        <f aca="false">D700*(1-E$691)+D699*E$691</f>
        <v>0</v>
      </c>
      <c r="F700" s="2" t="n">
        <f aca="false">E700*(1-F$691)+E699*F$691</f>
        <v>0</v>
      </c>
      <c r="G700" s="2" t="n">
        <f aca="false">F700*(1-G$691)+F699*G$691</f>
        <v>0</v>
      </c>
      <c r="H700" s="2" t="n">
        <f aca="false">G700*(1-H$691)+G699*H$691</f>
        <v>0</v>
      </c>
      <c r="I700" s="2" t="n">
        <f aca="false">H700*(1-I$691)+H699*I$691</f>
        <v>0</v>
      </c>
      <c r="J700" s="2" t="n">
        <f aca="false">I700*(1-J$691)+I699*J$691</f>
        <v>0.000141902326130431</v>
      </c>
      <c r="K700" s="2" t="n">
        <f aca="false">J700*(1-K$691)+J699*K$691</f>
        <v>0.00104446476963051</v>
      </c>
      <c r="L700" s="2" t="n">
        <f aca="false">K700*(1-L$691)+K699*L$691</f>
        <v>0.0046824099122709</v>
      </c>
      <c r="M700" s="2" t="n">
        <f aca="false">L700*(1-M$691)+L699*M$691</f>
        <v>0.00718333439503336</v>
      </c>
      <c r="N700" s="2" t="n">
        <f aca="false">M700*(1-N$691)+M699*N$691</f>
        <v>0.0133938272027138</v>
      </c>
      <c r="O700" s="2" t="n">
        <f aca="false">N700*(1-O$691)+N699*O$691</f>
        <v>0.0133938272027138</v>
      </c>
    </row>
    <row r="701" customFormat="false" ht="15" hidden="false" customHeight="false" outlineLevel="0" collapsed="false">
      <c r="B701" s="2" t="n">
        <v>9</v>
      </c>
      <c r="C701" s="2" t="n">
        <f aca="false">0</f>
        <v>0</v>
      </c>
      <c r="D701" s="2" t="n">
        <f aca="false">C701*(1-D$691)+C700*D$691</f>
        <v>0</v>
      </c>
      <c r="E701" s="2" t="n">
        <f aca="false">D701*(1-E$691)+D700*E$691</f>
        <v>0</v>
      </c>
      <c r="F701" s="2" t="n">
        <f aca="false">E701*(1-F$691)+E700*F$691</f>
        <v>0</v>
      </c>
      <c r="G701" s="2" t="n">
        <f aca="false">F701*(1-G$691)+F700*G$691</f>
        <v>0</v>
      </c>
      <c r="H701" s="2" t="n">
        <f aca="false">G701*(1-H$691)+G700*H$691</f>
        <v>0</v>
      </c>
      <c r="I701" s="2" t="n">
        <f aca="false">H701*(1-I$691)+H700*I$691</f>
        <v>0</v>
      </c>
      <c r="J701" s="2" t="n">
        <f aca="false">I701*(1-J$691)+I700*J$691</f>
        <v>0</v>
      </c>
      <c r="K701" s="2" t="n">
        <f aca="false">J701*(1-K$691)+J700*K$691</f>
        <v>4.25411247513612E-005</v>
      </c>
      <c r="L701" s="2" t="n">
        <f aca="false">K701*(1-L$691)+K700*L$691</f>
        <v>0.000432549250073436</v>
      </c>
      <c r="M701" s="2" t="n">
        <f aca="false">L701*(1-M$691)+L700*M$691</f>
        <v>0.000896271470456254</v>
      </c>
      <c r="N701" s="2" t="n">
        <f aca="false">M701*(1-N$691)+M700*N$691</f>
        <v>0.00228584357626882</v>
      </c>
      <c r="O701" s="2" t="n">
        <f aca="false">N701*(1-O$691)+N700*O$691</f>
        <v>0.00228584357626882</v>
      </c>
    </row>
    <row r="702" customFormat="false" ht="15" hidden="false" customHeight="false" outlineLevel="0" collapsed="false">
      <c r="B702" s="2" t="n">
        <v>10</v>
      </c>
      <c r="C702" s="2" t="n">
        <f aca="false">0</f>
        <v>0</v>
      </c>
      <c r="D702" s="2" t="n">
        <f aca="false">C702*(1-D$691)+C701*D$691</f>
        <v>0</v>
      </c>
      <c r="E702" s="2" t="n">
        <f aca="false">D702*(1-E$691)+D701*E$691</f>
        <v>0</v>
      </c>
      <c r="F702" s="2" t="n">
        <f aca="false">E702*(1-F$691)+E701*F$691</f>
        <v>0</v>
      </c>
      <c r="G702" s="2" t="n">
        <f aca="false">F702*(1-G$691)+F701*G$691</f>
        <v>0</v>
      </c>
      <c r="H702" s="2" t="n">
        <f aca="false">G702*(1-H$691)+G701*H$691</f>
        <v>0</v>
      </c>
      <c r="I702" s="2" t="n">
        <f aca="false">H702*(1-I$691)+H701*I$691</f>
        <v>0</v>
      </c>
      <c r="J702" s="2" t="n">
        <f aca="false">I702*(1-J$691)+I701*J$691</f>
        <v>0</v>
      </c>
      <c r="K702" s="2" t="n">
        <f aca="false">J702*(1-K$691)+J701*K$691</f>
        <v>0</v>
      </c>
      <c r="L702" s="2" t="n">
        <f aca="false">K702*(1-L$691)+K701*L$691</f>
        <v>1.65595296589413E-005</v>
      </c>
      <c r="M702" s="2" t="n">
        <f aca="false">L702*(1-M$691)+L701*M$691</f>
        <v>6.19501182311542E-005</v>
      </c>
      <c r="N702" s="2" t="n">
        <f aca="false">M702*(1-N$691)+M701*N$691</f>
        <v>0.000246352547830473</v>
      </c>
      <c r="O702" s="2" t="n">
        <f aca="false">N702*(1-O$691)+N701*O$691</f>
        <v>0.000246352547830473</v>
      </c>
    </row>
    <row r="703" customFormat="false" ht="15" hidden="false" customHeight="false" outlineLevel="0" collapsed="false">
      <c r="B703" s="2" t="n">
        <v>11</v>
      </c>
      <c r="C703" s="2" t="n">
        <f aca="false">0</f>
        <v>0</v>
      </c>
      <c r="D703" s="2" t="n">
        <f aca="false">C703*(1-D$691)+C702*D$691</f>
        <v>0</v>
      </c>
      <c r="E703" s="2" t="n">
        <f aca="false">D703*(1-E$691)+D702*E$691</f>
        <v>0</v>
      </c>
      <c r="F703" s="2" t="n">
        <f aca="false">E703*(1-F$691)+E702*F$691</f>
        <v>0</v>
      </c>
      <c r="G703" s="2" t="n">
        <f aca="false">F703*(1-G$691)+F702*G$691</f>
        <v>0</v>
      </c>
      <c r="H703" s="2" t="n">
        <f aca="false">G703*(1-H$691)+G702*H$691</f>
        <v>0</v>
      </c>
      <c r="I703" s="2" t="n">
        <f aca="false">H703*(1-I$691)+H702*I$691</f>
        <v>0</v>
      </c>
      <c r="J703" s="2" t="n">
        <f aca="false">I703*(1-J$691)+I702*J$691</f>
        <v>0</v>
      </c>
      <c r="K703" s="2" t="n">
        <f aca="false">J703*(1-K$691)+J702*K$691</f>
        <v>0</v>
      </c>
      <c r="L703" s="2" t="n">
        <f aca="false">K703*(1-L$691)+K702*L$691</f>
        <v>0</v>
      </c>
      <c r="M703" s="2" t="n">
        <f aca="false">L703*(1-M$691)+L702*M$691</f>
        <v>1.80688791287779E-006</v>
      </c>
      <c r="N703" s="2" t="n">
        <f aca="false">M703*(1-N$691)+M702*N$691</f>
        <v>1.50997968922099E-005</v>
      </c>
      <c r="O703" s="2" t="n">
        <f aca="false">N703*(1-O$691)+N702*O$691</f>
        <v>1.50997968922099E-005</v>
      </c>
    </row>
    <row r="704" customFormat="false" ht="15" hidden="false" customHeight="false" outlineLevel="0" collapsed="false">
      <c r="B704" s="2" t="n">
        <v>12</v>
      </c>
      <c r="C704" s="2" t="n">
        <f aca="false">0</f>
        <v>0</v>
      </c>
      <c r="D704" s="2" t="n">
        <f aca="false">C704*(1-D$691)+C703*D$691</f>
        <v>0</v>
      </c>
      <c r="E704" s="2" t="n">
        <f aca="false">D704*(1-E$691)+D703*E$691</f>
        <v>0</v>
      </c>
      <c r="F704" s="2" t="n">
        <f aca="false">E704*(1-F$691)+E703*F$691</f>
        <v>0</v>
      </c>
      <c r="G704" s="2" t="n">
        <f aca="false">F704*(1-G$691)+F703*G$691</f>
        <v>0</v>
      </c>
      <c r="H704" s="2" t="n">
        <f aca="false">G704*(1-H$691)+G703*H$691</f>
        <v>0</v>
      </c>
      <c r="I704" s="2" t="n">
        <f aca="false">H704*(1-I$691)+H703*I$691</f>
        <v>0</v>
      </c>
      <c r="J704" s="2" t="n">
        <f aca="false">I704*(1-J$691)+I703*J$691</f>
        <v>0</v>
      </c>
      <c r="K704" s="2" t="n">
        <f aca="false">J704*(1-K$691)+J703*K$691</f>
        <v>0</v>
      </c>
      <c r="L704" s="2" t="n">
        <f aca="false">K704*(1-L$691)+K703*L$691</f>
        <v>0</v>
      </c>
      <c r="M704" s="2" t="n">
        <f aca="false">L704*(1-M$691)+L703*M$691</f>
        <v>0</v>
      </c>
      <c r="N704" s="2" t="n">
        <f aca="false">M704*(1-N$691)+M703*N$691</f>
        <v>3.99359935185275E-007</v>
      </c>
      <c r="O704" s="2" t="n">
        <f aca="false">N704*(1-O$691)+N703*O$691</f>
        <v>3.99359935185275E-007</v>
      </c>
    </row>
    <row r="705" customFormat="false" ht="15" hidden="false" customHeight="false" outlineLevel="0" collapsed="false">
      <c r="B705" s="2" t="n">
        <v>13</v>
      </c>
      <c r="C705" s="2" t="n">
        <f aca="false">0</f>
        <v>0</v>
      </c>
      <c r="D705" s="2" t="n">
        <f aca="false">C705*(1-D$691)+C704*D$691</f>
        <v>0</v>
      </c>
      <c r="E705" s="2" t="n">
        <f aca="false">D705*(1-E$691)+D704*E$691</f>
        <v>0</v>
      </c>
      <c r="F705" s="2" t="n">
        <f aca="false">E705*(1-F$691)+E704*F$691</f>
        <v>0</v>
      </c>
      <c r="G705" s="2" t="n">
        <f aca="false">F705*(1-G$691)+F704*G$691</f>
        <v>0</v>
      </c>
      <c r="H705" s="2" t="n">
        <f aca="false">G705*(1-H$691)+G704*H$691</f>
        <v>0</v>
      </c>
      <c r="I705" s="2" t="n">
        <f aca="false">H705*(1-I$691)+H704*I$691</f>
        <v>0</v>
      </c>
      <c r="J705" s="2" t="n">
        <f aca="false">I705*(1-J$691)+I704*J$691</f>
        <v>0</v>
      </c>
      <c r="K705" s="2" t="n">
        <f aca="false">J705*(1-K$691)+J704*K$691</f>
        <v>0</v>
      </c>
      <c r="L705" s="2" t="n">
        <f aca="false">K705*(1-L$691)+K704*L$691</f>
        <v>0</v>
      </c>
      <c r="M705" s="2" t="n">
        <f aca="false">L705*(1-M$691)+L704*M$691</f>
        <v>0</v>
      </c>
      <c r="N705" s="2" t="n">
        <f aca="false">M705*(1-N$691)+M704*N$691</f>
        <v>0</v>
      </c>
      <c r="O705" s="2" t="n">
        <f aca="false">N705*(1-O$691)+N704*O$691</f>
        <v>0</v>
      </c>
    </row>
    <row r="707" customFormat="false" ht="15" hidden="false" customHeight="false" outlineLevel="0" collapsed="false">
      <c r="A707" s="1" t="s">
        <v>102</v>
      </c>
      <c r="C707" s="2" t="n">
        <f aca="false">Schedule!G46</f>
        <v>0.780830170206623</v>
      </c>
      <c r="D707" s="2" t="n">
        <f aca="false">Schedule!L46</f>
        <v>0.324105107136862</v>
      </c>
      <c r="E707" s="2" t="n">
        <f aca="false">Schedule!Q46</f>
        <v>0.742153889194135</v>
      </c>
      <c r="F707" s="2" t="n">
        <f aca="false">Schedule!V46</f>
        <v>0.970031040466775</v>
      </c>
      <c r="G707" s="2" t="n">
        <f aca="false">Schedule!AA46</f>
        <v>0.430539816792326</v>
      </c>
      <c r="H707" s="2" t="n">
        <f aca="false">Schedule!AF46</f>
        <v>0.613135249031273</v>
      </c>
      <c r="I707" s="2" t="n">
        <f aca="false">Schedule!AK46</f>
        <v>0.377330281529843</v>
      </c>
      <c r="J707" s="2" t="n">
        <f aca="false">Schedule!AP46</f>
        <v>0.746174582585778</v>
      </c>
      <c r="K707" s="2" t="n">
        <f aca="false">Schedule!AU46</f>
        <v>0.435456064137962</v>
      </c>
      <c r="L707" s="2" t="n">
        <f aca="false">Schedule!AZ46</f>
        <v>0.118751711857465</v>
      </c>
      <c r="M707" s="2" t="n">
        <f aca="false">Schedule!BE46</f>
        <v>0.377330281529843</v>
      </c>
      <c r="N707" s="2" t="n">
        <f aca="false">Schedule!BJ46</f>
        <v>0.492520270510441</v>
      </c>
      <c r="O707" s="2" t="n">
        <f aca="false">Schedule!BO46</f>
        <v>0</v>
      </c>
    </row>
    <row r="708" customFormat="false" ht="15" hidden="false" customHeight="false" outlineLevel="0" collapsed="false">
      <c r="B708" s="2" t="n">
        <v>0</v>
      </c>
      <c r="C708" s="2" t="n">
        <f aca="false">1-C$707</f>
        <v>0.219169829793377</v>
      </c>
      <c r="D708" s="2" t="n">
        <f aca="false">C708*(1-D$707)</f>
        <v>0.148135768627027</v>
      </c>
      <c r="E708" s="2" t="n">
        <f aca="false">D708*(1-E$707)</f>
        <v>0.0381962318117163</v>
      </c>
      <c r="F708" s="2" t="n">
        <f aca="false">E708*(1-F$707)</f>
        <v>0.001144701325487</v>
      </c>
      <c r="G708" s="2" t="n">
        <f aca="false">F708*(1-G$707)</f>
        <v>0.000651861826529891</v>
      </c>
      <c r="H708" s="2" t="n">
        <f aca="false">G708*(1-H$707)</f>
        <v>0.000252182363186506</v>
      </c>
      <c r="I708" s="2" t="n">
        <f aca="false">H708*(1-I$707)</f>
        <v>0.000157026321088481</v>
      </c>
      <c r="J708" s="2" t="n">
        <f aca="false">I708*(1-J$707)</f>
        <v>3.98572714953033E-005</v>
      </c>
      <c r="K708" s="2" t="n">
        <f aca="false">J708*(1-K$707)</f>
        <v>2.25011809226803E-005</v>
      </c>
      <c r="L708" s="2" t="n">
        <f aca="false">K708*(1-L$707)</f>
        <v>1.98291271692975E-005</v>
      </c>
      <c r="M708" s="2" t="n">
        <f aca="false">L708*(1-M$707)</f>
        <v>1.23469970320154E-005</v>
      </c>
      <c r="N708" s="2" t="n">
        <f aca="false">M708*(1-N$707)</f>
        <v>6.26585071381559E-006</v>
      </c>
      <c r="O708" s="2" t="n">
        <f aca="false">N708*(1-O$707)</f>
        <v>6.26585071381559E-006</v>
      </c>
    </row>
    <row r="709" customFormat="false" ht="15" hidden="false" customHeight="false" outlineLevel="0" collapsed="false">
      <c r="B709" s="2" t="n">
        <v>1</v>
      </c>
      <c r="C709" s="2" t="n">
        <f aca="false">C$707</f>
        <v>0.780830170206623</v>
      </c>
      <c r="D709" s="2" t="n">
        <f aca="false">C709*(1-D$707)+C708*D$707</f>
        <v>0.598793185402461</v>
      </c>
      <c r="E709" s="2" t="n">
        <f aca="false">D709*(1-E$707)+D708*E$707</f>
        <v>0.26433603084839</v>
      </c>
      <c r="F709" s="2" t="n">
        <f aca="false">E709*(1-F$707)+E708*F$707</f>
        <v>0.044973406297898</v>
      </c>
      <c r="G709" s="2" t="n">
        <f aca="false">F709*(1-G$707)+F708*G$707</f>
        <v>0.0261034036888312</v>
      </c>
      <c r="H709" s="2" t="n">
        <f aca="false">G709*(1-H$707)+G708*H$707</f>
        <v>0.0104981662308592</v>
      </c>
      <c r="I709" s="2" t="n">
        <f aca="false">H709*(1-I$707)+H708*I$707</f>
        <v>0.00663204625352005</v>
      </c>
      <c r="J709" s="2" t="n">
        <f aca="false">I709*(1-J$707)+I708*J$707</f>
        <v>0.00180055095820333</v>
      </c>
      <c r="K709" s="2" t="n">
        <f aca="false">J709*(1-K$707)+J708*K$707</f>
        <v>0.0010338462152369</v>
      </c>
      <c r="L709" s="2" t="n">
        <f aca="false">K709*(1-L$707)+K708*L$707</f>
        <v>0.000913747261133538</v>
      </c>
      <c r="M709" s="2" t="n">
        <f aca="false">L709*(1-M$707)+L708*M$707</f>
        <v>0.000576444879980179</v>
      </c>
      <c r="N709" s="2" t="n">
        <f aca="false">M709*(1-N$707)+M708*N$707</f>
        <v>0.000298615238076183</v>
      </c>
      <c r="O709" s="2" t="n">
        <f aca="false">N709*(1-O$707)+N708*O$707</f>
        <v>0.000298615238076183</v>
      </c>
    </row>
    <row r="710" customFormat="false" ht="15" hidden="false" customHeight="false" outlineLevel="0" collapsed="false">
      <c r="B710" s="2" t="n">
        <v>2</v>
      </c>
      <c r="C710" s="2" t="n">
        <f aca="false">0</f>
        <v>0</v>
      </c>
      <c r="D710" s="2" t="n">
        <f aca="false">C710*(1-D$707)+C709*D$707</f>
        <v>0.253071045970512</v>
      </c>
      <c r="E710" s="2" t="n">
        <f aca="false">D710*(1-E$707)+D709*E$707</f>
        <v>0.50965007633045</v>
      </c>
      <c r="F710" s="2" t="n">
        <f aca="false">E710*(1-F$707)+E709*F$707</f>
        <v>0.271687837550374</v>
      </c>
      <c r="G710" s="2" t="n">
        <f aca="false">F710*(1-G$707)+F709*G$707</f>
        <v>0.174078247854756</v>
      </c>
      <c r="H710" s="2" t="n">
        <f aca="false">G710*(1-H$707)+G709*H$707</f>
        <v>0.0833496549267181</v>
      </c>
      <c r="I710" s="2" t="n">
        <f aca="false">H710*(1-I$707)+H709*I$707</f>
        <v>0.0558605821872415</v>
      </c>
      <c r="J710" s="2" t="n">
        <f aca="false">I710*(1-J$707)+I709*J$707</f>
        <v>0.0191274999355879</v>
      </c>
      <c r="K710" s="2" t="n">
        <f aca="false">J710*(1-K$707)+J709*K$707</f>
        <v>0.0115823749303768</v>
      </c>
      <c r="L710" s="2" t="n">
        <f aca="false">K710*(1-L$707)+K709*L$707</f>
        <v>0.0103297190878763</v>
      </c>
      <c r="M710" s="2" t="n">
        <f aca="false">L710*(1-M$707)+L709*M$707</f>
        <v>0.00677678778761437</v>
      </c>
      <c r="N710" s="2" t="n">
        <f aca="false">M710*(1-N$707)+M709*N$707</f>
        <v>0.00372299322148889</v>
      </c>
      <c r="O710" s="2" t="n">
        <f aca="false">N710*(1-O$707)+N709*O$707</f>
        <v>0.00372299322148889</v>
      </c>
    </row>
    <row r="711" customFormat="false" ht="15" hidden="false" customHeight="false" outlineLevel="0" collapsed="false">
      <c r="B711" s="2" t="n">
        <v>3</v>
      </c>
      <c r="C711" s="2" t="n">
        <f aca="false">0</f>
        <v>0</v>
      </c>
      <c r="D711" s="2" t="n">
        <f aca="false">C711*(1-D$707)+C710*D$707</f>
        <v>0</v>
      </c>
      <c r="E711" s="2" t="n">
        <f aca="false">D711*(1-E$707)+D710*E$707</f>
        <v>0.187817661009443</v>
      </c>
      <c r="F711" s="2" t="n">
        <f aca="false">E711*(1-F$707)+E710*F$707</f>
        <v>0.500005093699215</v>
      </c>
      <c r="G711" s="2" t="n">
        <f aca="false">F711*(1-G$707)+F710*G$707</f>
        <v>0.401705424066366</v>
      </c>
      <c r="H711" s="2" t="n">
        <f aca="false">G711*(1-H$707)+G710*H$707</f>
        <v>0.262139178693575</v>
      </c>
      <c r="I711" s="2" t="n">
        <f aca="false">H711*(1-I$707)+H710*I$707</f>
        <v>0.194676477356041</v>
      </c>
      <c r="J711" s="2" t="n">
        <f aca="false">I711*(1-J$707)+I710*J$707</f>
        <v>0.0910955847221908</v>
      </c>
      <c r="K711" s="2" t="n">
        <f aca="false">J711*(1-K$707)+J710*K$707</f>
        <v>0.0597566457774696</v>
      </c>
      <c r="L711" s="2" t="n">
        <f aca="false">K711*(1-L$707)+K710*L$707</f>
        <v>0.0540358686468922</v>
      </c>
      <c r="M711" s="2" t="n">
        <f aca="false">L711*(1-M$707)+L710*M$707</f>
        <v>0.0375442149292033</v>
      </c>
      <c r="N711" s="2" t="n">
        <f aca="false">M711*(1-N$707)+M710*N$707</f>
        <v>0.0223906333905177</v>
      </c>
      <c r="O711" s="2" t="n">
        <f aca="false">N711*(1-O$707)+N710*O$707</f>
        <v>0.0223906333905177</v>
      </c>
    </row>
    <row r="712" customFormat="false" ht="15" hidden="false" customHeight="false" outlineLevel="0" collapsed="false">
      <c r="B712" s="2" t="n">
        <v>4</v>
      </c>
      <c r="C712" s="2" t="n">
        <f aca="false">0</f>
        <v>0</v>
      </c>
      <c r="D712" s="2" t="n">
        <f aca="false">C712*(1-D$707)+C711*D$707</f>
        <v>0</v>
      </c>
      <c r="E712" s="2" t="n">
        <f aca="false">D712*(1-E$707)+D711*E$707</f>
        <v>0</v>
      </c>
      <c r="F712" s="2" t="n">
        <f aca="false">E712*(1-F$707)+E711*F$707</f>
        <v>0.182188961127026</v>
      </c>
      <c r="G712" s="2" t="n">
        <f aca="false">F712*(1-G$707)+F711*G$707</f>
        <v>0.319021460618302</v>
      </c>
      <c r="H712" s="2" t="n">
        <f aca="false">G712*(1-H$707)+G711*H$707</f>
        <v>0.369717913137924</v>
      </c>
      <c r="I712" s="2" t="n">
        <f aca="false">H712*(1-I$707)+H711*I$707</f>
        <v>0.329125198983413</v>
      </c>
      <c r="J712" s="2" t="n">
        <f aca="false">I712*(1-J$707)+I711*J$707</f>
        <v>0.228802980243917</v>
      </c>
      <c r="K712" s="2" t="n">
        <f aca="false">J712*(1-K$707)+J711*K$707</f>
        <v>0.168837459787337</v>
      </c>
      <c r="L712" s="2" t="n">
        <f aca="false">K712*(1-L$707)+K711*L$707</f>
        <v>0.155883926392859</v>
      </c>
      <c r="M712" s="2" t="n">
        <f aca="false">L712*(1-M$707)+L711*M$707</f>
        <v>0.117453570090306</v>
      </c>
      <c r="N712" s="2" t="n">
        <f aca="false">M712*(1-N$707)+M711*N$707</f>
        <v>0.0780965928700447</v>
      </c>
      <c r="O712" s="2" t="n">
        <f aca="false">N712*(1-O$707)+N711*O$707</f>
        <v>0.0780965928700447</v>
      </c>
    </row>
    <row r="713" customFormat="false" ht="15" hidden="false" customHeight="false" outlineLevel="0" collapsed="false">
      <c r="B713" s="2" t="n">
        <v>5</v>
      </c>
      <c r="C713" s="2" t="n">
        <f aca="false">0</f>
        <v>0</v>
      </c>
      <c r="D713" s="2" t="n">
        <f aca="false">C713*(1-D$707)+C712*D$707</f>
        <v>0</v>
      </c>
      <c r="E713" s="2" t="n">
        <f aca="false">D713*(1-E$707)+D712*E$707</f>
        <v>0</v>
      </c>
      <c r="F713" s="2" t="n">
        <f aca="false">E713*(1-F$707)+E712*F$707</f>
        <v>0</v>
      </c>
      <c r="G713" s="2" t="n">
        <f aca="false">F713*(1-G$707)+F712*G$707</f>
        <v>0.0784396019452141</v>
      </c>
      <c r="H713" s="2" t="n">
        <f aca="false">G713*(1-H$707)+G712*H$707</f>
        <v>0.225948819775144</v>
      </c>
      <c r="I713" s="2" t="n">
        <f aca="false">H713*(1-I$707)+H712*I$707</f>
        <v>0.280197252249012</v>
      </c>
      <c r="J713" s="2" t="n">
        <f aca="false">I713*(1-J$707)+I712*J$707</f>
        <v>0.316706042480333</v>
      </c>
      <c r="K713" s="2" t="n">
        <f aca="false">J713*(1-K$707)+J712*K$707</f>
        <v>0.278428120973189</v>
      </c>
      <c r="L713" s="2" t="n">
        <f aca="false">K713*(1-L$707)+K712*L$707</f>
        <v>0.265414042353778</v>
      </c>
      <c r="M713" s="2" t="n">
        <f aca="false">L713*(1-M$707)+L712*M$707</f>
        <v>0.224085012862248</v>
      </c>
      <c r="N713" s="2" t="n">
        <f aca="false">M713*(1-N$707)+M712*N$707</f>
        <v>0.171566865823292</v>
      </c>
      <c r="O713" s="2" t="n">
        <f aca="false">N713*(1-O$707)+N712*O$707</f>
        <v>0.171566865823292</v>
      </c>
    </row>
    <row r="714" customFormat="false" ht="15" hidden="false" customHeight="false" outlineLevel="0" collapsed="false">
      <c r="B714" s="2" t="n">
        <v>6</v>
      </c>
      <c r="C714" s="2" t="n">
        <f aca="false">0</f>
        <v>0</v>
      </c>
      <c r="D714" s="2" t="n">
        <f aca="false">C714*(1-D$707)+C713*D$707</f>
        <v>0</v>
      </c>
      <c r="E714" s="2" t="n">
        <f aca="false">D714*(1-E$707)+D713*E$707</f>
        <v>0</v>
      </c>
      <c r="F714" s="2" t="n">
        <f aca="false">E714*(1-F$707)+E713*F$707</f>
        <v>0</v>
      </c>
      <c r="G714" s="2" t="n">
        <f aca="false">F714*(1-G$707)+F713*G$707</f>
        <v>0</v>
      </c>
      <c r="H714" s="2" t="n">
        <f aca="false">G714*(1-H$707)+G713*H$707</f>
        <v>0.0480940848725928</v>
      </c>
      <c r="I714" s="2" t="n">
        <f aca="false">H714*(1-I$707)+H713*I$707</f>
        <v>0.115204062064788</v>
      </c>
      <c r="J714" s="2" t="n">
        <f aca="false">I714*(1-J$707)+I713*J$707</f>
        <v>0.238317786879997</v>
      </c>
      <c r="K714" s="2" t="n">
        <f aca="false">J714*(1-K$707)+J713*K$707</f>
        <v>0.27245242813836</v>
      </c>
      <c r="L714" s="2" t="n">
        <f aca="false">K714*(1-L$707)+K713*L$707</f>
        <v>0.27316205189203</v>
      </c>
      <c r="M714" s="2" t="n">
        <f aca="false">L714*(1-M$707)+L713*M$707</f>
        <v>0.270238493271666</v>
      </c>
      <c r="N714" s="2" t="n">
        <f aca="false">M714*(1-N$707)+M713*N$707</f>
        <v>0.247506968615421</v>
      </c>
      <c r="O714" s="2" t="n">
        <f aca="false">N714*(1-O$707)+N713*O$707</f>
        <v>0.247506968615421</v>
      </c>
    </row>
    <row r="715" customFormat="false" ht="15" hidden="false" customHeight="false" outlineLevel="0" collapsed="false">
      <c r="B715" s="2" t="n">
        <v>7</v>
      </c>
      <c r="C715" s="2" t="n">
        <f aca="false">0</f>
        <v>0</v>
      </c>
      <c r="D715" s="2" t="n">
        <f aca="false">C715*(1-D$707)+C714*D$707</f>
        <v>0</v>
      </c>
      <c r="E715" s="2" t="n">
        <f aca="false">D715*(1-E$707)+D714*E$707</f>
        <v>0</v>
      </c>
      <c r="F715" s="2" t="n">
        <f aca="false">E715*(1-F$707)+E714*F$707</f>
        <v>0</v>
      </c>
      <c r="G715" s="2" t="n">
        <f aca="false">F715*(1-G$707)+F714*G$707</f>
        <v>0</v>
      </c>
      <c r="H715" s="2" t="n">
        <f aca="false">G715*(1-H$707)+G714*H$707</f>
        <v>0</v>
      </c>
      <c r="I715" s="2" t="n">
        <f aca="false">H715*(1-I$707)+H714*I$707</f>
        <v>0.0181473545848956</v>
      </c>
      <c r="J715" s="2" t="n">
        <f aca="false">I715*(1-J$707)+I714*J$707</f>
        <v>0.0905686027758543</v>
      </c>
      <c r="K715" s="2" t="n">
        <f aca="false">J715*(1-K$707)+J714*K$707</f>
        <v>0.154906880965439</v>
      </c>
      <c r="L715" s="2" t="n">
        <f aca="false">K715*(1-L$707)+K714*L$707</f>
        <v>0.168865615913446</v>
      </c>
      <c r="M715" s="2" t="n">
        <f aca="false">L715*(1-M$707)+L714*M$707</f>
        <v>0.208219819463805</v>
      </c>
      <c r="N715" s="2" t="n">
        <f aca="false">M715*(1-N$707)+M714*N$707</f>
        <v>0.238765273464351</v>
      </c>
      <c r="O715" s="2" t="n">
        <f aca="false">N715*(1-O$707)+N714*O$707</f>
        <v>0.238765273464351</v>
      </c>
    </row>
    <row r="716" customFormat="false" ht="15" hidden="false" customHeight="false" outlineLevel="0" collapsed="false">
      <c r="B716" s="2" t="n">
        <v>8</v>
      </c>
      <c r="C716" s="2" t="n">
        <f aca="false">0</f>
        <v>0</v>
      </c>
      <c r="D716" s="2" t="n">
        <f aca="false">C716*(1-D$707)+C715*D$707</f>
        <v>0</v>
      </c>
      <c r="E716" s="2" t="n">
        <f aca="false">D716*(1-E$707)+D715*E$707</f>
        <v>0</v>
      </c>
      <c r="F716" s="2" t="n">
        <f aca="false">E716*(1-F$707)+E715*F$707</f>
        <v>0</v>
      </c>
      <c r="G716" s="2" t="n">
        <f aca="false">F716*(1-G$707)+F715*G$707</f>
        <v>0</v>
      </c>
      <c r="H716" s="2" t="n">
        <f aca="false">G716*(1-H$707)+G715*H$707</f>
        <v>0</v>
      </c>
      <c r="I716" s="2" t="n">
        <f aca="false">H716*(1-I$707)+H715*I$707</f>
        <v>0</v>
      </c>
      <c r="J716" s="2" t="n">
        <f aca="false">I716*(1-J$707)+I715*J$707</f>
        <v>0.0135410947324206</v>
      </c>
      <c r="K716" s="2" t="n">
        <f aca="false">J716*(1-K$707)+J715*K$707</f>
        <v>0.0470831902153694</v>
      </c>
      <c r="L716" s="2" t="n">
        <f aca="false">K716*(1-L$707)+K715*L$707</f>
        <v>0.0598874380707301</v>
      </c>
      <c r="M716" s="2" t="n">
        <f aca="false">L716*(1-M$707)+L715*M$707</f>
        <v>0.101008204596731</v>
      </c>
      <c r="N716" s="2" t="n">
        <f aca="false">M716*(1-N$707)+M715*N$707</f>
        <v>0.153812098152924</v>
      </c>
      <c r="O716" s="2" t="n">
        <f aca="false">N716*(1-O$707)+N715*O$707</f>
        <v>0.153812098152924</v>
      </c>
    </row>
    <row r="717" customFormat="false" ht="15" hidden="false" customHeight="false" outlineLevel="0" collapsed="false">
      <c r="B717" s="2" t="n">
        <v>9</v>
      </c>
      <c r="C717" s="2" t="n">
        <f aca="false">0</f>
        <v>0</v>
      </c>
      <c r="D717" s="2" t="n">
        <f aca="false">C717*(1-D$707)+C716*D$707</f>
        <v>0</v>
      </c>
      <c r="E717" s="2" t="n">
        <f aca="false">D717*(1-E$707)+D716*E$707</f>
        <v>0</v>
      </c>
      <c r="F717" s="2" t="n">
        <f aca="false">E717*(1-F$707)+E716*F$707</f>
        <v>0</v>
      </c>
      <c r="G717" s="2" t="n">
        <f aca="false">F717*(1-G$707)+F716*G$707</f>
        <v>0</v>
      </c>
      <c r="H717" s="2" t="n">
        <f aca="false">G717*(1-H$707)+G716*H$707</f>
        <v>0</v>
      </c>
      <c r="I717" s="2" t="n">
        <f aca="false">H717*(1-I$707)+H716*I$707</f>
        <v>0</v>
      </c>
      <c r="J717" s="2" t="n">
        <f aca="false">I717*(1-J$707)+I716*J$707</f>
        <v>0</v>
      </c>
      <c r="K717" s="2" t="n">
        <f aca="false">J717*(1-K$707)+J716*K$707</f>
        <v>0.00589655181629914</v>
      </c>
      <c r="L717" s="2" t="n">
        <f aca="false">K717*(1-L$707)+K716*L$707</f>
        <v>0.0107875356318431</v>
      </c>
      <c r="M717" s="2" t="n">
        <f aca="false">L717*(1-M$707)+L716*M$707</f>
        <v>0.0293144156421962</v>
      </c>
      <c r="N717" s="2" t="n">
        <f aca="false">M717*(1-N$707)+M716*N$707</f>
        <v>0.0646250599720023</v>
      </c>
      <c r="O717" s="2" t="n">
        <f aca="false">N717*(1-O$707)+N716*O$707</f>
        <v>0.0646250599720023</v>
      </c>
    </row>
    <row r="718" customFormat="false" ht="15" hidden="false" customHeight="false" outlineLevel="0" collapsed="false">
      <c r="B718" s="2" t="n">
        <v>10</v>
      </c>
      <c r="C718" s="2" t="n">
        <f aca="false">0</f>
        <v>0</v>
      </c>
      <c r="D718" s="2" t="n">
        <f aca="false">C718*(1-D$707)+C717*D$707</f>
        <v>0</v>
      </c>
      <c r="E718" s="2" t="n">
        <f aca="false">D718*(1-E$707)+D717*E$707</f>
        <v>0</v>
      </c>
      <c r="F718" s="2" t="n">
        <f aca="false">E718*(1-F$707)+E717*F$707</f>
        <v>0</v>
      </c>
      <c r="G718" s="2" t="n">
        <f aca="false">F718*(1-G$707)+F717*G$707</f>
        <v>0</v>
      </c>
      <c r="H718" s="2" t="n">
        <f aca="false">G718*(1-H$707)+G717*H$707</f>
        <v>0</v>
      </c>
      <c r="I718" s="2" t="n">
        <f aca="false">H718*(1-I$707)+H717*I$707</f>
        <v>0</v>
      </c>
      <c r="J718" s="2" t="n">
        <f aca="false">I718*(1-J$707)+I717*J$707</f>
        <v>0</v>
      </c>
      <c r="K718" s="2" t="n">
        <f aca="false">J718*(1-K$707)+J717*K$707</f>
        <v>0</v>
      </c>
      <c r="L718" s="2" t="n">
        <f aca="false">K718*(1-L$707)+K717*L$707</f>
        <v>0.000700225622241766</v>
      </c>
      <c r="M718" s="2" t="n">
        <f aca="false">L718*(1-M$707)+L717*M$707</f>
        <v>0.00450647314804345</v>
      </c>
      <c r="N718" s="2" t="n">
        <f aca="false">M718*(1-N$707)+M717*N$707</f>
        <v>0.016724887696071</v>
      </c>
      <c r="O718" s="2" t="n">
        <f aca="false">N718*(1-O$707)+N717*O$707</f>
        <v>0.016724887696071</v>
      </c>
    </row>
    <row r="719" customFormat="false" ht="15" hidden="false" customHeight="false" outlineLevel="0" collapsed="false">
      <c r="B719" s="2" t="n">
        <v>11</v>
      </c>
      <c r="C719" s="2" t="n">
        <f aca="false">0</f>
        <v>0</v>
      </c>
      <c r="D719" s="2" t="n">
        <f aca="false">C719*(1-D$707)+C718*D$707</f>
        <v>0</v>
      </c>
      <c r="E719" s="2" t="n">
        <f aca="false">D719*(1-E$707)+D718*E$707</f>
        <v>0</v>
      </c>
      <c r="F719" s="2" t="n">
        <f aca="false">E719*(1-F$707)+E718*F$707</f>
        <v>0</v>
      </c>
      <c r="G719" s="2" t="n">
        <f aca="false">F719*(1-G$707)+F718*G$707</f>
        <v>0</v>
      </c>
      <c r="H719" s="2" t="n">
        <f aca="false">G719*(1-H$707)+G718*H$707</f>
        <v>0</v>
      </c>
      <c r="I719" s="2" t="n">
        <f aca="false">H719*(1-I$707)+H718*I$707</f>
        <v>0</v>
      </c>
      <c r="J719" s="2" t="n">
        <f aca="false">I719*(1-J$707)+I718*J$707</f>
        <v>0</v>
      </c>
      <c r="K719" s="2" t="n">
        <f aca="false">J719*(1-K$707)+J718*K$707</f>
        <v>0</v>
      </c>
      <c r="L719" s="2" t="n">
        <f aca="false">K719*(1-L$707)+K718*L$707</f>
        <v>0</v>
      </c>
      <c r="M719" s="2" t="n">
        <f aca="false">L719*(1-M$707)+L718*M$707</f>
        <v>0.000264216331174895</v>
      </c>
      <c r="N719" s="2" t="n">
        <f aca="false">M719*(1-N$707)+M718*N$707</f>
        <v>0.00235361380619376</v>
      </c>
      <c r="O719" s="2" t="n">
        <f aca="false">N719*(1-O$707)+N718*O$707</f>
        <v>0.00235361380619376</v>
      </c>
    </row>
    <row r="720" customFormat="false" ht="15" hidden="false" customHeight="false" outlineLevel="0" collapsed="false">
      <c r="B720" s="2" t="n">
        <v>12</v>
      </c>
      <c r="C720" s="2" t="n">
        <f aca="false">0</f>
        <v>0</v>
      </c>
      <c r="D720" s="2" t="n">
        <f aca="false">C720*(1-D$707)+C719*D$707</f>
        <v>0</v>
      </c>
      <c r="E720" s="2" t="n">
        <f aca="false">D720*(1-E$707)+D719*E$707</f>
        <v>0</v>
      </c>
      <c r="F720" s="2" t="n">
        <f aca="false">E720*(1-F$707)+E719*F$707</f>
        <v>0</v>
      </c>
      <c r="G720" s="2" t="n">
        <f aca="false">F720*(1-G$707)+F719*G$707</f>
        <v>0</v>
      </c>
      <c r="H720" s="2" t="n">
        <f aca="false">G720*(1-H$707)+G719*H$707</f>
        <v>0</v>
      </c>
      <c r="I720" s="2" t="n">
        <f aca="false">H720*(1-I$707)+H719*I$707</f>
        <v>0</v>
      </c>
      <c r="J720" s="2" t="n">
        <f aca="false">I720*(1-J$707)+I719*J$707</f>
        <v>0</v>
      </c>
      <c r="K720" s="2" t="n">
        <f aca="false">J720*(1-K$707)+J719*K$707</f>
        <v>0</v>
      </c>
      <c r="L720" s="2" t="n">
        <f aca="false">K720*(1-L$707)+K719*L$707</f>
        <v>0</v>
      </c>
      <c r="M720" s="2" t="n">
        <f aca="false">L720*(1-M$707)+L719*M$707</f>
        <v>0</v>
      </c>
      <c r="N720" s="2" t="n">
        <f aca="false">M720*(1-N$707)+M719*N$707</f>
        <v>0.000130131898903536</v>
      </c>
      <c r="O720" s="2" t="n">
        <f aca="false">N720*(1-O$707)+N719*O$707</f>
        <v>0.000130131898903536</v>
      </c>
    </row>
    <row r="721" customFormat="false" ht="15" hidden="false" customHeight="false" outlineLevel="0" collapsed="false">
      <c r="B721" s="2" t="n">
        <v>13</v>
      </c>
      <c r="C721" s="2" t="n">
        <f aca="false">0</f>
        <v>0</v>
      </c>
      <c r="D721" s="2" t="n">
        <f aca="false">C721*(1-D$707)+C720*D$707</f>
        <v>0</v>
      </c>
      <c r="E721" s="2" t="n">
        <f aca="false">D721*(1-E$707)+D720*E$707</f>
        <v>0</v>
      </c>
      <c r="F721" s="2" t="n">
        <f aca="false">E721*(1-F$707)+E720*F$707</f>
        <v>0</v>
      </c>
      <c r="G721" s="2" t="n">
        <f aca="false">F721*(1-G$707)+F720*G$707</f>
        <v>0</v>
      </c>
      <c r="H721" s="2" t="n">
        <f aca="false">G721*(1-H$707)+G720*H$707</f>
        <v>0</v>
      </c>
      <c r="I721" s="2" t="n">
        <f aca="false">H721*(1-I$707)+H720*I$707</f>
        <v>0</v>
      </c>
      <c r="J721" s="2" t="n">
        <f aca="false">I721*(1-J$707)+I720*J$707</f>
        <v>0</v>
      </c>
      <c r="K721" s="2" t="n">
        <f aca="false">J721*(1-K$707)+J720*K$707</f>
        <v>0</v>
      </c>
      <c r="L721" s="2" t="n">
        <f aca="false">K721*(1-L$707)+K720*L$707</f>
        <v>0</v>
      </c>
      <c r="M721" s="2" t="n">
        <f aca="false">L721*(1-M$707)+L720*M$707</f>
        <v>0</v>
      </c>
      <c r="N721" s="2" t="n">
        <f aca="false">M721*(1-N$707)+M720*N$707</f>
        <v>0</v>
      </c>
      <c r="O721" s="2" t="n">
        <f aca="false">N721*(1-O$707)+N720*O$707</f>
        <v>0</v>
      </c>
    </row>
    <row r="723" customFormat="false" ht="15" hidden="false" customHeight="false" outlineLevel="0" collapsed="false">
      <c r="A723" s="1" t="s">
        <v>103</v>
      </c>
      <c r="C723" s="2" t="n">
        <f aca="false">Schedule!G47</f>
        <v>0.497506626980399</v>
      </c>
      <c r="D723" s="2" t="n">
        <f aca="false">Schedule!L47</f>
        <v>0.67364477971208</v>
      </c>
      <c r="E723" s="2" t="n">
        <f aca="false">Schedule!Q47</f>
        <v>0.736061463030662</v>
      </c>
      <c r="F723" s="2" t="n">
        <f aca="false">Schedule!V47</f>
        <v>0.442848943447737</v>
      </c>
      <c r="G723" s="2" t="n">
        <f aca="false">Schedule!AA47</f>
        <v>0.0501139266237468</v>
      </c>
      <c r="H723" s="2" t="n">
        <f aca="false">Schedule!AF47</f>
        <v>0.601121098652944</v>
      </c>
      <c r="I723" s="2" t="n">
        <f aca="false">Schedule!AK47</f>
        <v>0.639173324850217</v>
      </c>
      <c r="J723" s="2" t="n">
        <f aca="false">Schedule!AP47</f>
        <v>0.889712389747149</v>
      </c>
      <c r="K723" s="2" t="n">
        <f aca="false">Schedule!AU47</f>
        <v>0.418297816494375</v>
      </c>
      <c r="L723" s="2" t="n">
        <f aca="false">Schedule!AZ47</f>
        <v>0.437917983191705</v>
      </c>
      <c r="M723" s="2" t="n">
        <f aca="false">Schedule!BE47</f>
        <v>0.189091261050782</v>
      </c>
      <c r="N723" s="2" t="n">
        <f aca="false">Schedule!BJ47</f>
        <v>0.270103499001235</v>
      </c>
      <c r="O723" s="2" t="n">
        <f aca="false">Schedule!BO47</f>
        <v>0</v>
      </c>
    </row>
    <row r="724" customFormat="false" ht="15" hidden="false" customHeight="false" outlineLevel="0" collapsed="false">
      <c r="B724" s="2" t="n">
        <v>0</v>
      </c>
      <c r="C724" s="2" t="n">
        <f aca="false">1-C$723</f>
        <v>0.502493373019601</v>
      </c>
      <c r="D724" s="2" t="n">
        <f aca="false">C724*(1-D$723)</f>
        <v>0.163991335445032</v>
      </c>
      <c r="E724" s="2" t="n">
        <f aca="false">D724*(1-E$723)</f>
        <v>0.0432836331530096</v>
      </c>
      <c r="F724" s="2" t="n">
        <f aca="false">E724*(1-F$723)</f>
        <v>0.0241155219426199</v>
      </c>
      <c r="G724" s="2" t="n">
        <f aca="false">F724*(1-G$723)</f>
        <v>0.0229069984454941</v>
      </c>
      <c r="H724" s="2" t="n">
        <f aca="false">G724*(1-H$723)</f>
        <v>0.0091371183730974</v>
      </c>
      <c r="I724" s="2" t="n">
        <f aca="false">H724*(1-I$723)</f>
        <v>0.00329691604301473</v>
      </c>
      <c r="J724" s="2" t="n">
        <f aca="false">I724*(1-J$723)</f>
        <v>0.000363608991588381</v>
      </c>
      <c r="K724" s="2" t="n">
        <f aca="false">J724*(1-K$723)</f>
        <v>0.00021151214434924</v>
      </c>
      <c r="L724" s="2" t="n">
        <f aca="false">K724*(1-L$723)</f>
        <v>0.000118887172675268</v>
      </c>
      <c r="M724" s="2" t="n">
        <f aca="false">L724*(1-M$723)</f>
        <v>9.64066472713393E-005</v>
      </c>
      <c r="N724" s="2" t="n">
        <f aca="false">M724*(1-N$723)</f>
        <v>7.03668745163727E-005</v>
      </c>
      <c r="O724" s="2" t="n">
        <f aca="false">N724*(1-O$723)</f>
        <v>7.03668745163727E-005</v>
      </c>
    </row>
    <row r="725" customFormat="false" ht="15" hidden="false" customHeight="false" outlineLevel="0" collapsed="false">
      <c r="B725" s="2" t="n">
        <v>1</v>
      </c>
      <c r="C725" s="2" t="n">
        <f aca="false">C$723</f>
        <v>0.497506626980399</v>
      </c>
      <c r="D725" s="2" t="n">
        <f aca="false">C725*(1-D$723)+C724*D$723</f>
        <v>0.500865922417457</v>
      </c>
      <c r="E725" s="2" t="n">
        <f aca="false">D725*(1-E$723)+D724*E$723</f>
        <v>0.252905521072684</v>
      </c>
      <c r="F725" s="2" t="n">
        <f aca="false">E725*(1-F$723)+E724*F$723</f>
        <v>0.160074689483936</v>
      </c>
      <c r="G725" s="2" t="n">
        <f aca="false">F725*(1-G$723)+F724*G$723</f>
        <v>0.153261241737945</v>
      </c>
      <c r="H725" s="2" t="n">
        <f aca="false">G725*(1-H$723)+G724*H$723</f>
        <v>0.0749025557959138</v>
      </c>
      <c r="I725" s="2" t="n">
        <f aca="false">H725*(1-I$723)+H724*I$723</f>
        <v>0.0328670424981434</v>
      </c>
      <c r="J725" s="2" t="n">
        <f aca="false">I725*(1-J$723)+I724*J$723</f>
        <v>0.00655813462462548</v>
      </c>
      <c r="K725" s="2" t="n">
        <f aca="false">J725*(1-K$723)+J724*K$723</f>
        <v>0.00396697807810763</v>
      </c>
      <c r="L725" s="2" t="n">
        <f aca="false">K725*(1-L$723)+K724*L$723</f>
        <v>0.002322392010451</v>
      </c>
      <c r="M725" s="2" t="n">
        <f aca="false">L725*(1-M$723)+L724*M$723</f>
        <v>0.00190572850194449</v>
      </c>
      <c r="N725" s="2" t="n">
        <f aca="false">M725*(1-N$723)+M724*N$723</f>
        <v>0.00141702433817787</v>
      </c>
      <c r="O725" s="2" t="n">
        <f aca="false">N725*(1-O$723)+N724*O$723</f>
        <v>0.00141702433817787</v>
      </c>
    </row>
    <row r="726" customFormat="false" ht="15" hidden="false" customHeight="false" outlineLevel="0" collapsed="false">
      <c r="B726" s="2" t="n">
        <v>2</v>
      </c>
      <c r="C726" s="2" t="n">
        <f aca="false">0</f>
        <v>0</v>
      </c>
      <c r="D726" s="2" t="n">
        <f aca="false">C726*(1-D$723)+C725*D$723</f>
        <v>0.335142742137511</v>
      </c>
      <c r="E726" s="2" t="n">
        <f aca="false">D726*(1-E$723)+D725*E$723</f>
        <v>0.457125188672462</v>
      </c>
      <c r="F726" s="2" t="n">
        <f aca="false">E726*(1-F$723)+E725*F$723</f>
        <v>0.366686724644652</v>
      </c>
      <c r="G726" s="2" t="n">
        <f aca="false">F726*(1-G$723)+F725*G$723</f>
        <v>0.356332584275025</v>
      </c>
      <c r="H726" s="2" t="n">
        <f aca="false">G726*(1-H$723)+G725*H$723</f>
        <v>0.234262115744207</v>
      </c>
      <c r="I726" s="2" t="n">
        <f aca="false">H726*(1-I$723)+H725*I$723</f>
        <v>0.132403735965389</v>
      </c>
      <c r="J726" s="2" t="n">
        <f aca="false">I726*(1-J$723)+I725*J$723</f>
        <v>0.0438447065531165</v>
      </c>
      <c r="K726" s="2" t="n">
        <f aca="false">J726*(1-K$723)+J725*K$723</f>
        <v>0.0282478149308682</v>
      </c>
      <c r="L726" s="2" t="n">
        <f aca="false">K726*(1-L$723)+K725*L$723</f>
        <v>0.0176147998261005</v>
      </c>
      <c r="M726" s="2" t="n">
        <f aca="false">L726*(1-M$723)+L725*M$723</f>
        <v>0.0147231391477365</v>
      </c>
      <c r="N726" s="2" t="n">
        <f aca="false">M726*(1-N$723)+M725*N$723</f>
        <v>0.0112611116841724</v>
      </c>
      <c r="O726" s="2" t="n">
        <f aca="false">N726*(1-O$723)+N725*O$723</f>
        <v>0.0112611116841724</v>
      </c>
    </row>
    <row r="727" customFormat="false" ht="15" hidden="false" customHeight="false" outlineLevel="0" collapsed="false">
      <c r="B727" s="2" t="n">
        <v>3</v>
      </c>
      <c r="C727" s="2" t="n">
        <f aca="false">0</f>
        <v>0</v>
      </c>
      <c r="D727" s="2" t="n">
        <f aca="false">C727*(1-D$723)+C726*D$723</f>
        <v>0</v>
      </c>
      <c r="E727" s="2" t="n">
        <f aca="false">D727*(1-E$723)+D726*E$723</f>
        <v>0.246685657101844</v>
      </c>
      <c r="F727" s="2" t="n">
        <f aca="false">E727*(1-F$723)+E726*F$723</f>
        <v>0.339878581317529</v>
      </c>
      <c r="G727" s="2" t="n">
        <f aca="false">F727*(1-G$723)+F726*G$723</f>
        <v>0.341222042645143</v>
      </c>
      <c r="H727" s="2" t="n">
        <f aca="false">G727*(1-H$723)+G726*H$723</f>
        <v>0.350305308030939</v>
      </c>
      <c r="I727" s="2" t="n">
        <f aca="false">H727*(1-I$723)+H726*I$723</f>
        <v>0.276133594990796</v>
      </c>
      <c r="J727" s="2" t="n">
        <f aca="false">I727*(1-J$723)+I726*J$723</f>
        <v>0.14825535863928</v>
      </c>
      <c r="K727" s="2" t="n">
        <f aca="false">J727*(1-K$723)+J726*K$723</f>
        <v>0.104580610852884</v>
      </c>
      <c r="L727" s="2" t="n">
        <f aca="false">K727*(1-L$723)+K726*L$723</f>
        <v>0.0711531068113309</v>
      </c>
      <c r="M727" s="2" t="n">
        <f aca="false">L727*(1-M$723)+L726*M$723</f>
        <v>0.0610294808289698</v>
      </c>
      <c r="N727" s="2" t="n">
        <f aca="false">M727*(1-N$723)+M726*N$723</f>
        <v>0.0485219759149219</v>
      </c>
      <c r="O727" s="2" t="n">
        <f aca="false">N727*(1-O$723)+N726*O$723</f>
        <v>0.0485219759149219</v>
      </c>
    </row>
    <row r="728" customFormat="false" ht="15" hidden="false" customHeight="false" outlineLevel="0" collapsed="false">
      <c r="B728" s="2" t="n">
        <v>4</v>
      </c>
      <c r="C728" s="2" t="n">
        <f aca="false">0</f>
        <v>0</v>
      </c>
      <c r="D728" s="2" t="n">
        <f aca="false">C728*(1-D$723)+C727*D$723</f>
        <v>0</v>
      </c>
      <c r="E728" s="2" t="n">
        <f aca="false">D728*(1-E$723)+D727*E$723</f>
        <v>0</v>
      </c>
      <c r="F728" s="2" t="n">
        <f aca="false">E728*(1-F$723)+E727*F$723</f>
        <v>0.109244482611262</v>
      </c>
      <c r="G728" s="2" t="n">
        <f aca="false">F728*(1-G$723)+F727*G$723</f>
        <v>0.120802462910762</v>
      </c>
      <c r="H728" s="2" t="n">
        <f aca="false">G728*(1-H$723)+G727*H$723</f>
        <v>0.253301322845314</v>
      </c>
      <c r="I728" s="2" t="n">
        <f aca="false">H728*(1-I$723)+H727*I$723</f>
        <v>0.315303682580131</v>
      </c>
      <c r="J728" s="2" t="n">
        <f aca="false">I728*(1-J$723)+I727*J$723</f>
        <v>0.280453570344418</v>
      </c>
      <c r="K728" s="2" t="n">
        <f aca="false">J728*(1-K$723)+J727*K$723</f>
        <v>0.225155347043698</v>
      </c>
      <c r="L728" s="2" t="n">
        <f aca="false">K728*(1-L$723)+K727*L$723</f>
        <v>0.172353501747145</v>
      </c>
      <c r="M728" s="2" t="n">
        <f aca="false">L728*(1-M$723)+L727*M$723</f>
        <v>0.153217391449895</v>
      </c>
      <c r="N728" s="2" t="n">
        <f aca="false">M728*(1-N$723)+M727*N$723</f>
        <v>0.12831711422557</v>
      </c>
      <c r="O728" s="2" t="n">
        <f aca="false">N728*(1-O$723)+N727*O$723</f>
        <v>0.12831711422557</v>
      </c>
    </row>
    <row r="729" customFormat="false" ht="15" hidden="false" customHeight="false" outlineLevel="0" collapsed="false">
      <c r="B729" s="2" t="n">
        <v>5</v>
      </c>
      <c r="C729" s="2" t="n">
        <f aca="false">0</f>
        <v>0</v>
      </c>
      <c r="D729" s="2" t="n">
        <f aca="false">C729*(1-D$723)+C728*D$723</f>
        <v>0</v>
      </c>
      <c r="E729" s="2" t="n">
        <f aca="false">D729*(1-E$723)+D728*E$723</f>
        <v>0</v>
      </c>
      <c r="F729" s="2" t="n">
        <f aca="false">E729*(1-F$723)+E728*F$723</f>
        <v>0</v>
      </c>
      <c r="G729" s="2" t="n">
        <f aca="false">F729*(1-G$723)+F728*G$723</f>
        <v>0.00547466998562999</v>
      </c>
      <c r="H729" s="2" t="n">
        <f aca="false">G729*(1-H$723)+G728*H$723</f>
        <v>0.0748006395740046</v>
      </c>
      <c r="I729" s="2" t="n">
        <f aca="false">H729*(1-I$723)+H728*I$723</f>
        <v>0.188893514788563</v>
      </c>
      <c r="J729" s="2" t="n">
        <f aca="false">I729*(1-J$723)+I728*J$723</f>
        <v>0.301362207262737</v>
      </c>
      <c r="K729" s="2" t="n">
        <f aca="false">J729*(1-K$723)+J728*K$723</f>
        <v>0.292616170093931</v>
      </c>
      <c r="L729" s="2" t="n">
        <f aca="false">K729*(1-L$723)+K728*L$723</f>
        <v>0.26307386251932</v>
      </c>
      <c r="M729" s="2" t="n">
        <f aca="false">L729*(1-M$723)+L728*M$723</f>
        <v>0.245919435097928</v>
      </c>
      <c r="N729" s="2" t="n">
        <f aca="false">M729*(1-N$723)+M728*N$723</f>
        <v>0.220880288744029</v>
      </c>
      <c r="O729" s="2" t="n">
        <f aca="false">N729*(1-O$723)+N728*O$723</f>
        <v>0.220880288744029</v>
      </c>
    </row>
    <row r="730" customFormat="false" ht="15" hidden="false" customHeight="false" outlineLevel="0" collapsed="false">
      <c r="B730" s="2" t="n">
        <v>6</v>
      </c>
      <c r="C730" s="2" t="n">
        <f aca="false">0</f>
        <v>0</v>
      </c>
      <c r="D730" s="2" t="n">
        <f aca="false">C730*(1-D$723)+C729*D$723</f>
        <v>0</v>
      </c>
      <c r="E730" s="2" t="n">
        <f aca="false">D730*(1-E$723)+D729*E$723</f>
        <v>0</v>
      </c>
      <c r="F730" s="2" t="n">
        <f aca="false">E730*(1-F$723)+E729*F$723</f>
        <v>0</v>
      </c>
      <c r="G730" s="2" t="n">
        <f aca="false">F730*(1-G$723)+F729*G$723</f>
        <v>0</v>
      </c>
      <c r="H730" s="2" t="n">
        <f aca="false">G730*(1-H$723)+G729*H$723</f>
        <v>0.00329093963652419</v>
      </c>
      <c r="I730" s="2" t="n">
        <f aca="false">H730*(1-I$723)+H729*I$723</f>
        <v>0.0489980323046049</v>
      </c>
      <c r="J730" s="2" t="n">
        <f aca="false">I730*(1-J$723)+I729*J$723</f>
        <v>0.173464776340237</v>
      </c>
      <c r="K730" s="2" t="n">
        <f aca="false">J730*(1-K$723)+J729*K$723</f>
        <v>0.226963992430359</v>
      </c>
      <c r="L730" s="2" t="n">
        <f aca="false">K730*(1-L$723)+K729*L$723</f>
        <v>0.255714261664934</v>
      </c>
      <c r="M730" s="2" t="n">
        <f aca="false">L730*(1-M$723)+L729*M$723</f>
        <v>0.25710589787132</v>
      </c>
      <c r="N730" s="2" t="n">
        <f aca="false">M730*(1-N$723)+M729*N$723</f>
        <v>0.25408439513478</v>
      </c>
      <c r="O730" s="2" t="n">
        <f aca="false">N730*(1-O$723)+N729*O$723</f>
        <v>0.25408439513478</v>
      </c>
    </row>
    <row r="731" customFormat="false" ht="15" hidden="false" customHeight="false" outlineLevel="0" collapsed="false">
      <c r="B731" s="2" t="n">
        <v>7</v>
      </c>
      <c r="C731" s="2" t="n">
        <f aca="false">0</f>
        <v>0</v>
      </c>
      <c r="D731" s="2" t="n">
        <f aca="false">C731*(1-D$723)+C730*D$723</f>
        <v>0</v>
      </c>
      <c r="E731" s="2" t="n">
        <f aca="false">D731*(1-E$723)+D730*E$723</f>
        <v>0</v>
      </c>
      <c r="F731" s="2" t="n">
        <f aca="false">E731*(1-F$723)+E730*F$723</f>
        <v>0</v>
      </c>
      <c r="G731" s="2" t="n">
        <f aca="false">F731*(1-G$723)+F730*G$723</f>
        <v>0</v>
      </c>
      <c r="H731" s="2" t="n">
        <f aca="false">G731*(1-H$723)+G730*H$723</f>
        <v>0</v>
      </c>
      <c r="I731" s="2" t="n">
        <f aca="false">H731*(1-I$723)+H730*I$723</f>
        <v>0.00210348082935853</v>
      </c>
      <c r="J731" s="2" t="n">
        <f aca="false">I731*(1-J$723)+I730*J$723</f>
        <v>0.0438261442885207</v>
      </c>
      <c r="K731" s="2" t="n">
        <f aca="false">J731*(1-K$723)+J730*K$723</f>
        <v>0.0980537010090714</v>
      </c>
      <c r="L731" s="2" t="n">
        <f aca="false">K731*(1-L$723)+K730*L$723</f>
        <v>0.154505835840937</v>
      </c>
      <c r="M731" s="2" t="n">
        <f aca="false">L731*(1-M$723)+L730*M$723</f>
        <v>0.173643464708961</v>
      </c>
      <c r="N731" s="2" t="n">
        <f aca="false">M731*(1-N$723)+M730*N$723</f>
        <v>0.196186959941271</v>
      </c>
      <c r="O731" s="2" t="n">
        <f aca="false">N731*(1-O$723)+N730*O$723</f>
        <v>0.196186959941271</v>
      </c>
    </row>
    <row r="732" customFormat="false" ht="15" hidden="false" customHeight="false" outlineLevel="0" collapsed="false">
      <c r="B732" s="2" t="n">
        <v>8</v>
      </c>
      <c r="C732" s="2" t="n">
        <f aca="false">0</f>
        <v>0</v>
      </c>
      <c r="D732" s="2" t="n">
        <f aca="false">C732*(1-D$723)+C731*D$723</f>
        <v>0</v>
      </c>
      <c r="E732" s="2" t="n">
        <f aca="false">D732*(1-E$723)+D731*E$723</f>
        <v>0</v>
      </c>
      <c r="F732" s="2" t="n">
        <f aca="false">E732*(1-F$723)+E731*F$723</f>
        <v>0</v>
      </c>
      <c r="G732" s="2" t="n">
        <f aca="false">F732*(1-G$723)+F731*G$723</f>
        <v>0</v>
      </c>
      <c r="H732" s="2" t="n">
        <f aca="false">G732*(1-H$723)+G731*H$723</f>
        <v>0</v>
      </c>
      <c r="I732" s="2" t="n">
        <f aca="false">H732*(1-I$723)+H731*I$723</f>
        <v>0</v>
      </c>
      <c r="J732" s="2" t="n">
        <f aca="false">I732*(1-J$723)+I731*J$723</f>
        <v>0.00187149295547589</v>
      </c>
      <c r="K732" s="2" t="n">
        <f aca="false">J732*(1-K$723)+J731*K$723</f>
        <v>0.0194210319998713</v>
      </c>
      <c r="L732" s="2" t="n">
        <f aca="false">K732*(1-L$723)+K731*L$723</f>
        <v>0.0538556918253611</v>
      </c>
      <c r="M732" s="2" t="n">
        <f aca="false">L732*(1-M$723)+L731*M$723</f>
        <v>0.0728877544822092</v>
      </c>
      <c r="N732" s="2" t="n">
        <f aca="false">M732*(1-N$723)+M731*N$723</f>
        <v>0.100102224358809</v>
      </c>
      <c r="O732" s="2" t="n">
        <f aca="false">N732*(1-O$723)+N731*O$723</f>
        <v>0.100102224358809</v>
      </c>
    </row>
    <row r="733" customFormat="false" ht="15" hidden="false" customHeight="false" outlineLevel="0" collapsed="false">
      <c r="B733" s="2" t="n">
        <v>9</v>
      </c>
      <c r="C733" s="2" t="n">
        <f aca="false">0</f>
        <v>0</v>
      </c>
      <c r="D733" s="2" t="n">
        <f aca="false">C733*(1-D$723)+C732*D$723</f>
        <v>0</v>
      </c>
      <c r="E733" s="2" t="n">
        <f aca="false">D733*(1-E$723)+D732*E$723</f>
        <v>0</v>
      </c>
      <c r="F733" s="2" t="n">
        <f aca="false">E733*(1-F$723)+E732*F$723</f>
        <v>0</v>
      </c>
      <c r="G733" s="2" t="n">
        <f aca="false">F733*(1-G$723)+F732*G$723</f>
        <v>0</v>
      </c>
      <c r="H733" s="2" t="n">
        <f aca="false">G733*(1-H$723)+G732*H$723</f>
        <v>0</v>
      </c>
      <c r="I733" s="2" t="n">
        <f aca="false">H733*(1-I$723)+H732*I$723</f>
        <v>0</v>
      </c>
      <c r="J733" s="2" t="n">
        <f aca="false">I733*(1-J$723)+I732*J$723</f>
        <v>0</v>
      </c>
      <c r="K733" s="2" t="n">
        <f aca="false">J733*(1-K$723)+J732*K$723</f>
        <v>0.000782841416860171</v>
      </c>
      <c r="L733" s="2" t="n">
        <f aca="false">K733*(1-L$723)+K732*L$723</f>
        <v>0.00894484024731505</v>
      </c>
      <c r="M733" s="2" t="n">
        <f aca="false">L733*(1-M$723)+L732*M$723</f>
        <v>0.0174370898070723</v>
      </c>
      <c r="N733" s="2" t="n">
        <f aca="false">M733*(1-N$723)+M732*N$723</f>
        <v>0.032414508357771</v>
      </c>
      <c r="O733" s="2" t="n">
        <f aca="false">N733*(1-O$723)+N732*O$723</f>
        <v>0.032414508357771</v>
      </c>
    </row>
    <row r="734" customFormat="false" ht="15" hidden="false" customHeight="false" outlineLevel="0" collapsed="false">
      <c r="B734" s="2" t="n">
        <v>10</v>
      </c>
      <c r="C734" s="2" t="n">
        <f aca="false">0</f>
        <v>0</v>
      </c>
      <c r="D734" s="2" t="n">
        <f aca="false">C734*(1-D$723)+C733*D$723</f>
        <v>0</v>
      </c>
      <c r="E734" s="2" t="n">
        <f aca="false">D734*(1-E$723)+D733*E$723</f>
        <v>0</v>
      </c>
      <c r="F734" s="2" t="n">
        <f aca="false">E734*(1-F$723)+E733*F$723</f>
        <v>0</v>
      </c>
      <c r="G734" s="2" t="n">
        <f aca="false">F734*(1-G$723)+F733*G$723</f>
        <v>0</v>
      </c>
      <c r="H734" s="2" t="n">
        <f aca="false">G734*(1-H$723)+G733*H$723</f>
        <v>0</v>
      </c>
      <c r="I734" s="2" t="n">
        <f aca="false">H734*(1-I$723)+H733*I$723</f>
        <v>0</v>
      </c>
      <c r="J734" s="2" t="n">
        <f aca="false">I734*(1-J$723)+I733*J$723</f>
        <v>0</v>
      </c>
      <c r="K734" s="2" t="n">
        <f aca="false">J734*(1-K$723)+J733*K$723</f>
        <v>0</v>
      </c>
      <c r="L734" s="2" t="n">
        <f aca="false">K734*(1-L$723)+K733*L$723</f>
        <v>0.000342820334430343</v>
      </c>
      <c r="M734" s="2" t="n">
        <f aca="false">L734*(1-M$723)+L733*M$723</f>
        <v>0.00196938712734165</v>
      </c>
      <c r="N734" s="2" t="n">
        <f aca="false">M734*(1-N$723)+M733*N$723</f>
        <v>0.00614726774264769</v>
      </c>
      <c r="O734" s="2" t="n">
        <f aca="false">N734*(1-O$723)+N733*O$723</f>
        <v>0.00614726774264769</v>
      </c>
    </row>
    <row r="735" customFormat="false" ht="15" hidden="false" customHeight="false" outlineLevel="0" collapsed="false">
      <c r="B735" s="2" t="n">
        <v>11</v>
      </c>
      <c r="C735" s="2" t="n">
        <f aca="false">0</f>
        <v>0</v>
      </c>
      <c r="D735" s="2" t="n">
        <f aca="false">C735*(1-D$723)+C734*D$723</f>
        <v>0</v>
      </c>
      <c r="E735" s="2" t="n">
        <f aca="false">D735*(1-E$723)+D734*E$723</f>
        <v>0</v>
      </c>
      <c r="F735" s="2" t="n">
        <f aca="false">E735*(1-F$723)+E734*F$723</f>
        <v>0</v>
      </c>
      <c r="G735" s="2" t="n">
        <f aca="false">F735*(1-G$723)+F734*G$723</f>
        <v>0</v>
      </c>
      <c r="H735" s="2" t="n">
        <f aca="false">G735*(1-H$723)+G734*H$723</f>
        <v>0</v>
      </c>
      <c r="I735" s="2" t="n">
        <f aca="false">H735*(1-I$723)+H734*I$723</f>
        <v>0</v>
      </c>
      <c r="J735" s="2" t="n">
        <f aca="false">I735*(1-J$723)+I734*J$723</f>
        <v>0</v>
      </c>
      <c r="K735" s="2" t="n">
        <f aca="false">J735*(1-K$723)+J734*K$723</f>
        <v>0</v>
      </c>
      <c r="L735" s="2" t="n">
        <f aca="false">K735*(1-L$723)+K734*L$723</f>
        <v>0</v>
      </c>
      <c r="M735" s="2" t="n">
        <f aca="false">L735*(1-M$723)+L734*M$723</f>
        <v>6.48243293512845E-005</v>
      </c>
      <c r="N735" s="2" t="n">
        <f aca="false">M735*(1-N$723)+M734*N$723</f>
        <v>0.000579253405156066</v>
      </c>
      <c r="O735" s="2" t="n">
        <f aca="false">N735*(1-O$723)+N734*O$723</f>
        <v>0.000579253405156066</v>
      </c>
    </row>
    <row r="736" customFormat="false" ht="15" hidden="false" customHeight="false" outlineLevel="0" collapsed="false">
      <c r="B736" s="2" t="n">
        <v>12</v>
      </c>
      <c r="C736" s="2" t="n">
        <f aca="false">0</f>
        <v>0</v>
      </c>
      <c r="D736" s="2" t="n">
        <f aca="false">C736*(1-D$723)+C735*D$723</f>
        <v>0</v>
      </c>
      <c r="E736" s="2" t="n">
        <f aca="false">D736*(1-E$723)+D735*E$723</f>
        <v>0</v>
      </c>
      <c r="F736" s="2" t="n">
        <f aca="false">E736*(1-F$723)+E735*F$723</f>
        <v>0</v>
      </c>
      <c r="G736" s="2" t="n">
        <f aca="false">F736*(1-G$723)+F735*G$723</f>
        <v>0</v>
      </c>
      <c r="H736" s="2" t="n">
        <f aca="false">G736*(1-H$723)+G735*H$723</f>
        <v>0</v>
      </c>
      <c r="I736" s="2" t="n">
        <f aca="false">H736*(1-I$723)+H735*I$723</f>
        <v>0</v>
      </c>
      <c r="J736" s="2" t="n">
        <f aca="false">I736*(1-J$723)+I735*J$723</f>
        <v>0</v>
      </c>
      <c r="K736" s="2" t="n">
        <f aca="false">J736*(1-K$723)+J735*K$723</f>
        <v>0</v>
      </c>
      <c r="L736" s="2" t="n">
        <f aca="false">K736*(1-L$723)+K735*L$723</f>
        <v>0</v>
      </c>
      <c r="M736" s="2" t="n">
        <f aca="false">L736*(1-M$723)+L735*M$723</f>
        <v>0</v>
      </c>
      <c r="N736" s="2" t="n">
        <f aca="false">M736*(1-N$723)+M735*N$723</f>
        <v>1.75092781781904E-005</v>
      </c>
      <c r="O736" s="2" t="n">
        <f aca="false">N736*(1-O$723)+N735*O$723</f>
        <v>1.75092781781904E-005</v>
      </c>
    </row>
    <row r="737" customFormat="false" ht="15" hidden="false" customHeight="false" outlineLevel="0" collapsed="false">
      <c r="B737" s="2" t="n">
        <v>13</v>
      </c>
      <c r="C737" s="2" t="n">
        <f aca="false">0</f>
        <v>0</v>
      </c>
      <c r="D737" s="2" t="n">
        <f aca="false">C737*(1-D$723)+C736*D$723</f>
        <v>0</v>
      </c>
      <c r="E737" s="2" t="n">
        <f aca="false">D737*(1-E$723)+D736*E$723</f>
        <v>0</v>
      </c>
      <c r="F737" s="2" t="n">
        <f aca="false">E737*(1-F$723)+E736*F$723</f>
        <v>0</v>
      </c>
      <c r="G737" s="2" t="n">
        <f aca="false">F737*(1-G$723)+F736*G$723</f>
        <v>0</v>
      </c>
      <c r="H737" s="2" t="n">
        <f aca="false">G737*(1-H$723)+G736*H$723</f>
        <v>0</v>
      </c>
      <c r="I737" s="2" t="n">
        <f aca="false">H737*(1-I$723)+H736*I$723</f>
        <v>0</v>
      </c>
      <c r="J737" s="2" t="n">
        <f aca="false">I737*(1-J$723)+I736*J$723</f>
        <v>0</v>
      </c>
      <c r="K737" s="2" t="n">
        <f aca="false">J737*(1-K$723)+J736*K$723</f>
        <v>0</v>
      </c>
      <c r="L737" s="2" t="n">
        <f aca="false">K737*(1-L$723)+K736*L$723</f>
        <v>0</v>
      </c>
      <c r="M737" s="2" t="n">
        <f aca="false">L737*(1-M$723)+L736*M$723</f>
        <v>0</v>
      </c>
      <c r="N737" s="2" t="n">
        <f aca="false">M737*(1-N$723)+M736*N$723</f>
        <v>0</v>
      </c>
      <c r="O737" s="2" t="n">
        <f aca="false">N737*(1-O$723)+N736*O$723</f>
        <v>0</v>
      </c>
    </row>
    <row r="739" customFormat="false" ht="15" hidden="false" customHeight="false" outlineLevel="0" collapsed="false">
      <c r="A739" s="1" t="s">
        <v>104</v>
      </c>
      <c r="C739" s="2" t="n">
        <f aca="false">Schedule!G48</f>
        <v>0.92201404277756</v>
      </c>
      <c r="D739" s="2" t="n">
        <f aca="false">Schedule!L48</f>
        <v>0.268040532802408</v>
      </c>
      <c r="E739" s="2" t="n">
        <f aca="false">Schedule!Q48</f>
        <v>0.127664662296284</v>
      </c>
      <c r="F739" s="2" t="n">
        <f aca="false">Schedule!V48</f>
        <v>0.918303444160807</v>
      </c>
      <c r="G739" s="2" t="n">
        <f aca="false">Schedule!AA48</f>
        <v>0.268040532802408</v>
      </c>
      <c r="H739" s="2" t="n">
        <f aca="false">Schedule!AF48</f>
        <v>0.213670492940356</v>
      </c>
      <c r="I739" s="2" t="n">
        <f aca="false">Schedule!AK48</f>
        <v>0.157147662863196</v>
      </c>
      <c r="J739" s="2" t="n">
        <f aca="false">Schedule!AP48</f>
        <v>0.447788771872615</v>
      </c>
      <c r="K739" s="2" t="n">
        <f aca="false">Schedule!AU48</f>
        <v>0.180752784766576</v>
      </c>
      <c r="L739" s="2" t="n">
        <f aca="false">Schedule!AZ48</f>
        <v>0.319624171517118</v>
      </c>
      <c r="M739" s="2" t="n">
        <f aca="false">Schedule!BE48</f>
        <v>0.213670492940356</v>
      </c>
      <c r="N739" s="2" t="n">
        <f aca="false">Schedule!BJ48</f>
        <v>0.415858488890908</v>
      </c>
      <c r="O739" s="2" t="n">
        <f aca="false">Schedule!BO48</f>
        <v>0</v>
      </c>
    </row>
    <row r="740" customFormat="false" ht="15" hidden="false" customHeight="false" outlineLevel="0" collapsed="false">
      <c r="B740" s="2" t="n">
        <v>0</v>
      </c>
      <c r="C740" s="2" t="n">
        <f aca="false">1-C$739</f>
        <v>0.0779859572224404</v>
      </c>
      <c r="D740" s="2" t="n">
        <f aca="false">C740*(1-D$739)</f>
        <v>0.0570825596974317</v>
      </c>
      <c r="E740" s="2" t="n">
        <f aca="false">D740*(1-E$739)</f>
        <v>0.0497951339906516</v>
      </c>
      <c r="F740" s="2" t="n">
        <f aca="false">E740*(1-F$739)</f>
        <v>0.00406809094458738</v>
      </c>
      <c r="G740" s="2" t="n">
        <f aca="false">F740*(1-G$739)</f>
        <v>0.00297767768031153</v>
      </c>
      <c r="H740" s="2" t="n">
        <f aca="false">G740*(1-H$739)</f>
        <v>0.00234143582254187</v>
      </c>
      <c r="I740" s="2" t="n">
        <f aca="false">H740*(1-I$739)</f>
        <v>0.00197348465528525</v>
      </c>
      <c r="J740" s="2" t="n">
        <f aca="false">I740*(1-J$739)</f>
        <v>0.00108978038518561</v>
      </c>
      <c r="K740" s="2" t="n">
        <f aca="false">J740*(1-K$739)</f>
        <v>0.000892799545779323</v>
      </c>
      <c r="L740" s="2" t="n">
        <f aca="false">K740*(1-L$739)</f>
        <v>0.000607439230628748</v>
      </c>
      <c r="M740" s="2" t="n">
        <f aca="false">L740*(1-M$739)</f>
        <v>0.000477647390788993</v>
      </c>
      <c r="N740" s="2" t="n">
        <f aca="false">M740*(1-N$739)</f>
        <v>0.000279013668632797</v>
      </c>
      <c r="O740" s="2" t="n">
        <f aca="false">N740*(1-O$739)</f>
        <v>0.000279013668632797</v>
      </c>
    </row>
    <row r="741" customFormat="false" ht="15" hidden="false" customHeight="false" outlineLevel="0" collapsed="false">
      <c r="B741" s="2" t="n">
        <v>1</v>
      </c>
      <c r="C741" s="2" t="n">
        <f aca="false">C$739</f>
        <v>0.92201404277756</v>
      </c>
      <c r="D741" s="2" t="n">
        <f aca="false">C741*(1-D$739)+C740*D$739</f>
        <v>0.695780305025169</v>
      </c>
      <c r="E741" s="2" t="n">
        <f aca="false">D741*(1-E$739)+D740*E$739</f>
        <v>0.614241173058506</v>
      </c>
      <c r="F741" s="2" t="n">
        <f aca="false">E741*(1-F$739)+E740*F$739</f>
        <v>0.09590843133957</v>
      </c>
      <c r="G741" s="2" t="n">
        <f aca="false">F741*(1-G$739)+F740*G$739</f>
        <v>0.0712914975673444</v>
      </c>
      <c r="H741" s="2" t="n">
        <f aca="false">G741*(1-H$739)+G740*H$739</f>
        <v>0.0566948499974433</v>
      </c>
      <c r="I741" s="2" t="n">
        <f aca="false">H741*(1-I$739)+H740*I$739</f>
        <v>0.0481533379912223</v>
      </c>
      <c r="J741" s="2" t="n">
        <f aca="false">I741*(1-J$739)+I740*J$739</f>
        <v>0.0274745181806655</v>
      </c>
      <c r="K741" s="2" t="n">
        <f aca="false">J741*(1-K$739)+J740*K$739</f>
        <v>0.0227054033487966</v>
      </c>
      <c r="L741" s="2" t="n">
        <f aca="false">K741*(1-L$739)+K740*L$739</f>
        <v>0.0157335679296261</v>
      </c>
      <c r="M741" s="2" t="n">
        <f aca="false">L741*(1-M$739)+L740*M$739</f>
        <v>0.012501560554232</v>
      </c>
      <c r="N741" s="2" t="n">
        <f aca="false">M741*(1-N$739)+M740*N$739</f>
        <v>0.00750131419552713</v>
      </c>
      <c r="O741" s="2" t="n">
        <f aca="false">N741*(1-O$739)+N740*O$739</f>
        <v>0.00750131419552713</v>
      </c>
    </row>
    <row r="742" customFormat="false" ht="15" hidden="false" customHeight="false" outlineLevel="0" collapsed="false">
      <c r="B742" s="2" t="n">
        <v>2</v>
      </c>
      <c r="C742" s="2" t="n">
        <f aca="false">0</f>
        <v>0</v>
      </c>
      <c r="D742" s="2" t="n">
        <f aca="false">C742*(1-D$739)+C741*D$739</f>
        <v>0.247137135277399</v>
      </c>
      <c r="E742" s="2" t="n">
        <f aca="false">D742*(1-E$739)+D741*E$739</f>
        <v>0.304413014034782</v>
      </c>
      <c r="F742" s="2" t="n">
        <f aca="false">E742*(1-F$739)+E741*F$739</f>
        <v>0.58892927956427</v>
      </c>
      <c r="G742" s="2" t="n">
        <f aca="false">F742*(1-G$739)+F741*G$739</f>
        <v>0.456779708723426</v>
      </c>
      <c r="H742" s="2" t="n">
        <f aca="false">G742*(1-H$739)+G741*H$739</f>
        <v>0.37441225262301</v>
      </c>
      <c r="I742" s="2" t="n">
        <f aca="false">H742*(1-I$739)+H741*I$739</f>
        <v>0.324483705349437</v>
      </c>
      <c r="J742" s="2" t="n">
        <f aca="false">I742*(1-J$739)+I741*J$739</f>
        <v>0.200746069518993</v>
      </c>
      <c r="K742" s="2" t="n">
        <f aca="false">J742*(1-K$739)+J741*K$739</f>
        <v>0.169426754093766</v>
      </c>
      <c r="L742" s="2" t="n">
        <f aca="false">K742*(1-L$739)+K741*L$739</f>
        <v>0.122531063918033</v>
      </c>
      <c r="M742" s="2" t="n">
        <f aca="false">L742*(1-M$739)+L741*M$739</f>
        <v>0.0997115903053941</v>
      </c>
      <c r="N742" s="2" t="n">
        <f aca="false">M742*(1-N$739)+M741*N$739</f>
        <v>0.0634445591169448</v>
      </c>
      <c r="O742" s="2" t="n">
        <f aca="false">N742*(1-O$739)+N741*O$739</f>
        <v>0.0634445591169448</v>
      </c>
    </row>
    <row r="743" customFormat="false" ht="15" hidden="false" customHeight="false" outlineLevel="0" collapsed="false">
      <c r="B743" s="2" t="n">
        <v>3</v>
      </c>
      <c r="C743" s="2" t="n">
        <f aca="false">0</f>
        <v>0</v>
      </c>
      <c r="D743" s="2" t="n">
        <f aca="false">C743*(1-D$739)+C742*D$739</f>
        <v>0</v>
      </c>
      <c r="E743" s="2" t="n">
        <f aca="false">D743*(1-E$739)+D742*E$739</f>
        <v>0.0315506789160601</v>
      </c>
      <c r="F743" s="2" t="n">
        <f aca="false">E743*(1-F$739)+E742*F$739</f>
        <v>0.282121101037343</v>
      </c>
      <c r="G743" s="2" t="n">
        <f aca="false">F743*(1-G$739)+F742*G$739</f>
        <v>0.364358128677837</v>
      </c>
      <c r="H743" s="2" t="n">
        <f aca="false">G743*(1-H$739)+G742*H$739</f>
        <v>0.384105893244504</v>
      </c>
      <c r="I743" s="2" t="n">
        <f aca="false">H743*(1-I$739)+H742*I$739</f>
        <v>0.382582560276201</v>
      </c>
      <c r="J743" s="2" t="n">
        <f aca="false">I743*(1-J$739)+I742*J$739</f>
        <v>0.35656654538134</v>
      </c>
      <c r="K743" s="2" t="n">
        <f aca="false">J743*(1-K$739)+J742*K$739</f>
        <v>0.328401560445568</v>
      </c>
      <c r="L743" s="2" t="n">
        <f aca="false">K743*(1-L$739)+K742*L$739</f>
        <v>0.277589369673279</v>
      </c>
      <c r="M743" s="2" t="n">
        <f aca="false">L743*(1-M$739)+L742*M$739</f>
        <v>0.244457985048059</v>
      </c>
      <c r="N743" s="2" t="n">
        <f aca="false">M743*(1-N$739)+M742*N$739</f>
        <v>0.184263968057968</v>
      </c>
      <c r="O743" s="2" t="n">
        <f aca="false">N743*(1-O$739)+N742*O$739</f>
        <v>0.184263968057968</v>
      </c>
    </row>
    <row r="744" customFormat="false" ht="15" hidden="false" customHeight="false" outlineLevel="0" collapsed="false">
      <c r="B744" s="2" t="n">
        <v>4</v>
      </c>
      <c r="C744" s="2" t="n">
        <f aca="false">0</f>
        <v>0</v>
      </c>
      <c r="D744" s="2" t="n">
        <f aca="false">C744*(1-D$739)+C743*D$739</f>
        <v>0</v>
      </c>
      <c r="E744" s="2" t="n">
        <f aca="false">D744*(1-E$739)+D743*E$739</f>
        <v>0</v>
      </c>
      <c r="F744" s="2" t="n">
        <f aca="false">E744*(1-F$739)+E743*F$739</f>
        <v>0.0289730971142298</v>
      </c>
      <c r="G744" s="2" t="n">
        <f aca="false">F744*(1-G$739)+F743*G$739</f>
        <v>0.0968270229636471</v>
      </c>
      <c r="H744" s="2" t="n">
        <f aca="false">G744*(1-H$739)+G743*H$739</f>
        <v>0.153990526198477</v>
      </c>
      <c r="I744" s="2" t="n">
        <f aca="false">H744*(1-I$739)+H743*I$739</f>
        <v>0.190152618318666</v>
      </c>
      <c r="J744" s="2" t="n">
        <f aca="false">I744*(1-J$739)+I743*J$739</f>
        <v>0.276320585699349</v>
      </c>
      <c r="K744" s="2" t="n">
        <f aca="false">J744*(1-K$739)+J743*K$739</f>
        <v>0.290825266378136</v>
      </c>
      <c r="L744" s="2" t="n">
        <f aca="false">K744*(1-L$739)+K743*L$739</f>
        <v>0.302835558238122</v>
      </c>
      <c r="M744" s="2" t="n">
        <f aca="false">L744*(1-M$739)+L743*M$739</f>
        <v>0.297441192682607</v>
      </c>
      <c r="N744" s="2" t="n">
        <f aca="false">M744*(1-N$739)+M743*N$739</f>
        <v>0.275407676019111</v>
      </c>
      <c r="O744" s="2" t="n">
        <f aca="false">N744*(1-O$739)+N743*O$739</f>
        <v>0.275407676019111</v>
      </c>
    </row>
    <row r="745" customFormat="false" ht="15" hidden="false" customHeight="false" outlineLevel="0" collapsed="false">
      <c r="B745" s="2" t="n">
        <v>5</v>
      </c>
      <c r="C745" s="2" t="n">
        <f aca="false">0</f>
        <v>0</v>
      </c>
      <c r="D745" s="2" t="n">
        <f aca="false">C745*(1-D$739)+C744*D$739</f>
        <v>0</v>
      </c>
      <c r="E745" s="2" t="n">
        <f aca="false">D745*(1-E$739)+D744*E$739</f>
        <v>0</v>
      </c>
      <c r="F745" s="2" t="n">
        <f aca="false">E745*(1-F$739)+E744*F$739</f>
        <v>0</v>
      </c>
      <c r="G745" s="2" t="n">
        <f aca="false">F745*(1-G$739)+F744*G$739</f>
        <v>0.00776596438743405</v>
      </c>
      <c r="H745" s="2" t="n">
        <f aca="false">G745*(1-H$739)+G744*H$739</f>
        <v>0.0267956846752034</v>
      </c>
      <c r="I745" s="2" t="n">
        <f aca="false">H745*(1-I$739)+H744*I$739</f>
        <v>0.0467840567488404</v>
      </c>
      <c r="J745" s="2" t="n">
        <f aca="false">I745*(1-J$739)+I744*J$739</f>
        <v>0.110982888859336</v>
      </c>
      <c r="K745" s="2" t="n">
        <f aca="false">J745*(1-K$739)+J744*K$739</f>
        <v>0.14086813799006</v>
      </c>
      <c r="L745" s="2" t="n">
        <f aca="false">K745*(1-L$739)+K744*L$739</f>
        <v>0.188798060914185</v>
      </c>
      <c r="M745" s="2" t="n">
        <f aca="false">L745*(1-M$739)+L744*M$739</f>
        <v>0.213164509181075</v>
      </c>
      <c r="N745" s="2" t="n">
        <f aca="false">M745*(1-N$739)+M744*N$739</f>
        <v>0.24821168343076</v>
      </c>
      <c r="O745" s="2" t="n">
        <f aca="false">N745*(1-O$739)+N744*O$739</f>
        <v>0.24821168343076</v>
      </c>
    </row>
    <row r="746" customFormat="false" ht="15" hidden="false" customHeight="false" outlineLevel="0" collapsed="false">
      <c r="B746" s="2" t="n">
        <v>6</v>
      </c>
      <c r="C746" s="2" t="n">
        <f aca="false">0</f>
        <v>0</v>
      </c>
      <c r="D746" s="2" t="n">
        <f aca="false">C746*(1-D$739)+C745*D$739</f>
        <v>0</v>
      </c>
      <c r="E746" s="2" t="n">
        <f aca="false">D746*(1-E$739)+D745*E$739</f>
        <v>0</v>
      </c>
      <c r="F746" s="2" t="n">
        <f aca="false">E746*(1-F$739)+E745*F$739</f>
        <v>0</v>
      </c>
      <c r="G746" s="2" t="n">
        <f aca="false">F746*(1-G$739)+F745*G$739</f>
        <v>0</v>
      </c>
      <c r="H746" s="2" t="n">
        <f aca="false">G746*(1-H$739)+G745*H$739</f>
        <v>0.00165935743882029</v>
      </c>
      <c r="I746" s="2" t="n">
        <f aca="false">H746*(1-I$739)+H745*I$739</f>
        <v>0.0056094725169824</v>
      </c>
      <c r="J746" s="2" t="n">
        <f aca="false">I746*(1-J$739)+I745*J$739</f>
        <v>0.0240469890225316</v>
      </c>
      <c r="K746" s="2" t="n">
        <f aca="false">J746*(1-K$739)+J745*K$739</f>
        <v>0.0397608950142222</v>
      </c>
      <c r="L746" s="2" t="n">
        <f aca="false">K746*(1-L$739)+K745*L$739</f>
        <v>0.0720772137847544</v>
      </c>
      <c r="M746" s="2" t="n">
        <f aca="false">L746*(1-M$739)+L745*M$739</f>
        <v>0.0970170147273158</v>
      </c>
      <c r="N746" s="2" t="n">
        <f aca="false">M746*(1-N$739)+M745*N$739</f>
        <v>0.145317936259321</v>
      </c>
      <c r="O746" s="2" t="n">
        <f aca="false">N746*(1-O$739)+N745*O$739</f>
        <v>0.145317936259321</v>
      </c>
    </row>
    <row r="747" customFormat="false" ht="15" hidden="false" customHeight="false" outlineLevel="0" collapsed="false">
      <c r="B747" s="2" t="n">
        <v>7</v>
      </c>
      <c r="C747" s="2" t="n">
        <f aca="false">0</f>
        <v>0</v>
      </c>
      <c r="D747" s="2" t="n">
        <f aca="false">C747*(1-D$739)+C746*D$739</f>
        <v>0</v>
      </c>
      <c r="E747" s="2" t="n">
        <f aca="false">D747*(1-E$739)+D746*E$739</f>
        <v>0</v>
      </c>
      <c r="F747" s="2" t="n">
        <f aca="false">E747*(1-F$739)+E746*F$739</f>
        <v>0</v>
      </c>
      <c r="G747" s="2" t="n">
        <f aca="false">F747*(1-G$739)+F746*G$739</f>
        <v>0</v>
      </c>
      <c r="H747" s="2" t="n">
        <f aca="false">G747*(1-H$739)+G746*H$739</f>
        <v>0</v>
      </c>
      <c r="I747" s="2" t="n">
        <f aca="false">H747*(1-I$739)+H746*I$739</f>
        <v>0.000260764143365267</v>
      </c>
      <c r="J747" s="2" t="n">
        <f aca="false">I747*(1-J$739)+I746*J$739</f>
        <v>0.00265585569709206</v>
      </c>
      <c r="K747" s="2" t="n">
        <f aca="false">J747*(1-K$739)+J746*K$739</f>
        <v>0.00652236261497837</v>
      </c>
      <c r="L747" s="2" t="n">
        <f aca="false">K747*(1-L$739)+K746*L$739</f>
        <v>0.0171462009955315</v>
      </c>
      <c r="M747" s="2" t="n">
        <f aca="false">L747*(1-M$739)+L746*M$739</f>
        <v>0.0288833375759178</v>
      </c>
      <c r="N747" s="2" t="n">
        <f aca="false">M747*(1-N$739)+M746*N$739</f>
        <v>0.0572173055986791</v>
      </c>
      <c r="O747" s="2" t="n">
        <f aca="false">N747*(1-O$739)+N746*O$739</f>
        <v>0.0572173055986791</v>
      </c>
    </row>
    <row r="748" customFormat="false" ht="15" hidden="false" customHeight="false" outlineLevel="0" collapsed="false">
      <c r="B748" s="2" t="n">
        <v>8</v>
      </c>
      <c r="C748" s="2" t="n">
        <f aca="false">0</f>
        <v>0</v>
      </c>
      <c r="D748" s="2" t="n">
        <f aca="false">C748*(1-D$739)+C747*D$739</f>
        <v>0</v>
      </c>
      <c r="E748" s="2" t="n">
        <f aca="false">D748*(1-E$739)+D747*E$739</f>
        <v>0</v>
      </c>
      <c r="F748" s="2" t="n">
        <f aca="false">E748*(1-F$739)+E747*F$739</f>
        <v>0</v>
      </c>
      <c r="G748" s="2" t="n">
        <f aca="false">F748*(1-G$739)+F747*G$739</f>
        <v>0</v>
      </c>
      <c r="H748" s="2" t="n">
        <f aca="false">G748*(1-H$739)+G747*H$739</f>
        <v>0</v>
      </c>
      <c r="I748" s="2" t="n">
        <f aca="false">H748*(1-I$739)+H747*I$739</f>
        <v>0</v>
      </c>
      <c r="J748" s="2" t="n">
        <f aca="false">I748*(1-J$739)+I747*J$739</f>
        <v>0.000116767255505947</v>
      </c>
      <c r="K748" s="2" t="n">
        <f aca="false">J748*(1-K$739)+J747*K$739</f>
        <v>0.000575714562091262</v>
      </c>
      <c r="L748" s="2" t="n">
        <f aca="false">K748*(1-L$739)+K747*L$739</f>
        <v>0.00247640701929918</v>
      </c>
      <c r="M748" s="2" t="n">
        <f aca="false">L748*(1-M$739)+L747*M$739</f>
        <v>0.00561090912953422</v>
      </c>
      <c r="N748" s="2" t="n">
        <f aca="false">M748*(1-N$739)+M747*N$739</f>
        <v>0.0152889460560691</v>
      </c>
      <c r="O748" s="2" t="n">
        <f aca="false">N748*(1-O$739)+N747*O$739</f>
        <v>0.0152889460560691</v>
      </c>
    </row>
    <row r="749" customFormat="false" ht="15" hidden="false" customHeight="false" outlineLevel="0" collapsed="false">
      <c r="B749" s="2" t="n">
        <v>9</v>
      </c>
      <c r="C749" s="2" t="n">
        <f aca="false">0</f>
        <v>0</v>
      </c>
      <c r="D749" s="2" t="n">
        <f aca="false">C749*(1-D$739)+C748*D$739</f>
        <v>0</v>
      </c>
      <c r="E749" s="2" t="n">
        <f aca="false">D749*(1-E$739)+D748*E$739</f>
        <v>0</v>
      </c>
      <c r="F749" s="2" t="n">
        <f aca="false">E749*(1-F$739)+E748*F$739</f>
        <v>0</v>
      </c>
      <c r="G749" s="2" t="n">
        <f aca="false">F749*(1-G$739)+F748*G$739</f>
        <v>0</v>
      </c>
      <c r="H749" s="2" t="n">
        <f aca="false">G749*(1-H$739)+G748*H$739</f>
        <v>0</v>
      </c>
      <c r="I749" s="2" t="n">
        <f aca="false">H749*(1-I$739)+H748*I$739</f>
        <v>0</v>
      </c>
      <c r="J749" s="2" t="n">
        <f aca="false">I749*(1-J$739)+I748*J$739</f>
        <v>0</v>
      </c>
      <c r="K749" s="2" t="n">
        <f aca="false">J749*(1-K$739)+J748*K$739</f>
        <v>2.11060066022503E-005</v>
      </c>
      <c r="L749" s="2" t="n">
        <f aca="false">K749*(1-L$739)+K748*L$739</f>
        <v>0.000198372306666731</v>
      </c>
      <c r="M749" s="2" t="n">
        <f aca="false">L749*(1-M$739)+L748*M$739</f>
        <v>0.00068512110665015</v>
      </c>
      <c r="N749" s="2" t="n">
        <f aca="false">M749*(1-N$739)+M748*N$739</f>
        <v>0.00273355187044365</v>
      </c>
      <c r="O749" s="2" t="n">
        <f aca="false">N749*(1-O$739)+N748*O$739</f>
        <v>0.00273355187044365</v>
      </c>
    </row>
    <row r="750" customFormat="false" ht="15" hidden="false" customHeight="false" outlineLevel="0" collapsed="false">
      <c r="B750" s="2" t="n">
        <v>10</v>
      </c>
      <c r="C750" s="2" t="n">
        <f aca="false">0</f>
        <v>0</v>
      </c>
      <c r="D750" s="2" t="n">
        <f aca="false">C750*(1-D$739)+C749*D$739</f>
        <v>0</v>
      </c>
      <c r="E750" s="2" t="n">
        <f aca="false">D750*(1-E$739)+D749*E$739</f>
        <v>0</v>
      </c>
      <c r="F750" s="2" t="n">
        <f aca="false">E750*(1-F$739)+E749*F$739</f>
        <v>0</v>
      </c>
      <c r="G750" s="2" t="n">
        <f aca="false">F750*(1-G$739)+F749*G$739</f>
        <v>0</v>
      </c>
      <c r="H750" s="2" t="n">
        <f aca="false">G750*(1-H$739)+G749*H$739</f>
        <v>0</v>
      </c>
      <c r="I750" s="2" t="n">
        <f aca="false">H750*(1-I$739)+H749*I$739</f>
        <v>0</v>
      </c>
      <c r="J750" s="2" t="n">
        <f aca="false">I750*(1-J$739)+I749*J$739</f>
        <v>0</v>
      </c>
      <c r="K750" s="2" t="n">
        <f aca="false">J750*(1-K$739)+J749*K$739</f>
        <v>0</v>
      </c>
      <c r="L750" s="2" t="n">
        <f aca="false">K750*(1-L$739)+K749*L$739</f>
        <v>6.74598987427907E-006</v>
      </c>
      <c r="M750" s="2" t="n">
        <f aca="false">L750*(1-M$739)+L749*M$739</f>
        <v>4.76908794436671E-005</v>
      </c>
      <c r="N750" s="2" t="n">
        <f aca="false">M750*(1-N$739)+M749*N$739</f>
        <v>0.000312771650503143</v>
      </c>
      <c r="O750" s="2" t="n">
        <f aca="false">N750*(1-O$739)+N749*O$739</f>
        <v>0.000312771650503143</v>
      </c>
    </row>
    <row r="751" customFormat="false" ht="15" hidden="false" customHeight="false" outlineLevel="0" collapsed="false">
      <c r="B751" s="2" t="n">
        <v>11</v>
      </c>
      <c r="C751" s="2" t="n">
        <f aca="false">0</f>
        <v>0</v>
      </c>
      <c r="D751" s="2" t="n">
        <f aca="false">C751*(1-D$739)+C750*D$739</f>
        <v>0</v>
      </c>
      <c r="E751" s="2" t="n">
        <f aca="false">D751*(1-E$739)+D750*E$739</f>
        <v>0</v>
      </c>
      <c r="F751" s="2" t="n">
        <f aca="false">E751*(1-F$739)+E750*F$739</f>
        <v>0</v>
      </c>
      <c r="G751" s="2" t="n">
        <f aca="false">F751*(1-G$739)+F750*G$739</f>
        <v>0</v>
      </c>
      <c r="H751" s="2" t="n">
        <f aca="false">G751*(1-H$739)+G750*H$739</f>
        <v>0</v>
      </c>
      <c r="I751" s="2" t="n">
        <f aca="false">H751*(1-I$739)+H750*I$739</f>
        <v>0</v>
      </c>
      <c r="J751" s="2" t="n">
        <f aca="false">I751*(1-J$739)+I750*J$739</f>
        <v>0</v>
      </c>
      <c r="K751" s="2" t="n">
        <f aca="false">J751*(1-K$739)+J750*K$739</f>
        <v>0</v>
      </c>
      <c r="L751" s="2" t="n">
        <f aca="false">K751*(1-L$739)+K750*L$739</f>
        <v>0</v>
      </c>
      <c r="M751" s="2" t="n">
        <f aca="false">L751*(1-M$739)+L750*M$739</f>
        <v>1.44141898180786E-006</v>
      </c>
      <c r="N751" s="2" t="n">
        <f aca="false">M751*(1-N$739)+M750*N$739</f>
        <v>2.06746497214964E-005</v>
      </c>
      <c r="O751" s="2" t="n">
        <f aca="false">N751*(1-O$739)+N750*O$739</f>
        <v>2.06746497214964E-005</v>
      </c>
    </row>
    <row r="752" customFormat="false" ht="15" hidden="false" customHeight="false" outlineLevel="0" collapsed="false">
      <c r="B752" s="2" t="n">
        <v>12</v>
      </c>
      <c r="C752" s="2" t="n">
        <f aca="false">0</f>
        <v>0</v>
      </c>
      <c r="D752" s="2" t="n">
        <f aca="false">C752*(1-D$739)+C751*D$739</f>
        <v>0</v>
      </c>
      <c r="E752" s="2" t="n">
        <f aca="false">D752*(1-E$739)+D751*E$739</f>
        <v>0</v>
      </c>
      <c r="F752" s="2" t="n">
        <f aca="false">E752*(1-F$739)+E751*F$739</f>
        <v>0</v>
      </c>
      <c r="G752" s="2" t="n">
        <f aca="false">F752*(1-G$739)+F751*G$739</f>
        <v>0</v>
      </c>
      <c r="H752" s="2" t="n">
        <f aca="false">G752*(1-H$739)+G751*H$739</f>
        <v>0</v>
      </c>
      <c r="I752" s="2" t="n">
        <f aca="false">H752*(1-I$739)+H751*I$739</f>
        <v>0</v>
      </c>
      <c r="J752" s="2" t="n">
        <f aca="false">I752*(1-J$739)+I751*J$739</f>
        <v>0</v>
      </c>
      <c r="K752" s="2" t="n">
        <f aca="false">J752*(1-K$739)+J751*K$739</f>
        <v>0</v>
      </c>
      <c r="L752" s="2" t="n">
        <f aca="false">K752*(1-L$739)+K751*L$739</f>
        <v>0</v>
      </c>
      <c r="M752" s="2" t="n">
        <f aca="false">L752*(1-M$739)+L751*M$739</f>
        <v>0</v>
      </c>
      <c r="N752" s="2" t="n">
        <f aca="false">M752*(1-N$739)+M751*N$739</f>
        <v>5.99426319633287E-007</v>
      </c>
      <c r="O752" s="2" t="n">
        <f aca="false">N752*(1-O$739)+N751*O$739</f>
        <v>5.99426319633287E-007</v>
      </c>
    </row>
    <row r="753" customFormat="false" ht="15" hidden="false" customHeight="false" outlineLevel="0" collapsed="false">
      <c r="B753" s="2" t="n">
        <v>13</v>
      </c>
      <c r="C753" s="2" t="n">
        <f aca="false">0</f>
        <v>0</v>
      </c>
      <c r="D753" s="2" t="n">
        <f aca="false">C753*(1-D$739)+C752*D$739</f>
        <v>0</v>
      </c>
      <c r="E753" s="2" t="n">
        <f aca="false">D753*(1-E$739)+D752*E$739</f>
        <v>0</v>
      </c>
      <c r="F753" s="2" t="n">
        <f aca="false">E753*(1-F$739)+E752*F$739</f>
        <v>0</v>
      </c>
      <c r="G753" s="2" t="n">
        <f aca="false">F753*(1-G$739)+F752*G$739</f>
        <v>0</v>
      </c>
      <c r="H753" s="2" t="n">
        <f aca="false">G753*(1-H$739)+G752*H$739</f>
        <v>0</v>
      </c>
      <c r="I753" s="2" t="n">
        <f aca="false">H753*(1-I$739)+H752*I$739</f>
        <v>0</v>
      </c>
      <c r="J753" s="2" t="n">
        <f aca="false">I753*(1-J$739)+I752*J$739</f>
        <v>0</v>
      </c>
      <c r="K753" s="2" t="n">
        <f aca="false">J753*(1-K$739)+J752*K$739</f>
        <v>0</v>
      </c>
      <c r="L753" s="2" t="n">
        <f aca="false">K753*(1-L$739)+K752*L$739</f>
        <v>0</v>
      </c>
      <c r="M753" s="2" t="n">
        <f aca="false">L753*(1-M$739)+L752*M$739</f>
        <v>0</v>
      </c>
      <c r="N753" s="2" t="n">
        <f aca="false">M753*(1-N$739)+M752*N$739</f>
        <v>0</v>
      </c>
      <c r="O753" s="2" t="n">
        <f aca="false">N753*(1-O$739)+N752*O$739</f>
        <v>0</v>
      </c>
    </row>
    <row r="755" customFormat="false" ht="15" hidden="false" customHeight="false" outlineLevel="0" collapsed="false">
      <c r="A755" s="1" t="s">
        <v>105</v>
      </c>
      <c r="C755" s="2" t="n">
        <f aca="false">Schedule!G49</f>
        <v>0.982408678991955</v>
      </c>
      <c r="D755" s="2" t="n">
        <f aca="false">Schedule!L49</f>
        <v>0.819247215233424</v>
      </c>
      <c r="E755" s="2" t="n">
        <f aca="false">Schedule!Q49</f>
        <v>0.477571324972222</v>
      </c>
      <c r="F755" s="2" t="n">
        <f aca="false">Schedule!V49</f>
        <v>0.557151056552264</v>
      </c>
      <c r="G755" s="2" t="n">
        <f aca="false">Schedule!AA49</f>
        <v>0.339986490349139</v>
      </c>
      <c r="H755" s="2" t="n">
        <f aca="false">Schedule!AF49</f>
        <v>0.0303963617652613</v>
      </c>
      <c r="I755" s="2" t="n">
        <f aca="false">Schedule!AK49</f>
        <v>0.622669718470157</v>
      </c>
      <c r="J755" s="2" t="n">
        <f aca="false">Schedule!AP49</f>
        <v>0.432996644193328</v>
      </c>
      <c r="K755" s="2" t="n">
        <f aca="false">Schedule!AU49</f>
        <v>0.620292847240567</v>
      </c>
      <c r="L755" s="2" t="n">
        <f aca="false">Schedule!AZ49</f>
        <v>0.596287776693183</v>
      </c>
      <c r="M755" s="2" t="n">
        <f aca="false">Schedule!BE49</f>
        <v>0.174250711880542</v>
      </c>
      <c r="N755" s="2" t="n">
        <f aca="false">Schedule!BJ49</f>
        <v>0.297622774366408</v>
      </c>
      <c r="O755" s="2" t="n">
        <f aca="false">Schedule!BO49</f>
        <v>0</v>
      </c>
    </row>
    <row r="756" customFormat="false" ht="15" hidden="false" customHeight="false" outlineLevel="0" collapsed="false">
      <c r="B756" s="2" t="n">
        <v>0</v>
      </c>
      <c r="C756" s="2" t="n">
        <f aca="false">1-C$755</f>
        <v>0.0175913210080447</v>
      </c>
      <c r="D756" s="2" t="n">
        <f aca="false">C756*(1-D$755)</f>
        <v>0.00317968025992686</v>
      </c>
      <c r="E756" s="2" t="n">
        <f aca="false">D756*(1-E$755)</f>
        <v>0.00166115614520557</v>
      </c>
      <c r="F756" s="2" t="n">
        <f aca="false">E756*(1-F$755)</f>
        <v>0.000735641243806001</v>
      </c>
      <c r="G756" s="2" t="n">
        <f aca="false">F756*(1-G$755)</f>
        <v>0.000485533159168324</v>
      </c>
      <c r="H756" s="2" t="n">
        <f aca="false">G756*(1-H$755)</f>
        <v>0.000470774717613213</v>
      </c>
      <c r="I756" s="2" t="n">
        <f aca="false">H756*(1-I$755)</f>
        <v>0.000177637556734126</v>
      </c>
      <c r="J756" s="2" t="n">
        <f aca="false">I756*(1-J$755)</f>
        <v>0.000100721090785548</v>
      </c>
      <c r="K756" s="2" t="n">
        <f aca="false">J756*(1-K$755)</f>
        <v>3.82445186050046E-005</v>
      </c>
      <c r="L756" s="2" t="n">
        <f aca="false">K756*(1-L$755)</f>
        <v>1.54397796353254E-005</v>
      </c>
      <c r="M756" s="2" t="n">
        <f aca="false">L756*(1-M$755)</f>
        <v>1.27493870425912E-005</v>
      </c>
      <c r="N756" s="2" t="n">
        <f aca="false">M756*(1-N$755)</f>
        <v>8.95487909950409E-006</v>
      </c>
      <c r="O756" s="2" t="n">
        <f aca="false">N756*(1-O$755)</f>
        <v>8.95487909950409E-006</v>
      </c>
    </row>
    <row r="757" customFormat="false" ht="15" hidden="false" customHeight="false" outlineLevel="0" collapsed="false">
      <c r="B757" s="2" t="n">
        <v>1</v>
      </c>
      <c r="C757" s="2" t="n">
        <f aca="false">C$755</f>
        <v>0.982408678991955</v>
      </c>
      <c r="D757" s="2" t="n">
        <f aca="false">C757*(1-D$755)+C756*D$755</f>
        <v>0.191984745254767</v>
      </c>
      <c r="E757" s="2" t="n">
        <f aca="false">D757*(1-E$755)+D756*E$755</f>
        <v>0.101816860203715</v>
      </c>
      <c r="F757" s="2" t="n">
        <f aca="false">E757*(1-F$755)+E756*F$755</f>
        <v>0.0460150038677806</v>
      </c>
      <c r="G757" s="2" t="n">
        <f aca="false">F757*(1-G$755)+F756*G$755</f>
        <v>0.0306206322840095</v>
      </c>
      <c r="H757" s="2" t="n">
        <f aca="false">G757*(1-H$755)+G756*H$755</f>
        <v>0.0297046349091788</v>
      </c>
      <c r="I757" s="2" t="n">
        <f aca="false">H757*(1-I$755)+H756*I$755</f>
        <v>0.0115015954139007</v>
      </c>
      <c r="J757" s="2" t="n">
        <f aca="false">I757*(1-J$755)+I756*J$755</f>
        <v>0.00659835966276092</v>
      </c>
      <c r="K757" s="2" t="n">
        <f aca="false">J757*(1-K$755)+J756*K$755</f>
        <v>0.00256792093261018</v>
      </c>
      <c r="L757" s="2" t="n">
        <f aca="false">K757*(1-L$755)+K756*L$755</f>
        <v>0.00105950580794985</v>
      </c>
      <c r="M757" s="2" t="n">
        <f aca="false">L757*(1-M$755)+L756*M$755</f>
        <v>0.000877576559265756</v>
      </c>
      <c r="N757" s="2" t="n">
        <f aca="false">M757*(1-N$755)+M756*N$755</f>
        <v>0.000620184296921242</v>
      </c>
      <c r="O757" s="2" t="n">
        <f aca="false">N757*(1-O$755)+N756*O$755</f>
        <v>0.000620184296921242</v>
      </c>
    </row>
    <row r="758" customFormat="false" ht="15" hidden="false" customHeight="false" outlineLevel="0" collapsed="false">
      <c r="B758" s="2" t="n">
        <v>2</v>
      </c>
      <c r="C758" s="2" t="n">
        <f aca="false">0</f>
        <v>0</v>
      </c>
      <c r="D758" s="2" t="n">
        <f aca="false">C758*(1-D$755)+C757*D$755</f>
        <v>0.804835574485306</v>
      </c>
      <c r="E758" s="2" t="n">
        <f aca="false">D758*(1-E$755)+D757*E$755</f>
        <v>0.512155591959353</v>
      </c>
      <c r="F758" s="2" t="n">
        <f aca="false">E758*(1-F$755)+E757*F$755</f>
        <v>0.283534934017383</v>
      </c>
      <c r="G758" s="2" t="n">
        <f aca="false">F758*(1-G$755)+F757*G$755</f>
        <v>0.202781366577847</v>
      </c>
      <c r="H758" s="2" t="n">
        <f aca="false">G758*(1-H$755)+G757*H$755</f>
        <v>0.197548306616479</v>
      </c>
      <c r="I758" s="2" t="n">
        <f aca="false">H758*(1-I$755)+H757*I$755</f>
        <v>0.0930371348074969</v>
      </c>
      <c r="J758" s="2" t="n">
        <f aca="false">I758*(1-J$755)+I757*J$755</f>
        <v>0.0577325198675768</v>
      </c>
      <c r="K758" s="2" t="n">
        <f aca="false">J758*(1-K$755)+J757*K$755</f>
        <v>0.0260143660428763</v>
      </c>
      <c r="L758" s="2" t="n">
        <f aca="false">K758*(1-L$755)+K757*L$755</f>
        <v>0.012033537416717</v>
      </c>
      <c r="M758" s="2" t="n">
        <f aca="false">L758*(1-M$755)+L757*M$755</f>
        <v>0.0101213045966897</v>
      </c>
      <c r="N758" s="2" t="n">
        <f aca="false">M758*(1-N$755)+M757*N$755</f>
        <v>0.00737016061270305</v>
      </c>
      <c r="O758" s="2" t="n">
        <f aca="false">N758*(1-O$755)+N757*O$755</f>
        <v>0.00737016061270305</v>
      </c>
    </row>
    <row r="759" customFormat="false" ht="15" hidden="false" customHeight="false" outlineLevel="0" collapsed="false">
      <c r="B759" s="2" t="n">
        <v>3</v>
      </c>
      <c r="C759" s="2" t="n">
        <f aca="false">0</f>
        <v>0</v>
      </c>
      <c r="D759" s="2" t="n">
        <f aca="false">C759*(1-D$755)+C758*D$755</f>
        <v>0</v>
      </c>
      <c r="E759" s="2" t="n">
        <f aca="false">D759*(1-E$755)+D758*E$755</f>
        <v>0.384366391691727</v>
      </c>
      <c r="F759" s="2" t="n">
        <f aca="false">E759*(1-F$755)+E758*F$755</f>
        <v>0.455564279636803</v>
      </c>
      <c r="G759" s="2" t="n">
        <f aca="false">F759*(1-G$755)+F758*G$755</f>
        <v>0.397076626182598</v>
      </c>
      <c r="H759" s="2" t="n">
        <f aca="false">G759*(1-H$755)+G758*H$755</f>
        <v>0.391170757182376</v>
      </c>
      <c r="I759" s="2" t="n">
        <f aca="false">H759*(1-I$755)+H758*I$755</f>
        <v>0.270607920399007</v>
      </c>
      <c r="J759" s="2" t="n">
        <f aca="false">I759*(1-J$755)+I758*J$755</f>
        <v>0.19372036613111</v>
      </c>
      <c r="K759" s="2" t="n">
        <f aca="false">J759*(1-K$755)+J758*K$755</f>
        <v>0.109368077782191</v>
      </c>
      <c r="L759" s="2" t="n">
        <f aca="false">K759*(1-L$755)+K758*L$755</f>
        <v>0.0596652783300304</v>
      </c>
      <c r="M759" s="2" t="n">
        <f aca="false">L759*(1-M$755)+L758*M$755</f>
        <v>0.051365413567776</v>
      </c>
      <c r="N759" s="2" t="n">
        <f aca="false">M759*(1-N$755)+M758*N$755</f>
        <v>0.0390902274295309</v>
      </c>
      <c r="O759" s="2" t="n">
        <f aca="false">N759*(1-O$755)+N758*O$755</f>
        <v>0.0390902274295309</v>
      </c>
    </row>
    <row r="760" customFormat="false" ht="15" hidden="false" customHeight="false" outlineLevel="0" collapsed="false">
      <c r="B760" s="2" t="n">
        <v>4</v>
      </c>
      <c r="C760" s="2" t="n">
        <f aca="false">0</f>
        <v>0</v>
      </c>
      <c r="D760" s="2" t="n">
        <f aca="false">C760*(1-D$755)+C759*D$755</f>
        <v>0</v>
      </c>
      <c r="E760" s="2" t="n">
        <f aca="false">D760*(1-E$755)+D759*E$755</f>
        <v>0</v>
      </c>
      <c r="F760" s="2" t="n">
        <f aca="false">E760*(1-F$755)+E759*F$755</f>
        <v>0.214150141234227</v>
      </c>
      <c r="G760" s="2" t="n">
        <f aca="false">F760*(1-G$755)+F759*G$755</f>
        <v>0.29622768687038</v>
      </c>
      <c r="H760" s="2" t="n">
        <f aca="false">G760*(1-H$755)+G759*H$755</f>
        <v>0.299293127713357</v>
      </c>
      <c r="I760" s="2" t="n">
        <f aca="false">H760*(1-I$755)+H759*I$755</f>
        <v>0.356502545388537</v>
      </c>
      <c r="J760" s="2" t="n">
        <f aca="false">I760*(1-J$755)+I759*J$755</f>
        <v>0.319310461013826</v>
      </c>
      <c r="K760" s="2" t="n">
        <f aca="false">J760*(1-K$755)+J759*K$755</f>
        <v>0.241407823473813</v>
      </c>
      <c r="L760" s="2" t="n">
        <f aca="false">K760*(1-L$755)+K759*L$755</f>
        <v>0.162674137080222</v>
      </c>
      <c r="M760" s="2" t="n">
        <f aca="false">L760*(1-M$755)+L759*M$755</f>
        <v>0.144724770112999</v>
      </c>
      <c r="N760" s="2" t="n">
        <f aca="false">M760*(1-N$755)+M759*N$755</f>
        <v>0.116938899404947</v>
      </c>
      <c r="O760" s="2" t="n">
        <f aca="false">N760*(1-O$755)+N759*O$755</f>
        <v>0.116938899404947</v>
      </c>
    </row>
    <row r="761" customFormat="false" ht="15" hidden="false" customHeight="false" outlineLevel="0" collapsed="false">
      <c r="B761" s="2" t="n">
        <v>5</v>
      </c>
      <c r="C761" s="2" t="n">
        <f aca="false">0</f>
        <v>0</v>
      </c>
      <c r="D761" s="2" t="n">
        <f aca="false">C761*(1-D$755)+C760*D$755</f>
        <v>0</v>
      </c>
      <c r="E761" s="2" t="n">
        <f aca="false">D761*(1-E$755)+D760*E$755</f>
        <v>0</v>
      </c>
      <c r="F761" s="2" t="n">
        <f aca="false">E761*(1-F$755)+E760*F$755</f>
        <v>0</v>
      </c>
      <c r="G761" s="2" t="n">
        <f aca="false">F761*(1-G$755)+F760*G$755</f>
        <v>0.0728081549259971</v>
      </c>
      <c r="H761" s="2" t="n">
        <f aca="false">G761*(1-H$755)+G760*H$755</f>
        <v>0.0795992958444039</v>
      </c>
      <c r="I761" s="2" t="n">
        <f aca="false">H761*(1-I$755)+H760*I$755</f>
        <v>0.216395992283875</v>
      </c>
      <c r="J761" s="2" t="n">
        <f aca="false">I761*(1-J$755)+I760*J$755</f>
        <v>0.277061659607688</v>
      </c>
      <c r="K761" s="2" t="n">
        <f aca="false">J761*(1-K$755)+J760*K$755</f>
        <v>0.303268288924403</v>
      </c>
      <c r="L761" s="2" t="n">
        <f aca="false">K761*(1-L$755)+K760*L$755</f>
        <v>0.266381649515665</v>
      </c>
      <c r="M761" s="2" t="n">
        <f aca="false">L761*(1-M$755)+L760*M$755</f>
        <v>0.248310541646429</v>
      </c>
      <c r="N761" s="2" t="n">
        <f aca="false">M761*(1-N$755)+M760*N$755</f>
        <v>0.217481056937765</v>
      </c>
      <c r="O761" s="2" t="n">
        <f aca="false">N761*(1-O$755)+N760*O$755</f>
        <v>0.217481056937765</v>
      </c>
    </row>
    <row r="762" customFormat="false" ht="15" hidden="false" customHeight="false" outlineLevel="0" collapsed="false">
      <c r="B762" s="2" t="n">
        <v>6</v>
      </c>
      <c r="C762" s="2" t="n">
        <f aca="false">0</f>
        <v>0</v>
      </c>
      <c r="D762" s="2" t="n">
        <f aca="false">C762*(1-D$755)+C761*D$755</f>
        <v>0</v>
      </c>
      <c r="E762" s="2" t="n">
        <f aca="false">D762*(1-E$755)+D761*E$755</f>
        <v>0</v>
      </c>
      <c r="F762" s="2" t="n">
        <f aca="false">E762*(1-F$755)+E761*F$755</f>
        <v>0</v>
      </c>
      <c r="G762" s="2" t="n">
        <f aca="false">F762*(1-G$755)+F761*G$755</f>
        <v>0</v>
      </c>
      <c r="H762" s="2" t="n">
        <f aca="false">G762*(1-H$755)+G761*H$755</f>
        <v>0.0022131030165918</v>
      </c>
      <c r="I762" s="2" t="n">
        <f aca="false">H762*(1-I$755)+H761*I$755</f>
        <v>0.0503991419181629</v>
      </c>
      <c r="J762" s="2" t="n">
        <f aca="false">I762*(1-J$755)+I761*J$755</f>
        <v>0.122275221073178</v>
      </c>
      <c r="K762" s="2" t="n">
        <f aca="false">J762*(1-K$755)+J761*K$755</f>
        <v>0.218288141745976</v>
      </c>
      <c r="L762" s="2" t="n">
        <f aca="false">K762*(1-L$755)+K761*L$755</f>
        <v>0.268960764770059</v>
      </c>
      <c r="M762" s="2" t="n">
        <f aca="false">L762*(1-M$755)+L761*M$755</f>
        <v>0.268511352100959</v>
      </c>
      <c r="N762" s="2" t="n">
        <f aca="false">M762*(1-N$755)+M761*N$755</f>
        <v>0.262499130849032</v>
      </c>
      <c r="O762" s="2" t="n">
        <f aca="false">N762*(1-O$755)+N761*O$755</f>
        <v>0.262499130849032</v>
      </c>
    </row>
    <row r="763" customFormat="false" ht="15" hidden="false" customHeight="false" outlineLevel="0" collapsed="false">
      <c r="B763" s="2" t="n">
        <v>7</v>
      </c>
      <c r="C763" s="2" t="n">
        <f aca="false">0</f>
        <v>0</v>
      </c>
      <c r="D763" s="2" t="n">
        <f aca="false">C763*(1-D$755)+C762*D$755</f>
        <v>0</v>
      </c>
      <c r="E763" s="2" t="n">
        <f aca="false">D763*(1-E$755)+D762*E$755</f>
        <v>0</v>
      </c>
      <c r="F763" s="2" t="n">
        <f aca="false">E763*(1-F$755)+E762*F$755</f>
        <v>0</v>
      </c>
      <c r="G763" s="2" t="n">
        <f aca="false">F763*(1-G$755)+F762*G$755</f>
        <v>0</v>
      </c>
      <c r="H763" s="2" t="n">
        <f aca="false">G763*(1-H$755)+G762*H$755</f>
        <v>0</v>
      </c>
      <c r="I763" s="2" t="n">
        <f aca="false">H763*(1-I$755)+H762*I$755</f>
        <v>0.00137803223228667</v>
      </c>
      <c r="J763" s="2" t="n">
        <f aca="false">I763*(1-J$755)+I762*J$755</f>
        <v>0.0226040082209041</v>
      </c>
      <c r="K763" s="2" t="n">
        <f aca="false">J763*(1-K$755)+J762*K$755</f>
        <v>0.0844293486289618</v>
      </c>
      <c r="L763" s="2" t="n">
        <f aca="false">K763*(1-L$755)+K762*L$755</f>
        <v>0.164247710767539</v>
      </c>
      <c r="M763" s="2" t="n">
        <f aca="false">L763*(1-M$755)+L762*M$755</f>
        <v>0.182494034970664</v>
      </c>
      <c r="N763" s="2" t="n">
        <f aca="false">M763*(1-N$755)+M762*N$755</f>
        <v>0.208094747538538</v>
      </c>
      <c r="O763" s="2" t="n">
        <f aca="false">N763*(1-O$755)+N762*O$755</f>
        <v>0.208094747538538</v>
      </c>
    </row>
    <row r="764" customFormat="false" ht="15" hidden="false" customHeight="false" outlineLevel="0" collapsed="false">
      <c r="B764" s="2" t="n">
        <v>8</v>
      </c>
      <c r="C764" s="2" t="n">
        <f aca="false">0</f>
        <v>0</v>
      </c>
      <c r="D764" s="2" t="n">
        <f aca="false">C764*(1-D$755)+C763*D$755</f>
        <v>0</v>
      </c>
      <c r="E764" s="2" t="n">
        <f aca="false">D764*(1-E$755)+D763*E$755</f>
        <v>0</v>
      </c>
      <c r="F764" s="2" t="n">
        <f aca="false">E764*(1-F$755)+E763*F$755</f>
        <v>0</v>
      </c>
      <c r="G764" s="2" t="n">
        <f aca="false">F764*(1-G$755)+F763*G$755</f>
        <v>0</v>
      </c>
      <c r="H764" s="2" t="n">
        <f aca="false">G764*(1-H$755)+G763*H$755</f>
        <v>0</v>
      </c>
      <c r="I764" s="2" t="n">
        <f aca="false">H764*(1-I$755)+H763*I$755</f>
        <v>0</v>
      </c>
      <c r="J764" s="2" t="n">
        <f aca="false">I764*(1-J$755)+I763*J$755</f>
        <v>0.00059668333217037</v>
      </c>
      <c r="K764" s="2" t="n">
        <f aca="false">J764*(1-K$755)+J763*K$755</f>
        <v>0.0142476695475512</v>
      </c>
      <c r="L764" s="2" t="n">
        <f aca="false">K764*(1-L$755)+K763*L$755</f>
        <v>0.0560961469316</v>
      </c>
      <c r="M764" s="2" t="n">
        <f aca="false">L764*(1-M$755)+L763*M$755</f>
        <v>0.0749416339210063</v>
      </c>
      <c r="N764" s="2" t="n">
        <f aca="false">M764*(1-N$755)+M763*N$755</f>
        <v>0.106951677911174</v>
      </c>
      <c r="O764" s="2" t="n">
        <f aca="false">N764*(1-O$755)+N763*O$755</f>
        <v>0.106951677911174</v>
      </c>
    </row>
    <row r="765" customFormat="false" ht="15" hidden="false" customHeight="false" outlineLevel="0" collapsed="false">
      <c r="B765" s="2" t="n">
        <v>9</v>
      </c>
      <c r="C765" s="2" t="n">
        <f aca="false">0</f>
        <v>0</v>
      </c>
      <c r="D765" s="2" t="n">
        <f aca="false">C765*(1-D$755)+C764*D$755</f>
        <v>0</v>
      </c>
      <c r="E765" s="2" t="n">
        <f aca="false">D765*(1-E$755)+D764*E$755</f>
        <v>0</v>
      </c>
      <c r="F765" s="2" t="n">
        <f aca="false">E765*(1-F$755)+E764*F$755</f>
        <v>0</v>
      </c>
      <c r="G765" s="2" t="n">
        <f aca="false">F765*(1-G$755)+F764*G$755</f>
        <v>0</v>
      </c>
      <c r="H765" s="2" t="n">
        <f aca="false">G765*(1-H$755)+G764*H$755</f>
        <v>0</v>
      </c>
      <c r="I765" s="2" t="n">
        <f aca="false">H765*(1-I$755)+H764*I$755</f>
        <v>0</v>
      </c>
      <c r="J765" s="2" t="n">
        <f aca="false">I765*(1-J$755)+I764*J$755</f>
        <v>0</v>
      </c>
      <c r="K765" s="2" t="n">
        <f aca="false">J765*(1-K$755)+J764*K$755</f>
        <v>0.000370118403012948</v>
      </c>
      <c r="L765" s="2" t="n">
        <f aca="false">K765*(1-L$755)+K764*L$755</f>
        <v>0.0086451325209356</v>
      </c>
      <c r="M765" s="2" t="n">
        <f aca="false">L765*(1-M$755)+L764*M$755</f>
        <v>0.0169135055614477</v>
      </c>
      <c r="N765" s="2" t="n">
        <f aca="false">M765*(1-N$755)+M764*N$755</f>
        <v>0.0341839981151096</v>
      </c>
      <c r="O765" s="2" t="n">
        <f aca="false">N765*(1-O$755)+N764*O$755</f>
        <v>0.0341839981151096</v>
      </c>
    </row>
    <row r="766" customFormat="false" ht="15" hidden="false" customHeight="false" outlineLevel="0" collapsed="false">
      <c r="B766" s="2" t="n">
        <v>10</v>
      </c>
      <c r="C766" s="2" t="n">
        <f aca="false">0</f>
        <v>0</v>
      </c>
      <c r="D766" s="2" t="n">
        <f aca="false">C766*(1-D$755)+C765*D$755</f>
        <v>0</v>
      </c>
      <c r="E766" s="2" t="n">
        <f aca="false">D766*(1-E$755)+D765*E$755</f>
        <v>0</v>
      </c>
      <c r="F766" s="2" t="n">
        <f aca="false">E766*(1-F$755)+E765*F$755</f>
        <v>0</v>
      </c>
      <c r="G766" s="2" t="n">
        <f aca="false">F766*(1-G$755)+F765*G$755</f>
        <v>0</v>
      </c>
      <c r="H766" s="2" t="n">
        <f aca="false">G766*(1-H$755)+G765*H$755</f>
        <v>0</v>
      </c>
      <c r="I766" s="2" t="n">
        <f aca="false">H766*(1-I$755)+H765*I$755</f>
        <v>0</v>
      </c>
      <c r="J766" s="2" t="n">
        <f aca="false">I766*(1-J$755)+I765*J$755</f>
        <v>0</v>
      </c>
      <c r="K766" s="2" t="n">
        <f aca="false">J766*(1-K$755)+J765*K$755</f>
        <v>0</v>
      </c>
      <c r="L766" s="2" t="n">
        <f aca="false">K766*(1-L$755)+K765*L$755</f>
        <v>0.000220697079645822</v>
      </c>
      <c r="M766" s="2" t="n">
        <f aca="false">L766*(1-M$755)+L765*M$755</f>
        <v>0.00168866095248224</v>
      </c>
      <c r="N766" s="2" t="n">
        <f aca="false">M766*(1-N$755)+M765*N$755</f>
        <v>0.0062199214443</v>
      </c>
      <c r="O766" s="2" t="n">
        <f aca="false">N766*(1-O$755)+N765*O$755</f>
        <v>0.0062199214443</v>
      </c>
    </row>
    <row r="767" customFormat="false" ht="15" hidden="false" customHeight="false" outlineLevel="0" collapsed="false">
      <c r="B767" s="2" t="n">
        <v>11</v>
      </c>
      <c r="C767" s="2" t="n">
        <f aca="false">0</f>
        <v>0</v>
      </c>
      <c r="D767" s="2" t="n">
        <f aca="false">C767*(1-D$755)+C766*D$755</f>
        <v>0</v>
      </c>
      <c r="E767" s="2" t="n">
        <f aca="false">D767*(1-E$755)+D766*E$755</f>
        <v>0</v>
      </c>
      <c r="F767" s="2" t="n">
        <f aca="false">E767*(1-F$755)+E766*F$755</f>
        <v>0</v>
      </c>
      <c r="G767" s="2" t="n">
        <f aca="false">F767*(1-G$755)+F766*G$755</f>
        <v>0</v>
      </c>
      <c r="H767" s="2" t="n">
        <f aca="false">G767*(1-H$755)+G766*H$755</f>
        <v>0</v>
      </c>
      <c r="I767" s="2" t="n">
        <f aca="false">H767*(1-I$755)+H766*I$755</f>
        <v>0</v>
      </c>
      <c r="J767" s="2" t="n">
        <f aca="false">I767*(1-J$755)+I766*J$755</f>
        <v>0</v>
      </c>
      <c r="K767" s="2" t="n">
        <f aca="false">J767*(1-K$755)+J766*K$755</f>
        <v>0</v>
      </c>
      <c r="L767" s="2" t="n">
        <f aca="false">K767*(1-L$755)+K766*L$755</f>
        <v>0</v>
      </c>
      <c r="M767" s="2" t="n">
        <f aca="false">L767*(1-M$755)+L766*M$755</f>
        <v>3.84566232382413E-005</v>
      </c>
      <c r="N767" s="2" t="n">
        <f aca="false">M767*(1-N$755)+M766*N$755</f>
        <v>0.000529595013979297</v>
      </c>
      <c r="O767" s="2" t="n">
        <f aca="false">N767*(1-O$755)+N766*O$755</f>
        <v>0.000529595013979297</v>
      </c>
    </row>
    <row r="768" customFormat="false" ht="15" hidden="false" customHeight="false" outlineLevel="0" collapsed="false">
      <c r="B768" s="2" t="n">
        <v>12</v>
      </c>
      <c r="C768" s="2" t="n">
        <f aca="false">0</f>
        <v>0</v>
      </c>
      <c r="D768" s="2" t="n">
        <f aca="false">C768*(1-D$755)+C767*D$755</f>
        <v>0</v>
      </c>
      <c r="E768" s="2" t="n">
        <f aca="false">D768*(1-E$755)+D767*E$755</f>
        <v>0</v>
      </c>
      <c r="F768" s="2" t="n">
        <f aca="false">E768*(1-F$755)+E767*F$755</f>
        <v>0</v>
      </c>
      <c r="G768" s="2" t="n">
        <f aca="false">F768*(1-G$755)+F767*G$755</f>
        <v>0</v>
      </c>
      <c r="H768" s="2" t="n">
        <f aca="false">G768*(1-H$755)+G767*H$755</f>
        <v>0</v>
      </c>
      <c r="I768" s="2" t="n">
        <f aca="false">H768*(1-I$755)+H767*I$755</f>
        <v>0</v>
      </c>
      <c r="J768" s="2" t="n">
        <f aca="false">I768*(1-J$755)+I767*J$755</f>
        <v>0</v>
      </c>
      <c r="K768" s="2" t="n">
        <f aca="false">J768*(1-K$755)+J767*K$755</f>
        <v>0</v>
      </c>
      <c r="L768" s="2" t="n">
        <f aca="false">K768*(1-L$755)+K767*L$755</f>
        <v>0</v>
      </c>
      <c r="M768" s="2" t="n">
        <f aca="false">L768*(1-M$755)+L767*M$755</f>
        <v>0</v>
      </c>
      <c r="N768" s="2" t="n">
        <f aca="false">M768*(1-N$755)+M767*N$755</f>
        <v>1.1445566900929E-005</v>
      </c>
      <c r="O768" s="2" t="n">
        <f aca="false">N768*(1-O$755)+N767*O$755</f>
        <v>1.1445566900929E-005</v>
      </c>
    </row>
    <row r="769" customFormat="false" ht="15" hidden="false" customHeight="false" outlineLevel="0" collapsed="false">
      <c r="B769" s="2" t="n">
        <v>13</v>
      </c>
      <c r="C769" s="2" t="n">
        <f aca="false">0</f>
        <v>0</v>
      </c>
      <c r="D769" s="2" t="n">
        <f aca="false">C769*(1-D$755)+C768*D$755</f>
        <v>0</v>
      </c>
      <c r="E769" s="2" t="n">
        <f aca="false">D769*(1-E$755)+D768*E$755</f>
        <v>0</v>
      </c>
      <c r="F769" s="2" t="n">
        <f aca="false">E769*(1-F$755)+E768*F$755</f>
        <v>0</v>
      </c>
      <c r="G769" s="2" t="n">
        <f aca="false">F769*(1-G$755)+F768*G$755</f>
        <v>0</v>
      </c>
      <c r="H769" s="2" t="n">
        <f aca="false">G769*(1-H$755)+G768*H$755</f>
        <v>0</v>
      </c>
      <c r="I769" s="2" t="n">
        <f aca="false">H769*(1-I$755)+H768*I$755</f>
        <v>0</v>
      </c>
      <c r="J769" s="2" t="n">
        <f aca="false">I769*(1-J$755)+I768*J$755</f>
        <v>0</v>
      </c>
      <c r="K769" s="2" t="n">
        <f aca="false">J769*(1-K$755)+J768*K$755</f>
        <v>0</v>
      </c>
      <c r="L769" s="2" t="n">
        <f aca="false">K769*(1-L$755)+K768*L$755</f>
        <v>0</v>
      </c>
      <c r="M769" s="2" t="n">
        <f aca="false">L769*(1-M$755)+L768*M$755</f>
        <v>0</v>
      </c>
      <c r="N769" s="2" t="n">
        <f aca="false">M769*(1-N$755)+M768*N$755</f>
        <v>0</v>
      </c>
      <c r="O769" s="2" t="n">
        <f aca="false">N769*(1-O$755)+N768*O$755</f>
        <v>0</v>
      </c>
    </row>
    <row r="771" customFormat="false" ht="15" hidden="false" customHeight="false" outlineLevel="0" collapsed="false">
      <c r="A771" s="1" t="s">
        <v>106</v>
      </c>
      <c r="C771" s="2" t="n">
        <f aca="false">Schedule!G50</f>
        <v>0.0482062816775056</v>
      </c>
      <c r="D771" s="2" t="n">
        <f aca="false">Schedule!L50</f>
        <v>0.675894892863138</v>
      </c>
      <c r="E771" s="2" t="n">
        <f aca="false">Schedule!Q50</f>
        <v>0.921098604654847</v>
      </c>
      <c r="F771" s="2" t="n">
        <f aca="false">Schedule!V50</f>
        <v>0.704538857537264</v>
      </c>
      <c r="G771" s="2" t="n">
        <f aca="false">Schedule!AA50</f>
        <v>0.833665030507882</v>
      </c>
      <c r="H771" s="2" t="n">
        <f aca="false">Schedule!AF50</f>
        <v>0.598706325682924</v>
      </c>
      <c r="I771" s="2" t="n">
        <f aca="false">Schedule!AK50</f>
        <v>0.666856699123512</v>
      </c>
      <c r="J771" s="2" t="n">
        <f aca="false">Schedule!AP50</f>
        <v>0.727825622398045</v>
      </c>
      <c r="K771" s="2" t="n">
        <f aca="false">Schedule!AU50</f>
        <v>0.812595116901775</v>
      </c>
      <c r="L771" s="2" t="n">
        <f aca="false">Schedule!AZ50</f>
        <v>0.795314204652747</v>
      </c>
      <c r="M771" s="2" t="n">
        <f aca="false">Schedule!BE50</f>
        <v>0.666856699123512</v>
      </c>
      <c r="N771" s="2" t="n">
        <f aca="false">Schedule!BJ50</f>
        <v>0.744168358652066</v>
      </c>
      <c r="O771" s="2" t="n">
        <f aca="false">Schedule!BO50</f>
        <v>0</v>
      </c>
    </row>
    <row r="772" customFormat="false" ht="15" hidden="false" customHeight="false" outlineLevel="0" collapsed="false">
      <c r="B772" s="2" t="n">
        <v>0</v>
      </c>
      <c r="C772" s="2" t="n">
        <f aca="false">1-C$771</f>
        <v>0.951793718322495</v>
      </c>
      <c r="D772" s="2" t="n">
        <f aca="false">C772*(1-D$771)</f>
        <v>0.308481205049105</v>
      </c>
      <c r="E772" s="2" t="n">
        <f aca="false">D772*(1-E$771)</f>
        <v>0.0243395975161285</v>
      </c>
      <c r="F772" s="2" t="n">
        <f aca="false">E772*(1-F$771)</f>
        <v>0.0071914052891985</v>
      </c>
      <c r="G772" s="2" t="n">
        <f aca="false">F772*(1-G$771)</f>
        <v>0.00119618217938429</v>
      </c>
      <c r="H772" s="2" t="n">
        <f aca="false">G772*(1-H$771)</f>
        <v>0.000480020341917731</v>
      </c>
      <c r="I772" s="2" t="n">
        <f aca="false">H772*(1-I$771)</f>
        <v>0.000159915561194333</v>
      </c>
      <c r="J772" s="2" t="n">
        <f aca="false">I772*(1-J$771)</f>
        <v>4.35249183369351E-005</v>
      </c>
      <c r="K772" s="2" t="n">
        <f aca="false">J772*(1-K$771)</f>
        <v>8.15678223279309E-006</v>
      </c>
      <c r="L772" s="2" t="n">
        <f aca="false">K772*(1-L$771)</f>
        <v>1.66957745879359E-006</v>
      </c>
      <c r="M772" s="2" t="n">
        <f aca="false">L772*(1-M$771)</f>
        <v>5.56208545691477E-007</v>
      </c>
      <c r="N772" s="2" t="n">
        <f aca="false">M772*(1-N$771)</f>
        <v>1.42295745175998E-007</v>
      </c>
      <c r="O772" s="2" t="n">
        <f aca="false">N772*(1-O$771)</f>
        <v>1.42295745175998E-007</v>
      </c>
    </row>
    <row r="773" customFormat="false" ht="15" hidden="false" customHeight="false" outlineLevel="0" collapsed="false">
      <c r="B773" s="2" t="n">
        <v>1</v>
      </c>
      <c r="C773" s="2" t="n">
        <f aca="false">C$771</f>
        <v>0.0482062816775056</v>
      </c>
      <c r="D773" s="2" t="n">
        <f aca="false">C773*(1-D$771)+C772*D$771</f>
        <v>0.658936415361148</v>
      </c>
      <c r="E773" s="2" t="n">
        <f aca="false">D773*(1-E$771)+D772*E$771</f>
        <v>0.336132610148704</v>
      </c>
      <c r="F773" s="2" t="n">
        <f aca="false">E773*(1-F$771)+E772*F$771</f>
        <v>0.116462317240447</v>
      </c>
      <c r="G773" s="2" t="n">
        <f aca="false">F773*(1-G$771)+F772*G$771</f>
        <v>0.0253669790949855</v>
      </c>
      <c r="H773" s="2" t="n">
        <f aca="false">G773*(1-H$771)+G772*H$771</f>
        <v>0.0108957700848177</v>
      </c>
      <c r="I773" s="2" t="n">
        <f aca="false">H773*(1-I$771)+H772*I$771</f>
        <v>0.00394995759237087</v>
      </c>
      <c r="J773" s="2" t="n">
        <f aca="false">I773*(1-J$771)+I772*J$771</f>
        <v>0.00119146789211506</v>
      </c>
      <c r="K773" s="2" t="n">
        <f aca="false">J773*(1-K$771)+J772*K$771</f>
        <v>0.000258655037141253</v>
      </c>
      <c r="L773" s="2" t="n">
        <f aca="false">K773*(1-L$771)+K772*L$771</f>
        <v>5.943021677183E-005</v>
      </c>
      <c r="M773" s="2" t="n">
        <f aca="false">L773*(1-M$771)+L772*M$771</f>
        <v>2.09121475002748E-005</v>
      </c>
      <c r="N773" s="2" t="n">
        <f aca="false">M773*(1-N$771)+M772*N$771</f>
        <v>5.76390181962087E-006</v>
      </c>
      <c r="O773" s="2" t="n">
        <f aca="false">N773*(1-O$771)+N772*O$771</f>
        <v>5.76390181962087E-006</v>
      </c>
    </row>
    <row r="774" customFormat="false" ht="15" hidden="false" customHeight="false" outlineLevel="0" collapsed="false">
      <c r="B774" s="2" t="n">
        <v>2</v>
      </c>
      <c r="C774" s="2" t="n">
        <f aca="false">0</f>
        <v>0</v>
      </c>
      <c r="D774" s="2" t="n">
        <f aca="false">C774*(1-D$771)+C773*D$771</f>
        <v>0.0325823795897479</v>
      </c>
      <c r="E774" s="2" t="n">
        <f aca="false">D774*(1-E$771)+D773*E$771</f>
        <v>0.609516207958717</v>
      </c>
      <c r="F774" s="2" t="n">
        <f aca="false">E774*(1-F$771)+E773*F$771</f>
        <v>0.416906840288223</v>
      </c>
      <c r="G774" s="2" t="n">
        <f aca="false">F774*(1-G$771)+F773*G$771</f>
        <v>0.166436747815673</v>
      </c>
      <c r="H774" s="2" t="n">
        <f aca="false">G774*(1-H$771)+G773*H$771</f>
        <v>0.0819773849199705</v>
      </c>
      <c r="I774" s="2" t="n">
        <f aca="false">H774*(1-I$771)+H773*I$771</f>
        <v>0.0345761338826317</v>
      </c>
      <c r="J774" s="2" t="n">
        <f aca="false">I774*(1-J$771)+I773*J$771</f>
        <v>0.0122856180625004</v>
      </c>
      <c r="K774" s="2" t="n">
        <f aca="false">J774*(1-K$771)+J773*K$771</f>
        <v>0.00327056580787027</v>
      </c>
      <c r="L774" s="2" t="n">
        <f aca="false">K774*(1-L$771)+K773*L$771</f>
        <v>0.000875150388762878</v>
      </c>
      <c r="M774" s="2" t="n">
        <f aca="false">L774*(1-M$771)+L773*M$771</f>
        <v>0.000331181927460464</v>
      </c>
      <c r="N774" s="2" t="n">
        <f aca="false">M774*(1-N$771)+M773*N$771</f>
        <v>0.000100288974568152</v>
      </c>
      <c r="O774" s="2" t="n">
        <f aca="false">N774*(1-O$771)+N773*O$771</f>
        <v>0.000100288974568152</v>
      </c>
    </row>
    <row r="775" customFormat="false" ht="15" hidden="false" customHeight="false" outlineLevel="0" collapsed="false">
      <c r="B775" s="2" t="n">
        <v>3</v>
      </c>
      <c r="C775" s="2" t="n">
        <f aca="false">0</f>
        <v>0</v>
      </c>
      <c r="D775" s="2" t="n">
        <f aca="false">C775*(1-D$771)+C774*D$771</f>
        <v>0</v>
      </c>
      <c r="E775" s="2" t="n">
        <f aca="false">D775*(1-E$771)+D774*E$771</f>
        <v>0.0300115843764513</v>
      </c>
      <c r="F775" s="2" t="n">
        <f aca="false">E775*(1-F$771)+E774*F$771</f>
        <v>0.438295109812663</v>
      </c>
      <c r="G775" s="2" t="n">
        <f aca="false">F775*(1-G$771)+F774*G$771</f>
        <v>0.42046445744706</v>
      </c>
      <c r="H775" s="2" t="n">
        <f aca="false">G775*(1-H$771)+G774*H$771</f>
        <v>0.268376460792004</v>
      </c>
      <c r="I775" s="2" t="n">
        <f aca="false">H775*(1-I$771)+H774*I$771</f>
        <v>0.144074988336307</v>
      </c>
      <c r="J775" s="2" t="n">
        <f aca="false">I775*(1-J$771)+I774*J$771</f>
        <v>0.0643789164416877</v>
      </c>
      <c r="K775" s="2" t="n">
        <f aca="false">J775*(1-K$771)+J774*K$771</f>
        <v>0.0220481565554529</v>
      </c>
      <c r="L775" s="2" t="n">
        <f aca="false">K775*(1-L$771)+K774*L$771</f>
        <v>0.00711407190474443</v>
      </c>
      <c r="M775" s="2" t="n">
        <f aca="false">L775*(1-M$771)+L774*M$771</f>
        <v>0.00295360529650632</v>
      </c>
      <c r="N775" s="2" t="n">
        <f aca="false">M775*(1-N$771)+M774*N$771</f>
        <v>0.00100208080227264</v>
      </c>
      <c r="O775" s="2" t="n">
        <f aca="false">N775*(1-O$771)+N774*O$771</f>
        <v>0.00100208080227264</v>
      </c>
    </row>
    <row r="776" customFormat="false" ht="15" hidden="false" customHeight="false" outlineLevel="0" collapsed="false">
      <c r="B776" s="2" t="n">
        <v>4</v>
      </c>
      <c r="C776" s="2" t="n">
        <f aca="false">0</f>
        <v>0</v>
      </c>
      <c r="D776" s="2" t="n">
        <f aca="false">C776*(1-D$771)+C775*D$771</f>
        <v>0</v>
      </c>
      <c r="E776" s="2" t="n">
        <f aca="false">D776*(1-E$771)+D775*E$771</f>
        <v>0</v>
      </c>
      <c r="F776" s="2" t="n">
        <f aca="false">E776*(1-F$771)+E775*F$771</f>
        <v>0.0211443273694682</v>
      </c>
      <c r="G776" s="2" t="n">
        <f aca="false">F776*(1-G$771)+F775*G$771</f>
        <v>0.368908347141361</v>
      </c>
      <c r="H776" s="2" t="n">
        <f aca="false">G776*(1-H$771)+G775*H$771</f>
        <v>0.399775316508989</v>
      </c>
      <c r="I776" s="2" t="n">
        <f aca="false">H776*(1-I$771)+H775*I$771</f>
        <v>0.312151109316954</v>
      </c>
      <c r="J776" s="2" t="n">
        <f aca="false">I776*(1-J$771)+I775*J$771</f>
        <v>0.189821001953965</v>
      </c>
      <c r="K776" s="2" t="n">
        <f aca="false">J776*(1-K$771)+J775*K$771</f>
        <v>0.0878873758127136</v>
      </c>
      <c r="L776" s="2" t="n">
        <f aca="false">K776*(1-L$771)+K775*L$771</f>
        <v>0.0355245095141675</v>
      </c>
      <c r="M776" s="2" t="n">
        <f aca="false">L776*(1-M$771)+L775*M$771</f>
        <v>0.0165788188692931</v>
      </c>
      <c r="N776" s="2" t="n">
        <f aca="false">M776*(1-N$771)+M775*N$771</f>
        <v>0.00643936604854852</v>
      </c>
      <c r="O776" s="2" t="n">
        <f aca="false">N776*(1-O$771)+N775*O$771</f>
        <v>0.00643936604854852</v>
      </c>
    </row>
    <row r="777" customFormat="false" ht="15" hidden="false" customHeight="false" outlineLevel="0" collapsed="false">
      <c r="B777" s="2" t="n">
        <v>5</v>
      </c>
      <c r="C777" s="2" t="n">
        <f aca="false">0</f>
        <v>0</v>
      </c>
      <c r="D777" s="2" t="n">
        <f aca="false">C777*(1-D$771)+C776*D$771</f>
        <v>0</v>
      </c>
      <c r="E777" s="2" t="n">
        <f aca="false">D777*(1-E$771)+D776*E$771</f>
        <v>0</v>
      </c>
      <c r="F777" s="2" t="n">
        <f aca="false">E777*(1-F$771)+E776*F$771</f>
        <v>0</v>
      </c>
      <c r="G777" s="2" t="n">
        <f aca="false">F777*(1-G$771)+F776*G$771</f>
        <v>0.0176272863215364</v>
      </c>
      <c r="H777" s="2" t="n">
        <f aca="false">G777*(1-H$771)+G776*H$771</f>
        <v>0.227941479526973</v>
      </c>
      <c r="I777" s="2" t="n">
        <f aca="false">H777*(1-I$771)+H776*I$771</f>
        <v>0.342530024854528</v>
      </c>
      <c r="J777" s="2" t="n">
        <f aca="false">I777*(1-J$771)+I776*J$771</f>
        <v>0.320419471745615</v>
      </c>
      <c r="K777" s="2" t="n">
        <f aca="false">J777*(1-K$771)+J776*K$771</f>
        <v>0.214295792918076</v>
      </c>
      <c r="L777" s="2" t="n">
        <f aca="false">K777*(1-L$771)+K776*L$771</f>
        <v>0.113761383206512</v>
      </c>
      <c r="M777" s="2" t="n">
        <f aca="false">L777*(1-M$771)+L776*M$771</f>
        <v>0.061588599866292</v>
      </c>
      <c r="N777" s="2" t="n">
        <f aca="false">M777*(1-N$771)+M776*N$771</f>
        <v>0.0280937450184664</v>
      </c>
      <c r="O777" s="2" t="n">
        <f aca="false">N777*(1-O$771)+N776*O$771</f>
        <v>0.0280937450184664</v>
      </c>
    </row>
    <row r="778" customFormat="false" ht="15" hidden="false" customHeight="false" outlineLevel="0" collapsed="false">
      <c r="B778" s="2" t="n">
        <v>6</v>
      </c>
      <c r="C778" s="2" t="n">
        <f aca="false">0</f>
        <v>0</v>
      </c>
      <c r="D778" s="2" t="n">
        <f aca="false">C778*(1-D$771)+C777*D$771</f>
        <v>0</v>
      </c>
      <c r="E778" s="2" t="n">
        <f aca="false">D778*(1-E$771)+D777*E$771</f>
        <v>0</v>
      </c>
      <c r="F778" s="2" t="n">
        <f aca="false">E778*(1-F$771)+E777*F$771</f>
        <v>0</v>
      </c>
      <c r="G778" s="2" t="n">
        <f aca="false">F778*(1-G$771)+F777*G$771</f>
        <v>0</v>
      </c>
      <c r="H778" s="2" t="n">
        <f aca="false">G778*(1-H$771)+G777*H$771</f>
        <v>0.0105535678253279</v>
      </c>
      <c r="I778" s="2" t="n">
        <f aca="false">H778*(1-I$771)+H777*I$771</f>
        <v>0.15552015305204</v>
      </c>
      <c r="J778" s="2" t="n">
        <f aca="false">I778*(1-J$771)+I777*J$771</f>
        <v>0.291630729391265</v>
      </c>
      <c r="K778" s="2" t="n">
        <f aca="false">J778*(1-K$771)+J777*K$771</f>
        <v>0.315024320850153</v>
      </c>
      <c r="L778" s="2" t="n">
        <f aca="false">K778*(1-L$771)+K777*L$771</f>
        <v>0.234913491772012</v>
      </c>
      <c r="M778" s="2" t="n">
        <f aca="false">L778*(1-M$771)+L777*M$771</f>
        <v>0.154122396562169</v>
      </c>
      <c r="N778" s="2" t="n">
        <f aca="false">M778*(1-N$771)+M777*N$771</f>
        <v>0.0852616729551543</v>
      </c>
      <c r="O778" s="2" t="n">
        <f aca="false">N778*(1-O$771)+N777*O$771</f>
        <v>0.0852616729551543</v>
      </c>
    </row>
    <row r="779" customFormat="false" ht="15" hidden="false" customHeight="false" outlineLevel="0" collapsed="false">
      <c r="B779" s="2" t="n">
        <v>7</v>
      </c>
      <c r="C779" s="2" t="n">
        <f aca="false">0</f>
        <v>0</v>
      </c>
      <c r="D779" s="2" t="n">
        <f aca="false">C779*(1-D$771)+C778*D$771</f>
        <v>0</v>
      </c>
      <c r="E779" s="2" t="n">
        <f aca="false">D779*(1-E$771)+D778*E$771</f>
        <v>0</v>
      </c>
      <c r="F779" s="2" t="n">
        <f aca="false">E779*(1-F$771)+E778*F$771</f>
        <v>0</v>
      </c>
      <c r="G779" s="2" t="n">
        <f aca="false">F779*(1-G$771)+F778*G$771</f>
        <v>0</v>
      </c>
      <c r="H779" s="2" t="n">
        <f aca="false">G779*(1-H$771)+G778*H$771</f>
        <v>0</v>
      </c>
      <c r="I779" s="2" t="n">
        <f aca="false">H779*(1-I$771)+H778*I$771</f>
        <v>0.00703771740397426</v>
      </c>
      <c r="J779" s="2" t="n">
        <f aca="false">I779*(1-J$771)+I778*J$771</f>
        <v>0.115107038544706</v>
      </c>
      <c r="K779" s="2" t="n">
        <f aca="false">J779*(1-K$771)+J778*K$771</f>
        <v>0.258549327744098</v>
      </c>
      <c r="L779" s="2" t="n">
        <f aca="false">K779*(1-L$771)+K778*L$771</f>
        <v>0.30346469196901</v>
      </c>
      <c r="M779" s="2" t="n">
        <f aca="false">L779*(1-M$771)+L778*M$771</f>
        <v>0.257750864884685</v>
      </c>
      <c r="N779" s="2" t="n">
        <f aca="false">M779*(1-N$771)+M778*N$771</f>
        <v>0.180633837703491</v>
      </c>
      <c r="O779" s="2" t="n">
        <f aca="false">N779*(1-O$771)+N778*O$771</f>
        <v>0.180633837703491</v>
      </c>
    </row>
    <row r="780" customFormat="false" ht="15" hidden="false" customHeight="false" outlineLevel="0" collapsed="false">
      <c r="B780" s="2" t="n">
        <v>8</v>
      </c>
      <c r="C780" s="2" t="n">
        <f aca="false">0</f>
        <v>0</v>
      </c>
      <c r="D780" s="2" t="n">
        <f aca="false">C780*(1-D$771)+C779*D$771</f>
        <v>0</v>
      </c>
      <c r="E780" s="2" t="n">
        <f aca="false">D780*(1-E$771)+D779*E$771</f>
        <v>0</v>
      </c>
      <c r="F780" s="2" t="n">
        <f aca="false">E780*(1-F$771)+E779*F$771</f>
        <v>0</v>
      </c>
      <c r="G780" s="2" t="n">
        <f aca="false">F780*(1-G$771)+F779*G$771</f>
        <v>0</v>
      </c>
      <c r="H780" s="2" t="n">
        <f aca="false">G780*(1-H$771)+G779*H$771</f>
        <v>0</v>
      </c>
      <c r="I780" s="2" t="n">
        <f aca="false">H780*(1-I$771)+H779*I$771</f>
        <v>0</v>
      </c>
      <c r="J780" s="2" t="n">
        <f aca="false">I780*(1-J$771)+I779*J$771</f>
        <v>0.00512223104980912</v>
      </c>
      <c r="K780" s="2" t="n">
        <f aca="false">J780*(1-K$771)+J779*K$771</f>
        <v>0.0944953485535438</v>
      </c>
      <c r="L780" s="2" t="n">
        <f aca="false">K780*(1-L$771)+K779*L$771</f>
        <v>0.224969808533598</v>
      </c>
      <c r="M780" s="2" t="n">
        <f aca="false">L780*(1-M$771)+L779*M$771</f>
        <v>0.277314647399422</v>
      </c>
      <c r="N780" s="2" t="n">
        <f aca="false">M780*(1-N$771)+M779*N$771</f>
        <v>0.262755899476404</v>
      </c>
      <c r="O780" s="2" t="n">
        <f aca="false">N780*(1-O$771)+N779*O$771</f>
        <v>0.262755899476404</v>
      </c>
    </row>
    <row r="781" customFormat="false" ht="15" hidden="false" customHeight="false" outlineLevel="0" collapsed="false">
      <c r="B781" s="2" t="n">
        <v>9</v>
      </c>
      <c r="C781" s="2" t="n">
        <f aca="false">0</f>
        <v>0</v>
      </c>
      <c r="D781" s="2" t="n">
        <f aca="false">C781*(1-D$771)+C780*D$771</f>
        <v>0</v>
      </c>
      <c r="E781" s="2" t="n">
        <f aca="false">D781*(1-E$771)+D780*E$771</f>
        <v>0</v>
      </c>
      <c r="F781" s="2" t="n">
        <f aca="false">E781*(1-F$771)+E780*F$771</f>
        <v>0</v>
      </c>
      <c r="G781" s="2" t="n">
        <f aca="false">F781*(1-G$771)+F780*G$771</f>
        <v>0</v>
      </c>
      <c r="H781" s="2" t="n">
        <f aca="false">G781*(1-H$771)+G780*H$771</f>
        <v>0</v>
      </c>
      <c r="I781" s="2" t="n">
        <f aca="false">H781*(1-I$771)+H780*I$771</f>
        <v>0</v>
      </c>
      <c r="J781" s="2" t="n">
        <f aca="false">I781*(1-J$771)+I780*J$771</f>
        <v>0</v>
      </c>
      <c r="K781" s="2" t="n">
        <f aca="false">J781*(1-K$771)+J780*K$771</f>
        <v>0.00416229993871754</v>
      </c>
      <c r="L781" s="2" t="n">
        <f aca="false">K781*(1-L$771)+K780*L$771</f>
        <v>0.076005456651676</v>
      </c>
      <c r="M781" s="2" t="n">
        <f aca="false">L781*(1-M$771)+L780*M$771</f>
        <v>0.175343332634728</v>
      </c>
      <c r="N781" s="2" t="n">
        <f aca="false">M781*(1-N$771)+M780*N$771</f>
        <v>0.251227158572763</v>
      </c>
      <c r="O781" s="2" t="n">
        <f aca="false">N781*(1-O$771)+N780*O$771</f>
        <v>0.251227158572763</v>
      </c>
    </row>
    <row r="782" customFormat="false" ht="15" hidden="false" customHeight="false" outlineLevel="0" collapsed="false">
      <c r="B782" s="2" t="n">
        <v>10</v>
      </c>
      <c r="C782" s="2" t="n">
        <f aca="false">0</f>
        <v>0</v>
      </c>
      <c r="D782" s="2" t="n">
        <f aca="false">C782*(1-D$771)+C781*D$771</f>
        <v>0</v>
      </c>
      <c r="E782" s="2" t="n">
        <f aca="false">D782*(1-E$771)+D781*E$771</f>
        <v>0</v>
      </c>
      <c r="F782" s="2" t="n">
        <f aca="false">E782*(1-F$771)+E781*F$771</f>
        <v>0</v>
      </c>
      <c r="G782" s="2" t="n">
        <f aca="false">F782*(1-G$771)+F781*G$771</f>
        <v>0</v>
      </c>
      <c r="H782" s="2" t="n">
        <f aca="false">G782*(1-H$771)+G781*H$771</f>
        <v>0</v>
      </c>
      <c r="I782" s="2" t="n">
        <f aca="false">H782*(1-I$771)+H781*I$771</f>
        <v>0</v>
      </c>
      <c r="J782" s="2" t="n">
        <f aca="false">I782*(1-J$771)+I781*J$771</f>
        <v>0</v>
      </c>
      <c r="K782" s="2" t="n">
        <f aca="false">J782*(1-K$771)+J781*K$771</f>
        <v>0</v>
      </c>
      <c r="L782" s="2" t="n">
        <f aca="false">K782*(1-L$771)+K781*L$771</f>
        <v>0.00331033626528732</v>
      </c>
      <c r="M782" s="2" t="n">
        <f aca="false">L782*(1-M$771)+L781*M$771</f>
        <v>0.0517875642885408</v>
      </c>
      <c r="N782" s="2" t="n">
        <f aca="false">M782*(1-N$771)+M781*N$771</f>
        <v>0.143733857620718</v>
      </c>
      <c r="O782" s="2" t="n">
        <f aca="false">N782*(1-O$771)+N781*O$771</f>
        <v>0.143733857620718</v>
      </c>
    </row>
    <row r="783" customFormat="false" ht="15" hidden="false" customHeight="false" outlineLevel="0" collapsed="false">
      <c r="B783" s="2" t="n">
        <v>11</v>
      </c>
      <c r="C783" s="2" t="n">
        <f aca="false">0</f>
        <v>0</v>
      </c>
      <c r="D783" s="2" t="n">
        <f aca="false">C783*(1-D$771)+C782*D$771</f>
        <v>0</v>
      </c>
      <c r="E783" s="2" t="n">
        <f aca="false">D783*(1-E$771)+D782*E$771</f>
        <v>0</v>
      </c>
      <c r="F783" s="2" t="n">
        <f aca="false">E783*(1-F$771)+E782*F$771</f>
        <v>0</v>
      </c>
      <c r="G783" s="2" t="n">
        <f aca="false">F783*(1-G$771)+F782*G$771</f>
        <v>0</v>
      </c>
      <c r="H783" s="2" t="n">
        <f aca="false">G783*(1-H$771)+G782*H$771</f>
        <v>0</v>
      </c>
      <c r="I783" s="2" t="n">
        <f aca="false">H783*(1-I$771)+H782*I$771</f>
        <v>0</v>
      </c>
      <c r="J783" s="2" t="n">
        <f aca="false">I783*(1-J$771)+I782*J$771</f>
        <v>0</v>
      </c>
      <c r="K783" s="2" t="n">
        <f aca="false">J783*(1-K$771)+J782*K$771</f>
        <v>0</v>
      </c>
      <c r="L783" s="2" t="n">
        <f aca="false">K783*(1-L$771)+K782*L$771</f>
        <v>0</v>
      </c>
      <c r="M783" s="2" t="n">
        <f aca="false">L783*(1-M$771)+L782*M$771</f>
        <v>0.00220751991485836</v>
      </c>
      <c r="N783" s="2" t="n">
        <f aca="false">M783*(1-N$771)+M782*N$771</f>
        <v>0.0391034201583182</v>
      </c>
      <c r="O783" s="2" t="n">
        <f aca="false">N783*(1-O$771)+N782*O$771</f>
        <v>0.0391034201583182</v>
      </c>
    </row>
    <row r="784" customFormat="false" ht="15" hidden="false" customHeight="false" outlineLevel="0" collapsed="false">
      <c r="B784" s="2" t="n">
        <v>12</v>
      </c>
      <c r="C784" s="2" t="n">
        <f aca="false">0</f>
        <v>0</v>
      </c>
      <c r="D784" s="2" t="n">
        <f aca="false">C784*(1-D$771)+C783*D$771</f>
        <v>0</v>
      </c>
      <c r="E784" s="2" t="n">
        <f aca="false">D784*(1-E$771)+D783*E$771</f>
        <v>0</v>
      </c>
      <c r="F784" s="2" t="n">
        <f aca="false">E784*(1-F$771)+E783*F$771</f>
        <v>0</v>
      </c>
      <c r="G784" s="2" t="n">
        <f aca="false">F784*(1-G$771)+F783*G$771</f>
        <v>0</v>
      </c>
      <c r="H784" s="2" t="n">
        <f aca="false">G784*(1-H$771)+G783*H$771</f>
        <v>0</v>
      </c>
      <c r="I784" s="2" t="n">
        <f aca="false">H784*(1-I$771)+H783*I$771</f>
        <v>0</v>
      </c>
      <c r="J784" s="2" t="n">
        <f aca="false">I784*(1-J$771)+I783*J$771</f>
        <v>0</v>
      </c>
      <c r="K784" s="2" t="n">
        <f aca="false">J784*(1-K$771)+J783*K$771</f>
        <v>0</v>
      </c>
      <c r="L784" s="2" t="n">
        <f aca="false">K784*(1-L$771)+K783*L$771</f>
        <v>0</v>
      </c>
      <c r="M784" s="2" t="n">
        <f aca="false">L784*(1-M$771)+L783*M$771</f>
        <v>0</v>
      </c>
      <c r="N784" s="2" t="n">
        <f aca="false">M784*(1-N$771)+M783*N$771</f>
        <v>0.00164276647173189</v>
      </c>
      <c r="O784" s="2" t="n">
        <f aca="false">N784*(1-O$771)+N783*O$771</f>
        <v>0.00164276647173189</v>
      </c>
    </row>
    <row r="785" customFormat="false" ht="15" hidden="false" customHeight="false" outlineLevel="0" collapsed="false">
      <c r="B785" s="2" t="n">
        <v>13</v>
      </c>
      <c r="C785" s="2" t="n">
        <f aca="false">0</f>
        <v>0</v>
      </c>
      <c r="D785" s="2" t="n">
        <f aca="false">C785*(1-D$771)+C784*D$771</f>
        <v>0</v>
      </c>
      <c r="E785" s="2" t="n">
        <f aca="false">D785*(1-E$771)+D784*E$771</f>
        <v>0</v>
      </c>
      <c r="F785" s="2" t="n">
        <f aca="false">E785*(1-F$771)+E784*F$771</f>
        <v>0</v>
      </c>
      <c r="G785" s="2" t="n">
        <f aca="false">F785*(1-G$771)+F784*G$771</f>
        <v>0</v>
      </c>
      <c r="H785" s="2" t="n">
        <f aca="false">G785*(1-H$771)+G784*H$771</f>
        <v>0</v>
      </c>
      <c r="I785" s="2" t="n">
        <f aca="false">H785*(1-I$771)+H784*I$771</f>
        <v>0</v>
      </c>
      <c r="J785" s="2" t="n">
        <f aca="false">I785*(1-J$771)+I784*J$771</f>
        <v>0</v>
      </c>
      <c r="K785" s="2" t="n">
        <f aca="false">J785*(1-K$771)+J784*K$771</f>
        <v>0</v>
      </c>
      <c r="L785" s="2" t="n">
        <f aca="false">K785*(1-L$771)+K784*L$771</f>
        <v>0</v>
      </c>
      <c r="M785" s="2" t="n">
        <f aca="false">L785*(1-M$771)+L784*M$771</f>
        <v>0</v>
      </c>
      <c r="N785" s="2" t="n">
        <f aca="false">M785*(1-N$771)+M784*N$771</f>
        <v>0</v>
      </c>
      <c r="O785" s="2" t="n">
        <f aca="false">N785*(1-O$771)+N784*O$771</f>
        <v>0</v>
      </c>
    </row>
    <row r="787" customFormat="false" ht="15" hidden="false" customHeight="false" outlineLevel="0" collapsed="false">
      <c r="A787" s="1" t="s">
        <v>107</v>
      </c>
      <c r="C787" s="2" t="n">
        <f aca="false">Schedule!G51</f>
        <v>0.877483787656951</v>
      </c>
      <c r="D787" s="2" t="n">
        <f aca="false">Schedule!L51</f>
        <v>0.666856699123512</v>
      </c>
      <c r="E787" s="2" t="n">
        <f aca="false">Schedule!Q51</f>
        <v>0.0735292596096483</v>
      </c>
      <c r="F787" s="2" t="n">
        <f aca="false">Schedule!V51</f>
        <v>0.295461142462736</v>
      </c>
      <c r="G787" s="2" t="n">
        <f aca="false">Schedule!AA51</f>
        <v>0.979510874525774</v>
      </c>
      <c r="H787" s="2" t="n">
        <f aca="false">Schedule!AF51</f>
        <v>0.509972518195238</v>
      </c>
      <c r="I787" s="2" t="n">
        <f aca="false">Schedule!AK51</f>
        <v>0.620292847240567</v>
      </c>
      <c r="J787" s="2" t="n">
        <f aca="false">Schedule!AP51</f>
        <v>0.0482062816775056</v>
      </c>
      <c r="K787" s="2" t="n">
        <f aca="false">Schedule!AU51</f>
        <v>0.330874388040879</v>
      </c>
      <c r="L787" s="2" t="n">
        <f aca="false">Schedule!AZ51</f>
        <v>0.0299689595332247</v>
      </c>
      <c r="M787" s="2" t="n">
        <f aca="false">Schedule!BE51</f>
        <v>0.41098963713127</v>
      </c>
      <c r="N787" s="2" t="n">
        <f aca="false">Schedule!BJ51</f>
        <v>0.430539816792326</v>
      </c>
      <c r="O787" s="2" t="n">
        <f aca="false">Schedule!BO51</f>
        <v>0</v>
      </c>
    </row>
    <row r="788" customFormat="false" ht="15" hidden="false" customHeight="false" outlineLevel="0" collapsed="false">
      <c r="B788" s="2" t="n">
        <v>0</v>
      </c>
      <c r="C788" s="2" t="n">
        <f aca="false">1-C$787</f>
        <v>0.122516212343049</v>
      </c>
      <c r="D788" s="2" t="n">
        <f aca="false">C788*(1-D$787)</f>
        <v>0.0408154553908482</v>
      </c>
      <c r="E788" s="2" t="n">
        <f aca="false">D788*(1-E$787)</f>
        <v>0.0378143251753285</v>
      </c>
      <c r="F788" s="2" t="n">
        <f aca="false">E788*(1-F$787)</f>
        <v>0.0266416614575686</v>
      </c>
      <c r="G788" s="2" t="n">
        <f aca="false">F788*(1-G$787)</f>
        <v>0.00054586434444597</v>
      </c>
      <c r="H788" s="2" t="n">
        <f aca="false">G788*(1-H$787)</f>
        <v>0.000267488530115866</v>
      </c>
      <c r="I788" s="2" t="n">
        <f aca="false">H788*(1-I$787)</f>
        <v>0.000101567308166101</v>
      </c>
      <c r="J788" s="2" t="n">
        <f aca="false">I788*(1-J$787)</f>
        <v>9.66711258994203E-005</v>
      </c>
      <c r="K788" s="2" t="n">
        <f aca="false">J788*(1-K$787)</f>
        <v>6.46851262762268E-005</v>
      </c>
      <c r="L788" s="2" t="n">
        <f aca="false">K788*(1-L$787)</f>
        <v>6.2746580344453E-005</v>
      </c>
      <c r="M788" s="2" t="n">
        <f aca="false">L788*(1-M$787)</f>
        <v>3.69583860574582E-005</v>
      </c>
      <c r="N788" s="2" t="n">
        <f aca="false">M788*(1-N$787)</f>
        <v>2.10463292953401E-005</v>
      </c>
      <c r="O788" s="2" t="n">
        <f aca="false">N788*(1-O$787)</f>
        <v>2.10463292953401E-005</v>
      </c>
    </row>
    <row r="789" customFormat="false" ht="15" hidden="false" customHeight="false" outlineLevel="0" collapsed="false">
      <c r="B789" s="2" t="n">
        <v>1</v>
      </c>
      <c r="C789" s="2" t="n">
        <f aca="false">C$787</f>
        <v>0.877483787656951</v>
      </c>
      <c r="D789" s="2" t="n">
        <f aca="false">C789*(1-D$787)+C788*D$787</f>
        <v>0.374028602437841</v>
      </c>
      <c r="E789" s="2" t="n">
        <f aca="false">D789*(1-E$787)+D788*E$787</f>
        <v>0.349527686443275</v>
      </c>
      <c r="F789" s="2" t="n">
        <f aca="false">E789*(1-F$787)+E788*F$787</f>
        <v>0.257428500602148</v>
      </c>
      <c r="G789" s="2" t="n">
        <f aca="false">F789*(1-G$787)+F788*G$787</f>
        <v>0.0313702819626018</v>
      </c>
      <c r="H789" s="2" t="n">
        <f aca="false">G789*(1-H$787)+G788*H$787</f>
        <v>0.0156506760879692</v>
      </c>
      <c r="I789" s="2" t="n">
        <f aca="false">H789*(1-I$787)+H788*I$787</f>
        <v>0.00610859487807271</v>
      </c>
      <c r="J789" s="2" t="n">
        <f aca="false">I789*(1-J$787)+I788*J$787</f>
        <v>0.00581901841499325</v>
      </c>
      <c r="K789" s="2" t="n">
        <f aca="false">J789*(1-K$787)+J788*K$787</f>
        <v>0.00392564025755694</v>
      </c>
      <c r="L789" s="2" t="n">
        <f aca="false">K789*(1-L$787)+K788*L$787</f>
        <v>0.00380993144946799</v>
      </c>
      <c r="M789" s="2" t="n">
        <f aca="false">L789*(1-M$787)+L788*M$787</f>
        <v>0.00226987729984312</v>
      </c>
      <c r="N789" s="2" t="n">
        <f aca="false">M789*(1-N$787)+M788*N$787</f>
        <v>0.00130851679978972</v>
      </c>
      <c r="O789" s="2" t="n">
        <f aca="false">N789*(1-O$787)+N788*O$787</f>
        <v>0.00130851679978972</v>
      </c>
    </row>
    <row r="790" customFormat="false" ht="15" hidden="false" customHeight="false" outlineLevel="0" collapsed="false">
      <c r="B790" s="2" t="n">
        <v>2</v>
      </c>
      <c r="C790" s="2" t="n">
        <f aca="false">0</f>
        <v>0</v>
      </c>
      <c r="D790" s="2" t="n">
        <f aca="false">C790*(1-D$787)+C789*D$787</f>
        <v>0.585155942171311</v>
      </c>
      <c r="E790" s="2" t="n">
        <f aca="false">D790*(1-E$787)+D789*E$787</f>
        <v>0.569631905197354</v>
      </c>
      <c r="F790" s="2" t="n">
        <f aca="false">E790*(1-F$787)+E789*F$787</f>
        <v>0.504599661263406</v>
      </c>
      <c r="G790" s="2" t="n">
        <f aca="false">F790*(1-G$787)+F789*G$787</f>
        <v>0.262492821526546</v>
      </c>
      <c r="H790" s="2" t="n">
        <f aca="false">G790*(1-H$787)+G789*H$787</f>
        <v>0.144626678013443</v>
      </c>
      <c r="I790" s="2" t="n">
        <f aca="false">H790*(1-I$787)+H789*I$787</f>
        <v>0.0646237865533861</v>
      </c>
      <c r="J790" s="2" t="n">
        <f aca="false">I790*(1-J$787)+I789*J$787</f>
        <v>0.0618029867410727</v>
      </c>
      <c r="K790" s="2" t="n">
        <f aca="false">J790*(1-K$787)+J789*K$787</f>
        <v>0.0432793254810812</v>
      </c>
      <c r="L790" s="2" t="n">
        <f aca="false">K790*(1-L$787)+K789*L$787</f>
        <v>0.0420999364811341</v>
      </c>
      <c r="M790" s="2" t="n">
        <f aca="false">L790*(1-M$787)+L789*M$787</f>
        <v>0.0263631412074152</v>
      </c>
      <c r="N790" s="2" t="n">
        <f aca="false">M790*(1-N$787)+M789*N$787</f>
        <v>0.0159900317787199</v>
      </c>
      <c r="O790" s="2" t="n">
        <f aca="false">N790*(1-O$787)+N789*O$787</f>
        <v>0.0159900317787199</v>
      </c>
    </row>
    <row r="791" customFormat="false" ht="15" hidden="false" customHeight="false" outlineLevel="0" collapsed="false">
      <c r="B791" s="2" t="n">
        <v>3</v>
      </c>
      <c r="C791" s="2" t="n">
        <f aca="false">0</f>
        <v>0</v>
      </c>
      <c r="D791" s="2" t="n">
        <f aca="false">C791*(1-D$787)+C790*D$787</f>
        <v>0</v>
      </c>
      <c r="E791" s="2" t="n">
        <f aca="false">D791*(1-E$787)+D790*E$787</f>
        <v>0.0430260831840426</v>
      </c>
      <c r="F791" s="2" t="n">
        <f aca="false">E791*(1-F$787)+E790*F$787</f>
        <v>0.198617640983624</v>
      </c>
      <c r="G791" s="2" t="n">
        <f aca="false">F791*(1-G$787)+F790*G$787</f>
        <v>0.498330357257036</v>
      </c>
      <c r="H791" s="2" t="n">
        <f aca="false">G791*(1-H$787)+G790*H$787</f>
        <v>0.378059695275599</v>
      </c>
      <c r="I791" s="2" t="n">
        <f aca="false">H791*(1-I$787)+H790*I$787</f>
        <v>0.2332628643581</v>
      </c>
      <c r="J791" s="2" t="n">
        <f aca="false">I791*(1-J$787)+I790*J$787</f>
        <v>0.225133401471611</v>
      </c>
      <c r="K791" s="2" t="n">
        <f aca="false">J791*(1-K$787)+J790*K$787</f>
        <v>0.171091550449181</v>
      </c>
      <c r="L791" s="2" t="n">
        <f aca="false">K791*(1-L$787)+K790*L$787</f>
        <v>0.167261151051261</v>
      </c>
      <c r="M791" s="2" t="n">
        <f aca="false">L791*(1-M$787)+L790*M$787</f>
        <v>0.115821188892175</v>
      </c>
      <c r="N791" s="2" t="n">
        <f aca="false">M791*(1-N$787)+M790*N$787</f>
        <v>0.0773059374313795</v>
      </c>
      <c r="O791" s="2" t="n">
        <f aca="false">N791*(1-O$787)+N790*O$787</f>
        <v>0.0773059374313795</v>
      </c>
    </row>
    <row r="792" customFormat="false" ht="15" hidden="false" customHeight="false" outlineLevel="0" collapsed="false">
      <c r="B792" s="2" t="n">
        <v>4</v>
      </c>
      <c r="C792" s="2" t="n">
        <f aca="false">0</f>
        <v>0</v>
      </c>
      <c r="D792" s="2" t="n">
        <f aca="false">C792*(1-D$787)+C791*D$787</f>
        <v>0</v>
      </c>
      <c r="E792" s="2" t="n">
        <f aca="false">D792*(1-E$787)+D791*E$787</f>
        <v>0</v>
      </c>
      <c r="F792" s="2" t="n">
        <f aca="false">E792*(1-F$787)+E791*F$787</f>
        <v>0.012712535693254</v>
      </c>
      <c r="G792" s="2" t="n">
        <f aca="false">F792*(1-G$787)+F791*G$787</f>
        <v>0.19480860795503</v>
      </c>
      <c r="H792" s="2" t="n">
        <f aca="false">G792*(1-H$787)+G791*H$787</f>
        <v>0.349596358773598</v>
      </c>
      <c r="I792" s="2" t="n">
        <f aca="false">H792*(1-I$787)+H791*I$787</f>
        <v>0.36725196281439</v>
      </c>
      <c r="J792" s="2" t="n">
        <f aca="false">I792*(1-J$787)+I791*J$787</f>
        <v>0.360792846592491</v>
      </c>
      <c r="K792" s="2" t="n">
        <f aca="false">J792*(1-K$787)+J791*K$787</f>
        <v>0.315906610706155</v>
      </c>
      <c r="L792" s="2" t="n">
        <f aca="false">K792*(1-L$787)+K791*L$787</f>
        <v>0.311566654025512</v>
      </c>
      <c r="M792" s="2" t="n">
        <f aca="false">L792*(1-M$787)+L791*M$787</f>
        <v>0.252258587722079</v>
      </c>
      <c r="N792" s="2" t="n">
        <f aca="false">M792*(1-N$787)+M791*N$787</f>
        <v>0.193516855026231</v>
      </c>
      <c r="O792" s="2" t="n">
        <f aca="false">N792*(1-O$787)+N791*O$787</f>
        <v>0.193516855026231</v>
      </c>
    </row>
    <row r="793" customFormat="false" ht="15" hidden="false" customHeight="false" outlineLevel="0" collapsed="false">
      <c r="B793" s="2" t="n">
        <v>5</v>
      </c>
      <c r="C793" s="2" t="n">
        <f aca="false">0</f>
        <v>0</v>
      </c>
      <c r="D793" s="2" t="n">
        <f aca="false">C793*(1-D$787)+C792*D$787</f>
        <v>0</v>
      </c>
      <c r="E793" s="2" t="n">
        <f aca="false">D793*(1-E$787)+D792*E$787</f>
        <v>0</v>
      </c>
      <c r="F793" s="2" t="n">
        <f aca="false">E793*(1-F$787)+E792*F$787</f>
        <v>0</v>
      </c>
      <c r="G793" s="2" t="n">
        <f aca="false">F793*(1-G$787)+F792*G$787</f>
        <v>0.0124520669543393</v>
      </c>
      <c r="H793" s="2" t="n">
        <f aca="false">G793*(1-H$787)+G792*H$787</f>
        <v>0.105448891377835</v>
      </c>
      <c r="I793" s="2" t="n">
        <f aca="false">H793*(1-I$787)+H792*I$787</f>
        <v>0.256891819075326</v>
      </c>
      <c r="J793" s="2" t="n">
        <f aca="false">I793*(1-J$787)+I792*J$787</f>
        <v>0.262211871250381</v>
      </c>
      <c r="K793" s="2" t="n">
        <f aca="false">J793*(1-K$787)+J792*K$787</f>
        <v>0.294829791139175</v>
      </c>
      <c r="L793" s="2" t="n">
        <f aca="false">K793*(1-L$787)+K792*L$787</f>
        <v>0.295461441491867</v>
      </c>
      <c r="M793" s="2" t="n">
        <f aca="false">L793*(1-M$787)+L792*M$787</f>
        <v>0.302080516946992</v>
      </c>
      <c r="N793" s="2" t="n">
        <f aca="false">M793*(1-N$787)+M792*N$787</f>
        <v>0.280630192666258</v>
      </c>
      <c r="O793" s="2" t="n">
        <f aca="false">N793*(1-O$787)+N792*O$787</f>
        <v>0.280630192666258</v>
      </c>
    </row>
    <row r="794" customFormat="false" ht="15" hidden="false" customHeight="false" outlineLevel="0" collapsed="false">
      <c r="B794" s="2" t="n">
        <v>6</v>
      </c>
      <c r="C794" s="2" t="n">
        <f aca="false">0</f>
        <v>0</v>
      </c>
      <c r="D794" s="2" t="n">
        <f aca="false">C794*(1-D$787)+C793*D$787</f>
        <v>0</v>
      </c>
      <c r="E794" s="2" t="n">
        <f aca="false">D794*(1-E$787)+D793*E$787</f>
        <v>0</v>
      </c>
      <c r="F794" s="2" t="n">
        <f aca="false">E794*(1-F$787)+E793*F$787</f>
        <v>0</v>
      </c>
      <c r="G794" s="2" t="n">
        <f aca="false">F794*(1-G$787)+F793*G$787</f>
        <v>0</v>
      </c>
      <c r="H794" s="2" t="n">
        <f aca="false">G794*(1-H$787)+G793*H$787</f>
        <v>0.00635021194144012</v>
      </c>
      <c r="I794" s="2" t="n">
        <f aca="false">H794*(1-I$787)+H793*I$787</f>
        <v>0.0678204139668216</v>
      </c>
      <c r="J794" s="2" t="n">
        <f aca="false">I794*(1-J$787)+I793*J$787</f>
        <v>0.0769348433786439</v>
      </c>
      <c r="K794" s="2" t="n">
        <f aca="false">J794*(1-K$787)+J793*K$787</f>
        <v>0.138238266593738</v>
      </c>
      <c r="L794" s="2" t="n">
        <f aca="false">K794*(1-L$787)+K793*L$787</f>
        <v>0.142931151656086</v>
      </c>
      <c r="M794" s="2" t="n">
        <f aca="false">L794*(1-M$787)+L793*M$787</f>
        <v>0.205619520127221</v>
      </c>
      <c r="N794" s="2" t="n">
        <f aca="false">M794*(1-N$787)+M793*N$787</f>
        <v>0.24714982002561</v>
      </c>
      <c r="O794" s="2" t="n">
        <f aca="false">N794*(1-O$787)+N793*O$787</f>
        <v>0.24714982002561</v>
      </c>
    </row>
    <row r="795" customFormat="false" ht="15" hidden="false" customHeight="false" outlineLevel="0" collapsed="false">
      <c r="B795" s="2" t="n">
        <v>7</v>
      </c>
      <c r="C795" s="2" t="n">
        <f aca="false">0</f>
        <v>0</v>
      </c>
      <c r="D795" s="2" t="n">
        <f aca="false">C795*(1-D$787)+C794*D$787</f>
        <v>0</v>
      </c>
      <c r="E795" s="2" t="n">
        <f aca="false">D795*(1-E$787)+D794*E$787</f>
        <v>0</v>
      </c>
      <c r="F795" s="2" t="n">
        <f aca="false">E795*(1-F$787)+E794*F$787</f>
        <v>0</v>
      </c>
      <c r="G795" s="2" t="n">
        <f aca="false">F795*(1-G$787)+F794*G$787</f>
        <v>0</v>
      </c>
      <c r="H795" s="2" t="n">
        <f aca="false">G795*(1-H$787)+G794*H$787</f>
        <v>0</v>
      </c>
      <c r="I795" s="2" t="n">
        <f aca="false">H795*(1-I$787)+H794*I$787</f>
        <v>0.00393899104573694</v>
      </c>
      <c r="J795" s="2" t="n">
        <f aca="false">I795*(1-J$787)+I794*J$787</f>
        <v>0.00701847691303061</v>
      </c>
      <c r="K795" s="2" t="n">
        <f aca="false">J795*(1-K$787)+J794*K$787</f>
        <v>0.0301520118813823</v>
      </c>
      <c r="L795" s="2" t="n">
        <f aca="false">K795*(1-L$787)+K794*L$787</f>
        <v>0.0333912444749547</v>
      </c>
      <c r="M795" s="2" t="n">
        <f aca="false">L795*(1-M$787)+L794*M$787</f>
        <v>0.0784110111787209</v>
      </c>
      <c r="N795" s="2" t="n">
        <f aca="false">M795*(1-N$787)+M794*N$787</f>
        <v>0.133179339315833</v>
      </c>
      <c r="O795" s="2" t="n">
        <f aca="false">N795*(1-O$787)+N794*O$787</f>
        <v>0.133179339315833</v>
      </c>
    </row>
    <row r="796" customFormat="false" ht="15" hidden="false" customHeight="false" outlineLevel="0" collapsed="false">
      <c r="B796" s="2" t="n">
        <v>8</v>
      </c>
      <c r="C796" s="2" t="n">
        <f aca="false">0</f>
        <v>0</v>
      </c>
      <c r="D796" s="2" t="n">
        <f aca="false">C796*(1-D$787)+C795*D$787</f>
        <v>0</v>
      </c>
      <c r="E796" s="2" t="n">
        <f aca="false">D796*(1-E$787)+D795*E$787</f>
        <v>0</v>
      </c>
      <c r="F796" s="2" t="n">
        <f aca="false">E796*(1-F$787)+E795*F$787</f>
        <v>0</v>
      </c>
      <c r="G796" s="2" t="n">
        <f aca="false">F796*(1-G$787)+F795*G$787</f>
        <v>0</v>
      </c>
      <c r="H796" s="2" t="n">
        <f aca="false">G796*(1-H$787)+G795*H$787</f>
        <v>0</v>
      </c>
      <c r="I796" s="2" t="n">
        <f aca="false">H796*(1-I$787)+H795*I$787</f>
        <v>0</v>
      </c>
      <c r="J796" s="2" t="n">
        <f aca="false">I796*(1-J$787)+I795*J$787</f>
        <v>0.000189884111875967</v>
      </c>
      <c r="K796" s="2" t="n">
        <f aca="false">J796*(1-K$787)+J795*K$787</f>
        <v>0.00244929057613836</v>
      </c>
      <c r="L796" s="2" t="n">
        <f aca="false">K796*(1-L$787)+K795*L$787</f>
        <v>0.00327951230989542</v>
      </c>
      <c r="M796" s="2" t="n">
        <f aca="false">L796*(1-M$787)+L795*M$787</f>
        <v>0.0156551221858071</v>
      </c>
      <c r="N796" s="2" t="n">
        <f aca="false">M796*(1-N$787)+M795*N$787</f>
        <v>0.0426740311354558</v>
      </c>
      <c r="O796" s="2" t="n">
        <f aca="false">N796*(1-O$787)+N795*O$787</f>
        <v>0.0426740311354558</v>
      </c>
    </row>
    <row r="797" customFormat="false" ht="15" hidden="false" customHeight="false" outlineLevel="0" collapsed="false">
      <c r="B797" s="2" t="n">
        <v>9</v>
      </c>
      <c r="C797" s="2" t="n">
        <f aca="false">0</f>
        <v>0</v>
      </c>
      <c r="D797" s="2" t="n">
        <f aca="false">C797*(1-D$787)+C796*D$787</f>
        <v>0</v>
      </c>
      <c r="E797" s="2" t="n">
        <f aca="false">D797*(1-E$787)+D796*E$787</f>
        <v>0</v>
      </c>
      <c r="F797" s="2" t="n">
        <f aca="false">E797*(1-F$787)+E796*F$787</f>
        <v>0</v>
      </c>
      <c r="G797" s="2" t="n">
        <f aca="false">F797*(1-G$787)+F796*G$787</f>
        <v>0</v>
      </c>
      <c r="H797" s="2" t="n">
        <f aca="false">G797*(1-H$787)+G796*H$787</f>
        <v>0</v>
      </c>
      <c r="I797" s="2" t="n">
        <f aca="false">H797*(1-I$787)+H796*I$787</f>
        <v>0</v>
      </c>
      <c r="J797" s="2" t="n">
        <f aca="false">I797*(1-J$787)+I796*J$787</f>
        <v>0</v>
      </c>
      <c r="K797" s="2" t="n">
        <f aca="false">J797*(1-K$787)+J796*K$787</f>
        <v>6.28277893156465E-005</v>
      </c>
      <c r="L797" s="2" t="n">
        <f aca="false">K797*(1-L$787)+K796*L$787</f>
        <v>0.000134347596001483</v>
      </c>
      <c r="M797" s="2" t="n">
        <f aca="false">L797*(1-M$787)+L796*M$787</f>
        <v>0.00142697770048283</v>
      </c>
      <c r="N797" s="2" t="n">
        <f aca="false">M797*(1-N$787)+M796*N$787</f>
        <v>0.0075527604204891</v>
      </c>
      <c r="O797" s="2" t="n">
        <f aca="false">N797*(1-O$787)+N796*O$787</f>
        <v>0.0075527604204891</v>
      </c>
    </row>
    <row r="798" customFormat="false" ht="15" hidden="false" customHeight="false" outlineLevel="0" collapsed="false">
      <c r="B798" s="2" t="n">
        <v>10</v>
      </c>
      <c r="C798" s="2" t="n">
        <f aca="false">0</f>
        <v>0</v>
      </c>
      <c r="D798" s="2" t="n">
        <f aca="false">C798*(1-D$787)+C797*D$787</f>
        <v>0</v>
      </c>
      <c r="E798" s="2" t="n">
        <f aca="false">D798*(1-E$787)+D797*E$787</f>
        <v>0</v>
      </c>
      <c r="F798" s="2" t="n">
        <f aca="false">E798*(1-F$787)+E797*F$787</f>
        <v>0</v>
      </c>
      <c r="G798" s="2" t="n">
        <f aca="false">F798*(1-G$787)+F797*G$787</f>
        <v>0</v>
      </c>
      <c r="H798" s="2" t="n">
        <f aca="false">G798*(1-H$787)+G797*H$787</f>
        <v>0</v>
      </c>
      <c r="I798" s="2" t="n">
        <f aca="false">H798*(1-I$787)+H797*I$787</f>
        <v>0</v>
      </c>
      <c r="J798" s="2" t="n">
        <f aca="false">I798*(1-J$787)+I797*J$787</f>
        <v>0</v>
      </c>
      <c r="K798" s="2" t="n">
        <f aca="false">J798*(1-K$787)+J797*K$787</f>
        <v>0</v>
      </c>
      <c r="L798" s="2" t="n">
        <f aca="false">K798*(1-L$787)+K797*L$787</f>
        <v>1.88288347556258E-006</v>
      </c>
      <c r="M798" s="2" t="n">
        <f aca="false">L798*(1-M$787)+L797*M$787</f>
        <v>5.63245076092887E-005</v>
      </c>
      <c r="N798" s="2" t="n">
        <f aca="false">M798*(1-N$787)+M797*N$787</f>
        <v>0.000646445282154879</v>
      </c>
      <c r="O798" s="2" t="n">
        <f aca="false">N798*(1-O$787)+N797*O$787</f>
        <v>0.000646445282154879</v>
      </c>
    </row>
    <row r="799" customFormat="false" ht="15" hidden="false" customHeight="false" outlineLevel="0" collapsed="false">
      <c r="B799" s="2" t="n">
        <v>11</v>
      </c>
      <c r="C799" s="2" t="n">
        <f aca="false">0</f>
        <v>0</v>
      </c>
      <c r="D799" s="2" t="n">
        <f aca="false">C799*(1-D$787)+C798*D$787</f>
        <v>0</v>
      </c>
      <c r="E799" s="2" t="n">
        <f aca="false">D799*(1-E$787)+D798*E$787</f>
        <v>0</v>
      </c>
      <c r="F799" s="2" t="n">
        <f aca="false">E799*(1-F$787)+E798*F$787</f>
        <v>0</v>
      </c>
      <c r="G799" s="2" t="n">
        <f aca="false">F799*(1-G$787)+F798*G$787</f>
        <v>0</v>
      </c>
      <c r="H799" s="2" t="n">
        <f aca="false">G799*(1-H$787)+G798*H$787</f>
        <v>0</v>
      </c>
      <c r="I799" s="2" t="n">
        <f aca="false">H799*(1-I$787)+H798*I$787</f>
        <v>0</v>
      </c>
      <c r="J799" s="2" t="n">
        <f aca="false">I799*(1-J$787)+I798*J$787</f>
        <v>0</v>
      </c>
      <c r="K799" s="2" t="n">
        <f aca="false">J799*(1-K$787)+J798*K$787</f>
        <v>0</v>
      </c>
      <c r="L799" s="2" t="n">
        <f aca="false">K799*(1-L$787)+K798*L$787</f>
        <v>0</v>
      </c>
      <c r="M799" s="2" t="n">
        <f aca="false">L799*(1-M$787)+L798*M$787</f>
        <v>7.73845596381928E-007</v>
      </c>
      <c r="N799" s="2" t="n">
        <f aca="false">M799*(1-N$787)+M798*N$787</f>
        <v>2.46906174421112E-005</v>
      </c>
      <c r="O799" s="2" t="n">
        <f aca="false">N799*(1-O$787)+N798*O$787</f>
        <v>2.46906174421112E-005</v>
      </c>
    </row>
    <row r="800" customFormat="false" ht="15" hidden="false" customHeight="false" outlineLevel="0" collapsed="false">
      <c r="B800" s="2" t="n">
        <v>12</v>
      </c>
      <c r="C800" s="2" t="n">
        <f aca="false">0</f>
        <v>0</v>
      </c>
      <c r="D800" s="2" t="n">
        <f aca="false">C800*(1-D$787)+C799*D$787</f>
        <v>0</v>
      </c>
      <c r="E800" s="2" t="n">
        <f aca="false">D800*(1-E$787)+D799*E$787</f>
        <v>0</v>
      </c>
      <c r="F800" s="2" t="n">
        <f aca="false">E800*(1-F$787)+E799*F$787</f>
        <v>0</v>
      </c>
      <c r="G800" s="2" t="n">
        <f aca="false">F800*(1-G$787)+F799*G$787</f>
        <v>0</v>
      </c>
      <c r="H800" s="2" t="n">
        <f aca="false">G800*(1-H$787)+G799*H$787</f>
        <v>0</v>
      </c>
      <c r="I800" s="2" t="n">
        <f aca="false">H800*(1-I$787)+H799*I$787</f>
        <v>0</v>
      </c>
      <c r="J800" s="2" t="n">
        <f aca="false">I800*(1-J$787)+I799*J$787</f>
        <v>0</v>
      </c>
      <c r="K800" s="2" t="n">
        <f aca="false">J800*(1-K$787)+J799*K$787</f>
        <v>0</v>
      </c>
      <c r="L800" s="2" t="n">
        <f aca="false">K800*(1-L$787)+K799*L$787</f>
        <v>0</v>
      </c>
      <c r="M800" s="2" t="n">
        <f aca="false">L800*(1-M$787)+L799*M$787</f>
        <v>0</v>
      </c>
      <c r="N800" s="2" t="n">
        <f aca="false">M800*(1-N$787)+M799*N$787</f>
        <v>3.33171341291824E-007</v>
      </c>
      <c r="O800" s="2" t="n">
        <f aca="false">N800*(1-O$787)+N799*O$787</f>
        <v>3.33171341291824E-007</v>
      </c>
    </row>
    <row r="801" customFormat="false" ht="15" hidden="false" customHeight="false" outlineLevel="0" collapsed="false">
      <c r="B801" s="2" t="n">
        <v>13</v>
      </c>
      <c r="C801" s="2" t="n">
        <f aca="false">0</f>
        <v>0</v>
      </c>
      <c r="D801" s="2" t="n">
        <f aca="false">C801*(1-D$787)+C800*D$787</f>
        <v>0</v>
      </c>
      <c r="E801" s="2" t="n">
        <f aca="false">D801*(1-E$787)+D800*E$787</f>
        <v>0</v>
      </c>
      <c r="F801" s="2" t="n">
        <f aca="false">E801*(1-F$787)+E800*F$787</f>
        <v>0</v>
      </c>
      <c r="G801" s="2" t="n">
        <f aca="false">F801*(1-G$787)+F800*G$787</f>
        <v>0</v>
      </c>
      <c r="H801" s="2" t="n">
        <f aca="false">G801*(1-H$787)+G800*H$787</f>
        <v>0</v>
      </c>
      <c r="I801" s="2" t="n">
        <f aca="false">H801*(1-I$787)+H800*I$787</f>
        <v>0</v>
      </c>
      <c r="J801" s="2" t="n">
        <f aca="false">I801*(1-J$787)+I800*J$787</f>
        <v>0</v>
      </c>
      <c r="K801" s="2" t="n">
        <f aca="false">J801*(1-K$787)+J800*K$787</f>
        <v>0</v>
      </c>
      <c r="L801" s="2" t="n">
        <f aca="false">K801*(1-L$787)+K800*L$787</f>
        <v>0</v>
      </c>
      <c r="M801" s="2" t="n">
        <f aca="false">L801*(1-M$787)+L800*M$787</f>
        <v>0</v>
      </c>
      <c r="N801" s="2" t="n">
        <f aca="false">M801*(1-N$787)+M800*N$787</f>
        <v>0</v>
      </c>
      <c r="O801" s="2" t="n">
        <f aca="false">N801*(1-O$787)+N800*O$787</f>
        <v>0</v>
      </c>
    </row>
    <row r="803" customFormat="false" ht="15" hidden="false" customHeight="false" outlineLevel="0" collapsed="false">
      <c r="A803" s="1" t="s">
        <v>108</v>
      </c>
      <c r="C803" s="2" t="n">
        <f aca="false">Schedule!G52</f>
        <v>0.999342074257536</v>
      </c>
      <c r="D803" s="2" t="n">
        <f aca="false">Schedule!L52</f>
        <v>0.123789456751694</v>
      </c>
      <c r="E803" s="2" t="n">
        <f aca="false">Schedule!Q52</f>
        <v>0.539827837277029</v>
      </c>
      <c r="F803" s="2" t="n">
        <f aca="false">Schedule!V52</f>
        <v>0.58901036286873</v>
      </c>
      <c r="G803" s="2" t="n">
        <f aca="false">Schedule!AA52</f>
        <v>0.7340144709513</v>
      </c>
      <c r="H803" s="2" t="n">
        <f aca="false">Schedule!AF52</f>
        <v>0.112660521295943</v>
      </c>
      <c r="I803" s="2" t="n">
        <f aca="false">Schedule!AK52</f>
        <v>0.455213484871745</v>
      </c>
      <c r="J803" s="2" t="n">
        <f aca="false">Schedule!AP52</f>
        <v>0.217327735678086</v>
      </c>
      <c r="K803" s="2" t="n">
        <f aca="false">Schedule!AU52</f>
        <v>0.662300575057129</v>
      </c>
      <c r="L803" s="2" t="n">
        <f aca="false">Schedule!AZ52</f>
        <v>0.51744815844579</v>
      </c>
      <c r="M803" s="2" t="n">
        <f aca="false">Schedule!BE52</f>
        <v>0.512464917434377</v>
      </c>
      <c r="N803" s="2" t="n">
        <f aca="false">Schedule!BJ52</f>
        <v>0.328611670769279</v>
      </c>
      <c r="O803" s="2" t="n">
        <f aca="false">Schedule!BO52</f>
        <v>0</v>
      </c>
    </row>
    <row r="804" customFormat="false" ht="15" hidden="false" customHeight="false" outlineLevel="0" collapsed="false">
      <c r="B804" s="2" t="n">
        <v>0</v>
      </c>
      <c r="C804" s="2" t="n">
        <f aca="false">1-C$803</f>
        <v>0.000657925742464371</v>
      </c>
      <c r="D804" s="2" t="n">
        <f aca="false">C804*(1-D$803)</f>
        <v>0.000576481472221752</v>
      </c>
      <c r="E804" s="2" t="n">
        <f aca="false">D804*(1-E$803)</f>
        <v>0.000265280725842006</v>
      </c>
      <c r="F804" s="2" t="n">
        <f aca="false">E804*(1-F$803)</f>
        <v>0.000109027629251726</v>
      </c>
      <c r="G804" s="2" t="n">
        <f aca="false">F804*(1-G$803)</f>
        <v>2.89997716474459E-005</v>
      </c>
      <c r="H804" s="2" t="n">
        <f aca="false">G804*(1-H$803)</f>
        <v>2.57326422561814E-005</v>
      </c>
      <c r="I804" s="2" t="n">
        <f aca="false">H804*(1-I$803)</f>
        <v>1.40187964997871E-005</v>
      </c>
      <c r="J804" s="2" t="n">
        <f aca="false">I804*(1-J$803)</f>
        <v>1.09721231995565E-005</v>
      </c>
      <c r="K804" s="2" t="n">
        <f aca="false">J804*(1-K$803)</f>
        <v>3.70527969489257E-006</v>
      </c>
      <c r="L804" s="2" t="n">
        <f aca="false">K804*(1-L$803)</f>
        <v>1.78798954024383E-006</v>
      </c>
      <c r="M804" s="2" t="n">
        <f aca="false">L804*(1-M$803)</f>
        <v>8.71707628129246E-007</v>
      </c>
      <c r="N804" s="2" t="n">
        <f aca="false">M804*(1-N$803)</f>
        <v>5.85254328027369E-007</v>
      </c>
      <c r="O804" s="2" t="n">
        <f aca="false">N804*(1-O$803)</f>
        <v>5.85254328027369E-007</v>
      </c>
    </row>
    <row r="805" customFormat="false" ht="15" hidden="false" customHeight="false" outlineLevel="0" collapsed="false">
      <c r="B805" s="2" t="n">
        <v>1</v>
      </c>
      <c r="C805" s="2" t="n">
        <f aca="false">C$803</f>
        <v>0.999342074257536</v>
      </c>
      <c r="D805" s="2" t="n">
        <f aca="false">C805*(1-D$803)+C804*D$803</f>
        <v>0.875715506046326</v>
      </c>
      <c r="E805" s="2" t="n">
        <f aca="false">D805*(1-E$803)+D804*E$803</f>
        <v>0.403291099093759</v>
      </c>
      <c r="F805" s="2" t="n">
        <f aca="false">E805*(1-F$803)+E804*F$803</f>
        <v>0.165904715571405</v>
      </c>
      <c r="G805" s="2" t="n">
        <f aca="false">F805*(1-G$803)+F804*G$803</f>
        <v>0.0442082814005387</v>
      </c>
      <c r="H805" s="2" t="n">
        <f aca="false">G805*(1-H$803)+G804*H$803</f>
        <v>0.0392310205017476</v>
      </c>
      <c r="I805" s="2" t="n">
        <f aca="false">H805*(1-I$803)+H804*I$803</f>
        <v>0.0213842447898286</v>
      </c>
      <c r="J805" s="2" t="n">
        <f aca="false">I805*(1-J$803)+I804*J$803</f>
        <v>0.0167399019637695</v>
      </c>
      <c r="K805" s="2" t="n">
        <f aca="false">J805*(1-K$803)+J804*K$803</f>
        <v>0.00566032211026965</v>
      </c>
      <c r="L805" s="2" t="n">
        <f aca="false">K805*(1-L$803)+K804*L$803</f>
        <v>0.00273331614825528</v>
      </c>
      <c r="M805" s="2" t="n">
        <f aca="false">L805*(1-M$803)+L804*M$803</f>
        <v>0.0013335037959297</v>
      </c>
      <c r="N805" s="2" t="n">
        <f aca="false">M805*(1-N$803)+M804*N$803</f>
        <v>0.000895585338872169</v>
      </c>
      <c r="O805" s="2" t="n">
        <f aca="false">N805*(1-O$803)+N804*O$803</f>
        <v>0.000895585338872169</v>
      </c>
    </row>
    <row r="806" customFormat="false" ht="15" hidden="false" customHeight="false" outlineLevel="0" collapsed="false">
      <c r="B806" s="2" t="n">
        <v>2</v>
      </c>
      <c r="C806" s="2" t="n">
        <f aca="false">0</f>
        <v>0</v>
      </c>
      <c r="D806" s="2" t="n">
        <f aca="false">C806*(1-D$803)+C805*D$803</f>
        <v>0.123708012481452</v>
      </c>
      <c r="E806" s="2" t="n">
        <f aca="false">D806*(1-E$803)+D805*E$803</f>
        <v>0.529662591348697</v>
      </c>
      <c r="F806" s="2" t="n">
        <f aca="false">E806*(1-F$803)+E805*F$803</f>
        <v>0.455228472839353</v>
      </c>
      <c r="G806" s="2" t="n">
        <f aca="false">F806*(1-G$803)+F805*G$803</f>
        <v>0.242860648214678</v>
      </c>
      <c r="H806" s="2" t="n">
        <f aca="false">G806*(1-H$803)+G805*H$803</f>
        <v>0.220480369012725</v>
      </c>
      <c r="I806" s="2" t="n">
        <f aca="false">H806*(1-I$803)+H805*I$803</f>
        <v>0.137973221446309</v>
      </c>
      <c r="J806" s="2" t="n">
        <f aca="false">I806*(1-J$803)+I805*J$803</f>
        <v>0.112635203144531</v>
      </c>
      <c r="K806" s="2" t="n">
        <f aca="false">J806*(1-K$803)+J805*K$803</f>
        <v>0.0491236900272361</v>
      </c>
      <c r="L806" s="2" t="n">
        <f aca="false">K806*(1-L$803)+K805*L$803</f>
        <v>0.02663365033875</v>
      </c>
      <c r="M806" s="2" t="n">
        <f aca="false">L806*(1-M$803)+L805*M$803</f>
        <v>0.0143855675511641</v>
      </c>
      <c r="N806" s="2" t="n">
        <f aca="false">M806*(1-N$803)+M805*N$803</f>
        <v>0.0100965070735694</v>
      </c>
      <c r="O806" s="2" t="n">
        <f aca="false">N806*(1-O$803)+N805*O$803</f>
        <v>0.0100965070735694</v>
      </c>
    </row>
    <row r="807" customFormat="false" ht="15" hidden="false" customHeight="false" outlineLevel="0" collapsed="false">
      <c r="B807" s="2" t="n">
        <v>3</v>
      </c>
      <c r="C807" s="2" t="n">
        <f aca="false">0</f>
        <v>0</v>
      </c>
      <c r="D807" s="2" t="n">
        <f aca="false">C807*(1-D$803)+C806*D$803</f>
        <v>0</v>
      </c>
      <c r="E807" s="2" t="n">
        <f aca="false">D807*(1-E$803)+D806*E$803</f>
        <v>0.0667810288317018</v>
      </c>
      <c r="F807" s="2" t="n">
        <f aca="false">E807*(1-F$803)+E806*F$803</f>
        <v>0.339423065935082</v>
      </c>
      <c r="G807" s="2" t="n">
        <f aca="false">F807*(1-G$803)+F806*G$803</f>
        <v>0.424425910417221</v>
      </c>
      <c r="H807" s="2" t="n">
        <f aca="false">G807*(1-H$803)+G806*H$803</f>
        <v>0.403970673328248</v>
      </c>
      <c r="I807" s="2" t="n">
        <f aca="false">H807*(1-I$803)+H806*I$803</f>
        <v>0.320443412460601</v>
      </c>
      <c r="J807" s="2" t="n">
        <f aca="false">I807*(1-J$803)+I806*J$803</f>
        <v>0.280787579018717</v>
      </c>
      <c r="K807" s="2" t="n">
        <f aca="false">J807*(1-K$803)+J806*K$803</f>
        <v>0.169420163780021</v>
      </c>
      <c r="L807" s="2" t="n">
        <f aca="false">K807*(1-L$803)+K806*L$803</f>
        <v>0.10717297496912</v>
      </c>
      <c r="M807" s="2" t="n">
        <f aca="false">L807*(1-M$803)+L806*M$803</f>
        <v>0.0658993966221971</v>
      </c>
      <c r="N807" s="2" t="n">
        <f aca="false">M807*(1-N$803)+M806*N$803</f>
        <v>0.0489713511834419</v>
      </c>
      <c r="O807" s="2" t="n">
        <f aca="false">N807*(1-O$803)+N806*O$803</f>
        <v>0.0489713511834419</v>
      </c>
    </row>
    <row r="808" customFormat="false" ht="15" hidden="false" customHeight="false" outlineLevel="0" collapsed="false">
      <c r="B808" s="2" t="n">
        <v>4</v>
      </c>
      <c r="C808" s="2" t="n">
        <f aca="false">0</f>
        <v>0</v>
      </c>
      <c r="D808" s="2" t="n">
        <f aca="false">C808*(1-D$803)+C807*D$803</f>
        <v>0</v>
      </c>
      <c r="E808" s="2" t="n">
        <f aca="false">D808*(1-E$803)+D807*E$803</f>
        <v>0</v>
      </c>
      <c r="F808" s="2" t="n">
        <f aca="false">E808*(1-F$803)+E807*F$803</f>
        <v>0.0393347180249078</v>
      </c>
      <c r="G808" s="2" t="n">
        <f aca="false">F808*(1-G$803)+F807*G$803</f>
        <v>0.259603907954844</v>
      </c>
      <c r="H808" s="2" t="n">
        <f aca="false">G808*(1-H$803)+G807*H$803</f>
        <v>0.278172840673296</v>
      </c>
      <c r="I808" s="2" t="n">
        <f aca="false">H808*(1-I$803)+H807*I$803</f>
        <v>0.335437710465469</v>
      </c>
      <c r="J808" s="2" t="n">
        <f aca="false">I808*(1-J$803)+I807*J$803</f>
        <v>0.332179033631989</v>
      </c>
      <c r="K808" s="2" t="n">
        <f aca="false">J808*(1-K$803)+J807*K$803</f>
        <v>0.298142443688597</v>
      </c>
      <c r="L808" s="2" t="n">
        <f aca="false">K808*(1-L$803)+K807*L$803</f>
        <v>0.231535336998961</v>
      </c>
      <c r="M808" s="2" t="n">
        <f aca="false">L808*(1-M$803)+L807*M$803</f>
        <v>0.167803989409395</v>
      </c>
      <c r="N808" s="2" t="n">
        <f aca="false">M808*(1-N$803)+M807*N$803</f>
        <v>0.134316950914531</v>
      </c>
      <c r="O808" s="2" t="n">
        <f aca="false">N808*(1-O$803)+N807*O$803</f>
        <v>0.134316950914531</v>
      </c>
    </row>
    <row r="809" customFormat="false" ht="15" hidden="false" customHeight="false" outlineLevel="0" collapsed="false">
      <c r="B809" s="2" t="n">
        <v>5</v>
      </c>
      <c r="C809" s="2" t="n">
        <f aca="false">0</f>
        <v>0</v>
      </c>
      <c r="D809" s="2" t="n">
        <f aca="false">C809*(1-D$803)+C808*D$803</f>
        <v>0</v>
      </c>
      <c r="E809" s="2" t="n">
        <f aca="false">D809*(1-E$803)+D808*E$803</f>
        <v>0</v>
      </c>
      <c r="F809" s="2" t="n">
        <f aca="false">E809*(1-F$803)+E808*F$803</f>
        <v>0</v>
      </c>
      <c r="G809" s="2" t="n">
        <f aca="false">F809*(1-G$803)+F808*G$803</f>
        <v>0.0288722522410712</v>
      </c>
      <c r="H809" s="2" t="n">
        <f aca="false">G809*(1-H$803)+G808*H$803</f>
        <v>0.0548666008532608</v>
      </c>
      <c r="I809" s="2" t="n">
        <f aca="false">H809*(1-I$803)+H808*I$803</f>
        <v>0.156518612475345</v>
      </c>
      <c r="J809" s="2" t="n">
        <f aca="false">I809*(1-J$803)+I808*J$803</f>
        <v>0.195402694911104</v>
      </c>
      <c r="K809" s="2" t="n">
        <f aca="false">J809*(1-K$803)+J808*K$803</f>
        <v>0.285989742700155</v>
      </c>
      <c r="L809" s="2" t="n">
        <f aca="false">K809*(1-L$803)+K808*L$803</f>
        <v>0.292278135446766</v>
      </c>
      <c r="M809" s="2" t="n">
        <f aca="false">L809*(1-M$803)+L808*M$803</f>
        <v>0.261149582255479</v>
      </c>
      <c r="N809" s="2" t="n">
        <f aca="false">M809*(1-N$803)+M808*N$803</f>
        <v>0.230475131031378</v>
      </c>
      <c r="O809" s="2" t="n">
        <f aca="false">N809*(1-O$803)+N808*O$803</f>
        <v>0.230475131031378</v>
      </c>
    </row>
    <row r="810" customFormat="false" ht="15" hidden="false" customHeight="false" outlineLevel="0" collapsed="false">
      <c r="B810" s="2" t="n">
        <v>6</v>
      </c>
      <c r="C810" s="2" t="n">
        <f aca="false">0</f>
        <v>0</v>
      </c>
      <c r="D810" s="2" t="n">
        <f aca="false">C810*(1-D$803)+C809*D$803</f>
        <v>0</v>
      </c>
      <c r="E810" s="2" t="n">
        <f aca="false">D810*(1-E$803)+D809*E$803</f>
        <v>0</v>
      </c>
      <c r="F810" s="2" t="n">
        <f aca="false">E810*(1-F$803)+E809*F$803</f>
        <v>0</v>
      </c>
      <c r="G810" s="2" t="n">
        <f aca="false">F810*(1-G$803)+F809*G$803</f>
        <v>0</v>
      </c>
      <c r="H810" s="2" t="n">
        <f aca="false">G810*(1-H$803)+G809*H$803</f>
        <v>0.00325276298846703</v>
      </c>
      <c r="I810" s="2" t="n">
        <f aca="false">H810*(1-I$803)+H809*I$803</f>
        <v>0.026748077990505</v>
      </c>
      <c r="J810" s="2" t="n">
        <f aca="false">I810*(1-J$803)+I809*J$803</f>
        <v>0.0549508144078302</v>
      </c>
      <c r="K810" s="2" t="n">
        <f aca="false">J810*(1-K$803)+J809*K$803</f>
        <v>0.147972175633004</v>
      </c>
      <c r="L810" s="2" t="n">
        <f aca="false">K810*(1-L$803)+K809*L$803</f>
        <v>0.219389111545069</v>
      </c>
      <c r="M810" s="2" t="n">
        <f aca="false">L810*(1-M$803)+L809*M$803</f>
        <v>0.256742179160725</v>
      </c>
      <c r="N810" s="2" t="n">
        <f aca="false">M810*(1-N$803)+M809*N$803</f>
        <v>0.258190503255446</v>
      </c>
      <c r="O810" s="2" t="n">
        <f aca="false">N810*(1-O$803)+N809*O$803</f>
        <v>0.258190503255446</v>
      </c>
    </row>
    <row r="811" customFormat="false" ht="15" hidden="false" customHeight="false" outlineLevel="0" collapsed="false">
      <c r="B811" s="2" t="n">
        <v>7</v>
      </c>
      <c r="C811" s="2" t="n">
        <f aca="false">0</f>
        <v>0</v>
      </c>
      <c r="D811" s="2" t="n">
        <f aca="false">C811*(1-D$803)+C810*D$803</f>
        <v>0</v>
      </c>
      <c r="E811" s="2" t="n">
        <f aca="false">D811*(1-E$803)+D810*E$803</f>
        <v>0</v>
      </c>
      <c r="F811" s="2" t="n">
        <f aca="false">E811*(1-F$803)+E810*F$803</f>
        <v>0</v>
      </c>
      <c r="G811" s="2" t="n">
        <f aca="false">F811*(1-G$803)+F810*G$803</f>
        <v>0</v>
      </c>
      <c r="H811" s="2" t="n">
        <f aca="false">G811*(1-H$803)+G810*H$803</f>
        <v>0</v>
      </c>
      <c r="I811" s="2" t="n">
        <f aca="false">H811*(1-I$803)+H810*I$803</f>
        <v>0.00148070157544191</v>
      </c>
      <c r="J811" s="2" t="n">
        <f aca="false">I811*(1-J$803)+I810*J$803</f>
        <v>0.00697200327825344</v>
      </c>
      <c r="K811" s="2" t="n">
        <f aca="false">J811*(1-K$803)+J810*K$803</f>
        <v>0.0387483974799295</v>
      </c>
      <c r="L811" s="2" t="n">
        <f aca="false">K811*(1-L$803)+K810*L$803</f>
        <v>0.0952660403437292</v>
      </c>
      <c r="M811" s="2" t="n">
        <f aca="false">L811*(1-M$803)+L810*M$803</f>
        <v>0.158874759778625</v>
      </c>
      <c r="N811" s="2" t="n">
        <f aca="false">M811*(1-N$803)+M810*N$803</f>
        <v>0.191035135975655</v>
      </c>
      <c r="O811" s="2" t="n">
        <f aca="false">N811*(1-O$803)+N810*O$803</f>
        <v>0.191035135975655</v>
      </c>
    </row>
    <row r="812" customFormat="false" ht="15" hidden="false" customHeight="false" outlineLevel="0" collapsed="false">
      <c r="B812" s="2" t="n">
        <v>8</v>
      </c>
      <c r="C812" s="2" t="n">
        <f aca="false">0</f>
        <v>0</v>
      </c>
      <c r="D812" s="2" t="n">
        <f aca="false">C812*(1-D$803)+C811*D$803</f>
        <v>0</v>
      </c>
      <c r="E812" s="2" t="n">
        <f aca="false">D812*(1-E$803)+D811*E$803</f>
        <v>0</v>
      </c>
      <c r="F812" s="2" t="n">
        <f aca="false">E812*(1-F$803)+E811*F$803</f>
        <v>0</v>
      </c>
      <c r="G812" s="2" t="n">
        <f aca="false">F812*(1-G$803)+F811*G$803</f>
        <v>0</v>
      </c>
      <c r="H812" s="2" t="n">
        <f aca="false">G812*(1-H$803)+G811*H$803</f>
        <v>0</v>
      </c>
      <c r="I812" s="2" t="n">
        <f aca="false">H812*(1-I$803)+H811*I$803</f>
        <v>0</v>
      </c>
      <c r="J812" s="2" t="n">
        <f aca="false">I812*(1-J$803)+I811*J$803</f>
        <v>0.000321797520605764</v>
      </c>
      <c r="K812" s="2" t="n">
        <f aca="false">J812*(1-K$803)+J811*K$803</f>
        <v>0.00472623261814405</v>
      </c>
      <c r="L812" s="2" t="n">
        <f aca="false">K812*(1-L$803)+K811*L$803</f>
        <v>0.022330939172214</v>
      </c>
      <c r="M812" s="2" t="n">
        <f aca="false">L812*(1-M$803)+L811*M$803</f>
        <v>0.0597076197721425</v>
      </c>
      <c r="N812" s="2" t="n">
        <f aca="false">M812*(1-N$803)+M811*N$803</f>
        <v>0.0922950993350838</v>
      </c>
      <c r="O812" s="2" t="n">
        <f aca="false">N812*(1-O$803)+N811*O$803</f>
        <v>0.0922950993350838</v>
      </c>
    </row>
    <row r="813" customFormat="false" ht="15" hidden="false" customHeight="false" outlineLevel="0" collapsed="false">
      <c r="B813" s="2" t="n">
        <v>9</v>
      </c>
      <c r="C813" s="2" t="n">
        <f aca="false">0</f>
        <v>0</v>
      </c>
      <c r="D813" s="2" t="n">
        <f aca="false">C813*(1-D$803)+C812*D$803</f>
        <v>0</v>
      </c>
      <c r="E813" s="2" t="n">
        <f aca="false">D813*(1-E$803)+D812*E$803</f>
        <v>0</v>
      </c>
      <c r="F813" s="2" t="n">
        <f aca="false">E813*(1-F$803)+E812*F$803</f>
        <v>0</v>
      </c>
      <c r="G813" s="2" t="n">
        <f aca="false">F813*(1-G$803)+F812*G$803</f>
        <v>0</v>
      </c>
      <c r="H813" s="2" t="n">
        <f aca="false">G813*(1-H$803)+G812*H$803</f>
        <v>0</v>
      </c>
      <c r="I813" s="2" t="n">
        <f aca="false">H813*(1-I$803)+H812*I$803</f>
        <v>0</v>
      </c>
      <c r="J813" s="2" t="n">
        <f aca="false">I813*(1-J$803)+I812*J$803</f>
        <v>0</v>
      </c>
      <c r="K813" s="2" t="n">
        <f aca="false">J813*(1-K$803)+J812*K$803</f>
        <v>0.000213126682949156</v>
      </c>
      <c r="L813" s="2" t="n">
        <f aca="false">K813*(1-L$803)+K812*L$803</f>
        <v>0.00254842503798652</v>
      </c>
      <c r="M813" s="2" t="n">
        <f aca="false">L813*(1-M$803)+L812*M$803</f>
        <v>0.0126862695104278</v>
      </c>
      <c r="N813" s="2" t="n">
        <f aca="false">M813*(1-N$803)+M812*N$803</f>
        <v>0.0281380339817574</v>
      </c>
      <c r="O813" s="2" t="n">
        <f aca="false">N813*(1-O$803)+N812*O$803</f>
        <v>0.0281380339817574</v>
      </c>
    </row>
    <row r="814" customFormat="false" ht="15" hidden="false" customHeight="false" outlineLevel="0" collapsed="false">
      <c r="B814" s="2" t="n">
        <v>10</v>
      </c>
      <c r="C814" s="2" t="n">
        <f aca="false">0</f>
        <v>0</v>
      </c>
      <c r="D814" s="2" t="n">
        <f aca="false">C814*(1-D$803)+C813*D$803</f>
        <v>0</v>
      </c>
      <c r="E814" s="2" t="n">
        <f aca="false">D814*(1-E$803)+D813*E$803</f>
        <v>0</v>
      </c>
      <c r="F814" s="2" t="n">
        <f aca="false">E814*(1-F$803)+E813*F$803</f>
        <v>0</v>
      </c>
      <c r="G814" s="2" t="n">
        <f aca="false">F814*(1-G$803)+F813*G$803</f>
        <v>0</v>
      </c>
      <c r="H814" s="2" t="n">
        <f aca="false">G814*(1-H$803)+G813*H$803</f>
        <v>0</v>
      </c>
      <c r="I814" s="2" t="n">
        <f aca="false">H814*(1-I$803)+H813*I$803</f>
        <v>0</v>
      </c>
      <c r="J814" s="2" t="n">
        <f aca="false">I814*(1-J$803)+I813*J$803</f>
        <v>0</v>
      </c>
      <c r="K814" s="2" t="n">
        <f aca="false">J814*(1-K$803)+J813*K$803</f>
        <v>0</v>
      </c>
      <c r="L814" s="2" t="n">
        <f aca="false">K814*(1-L$803)+K813*L$803</f>
        <v>0.0001102820096077</v>
      </c>
      <c r="M814" s="2" t="n">
        <f aca="false">L814*(1-M$803)+L813*M$803</f>
        <v>0.00135974477533905</v>
      </c>
      <c r="N814" s="2" t="n">
        <f aca="false">M814*(1-N$803)+M813*N$803</f>
        <v>0.00508177299254614</v>
      </c>
      <c r="O814" s="2" t="n">
        <f aca="false">N814*(1-O$803)+N813*O$803</f>
        <v>0.00508177299254614</v>
      </c>
    </row>
    <row r="815" customFormat="false" ht="15" hidden="false" customHeight="false" outlineLevel="0" collapsed="false">
      <c r="B815" s="2" t="n">
        <v>11</v>
      </c>
      <c r="C815" s="2" t="n">
        <f aca="false">0</f>
        <v>0</v>
      </c>
      <c r="D815" s="2" t="n">
        <f aca="false">C815*(1-D$803)+C814*D$803</f>
        <v>0</v>
      </c>
      <c r="E815" s="2" t="n">
        <f aca="false">D815*(1-E$803)+D814*E$803</f>
        <v>0</v>
      </c>
      <c r="F815" s="2" t="n">
        <f aca="false">E815*(1-F$803)+E814*F$803</f>
        <v>0</v>
      </c>
      <c r="G815" s="2" t="n">
        <f aca="false">F815*(1-G$803)+F814*G$803</f>
        <v>0</v>
      </c>
      <c r="H815" s="2" t="n">
        <f aca="false">G815*(1-H$803)+G814*H$803</f>
        <v>0</v>
      </c>
      <c r="I815" s="2" t="n">
        <f aca="false">H815*(1-I$803)+H814*I$803</f>
        <v>0</v>
      </c>
      <c r="J815" s="2" t="n">
        <f aca="false">I815*(1-J$803)+I814*J$803</f>
        <v>0</v>
      </c>
      <c r="K815" s="2" t="n">
        <f aca="false">J815*(1-K$803)+J814*K$803</f>
        <v>0</v>
      </c>
      <c r="L815" s="2" t="n">
        <f aca="false">K815*(1-L$803)+K814*L$803</f>
        <v>0</v>
      </c>
      <c r="M815" s="2" t="n">
        <f aca="false">L815*(1-M$803)+L814*M$803</f>
        <v>5.65156609481074E-005</v>
      </c>
      <c r="N815" s="2" t="n">
        <f aca="false">M815*(1-N$803)+M814*N$803</f>
        <v>0.000484771957623285</v>
      </c>
      <c r="O815" s="2" t="n">
        <f aca="false">N815*(1-O$803)+N814*O$803</f>
        <v>0.000484771957623285</v>
      </c>
    </row>
    <row r="816" customFormat="false" ht="15" hidden="false" customHeight="false" outlineLevel="0" collapsed="false">
      <c r="B816" s="2" t="n">
        <v>12</v>
      </c>
      <c r="C816" s="2" t="n">
        <f aca="false">0</f>
        <v>0</v>
      </c>
      <c r="D816" s="2" t="n">
        <f aca="false">C816*(1-D$803)+C815*D$803</f>
        <v>0</v>
      </c>
      <c r="E816" s="2" t="n">
        <f aca="false">D816*(1-E$803)+D815*E$803</f>
        <v>0</v>
      </c>
      <c r="F816" s="2" t="n">
        <f aca="false">E816*(1-F$803)+E815*F$803</f>
        <v>0</v>
      </c>
      <c r="G816" s="2" t="n">
        <f aca="false">F816*(1-G$803)+F815*G$803</f>
        <v>0</v>
      </c>
      <c r="H816" s="2" t="n">
        <f aca="false">G816*(1-H$803)+G815*H$803</f>
        <v>0</v>
      </c>
      <c r="I816" s="2" t="n">
        <f aca="false">H816*(1-I$803)+H815*I$803</f>
        <v>0</v>
      </c>
      <c r="J816" s="2" t="n">
        <f aca="false">I816*(1-J$803)+I815*J$803</f>
        <v>0</v>
      </c>
      <c r="K816" s="2" t="n">
        <f aca="false">J816*(1-K$803)+J815*K$803</f>
        <v>0</v>
      </c>
      <c r="L816" s="2" t="n">
        <f aca="false">K816*(1-L$803)+K815*L$803</f>
        <v>0</v>
      </c>
      <c r="M816" s="2" t="n">
        <f aca="false">L816*(1-M$803)+L815*M$803</f>
        <v>0</v>
      </c>
      <c r="N816" s="2" t="n">
        <f aca="false">M816*(1-N$803)+M815*N$803</f>
        <v>1.85717057687877E-005</v>
      </c>
      <c r="O816" s="2" t="n">
        <f aca="false">N816*(1-O$803)+N815*O$803</f>
        <v>1.85717057687877E-005</v>
      </c>
    </row>
    <row r="817" customFormat="false" ht="15" hidden="false" customHeight="false" outlineLevel="0" collapsed="false">
      <c r="B817" s="2" t="n">
        <v>13</v>
      </c>
      <c r="C817" s="2" t="n">
        <f aca="false">0</f>
        <v>0</v>
      </c>
      <c r="D817" s="2" t="n">
        <f aca="false">C817*(1-D$803)+C816*D$803</f>
        <v>0</v>
      </c>
      <c r="E817" s="2" t="n">
        <f aca="false">D817*(1-E$803)+D816*E$803</f>
        <v>0</v>
      </c>
      <c r="F817" s="2" t="n">
        <f aca="false">E817*(1-F$803)+E816*F$803</f>
        <v>0</v>
      </c>
      <c r="G817" s="2" t="n">
        <f aca="false">F817*(1-G$803)+F816*G$803</f>
        <v>0</v>
      </c>
      <c r="H817" s="2" t="n">
        <f aca="false">G817*(1-H$803)+G816*H$803</f>
        <v>0</v>
      </c>
      <c r="I817" s="2" t="n">
        <f aca="false">H817*(1-I$803)+H816*I$803</f>
        <v>0</v>
      </c>
      <c r="J817" s="2" t="n">
        <f aca="false">I817*(1-J$803)+I816*J$803</f>
        <v>0</v>
      </c>
      <c r="K817" s="2" t="n">
        <f aca="false">J817*(1-K$803)+J816*K$803</f>
        <v>0</v>
      </c>
      <c r="L817" s="2" t="n">
        <f aca="false">K817*(1-L$803)+K816*L$803</f>
        <v>0</v>
      </c>
      <c r="M817" s="2" t="n">
        <f aca="false">L817*(1-M$803)+L816*M$803</f>
        <v>0</v>
      </c>
      <c r="N817" s="2" t="n">
        <f aca="false">M817*(1-N$803)+M816*N$803</f>
        <v>0</v>
      </c>
      <c r="O817" s="2" t="n">
        <f aca="false">N817*(1-O$803)+N816*O$803</f>
        <v>0</v>
      </c>
    </row>
    <row r="819" customFormat="false" ht="15" hidden="false" customHeight="false" outlineLevel="0" collapsed="false">
      <c r="A819" s="1" t="s">
        <v>109</v>
      </c>
      <c r="C819" s="2" t="n">
        <f aca="false">Schedule!G53</f>
        <v>0.988166735580673</v>
      </c>
      <c r="D819" s="2" t="n">
        <f aca="false">Schedule!L53</f>
        <v>0.403712223306817</v>
      </c>
      <c r="E819" s="2" t="n">
        <f aca="false">Schedule!Q53</f>
        <v>0.259868780665061</v>
      </c>
      <c r="F819" s="2" t="n">
        <f aca="false">Schedule!V53</f>
        <v>0.306340579285027</v>
      </c>
      <c r="G819" s="2" t="n">
        <f aca="false">Schedule!AA53</f>
        <v>0.259868780665061</v>
      </c>
      <c r="H819" s="2" t="n">
        <f aca="false">Schedule!AF53</f>
        <v>0.128974941277154</v>
      </c>
      <c r="I819" s="2" t="n">
        <f aca="false">Schedule!AK53</f>
        <v>0.236147484972854</v>
      </c>
      <c r="J819" s="2" t="n">
        <f aca="false">Schedule!AP53</f>
        <v>0.100052934477426</v>
      </c>
      <c r="K819" s="2" t="n">
        <f aca="false">Schedule!AU53</f>
        <v>0.437917983191705</v>
      </c>
      <c r="L819" s="2" t="n">
        <f aca="false">Schedule!AZ53</f>
        <v>0.396467992679005</v>
      </c>
      <c r="M819" s="2" t="n">
        <f aca="false">Schedule!BE53</f>
        <v>0.995077836821063</v>
      </c>
      <c r="N819" s="2" t="n">
        <f aca="false">Schedule!BJ53</f>
        <v>0.187404883098225</v>
      </c>
      <c r="O819" s="2" t="n">
        <f aca="false">Schedule!BO53</f>
        <v>0</v>
      </c>
    </row>
    <row r="820" customFormat="false" ht="15" hidden="false" customHeight="false" outlineLevel="0" collapsed="false">
      <c r="B820" s="2" t="n">
        <v>0</v>
      </c>
      <c r="C820" s="2" t="n">
        <f aca="false">1-C$819</f>
        <v>0.0118332644193268</v>
      </c>
      <c r="D820" s="2" t="n">
        <f aca="false">C820*(1-D$819)</f>
        <v>0.00705603093162289</v>
      </c>
      <c r="E820" s="2" t="n">
        <f aca="false">D820*(1-E$819)</f>
        <v>0.0052223887770871</v>
      </c>
      <c r="F820" s="2" t="n">
        <f aca="false">E820*(1-F$819)</f>
        <v>0.00362255917386261</v>
      </c>
      <c r="G820" s="2" t="n">
        <f aca="false">F820*(1-G$819)</f>
        <v>0.0026811691384639</v>
      </c>
      <c r="H820" s="2" t="n">
        <f aca="false">G820*(1-H$819)</f>
        <v>0.0023353655062764</v>
      </c>
      <c r="I820" s="2" t="n">
        <f aca="false">H820*(1-I$819)</f>
        <v>0.00178387481547687</v>
      </c>
      <c r="J820" s="2" t="n">
        <f aca="false">I820*(1-J$819)</f>
        <v>0.00160539290544804</v>
      </c>
      <c r="K820" s="2" t="n">
        <f aca="false">J820*(1-K$819)</f>
        <v>0.000902362482063961</v>
      </c>
      <c r="L820" s="2" t="n">
        <f aca="false">K820*(1-L$819)</f>
        <v>0.000544604640131217</v>
      </c>
      <c r="M820" s="2" t="n">
        <f aca="false">L820*(1-M$819)</f>
        <v>2.6806329067323E-006</v>
      </c>
      <c r="N820" s="2" t="n">
        <f aca="false">M820*(1-N$819)</f>
        <v>2.17826921021688E-006</v>
      </c>
      <c r="O820" s="2" t="n">
        <f aca="false">N820*(1-O$819)</f>
        <v>2.17826921021688E-006</v>
      </c>
    </row>
    <row r="821" customFormat="false" ht="15" hidden="false" customHeight="false" outlineLevel="0" collapsed="false">
      <c r="B821" s="2" t="n">
        <v>1</v>
      </c>
      <c r="C821" s="2" t="n">
        <f aca="false">C$819</f>
        <v>0.988166735580673</v>
      </c>
      <c r="D821" s="2" t="n">
        <f aca="false">C821*(1-D$819)+C820*D$819</f>
        <v>0.594008979249264</v>
      </c>
      <c r="E821" s="2" t="n">
        <f aca="false">D821*(1-E$819)+D820*E$819</f>
        <v>0.441478232262196</v>
      </c>
      <c r="F821" s="2" t="n">
        <f aca="false">E821*(1-F$819)+E820*F$819</f>
        <v>0.30783536445249</v>
      </c>
      <c r="G821" s="2" t="n">
        <f aca="false">F821*(1-G$819)+F820*G$819</f>
        <v>0.228779953682035</v>
      </c>
      <c r="H821" s="2" t="n">
        <f aca="false">G821*(1-H$819)+G820*H$819</f>
        <v>0.199618876222692</v>
      </c>
      <c r="I821" s="2" t="n">
        <f aca="false">H821*(1-I$819)+H820*I$819</f>
        <v>0.153030871340395</v>
      </c>
      <c r="J821" s="2" t="n">
        <f aca="false">I821*(1-J$819)+I820*J$819</f>
        <v>0.13789816550718</v>
      </c>
      <c r="K821" s="2" t="n">
        <f aca="false">J821*(1-K$819)+J820*K$819</f>
        <v>0.078213109405824</v>
      </c>
      <c r="L821" s="2" t="n">
        <f aca="false">K821*(1-L$819)+K820*L$819</f>
        <v>0.0475618727604462</v>
      </c>
      <c r="M821" s="2" t="n">
        <f aca="false">L821*(1-M$819)+L820*M$819</f>
        <v>0.000776031306047256</v>
      </c>
      <c r="N821" s="2" t="n">
        <f aca="false">M821*(1-N$819)+M820*N$819</f>
        <v>0.000631101613553423</v>
      </c>
      <c r="O821" s="2" t="n">
        <f aca="false">N821*(1-O$819)+N820*O$819</f>
        <v>0.000631101613553423</v>
      </c>
    </row>
    <row r="822" customFormat="false" ht="15" hidden="false" customHeight="false" outlineLevel="0" collapsed="false">
      <c r="B822" s="2" t="n">
        <v>2</v>
      </c>
      <c r="C822" s="2" t="n">
        <f aca="false">0</f>
        <v>0</v>
      </c>
      <c r="D822" s="2" t="n">
        <f aca="false">C822*(1-D$819)+C821*D$819</f>
        <v>0.398934989819113</v>
      </c>
      <c r="E822" s="2" t="n">
        <f aca="false">D822*(1-E$819)+D821*E$819</f>
        <v>0.449628629591796</v>
      </c>
      <c r="F822" s="2" t="n">
        <f aca="false">E822*(1-F$819)+E821*F$819</f>
        <v>0.447131832152443</v>
      </c>
      <c r="G822" s="2" t="n">
        <f aca="false">F822*(1-G$819)+F821*G$819</f>
        <v>0.410933028940306</v>
      </c>
      <c r="H822" s="2" t="n">
        <f aca="false">G822*(1-H$819)+G821*H$819</f>
        <v>0.387439846755417</v>
      </c>
      <c r="I822" s="2" t="n">
        <f aca="false">H822*(1-I$819)+H821*I$819</f>
        <v>0.343086396938954</v>
      </c>
      <c r="J822" s="2" t="n">
        <f aca="false">I822*(1-J$819)+I821*J$819</f>
        <v>0.324070783889168</v>
      </c>
      <c r="K822" s="2" t="n">
        <f aca="false">J822*(1-K$819)+J821*K$819</f>
        <v>0.242542446321809</v>
      </c>
      <c r="L822" s="2" t="n">
        <f aca="false">K822*(1-L$819)+K821*L$819</f>
        <v>0.177391123976457</v>
      </c>
      <c r="M822" s="2" t="n">
        <f aca="false">L822*(1-M$819)+L821*M$819</f>
        <v>0.0482009135203307</v>
      </c>
      <c r="N822" s="2" t="n">
        <f aca="false">M822*(1-N$819)+M821*N$819</f>
        <v>0.0393132590130158</v>
      </c>
      <c r="O822" s="2" t="n">
        <f aca="false">N822*(1-O$819)+N821*O$819</f>
        <v>0.0393132590130158</v>
      </c>
    </row>
    <row r="823" customFormat="false" ht="15" hidden="false" customHeight="false" outlineLevel="0" collapsed="false">
      <c r="B823" s="2" t="n">
        <v>3</v>
      </c>
      <c r="C823" s="2" t="n">
        <f aca="false">0</f>
        <v>0</v>
      </c>
      <c r="D823" s="2" t="n">
        <f aca="false">C823*(1-D$819)+C822*D$819</f>
        <v>0</v>
      </c>
      <c r="E823" s="2" t="n">
        <f aca="false">D823*(1-E$819)+D822*E$819</f>
        <v>0.103670749368922</v>
      </c>
      <c r="F823" s="2" t="n">
        <f aca="false">E823*(1-F$819)+E822*F$819</f>
        <v>0.209651686804617</v>
      </c>
      <c r="G823" s="2" t="n">
        <f aca="false">F823*(1-G$819)+F822*G$819</f>
        <v>0.271365362608318</v>
      </c>
      <c r="H823" s="2" t="n">
        <f aca="false">G823*(1-H$819)+G822*H$819</f>
        <v>0.289366094177675</v>
      </c>
      <c r="I823" s="2" t="n">
        <f aca="false">H823*(1-I$819)+H822*I$819</f>
        <v>0.312525964190759</v>
      </c>
      <c r="J823" s="2" t="n">
        <f aca="false">I823*(1-J$819)+I822*J$819</f>
        <v>0.315583625166116</v>
      </c>
      <c r="K823" s="2" t="n">
        <f aca="false">J823*(1-K$819)+J822*K$819</f>
        <v>0.319300304597143</v>
      </c>
      <c r="L823" s="2" t="n">
        <f aca="false">K823*(1-L$819)+K822*L$819</f>
        <v>0.288868270604382</v>
      </c>
      <c r="M823" s="2" t="n">
        <f aca="false">L823*(1-M$819)+L822*M$819</f>
        <v>0.177939832682882</v>
      </c>
      <c r="N823" s="2" t="n">
        <f aca="false">M823*(1-N$819)+M822*N$819</f>
        <v>0.153626125703934</v>
      </c>
      <c r="O823" s="2" t="n">
        <f aca="false">N823*(1-O$819)+N822*O$819</f>
        <v>0.153626125703934</v>
      </c>
    </row>
    <row r="824" customFormat="false" ht="15" hidden="false" customHeight="false" outlineLevel="0" collapsed="false">
      <c r="B824" s="2" t="n">
        <v>4</v>
      </c>
      <c r="C824" s="2" t="n">
        <f aca="false">0</f>
        <v>0</v>
      </c>
      <c r="D824" s="2" t="n">
        <f aca="false">C824*(1-D$819)+C823*D$819</f>
        <v>0</v>
      </c>
      <c r="E824" s="2" t="n">
        <f aca="false">D824*(1-E$819)+D823*E$819</f>
        <v>0</v>
      </c>
      <c r="F824" s="2" t="n">
        <f aca="false">E824*(1-F$819)+E823*F$819</f>
        <v>0.0317585574165883</v>
      </c>
      <c r="G824" s="2" t="n">
        <f aca="false">F824*(1-G$819)+F823*G$819</f>
        <v>0.0779874280393472</v>
      </c>
      <c r="H824" s="2" t="n">
        <f aca="false">G824*(1-H$819)+G823*H$819</f>
        <v>0.102928335794678</v>
      </c>
      <c r="I824" s="2" t="n">
        <f aca="false">H824*(1-I$819)+H823*I$819</f>
        <v>0.146955143540799</v>
      </c>
      <c r="J824" s="2" t="n">
        <f aca="false">I824*(1-J$819)+I823*J$819</f>
        <v>0.163520990010663</v>
      </c>
      <c r="K824" s="2" t="n">
        <f aca="false">J824*(1-K$819)+J823*K$819</f>
        <v>0.230111952516755</v>
      </c>
      <c r="L824" s="2" t="n">
        <f aca="false">K824*(1-L$819)+K823*L$819</f>
        <v>0.265472279436415</v>
      </c>
      <c r="M824" s="2" t="n">
        <f aca="false">L824*(1-M$819)+L823*M$819</f>
        <v>0.28875311171812</v>
      </c>
      <c r="N824" s="2" t="n">
        <f aca="false">M824*(1-N$819)+M823*N$819</f>
        <v>0.26798616211479</v>
      </c>
      <c r="O824" s="2" t="n">
        <f aca="false">N824*(1-O$819)+N823*O$819</f>
        <v>0.26798616211479</v>
      </c>
    </row>
    <row r="825" customFormat="false" ht="15" hidden="false" customHeight="false" outlineLevel="0" collapsed="false">
      <c r="B825" s="2" t="n">
        <v>5</v>
      </c>
      <c r="C825" s="2" t="n">
        <f aca="false">0</f>
        <v>0</v>
      </c>
      <c r="D825" s="2" t="n">
        <f aca="false">C825*(1-D$819)+C824*D$819</f>
        <v>0</v>
      </c>
      <c r="E825" s="2" t="n">
        <f aca="false">D825*(1-E$819)+D824*E$819</f>
        <v>0</v>
      </c>
      <c r="F825" s="2" t="n">
        <f aca="false">E825*(1-F$819)+E824*F$819</f>
        <v>0</v>
      </c>
      <c r="G825" s="2" t="n">
        <f aca="false">F825*(1-G$819)+F824*G$819</f>
        <v>0.00825305759153013</v>
      </c>
      <c r="H825" s="2" t="n">
        <f aca="false">G825*(1-H$819)+G824*H$819</f>
        <v>0.0172470439250367</v>
      </c>
      <c r="I825" s="2" t="n">
        <f aca="false">H825*(1-I$819)+H824*I$819</f>
        <v>0.0374804655092774</v>
      </c>
      <c r="J825" s="2" t="n">
        <f aca="false">I825*(1-J$819)+I824*J$819</f>
        <v>0.0484337282973026</v>
      </c>
      <c r="K825" s="2" t="n">
        <f aca="false">J825*(1-K$819)+J824*K$819</f>
        <v>0.0988325098378734</v>
      </c>
      <c r="L825" s="2" t="n">
        <f aca="false">K825*(1-L$819)+K824*L$819</f>
        <v>0.150880606956788</v>
      </c>
      <c r="M825" s="2" t="n">
        <f aca="false">L825*(1-M$819)+L824*M$819</f>
        <v>0.264908240525523</v>
      </c>
      <c r="N825" s="2" t="n">
        <f aca="false">M825*(1-N$819)+M824*N$819</f>
        <v>0.269376885823864</v>
      </c>
      <c r="O825" s="2" t="n">
        <f aca="false">N825*(1-O$819)+N824*O$819</f>
        <v>0.269376885823864</v>
      </c>
    </row>
    <row r="826" customFormat="false" ht="15" hidden="false" customHeight="false" outlineLevel="0" collapsed="false">
      <c r="B826" s="2" t="n">
        <v>6</v>
      </c>
      <c r="C826" s="2" t="n">
        <f aca="false">0</f>
        <v>0</v>
      </c>
      <c r="D826" s="2" t="n">
        <f aca="false">C826*(1-D$819)+C825*D$819</f>
        <v>0</v>
      </c>
      <c r="E826" s="2" t="n">
        <f aca="false">D826*(1-E$819)+D825*E$819</f>
        <v>0</v>
      </c>
      <c r="F826" s="2" t="n">
        <f aca="false">E826*(1-F$819)+E825*F$819</f>
        <v>0</v>
      </c>
      <c r="G826" s="2" t="n">
        <f aca="false">F826*(1-G$819)+F825*G$819</f>
        <v>0</v>
      </c>
      <c r="H826" s="2" t="n">
        <f aca="false">G826*(1-H$819)+G825*H$819</f>
        <v>0.00106443761822457</v>
      </c>
      <c r="I826" s="2" t="n">
        <f aca="false">H826*(1-I$819)+H825*I$819</f>
        <v>0.0048859193978841</v>
      </c>
      <c r="J826" s="2" t="n">
        <f aca="false">I826*(1-J$819)+I825*J$819</f>
        <v>0.00814709938428877</v>
      </c>
      <c r="K826" s="2" t="n">
        <f aca="false">J826*(1-K$819)+J825*K$819</f>
        <v>0.0257893386674684</v>
      </c>
      <c r="L826" s="2" t="n">
        <f aca="false">K826*(1-L$819)+K825*L$819</f>
        <v>0.0547486181203079</v>
      </c>
      <c r="M826" s="2" t="n">
        <f aca="false">L826*(1-M$819)+L825*M$819</f>
        <v>0.150407429621019</v>
      </c>
      <c r="N826" s="2" t="n">
        <f aca="false">M826*(1-N$819)+M825*N$819</f>
        <v>0.17186544070323</v>
      </c>
      <c r="O826" s="2" t="n">
        <f aca="false">N826*(1-O$819)+N825*O$819</f>
        <v>0.17186544070323</v>
      </c>
    </row>
    <row r="827" customFormat="false" ht="15" hidden="false" customHeight="false" outlineLevel="0" collapsed="false">
      <c r="B827" s="2" t="n">
        <v>7</v>
      </c>
      <c r="C827" s="2" t="n">
        <f aca="false">0</f>
        <v>0</v>
      </c>
      <c r="D827" s="2" t="n">
        <f aca="false">C827*(1-D$819)+C826*D$819</f>
        <v>0</v>
      </c>
      <c r="E827" s="2" t="n">
        <f aca="false">D827*(1-E$819)+D826*E$819</f>
        <v>0</v>
      </c>
      <c r="F827" s="2" t="n">
        <f aca="false">E827*(1-F$819)+E826*F$819</f>
        <v>0</v>
      </c>
      <c r="G827" s="2" t="n">
        <f aca="false">F827*(1-G$819)+F826*G$819</f>
        <v>0</v>
      </c>
      <c r="H827" s="2" t="n">
        <f aca="false">G827*(1-H$819)+G826*H$819</f>
        <v>0</v>
      </c>
      <c r="I827" s="2" t="n">
        <f aca="false">H827*(1-I$819)+H826*I$819</f>
        <v>0.000251364266454228</v>
      </c>
      <c r="J827" s="2" t="n">
        <f aca="false">I827*(1-J$819)+I826*J$819</f>
        <v>0.000715065107351198</v>
      </c>
      <c r="K827" s="2" t="n">
        <f aca="false">J827*(1-K$819)+J826*K$819</f>
        <v>0.00396968656891932</v>
      </c>
      <c r="L827" s="2" t="n">
        <f aca="false">K827*(1-L$819)+K826*L$819</f>
        <v>0.0126204802373853</v>
      </c>
      <c r="M827" s="2" t="n">
        <f aca="false">L827*(1-M$819)+L826*M$819</f>
        <v>0.0545412565512234</v>
      </c>
      <c r="N827" s="2" t="n">
        <f aca="false">M827*(1-N$819)+M826*N$819</f>
        <v>0.0725070455084426</v>
      </c>
      <c r="O827" s="2" t="n">
        <f aca="false">N827*(1-O$819)+N826*O$819</f>
        <v>0.0725070455084426</v>
      </c>
    </row>
    <row r="828" customFormat="false" ht="15" hidden="false" customHeight="false" outlineLevel="0" collapsed="false">
      <c r="B828" s="2" t="n">
        <v>8</v>
      </c>
      <c r="C828" s="2" t="n">
        <f aca="false">0</f>
        <v>0</v>
      </c>
      <c r="D828" s="2" t="n">
        <f aca="false">C828*(1-D$819)+C827*D$819</f>
        <v>0</v>
      </c>
      <c r="E828" s="2" t="n">
        <f aca="false">D828*(1-E$819)+D827*E$819</f>
        <v>0</v>
      </c>
      <c r="F828" s="2" t="n">
        <f aca="false">E828*(1-F$819)+E827*F$819</f>
        <v>0</v>
      </c>
      <c r="G828" s="2" t="n">
        <f aca="false">F828*(1-G$819)+F827*G$819</f>
        <v>0</v>
      </c>
      <c r="H828" s="2" t="n">
        <f aca="false">G828*(1-H$819)+G827*H$819</f>
        <v>0</v>
      </c>
      <c r="I828" s="2" t="n">
        <f aca="false">H828*(1-I$819)+H827*I$819</f>
        <v>0</v>
      </c>
      <c r="J828" s="2" t="n">
        <f aca="false">I828*(1-J$819)+I827*J$819</f>
        <v>2.51497324815111E-005</v>
      </c>
      <c r="K828" s="2" t="n">
        <f aca="false">J828*(1-K$819)+J827*K$819</f>
        <v>0.000327276082017394</v>
      </c>
      <c r="L828" s="2" t="n">
        <f aca="false">K828*(1-L$819)+K827*L$819</f>
        <v>0.00177137525627236</v>
      </c>
      <c r="M828" s="2" t="n">
        <f aca="false">L828*(1-M$819)+L827*M$819</f>
        <v>0.0125670791723229</v>
      </c>
      <c r="N828" s="2" t="n">
        <f aca="false">M828*(1-N$819)+M827*N$819</f>
        <v>0.0204332449771599</v>
      </c>
      <c r="O828" s="2" t="n">
        <f aca="false">N828*(1-O$819)+N827*O$819</f>
        <v>0.0204332449771599</v>
      </c>
    </row>
    <row r="829" customFormat="false" ht="15" hidden="false" customHeight="false" outlineLevel="0" collapsed="false">
      <c r="B829" s="2" t="n">
        <v>9</v>
      </c>
      <c r="C829" s="2" t="n">
        <f aca="false">0</f>
        <v>0</v>
      </c>
      <c r="D829" s="2" t="n">
        <f aca="false">C829*(1-D$819)+C828*D$819</f>
        <v>0</v>
      </c>
      <c r="E829" s="2" t="n">
        <f aca="false">D829*(1-E$819)+D828*E$819</f>
        <v>0</v>
      </c>
      <c r="F829" s="2" t="n">
        <f aca="false">E829*(1-F$819)+E828*F$819</f>
        <v>0</v>
      </c>
      <c r="G829" s="2" t="n">
        <f aca="false">F829*(1-G$819)+F828*G$819</f>
        <v>0</v>
      </c>
      <c r="H829" s="2" t="n">
        <f aca="false">G829*(1-H$819)+G828*H$819</f>
        <v>0</v>
      </c>
      <c r="I829" s="2" t="n">
        <f aca="false">H829*(1-I$819)+H828*I$819</f>
        <v>0</v>
      </c>
      <c r="J829" s="2" t="n">
        <f aca="false">I829*(1-J$819)+I828*J$819</f>
        <v>0</v>
      </c>
      <c r="K829" s="2" t="n">
        <f aca="false">J829*(1-K$819)+J828*K$819</f>
        <v>1.10135201261142E-005</v>
      </c>
      <c r="L829" s="2" t="n">
        <f aca="false">K829*(1-L$819)+K828*L$819</f>
        <v>0.000136401503198669</v>
      </c>
      <c r="M829" s="2" t="n">
        <f aca="false">L829*(1-M$819)+L828*M$819</f>
        <v>0.00176332764866645</v>
      </c>
      <c r="N829" s="2" t="n">
        <f aca="false">M829*(1-N$819)+M828*N$819</f>
        <v>0.00378800343997955</v>
      </c>
      <c r="O829" s="2" t="n">
        <f aca="false">N829*(1-O$819)+N828*O$819</f>
        <v>0.00378800343997955</v>
      </c>
    </row>
    <row r="830" customFormat="false" ht="15" hidden="false" customHeight="false" outlineLevel="0" collapsed="false">
      <c r="B830" s="2" t="n">
        <v>10</v>
      </c>
      <c r="C830" s="2" t="n">
        <f aca="false">0</f>
        <v>0</v>
      </c>
      <c r="D830" s="2" t="n">
        <f aca="false">C830*(1-D$819)+C829*D$819</f>
        <v>0</v>
      </c>
      <c r="E830" s="2" t="n">
        <f aca="false">D830*(1-E$819)+D829*E$819</f>
        <v>0</v>
      </c>
      <c r="F830" s="2" t="n">
        <f aca="false">E830*(1-F$819)+E829*F$819</f>
        <v>0</v>
      </c>
      <c r="G830" s="2" t="n">
        <f aca="false">F830*(1-G$819)+F829*G$819</f>
        <v>0</v>
      </c>
      <c r="H830" s="2" t="n">
        <f aca="false">G830*(1-H$819)+G829*H$819</f>
        <v>0</v>
      </c>
      <c r="I830" s="2" t="n">
        <f aca="false">H830*(1-I$819)+H829*I$819</f>
        <v>0</v>
      </c>
      <c r="J830" s="2" t="n">
        <f aca="false">I830*(1-J$819)+I829*J$819</f>
        <v>0</v>
      </c>
      <c r="K830" s="2" t="n">
        <f aca="false">J830*(1-K$819)+J829*K$819</f>
        <v>0</v>
      </c>
      <c r="L830" s="2" t="n">
        <f aca="false">K830*(1-L$819)+K829*L$819</f>
        <v>4.36650821673034E-006</v>
      </c>
      <c r="M830" s="2" t="n">
        <f aca="false">L830*(1-M$819)+L829*M$819</f>
        <v>0.000135751605408038</v>
      </c>
      <c r="N830" s="2" t="n">
        <f aca="false">M830*(1-N$819)+M829*N$819</f>
        <v>0.000440767303528352</v>
      </c>
      <c r="O830" s="2" t="n">
        <f aca="false">N830*(1-O$819)+N829*O$819</f>
        <v>0.000440767303528352</v>
      </c>
    </row>
    <row r="831" customFormat="false" ht="15" hidden="false" customHeight="false" outlineLevel="0" collapsed="false">
      <c r="B831" s="2" t="n">
        <v>11</v>
      </c>
      <c r="C831" s="2" t="n">
        <f aca="false">0</f>
        <v>0</v>
      </c>
      <c r="D831" s="2" t="n">
        <f aca="false">C831*(1-D$819)+C830*D$819</f>
        <v>0</v>
      </c>
      <c r="E831" s="2" t="n">
        <f aca="false">D831*(1-E$819)+D830*E$819</f>
        <v>0</v>
      </c>
      <c r="F831" s="2" t="n">
        <f aca="false">E831*(1-F$819)+E830*F$819</f>
        <v>0</v>
      </c>
      <c r="G831" s="2" t="n">
        <f aca="false">F831*(1-G$819)+F830*G$819</f>
        <v>0</v>
      </c>
      <c r="H831" s="2" t="n">
        <f aca="false">G831*(1-H$819)+G830*H$819</f>
        <v>0</v>
      </c>
      <c r="I831" s="2" t="n">
        <f aca="false">H831*(1-I$819)+H830*I$819</f>
        <v>0</v>
      </c>
      <c r="J831" s="2" t="n">
        <f aca="false">I831*(1-J$819)+I830*J$819</f>
        <v>0</v>
      </c>
      <c r="K831" s="2" t="n">
        <f aca="false">J831*(1-K$819)+J830*K$819</f>
        <v>0</v>
      </c>
      <c r="L831" s="2" t="n">
        <f aca="false">K831*(1-L$819)+K830*L$819</f>
        <v>0</v>
      </c>
      <c r="M831" s="2" t="n">
        <f aca="false">L831*(1-M$819)+L830*M$819</f>
        <v>4.34501555076542E-006</v>
      </c>
      <c r="N831" s="2" t="n">
        <f aca="false">M831*(1-N$819)+M830*N$819</f>
        <v>2.8971252161304E-005</v>
      </c>
      <c r="O831" s="2" t="n">
        <f aca="false">N831*(1-O$819)+N830*O$819</f>
        <v>2.8971252161304E-005</v>
      </c>
    </row>
    <row r="832" customFormat="false" ht="15" hidden="false" customHeight="false" outlineLevel="0" collapsed="false">
      <c r="B832" s="2" t="n">
        <v>12</v>
      </c>
      <c r="C832" s="2" t="n">
        <f aca="false">0</f>
        <v>0</v>
      </c>
      <c r="D832" s="2" t="n">
        <f aca="false">C832*(1-D$819)+C831*D$819</f>
        <v>0</v>
      </c>
      <c r="E832" s="2" t="n">
        <f aca="false">D832*(1-E$819)+D831*E$819</f>
        <v>0</v>
      </c>
      <c r="F832" s="2" t="n">
        <f aca="false">E832*(1-F$819)+E831*F$819</f>
        <v>0</v>
      </c>
      <c r="G832" s="2" t="n">
        <f aca="false">F832*(1-G$819)+F831*G$819</f>
        <v>0</v>
      </c>
      <c r="H832" s="2" t="n">
        <f aca="false">G832*(1-H$819)+G831*H$819</f>
        <v>0</v>
      </c>
      <c r="I832" s="2" t="n">
        <f aca="false">H832*(1-I$819)+H831*I$819</f>
        <v>0</v>
      </c>
      <c r="J832" s="2" t="n">
        <f aca="false">I832*(1-J$819)+I831*J$819</f>
        <v>0</v>
      </c>
      <c r="K832" s="2" t="n">
        <f aca="false">J832*(1-K$819)+J831*K$819</f>
        <v>0</v>
      </c>
      <c r="L832" s="2" t="n">
        <f aca="false">K832*(1-L$819)+K831*L$819</f>
        <v>0</v>
      </c>
      <c r="M832" s="2" t="n">
        <f aca="false">L832*(1-M$819)+L831*M$819</f>
        <v>0</v>
      </c>
      <c r="N832" s="2" t="n">
        <f aca="false">M832*(1-N$819)+M831*N$819</f>
        <v>8.14277131351162E-007</v>
      </c>
      <c r="O832" s="2" t="n">
        <f aca="false">N832*(1-O$819)+N831*O$819</f>
        <v>8.14277131351162E-007</v>
      </c>
    </row>
    <row r="833" customFormat="false" ht="15" hidden="false" customHeight="false" outlineLevel="0" collapsed="false">
      <c r="B833" s="2" t="n">
        <v>13</v>
      </c>
      <c r="C833" s="2" t="n">
        <f aca="false">0</f>
        <v>0</v>
      </c>
      <c r="D833" s="2" t="n">
        <f aca="false">C833*(1-D$819)+C832*D$819</f>
        <v>0</v>
      </c>
      <c r="E833" s="2" t="n">
        <f aca="false">D833*(1-E$819)+D832*E$819</f>
        <v>0</v>
      </c>
      <c r="F833" s="2" t="n">
        <f aca="false">E833*(1-F$819)+E832*F$819</f>
        <v>0</v>
      </c>
      <c r="G833" s="2" t="n">
        <f aca="false">F833*(1-G$819)+F832*G$819</f>
        <v>0</v>
      </c>
      <c r="H833" s="2" t="n">
        <f aca="false">G833*(1-H$819)+G832*H$819</f>
        <v>0</v>
      </c>
      <c r="I833" s="2" t="n">
        <f aca="false">H833*(1-I$819)+H832*I$819</f>
        <v>0</v>
      </c>
      <c r="J833" s="2" t="n">
        <f aca="false">I833*(1-J$819)+I832*J$819</f>
        <v>0</v>
      </c>
      <c r="K833" s="2" t="n">
        <f aca="false">J833*(1-K$819)+J832*K$819</f>
        <v>0</v>
      </c>
      <c r="L833" s="2" t="n">
        <f aca="false">K833*(1-L$819)+K832*L$819</f>
        <v>0</v>
      </c>
      <c r="M833" s="2" t="n">
        <f aca="false">L833*(1-M$819)+L832*M$819</f>
        <v>0</v>
      </c>
      <c r="N833" s="2" t="n">
        <f aca="false">M833*(1-N$819)+M832*N$819</f>
        <v>0</v>
      </c>
      <c r="O833" s="2" t="n">
        <f aca="false">N833*(1-O$819)+N832*O$819</f>
        <v>0</v>
      </c>
    </row>
    <row r="835" customFormat="false" ht="15" hidden="false" customHeight="false" outlineLevel="0" collapsed="false">
      <c r="A835" s="1" t="s">
        <v>110</v>
      </c>
      <c r="C835" s="2" t="n">
        <f aca="false">Schedule!G54</f>
        <v>0.0779859572224404</v>
      </c>
      <c r="D835" s="2" t="n">
        <f aca="false">Schedule!L54</f>
        <v>0.943089556476493</v>
      </c>
      <c r="E835" s="2" t="n">
        <f aca="false">Schedule!Q54</f>
        <v>0.919243340766229</v>
      </c>
      <c r="F835" s="2" t="n">
        <f aca="false">Schedule!V54</f>
        <v>0.175862129666074</v>
      </c>
      <c r="G835" s="2" t="n">
        <f aca="false">Schedule!AA54</f>
        <v>0.601121098652944</v>
      </c>
      <c r="H835" s="2" t="n">
        <f aca="false">Schedule!AF54</f>
        <v>0.398878901347056</v>
      </c>
      <c r="I835" s="2" t="n">
        <f aca="false">Schedule!AK54</f>
        <v>0.23807760572368</v>
      </c>
      <c r="J835" s="2" t="n">
        <f aca="false">Schedule!AP54</f>
        <v>0.202916207063777</v>
      </c>
      <c r="K835" s="2" t="n">
        <f aca="false">Schedule!AU54</f>
        <v>0.58901036286873</v>
      </c>
      <c r="L835" s="2" t="n">
        <f aca="false">Schedule!AZ54</f>
        <v>0.403712223306817</v>
      </c>
      <c r="M835" s="2" t="n">
        <f aca="false">Schedule!BE54</f>
        <v>0.586577601141551</v>
      </c>
      <c r="N835" s="2" t="n">
        <f aca="false">Schedule!BJ54</f>
        <v>0.502493373019601</v>
      </c>
      <c r="O835" s="2" t="n">
        <f aca="false">Schedule!BO54</f>
        <v>0</v>
      </c>
    </row>
    <row r="836" customFormat="false" ht="15" hidden="false" customHeight="false" outlineLevel="0" collapsed="false">
      <c r="B836" s="2" t="n">
        <v>0</v>
      </c>
      <c r="C836" s="2" t="n">
        <f aca="false">1-C$835</f>
        <v>0.92201404277756</v>
      </c>
      <c r="D836" s="2" t="n">
        <f aca="false">C836*(1-D$835)</f>
        <v>0.0524722281093729</v>
      </c>
      <c r="E836" s="2" t="n">
        <f aca="false">D836*(1-E$835)</f>
        <v>0.00423748184466533</v>
      </c>
      <c r="F836" s="2" t="n">
        <f aca="false">E836*(1-F$835)</f>
        <v>0.00349226926304116</v>
      </c>
      <c r="G836" s="2" t="n">
        <f aca="false">F836*(1-G$835)</f>
        <v>0.00139299252684995</v>
      </c>
      <c r="H836" s="2" t="n">
        <f aca="false">G836*(1-H$835)</f>
        <v>0.000837357198155383</v>
      </c>
      <c r="I836" s="2" t="n">
        <f aca="false">H836*(1-I$835)</f>
        <v>0.000638001201283061</v>
      </c>
      <c r="J836" s="2" t="n">
        <f aca="false">I836*(1-J$835)</f>
        <v>0.000508540417416569</v>
      </c>
      <c r="K836" s="2" t="n">
        <f aca="false">J836*(1-K$835)</f>
        <v>0.00020900484162062</v>
      </c>
      <c r="L836" s="2" t="n">
        <f aca="false">K836*(1-L$835)</f>
        <v>0.000124627032328071</v>
      </c>
      <c r="M836" s="2" t="n">
        <f aca="false">L836*(1-M$835)</f>
        <v>5.15236066676804E-005</v>
      </c>
      <c r="N836" s="2" t="n">
        <f aca="false">M836*(1-N$835)</f>
        <v>2.56333357631025E-005</v>
      </c>
      <c r="O836" s="2" t="n">
        <f aca="false">N836*(1-O$835)</f>
        <v>2.56333357631025E-005</v>
      </c>
    </row>
    <row r="837" customFormat="false" ht="15" hidden="false" customHeight="false" outlineLevel="0" collapsed="false">
      <c r="B837" s="2" t="n">
        <v>1</v>
      </c>
      <c r="C837" s="2" t="n">
        <f aca="false">C$835</f>
        <v>0.0779859572224404</v>
      </c>
      <c r="D837" s="2" t="n">
        <f aca="false">C837*(1-D$835)+C836*D$835</f>
        <v>0.873980030082321</v>
      </c>
      <c r="E837" s="2" t="n">
        <f aca="false">D837*(1-E$835)+D836*E$835</f>
        <v>0.118814453731186</v>
      </c>
      <c r="F837" s="2" t="n">
        <f aca="false">E837*(1-F$835)+E836*F$835</f>
        <v>0.098664703444533</v>
      </c>
      <c r="G837" s="2" t="n">
        <f aca="false">F837*(1-G$835)+F836*G$835</f>
        <v>0.0414545452478797</v>
      </c>
      <c r="H837" s="2" t="n">
        <f aca="false">G837*(1-H$835)+G836*H$835</f>
        <v>0.0254748371122581</v>
      </c>
      <c r="I837" s="2" t="n">
        <f aca="false">H837*(1-I$835)+H836*I$835</f>
        <v>0.0196092048832433</v>
      </c>
      <c r="J837" s="2" t="n">
        <f aca="false">I837*(1-J$835)+I836*J$835</f>
        <v>0.0157596401886656</v>
      </c>
      <c r="K837" s="2" t="n">
        <f aca="false">J837*(1-K$835)+J836*K$835</f>
        <v>0.006776584378255</v>
      </c>
      <c r="L837" s="2" t="n">
        <f aca="false">K837*(1-L$835)+K836*L$835</f>
        <v>0.00412517224177598</v>
      </c>
      <c r="M837" s="2" t="n">
        <f aca="false">L837*(1-M$835)+L836*M$835</f>
        <v>0.0017785420295597</v>
      </c>
      <c r="N837" s="2" t="n">
        <f aca="false">M837*(1-N$835)+M836*N$835</f>
        <v>0.000910726716973698</v>
      </c>
      <c r="O837" s="2" t="n">
        <f aca="false">N837*(1-O$835)+N836*O$835</f>
        <v>0.000910726716973698</v>
      </c>
    </row>
    <row r="838" customFormat="false" ht="15" hidden="false" customHeight="false" outlineLevel="0" collapsed="false">
      <c r="B838" s="2" t="n">
        <v>2</v>
      </c>
      <c r="C838" s="2" t="n">
        <f aca="false">0</f>
        <v>0</v>
      </c>
      <c r="D838" s="2" t="n">
        <f aca="false">C838*(1-D$835)+C837*D$835</f>
        <v>0.0735477418083061</v>
      </c>
      <c r="E838" s="2" t="n">
        <f aca="false">D838*(1-E$835)+D837*E$835</f>
        <v>0.809339792538469</v>
      </c>
      <c r="F838" s="2" t="n">
        <f aca="false">E838*(1-F$835)+E837*F$835</f>
        <v>0.687902535867433</v>
      </c>
      <c r="G838" s="2" t="n">
        <f aca="false">F838*(1-G$835)+F837*G$835</f>
        <v>0.3336992426735</v>
      </c>
      <c r="H838" s="2" t="n">
        <f aca="false">G838*(1-H$835)+G837*H$835</f>
        <v>0.217128998839866</v>
      </c>
      <c r="I838" s="2" t="n">
        <f aca="false">H838*(1-I$835)+H837*I$835</f>
        <v>0.171500434888778</v>
      </c>
      <c r="J838" s="2" t="n">
        <f aca="false">I838*(1-J$835)+I837*J$835</f>
        <v>0.140679242609803</v>
      </c>
      <c r="K838" s="2" t="n">
        <f aca="false">J838*(1-K$835)+J837*K$835</f>
        <v>0.0671003022583115</v>
      </c>
      <c r="L838" s="2" t="n">
        <f aca="false">K838*(1-L$835)+K837*L$835</f>
        <v>0.0427468799948207</v>
      </c>
      <c r="M838" s="2" t="n">
        <f aca="false">L838*(1-M$835)+L837*M$835</f>
        <v>0.0200922513090497</v>
      </c>
      <c r="N838" s="2" t="n">
        <f aca="false">M838*(1-N$835)+M837*N$835</f>
        <v>0.0108897337606984</v>
      </c>
      <c r="O838" s="2" t="n">
        <f aca="false">N838*(1-O$835)+N837*O$835</f>
        <v>0.0108897337606984</v>
      </c>
    </row>
    <row r="839" customFormat="false" ht="15" hidden="false" customHeight="false" outlineLevel="0" collapsed="false">
      <c r="B839" s="2" t="n">
        <v>3</v>
      </c>
      <c r="C839" s="2" t="n">
        <f aca="false">0</f>
        <v>0</v>
      </c>
      <c r="D839" s="2" t="n">
        <f aca="false">C839*(1-D$835)+C838*D$835</f>
        <v>0</v>
      </c>
      <c r="E839" s="2" t="n">
        <f aca="false">D839*(1-E$835)+D838*E$835</f>
        <v>0.0676082718856793</v>
      </c>
      <c r="F839" s="2" t="n">
        <f aca="false">E839*(1-F$835)+E838*F$835</f>
        <v>0.198050756748134</v>
      </c>
      <c r="G839" s="2" t="n">
        <f aca="false">F839*(1-G$835)+F838*G$835</f>
        <v>0.492510996389426</v>
      </c>
      <c r="H839" s="2" t="n">
        <f aca="false">G839*(1-H$835)+G838*H$835</f>
        <v>0.429164338546218</v>
      </c>
      <c r="I839" s="2" t="n">
        <f aca="false">H839*(1-I$835)+H838*I$835</f>
        <v>0.378683472540123</v>
      </c>
      <c r="J839" s="2" t="n">
        <f aca="false">I839*(1-J$835)+I838*J$835</f>
        <v>0.33664267637196</v>
      </c>
      <c r="K839" s="2" t="n">
        <f aca="false">J839*(1-K$835)+J838*K$835</f>
        <v>0.22121818314271</v>
      </c>
      <c r="L839" s="2" t="n">
        <f aca="false">K839*(1-L$835)+K838*L$835</f>
        <v>0.158998910799534</v>
      </c>
      <c r="M839" s="2" t="n">
        <f aca="false">L839*(1-M$835)+L838*M$835</f>
        <v>0.0908080734422717</v>
      </c>
      <c r="N839" s="2" t="n">
        <f aca="false">M839*(1-N$835)+M838*N$835</f>
        <v>0.0552738414526948</v>
      </c>
      <c r="O839" s="2" t="n">
        <f aca="false">N839*(1-O$835)+N838*O$835</f>
        <v>0.0552738414526948</v>
      </c>
    </row>
    <row r="840" customFormat="false" ht="15" hidden="false" customHeight="false" outlineLevel="0" collapsed="false">
      <c r="B840" s="2" t="n">
        <v>4</v>
      </c>
      <c r="C840" s="2" t="n">
        <f aca="false">0</f>
        <v>0</v>
      </c>
      <c r="D840" s="2" t="n">
        <f aca="false">C840*(1-D$835)+C839*D$835</f>
        <v>0</v>
      </c>
      <c r="E840" s="2" t="n">
        <f aca="false">D840*(1-E$835)+D839*E$835</f>
        <v>0</v>
      </c>
      <c r="F840" s="2" t="n">
        <f aca="false">E840*(1-F$835)+E839*F$835</f>
        <v>0.0118897346768585</v>
      </c>
      <c r="G840" s="2" t="n">
        <f aca="false">F840*(1-G$835)+F839*G$835</f>
        <v>0.123795052790699</v>
      </c>
      <c r="H840" s="2" t="n">
        <f aca="false">G840*(1-H$835)+G839*H$835</f>
        <v>0.270868063282502</v>
      </c>
      <c r="I840" s="2" t="n">
        <f aca="false">H840*(1-I$835)+H839*I$835</f>
        <v>0.308554861492264</v>
      </c>
      <c r="J840" s="2" t="n">
        <f aca="false">I840*(1-J$835)+I839*J$835</f>
        <v>0.322785093252747</v>
      </c>
      <c r="K840" s="2" t="n">
        <f aca="false">J840*(1-K$835)+J839*K$835</f>
        <v>0.330947353314278</v>
      </c>
      <c r="L840" s="2" t="n">
        <f aca="false">K840*(1-L$835)+K839*L$835</f>
        <v>0.286648346062702</v>
      </c>
      <c r="M840" s="2" t="n">
        <f aca="false">L840*(1-M$835)+L839*M$835</f>
        <v>0.21177204653896</v>
      </c>
      <c r="N840" s="2" t="n">
        <f aca="false">M840*(1-N$835)+M839*N$835</f>
        <v>0.150988451683753</v>
      </c>
      <c r="O840" s="2" t="n">
        <f aca="false">N840*(1-O$835)+N839*O$835</f>
        <v>0.150988451683753</v>
      </c>
    </row>
    <row r="841" customFormat="false" ht="15" hidden="false" customHeight="false" outlineLevel="0" collapsed="false">
      <c r="B841" s="2" t="n">
        <v>5</v>
      </c>
      <c r="C841" s="2" t="n">
        <f aca="false">0</f>
        <v>0</v>
      </c>
      <c r="D841" s="2" t="n">
        <f aca="false">C841*(1-D$835)+C840*D$835</f>
        <v>0</v>
      </c>
      <c r="E841" s="2" t="n">
        <f aca="false">D841*(1-E$835)+D840*E$835</f>
        <v>0</v>
      </c>
      <c r="F841" s="2" t="n">
        <f aca="false">E841*(1-F$835)+E840*F$835</f>
        <v>0</v>
      </c>
      <c r="G841" s="2" t="n">
        <f aca="false">F841*(1-G$835)+F840*G$835</f>
        <v>0.00714717037164519</v>
      </c>
      <c r="H841" s="2" t="n">
        <f aca="false">G841*(1-H$835)+G840*H$835</f>
        <v>0.0536755495554179</v>
      </c>
      <c r="I841" s="2" t="n">
        <f aca="false">H841*(1-I$835)+H840*I$835</f>
        <v>0.10538422320467</v>
      </c>
      <c r="J841" s="2" t="n">
        <f aca="false">I841*(1-J$835)+I840*J$835</f>
        <v>0.146610838512715</v>
      </c>
      <c r="K841" s="2" t="n">
        <f aca="false">J841*(1-K$835)+J840*K$835</f>
        <v>0.250379300225269</v>
      </c>
      <c r="L841" s="2" t="n">
        <f aca="false">K841*(1-L$835)+K840*L$835</f>
        <v>0.282905608065335</v>
      </c>
      <c r="M841" s="2" t="n">
        <f aca="false">L841*(1-M$835)+L840*M$835</f>
        <v>0.285101014341532</v>
      </c>
      <c r="N841" s="2" t="n">
        <f aca="false">M841*(1-N$835)+M840*N$835</f>
        <v>0.248253693970372</v>
      </c>
      <c r="O841" s="2" t="n">
        <f aca="false">N841*(1-O$835)+N840*O$835</f>
        <v>0.248253693970372</v>
      </c>
    </row>
    <row r="842" customFormat="false" ht="15" hidden="false" customHeight="false" outlineLevel="0" collapsed="false">
      <c r="B842" s="2" t="n">
        <v>6</v>
      </c>
      <c r="C842" s="2" t="n">
        <f aca="false">0</f>
        <v>0</v>
      </c>
      <c r="D842" s="2" t="n">
        <f aca="false">C842*(1-D$835)+C841*D$835</f>
        <v>0</v>
      </c>
      <c r="E842" s="2" t="n">
        <f aca="false">D842*(1-E$835)+D841*E$835</f>
        <v>0</v>
      </c>
      <c r="F842" s="2" t="n">
        <f aca="false">E842*(1-F$835)+E841*F$835</f>
        <v>0</v>
      </c>
      <c r="G842" s="2" t="n">
        <f aca="false">F842*(1-G$835)+F841*G$835</f>
        <v>0</v>
      </c>
      <c r="H842" s="2" t="n">
        <f aca="false">G842*(1-H$835)+G841*H$835</f>
        <v>0.00285085546558207</v>
      </c>
      <c r="I842" s="2" t="n">
        <f aca="false">H842*(1-I$835)+H841*I$835</f>
        <v>0.0149510769461286</v>
      </c>
      <c r="J842" s="2" t="n">
        <f aca="false">I842*(1-J$835)+I841*J$835</f>
        <v>0.0333014279777555</v>
      </c>
      <c r="K842" s="2" t="n">
        <f aca="false">J842*(1-K$835)+J841*K$835</f>
        <v>0.100041844993394</v>
      </c>
      <c r="L842" s="2" t="n">
        <f aca="false">K842*(1-L$835)+K841*L$835</f>
        <v>0.160734913291343</v>
      </c>
      <c r="M842" s="2" t="n">
        <f aca="false">L842*(1-M$835)+L841*M$835</f>
        <v>0.232397506361668</v>
      </c>
      <c r="N842" s="2" t="n">
        <f aca="false">M842*(1-N$835)+M841*N$835</f>
        <v>0.258880669856435</v>
      </c>
      <c r="O842" s="2" t="n">
        <f aca="false">N842*(1-O$835)+N841*O$835</f>
        <v>0.258880669856435</v>
      </c>
    </row>
    <row r="843" customFormat="false" ht="15" hidden="false" customHeight="false" outlineLevel="0" collapsed="false">
      <c r="B843" s="2" t="n">
        <v>7</v>
      </c>
      <c r="C843" s="2" t="n">
        <f aca="false">0</f>
        <v>0</v>
      </c>
      <c r="D843" s="2" t="n">
        <f aca="false">C843*(1-D$835)+C842*D$835</f>
        <v>0</v>
      </c>
      <c r="E843" s="2" t="n">
        <f aca="false">D843*(1-E$835)+D842*E$835</f>
        <v>0</v>
      </c>
      <c r="F843" s="2" t="n">
        <f aca="false">E843*(1-F$835)+E842*F$835</f>
        <v>0</v>
      </c>
      <c r="G843" s="2" t="n">
        <f aca="false">F843*(1-G$835)+F842*G$835</f>
        <v>0</v>
      </c>
      <c r="H843" s="2" t="n">
        <f aca="false">G843*(1-H$835)+G842*H$835</f>
        <v>0</v>
      </c>
      <c r="I843" s="2" t="n">
        <f aca="false">H843*(1-I$835)+H842*I$835</f>
        <v>0.000678724843510044</v>
      </c>
      <c r="J843" s="2" t="n">
        <f aca="false">I843*(1-J$835)+I842*J$835</f>
        <v>0.00357481639805212</v>
      </c>
      <c r="K843" s="2" t="n">
        <f aca="false">J843*(1-K$835)+J842*K$835</f>
        <v>0.021084098671471</v>
      </c>
      <c r="L843" s="2" t="n">
        <f aca="false">K843*(1-L$835)+K842*L$835</f>
        <v>0.0529603059863901</v>
      </c>
      <c r="M843" s="2" t="n">
        <f aca="false">L843*(1-M$835)+L842*M$835</f>
        <v>0.116178476603302</v>
      </c>
      <c r="N843" s="2" t="n">
        <f aca="false">M843*(1-N$835)+M842*N$835</f>
        <v>0.174577768875649</v>
      </c>
      <c r="O843" s="2" t="n">
        <f aca="false">N843*(1-O$835)+N842*O$835</f>
        <v>0.174577768875649</v>
      </c>
    </row>
    <row r="844" customFormat="false" ht="15" hidden="false" customHeight="false" outlineLevel="0" collapsed="false">
      <c r="B844" s="2" t="n">
        <v>8</v>
      </c>
      <c r="C844" s="2" t="n">
        <f aca="false">0</f>
        <v>0</v>
      </c>
      <c r="D844" s="2" t="n">
        <f aca="false">C844*(1-D$835)+C843*D$835</f>
        <v>0</v>
      </c>
      <c r="E844" s="2" t="n">
        <f aca="false">D844*(1-E$835)+D843*E$835</f>
        <v>0</v>
      </c>
      <c r="F844" s="2" t="n">
        <f aca="false">E844*(1-F$835)+E843*F$835</f>
        <v>0</v>
      </c>
      <c r="G844" s="2" t="n">
        <f aca="false">F844*(1-G$835)+F843*G$835</f>
        <v>0</v>
      </c>
      <c r="H844" s="2" t="n">
        <f aca="false">G844*(1-H$835)+G843*H$835</f>
        <v>0</v>
      </c>
      <c r="I844" s="2" t="n">
        <f aca="false">H844*(1-I$835)+H843*I$835</f>
        <v>0</v>
      </c>
      <c r="J844" s="2" t="n">
        <f aca="false">I844*(1-J$835)+I843*J$835</f>
        <v>0.000137724270885014</v>
      </c>
      <c r="K844" s="2" t="n">
        <f aca="false">J844*(1-K$835)+J843*K$835</f>
        <v>0.00216220715192097</v>
      </c>
      <c r="L844" s="2" t="n">
        <f aca="false">K844*(1-L$835)+K843*L$835</f>
        <v>0.00980120604644892</v>
      </c>
      <c r="M844" s="2" t="n">
        <f aca="false">L844*(1-M$835)+L843*M$835</f>
        <v>0.0351173673566481</v>
      </c>
      <c r="N844" s="2" t="n">
        <f aca="false">M844*(1-N$835)+M843*N$835</f>
        <v>0.0758500375627097</v>
      </c>
      <c r="O844" s="2" t="n">
        <f aca="false">N844*(1-O$835)+N843*O$835</f>
        <v>0.0758500375627097</v>
      </c>
    </row>
    <row r="845" customFormat="false" ht="15" hidden="false" customHeight="false" outlineLevel="0" collapsed="false">
      <c r="B845" s="2" t="n">
        <v>9</v>
      </c>
      <c r="C845" s="2" t="n">
        <f aca="false">0</f>
        <v>0</v>
      </c>
      <c r="D845" s="2" t="n">
        <f aca="false">C845*(1-D$835)+C844*D$835</f>
        <v>0</v>
      </c>
      <c r="E845" s="2" t="n">
        <f aca="false">D845*(1-E$835)+D844*E$835</f>
        <v>0</v>
      </c>
      <c r="F845" s="2" t="n">
        <f aca="false">E845*(1-F$835)+E844*F$835</f>
        <v>0</v>
      </c>
      <c r="G845" s="2" t="n">
        <f aca="false">F845*(1-G$835)+F844*G$835</f>
        <v>0</v>
      </c>
      <c r="H845" s="2" t="n">
        <f aca="false">G845*(1-H$835)+G844*H$835</f>
        <v>0</v>
      </c>
      <c r="I845" s="2" t="n">
        <f aca="false">H845*(1-I$835)+H844*I$835</f>
        <v>0</v>
      </c>
      <c r="J845" s="2" t="n">
        <f aca="false">I845*(1-J$835)+I844*J$835</f>
        <v>0</v>
      </c>
      <c r="K845" s="2" t="n">
        <f aca="false">J845*(1-K$835)+J844*K$835</f>
        <v>8.1121022769813E-005</v>
      </c>
      <c r="L845" s="2" t="n">
        <f aca="false">K845*(1-L$835)+K844*L$835</f>
        <v>0.000921280930862404</v>
      </c>
      <c r="M845" s="2" t="n">
        <f aca="false">L845*(1-M$835)+L844*M$835</f>
        <v>0.00613004610347975</v>
      </c>
      <c r="N845" s="2" t="n">
        <f aca="false">M845*(1-N$835)+M844*N$835</f>
        <v>0.0206959829347871</v>
      </c>
      <c r="O845" s="2" t="n">
        <f aca="false">N845*(1-O$835)+N844*O$835</f>
        <v>0.0206959829347871</v>
      </c>
    </row>
    <row r="846" customFormat="false" ht="15" hidden="false" customHeight="false" outlineLevel="0" collapsed="false">
      <c r="B846" s="2" t="n">
        <v>10</v>
      </c>
      <c r="C846" s="2" t="n">
        <f aca="false">0</f>
        <v>0</v>
      </c>
      <c r="D846" s="2" t="n">
        <f aca="false">C846*(1-D$835)+C845*D$835</f>
        <v>0</v>
      </c>
      <c r="E846" s="2" t="n">
        <f aca="false">D846*(1-E$835)+D845*E$835</f>
        <v>0</v>
      </c>
      <c r="F846" s="2" t="n">
        <f aca="false">E846*(1-F$835)+E845*F$835</f>
        <v>0</v>
      </c>
      <c r="G846" s="2" t="n">
        <f aca="false">F846*(1-G$835)+F845*G$835</f>
        <v>0</v>
      </c>
      <c r="H846" s="2" t="n">
        <f aca="false">G846*(1-H$835)+G845*H$835</f>
        <v>0</v>
      </c>
      <c r="I846" s="2" t="n">
        <f aca="false">H846*(1-I$835)+H845*I$835</f>
        <v>0</v>
      </c>
      <c r="J846" s="2" t="n">
        <f aca="false">I846*(1-J$835)+I845*J$835</f>
        <v>0</v>
      </c>
      <c r="K846" s="2" t="n">
        <f aca="false">J846*(1-K$835)+J845*K$835</f>
        <v>0</v>
      </c>
      <c r="L846" s="2" t="n">
        <f aca="false">K846*(1-L$835)+K845*L$835</f>
        <v>3.27495484593242E-005</v>
      </c>
      <c r="M846" s="2" t="n">
        <f aca="false">L846*(1-M$835)+L845*M$835</f>
        <v>0.000553942155288309</v>
      </c>
      <c r="N846" s="2" t="n">
        <f aca="false">M846*(1-N$835)+M845*N$835</f>
        <v>0.00335589743652294</v>
      </c>
      <c r="O846" s="2" t="n">
        <f aca="false">N846*(1-O$835)+N845*O$835</f>
        <v>0.00335589743652294</v>
      </c>
    </row>
    <row r="847" customFormat="false" ht="15" hidden="false" customHeight="false" outlineLevel="0" collapsed="false">
      <c r="B847" s="2" t="n">
        <v>11</v>
      </c>
      <c r="C847" s="2" t="n">
        <f aca="false">0</f>
        <v>0</v>
      </c>
      <c r="D847" s="2" t="n">
        <f aca="false">C847*(1-D$835)+C846*D$835</f>
        <v>0</v>
      </c>
      <c r="E847" s="2" t="n">
        <f aca="false">D847*(1-E$835)+D846*E$835</f>
        <v>0</v>
      </c>
      <c r="F847" s="2" t="n">
        <f aca="false">E847*(1-F$835)+E846*F$835</f>
        <v>0</v>
      </c>
      <c r="G847" s="2" t="n">
        <f aca="false">F847*(1-G$835)+F846*G$835</f>
        <v>0</v>
      </c>
      <c r="H847" s="2" t="n">
        <f aca="false">G847*(1-H$835)+G846*H$835</f>
        <v>0</v>
      </c>
      <c r="I847" s="2" t="n">
        <f aca="false">H847*(1-I$835)+H846*I$835</f>
        <v>0</v>
      </c>
      <c r="J847" s="2" t="n">
        <f aca="false">I847*(1-J$835)+I846*J$835</f>
        <v>0</v>
      </c>
      <c r="K847" s="2" t="n">
        <f aca="false">J847*(1-K$835)+J846*K$835</f>
        <v>0</v>
      </c>
      <c r="L847" s="2" t="n">
        <f aca="false">K847*(1-L$835)+K846*L$835</f>
        <v>0</v>
      </c>
      <c r="M847" s="2" t="n">
        <f aca="false">L847*(1-M$835)+L846*M$835</f>
        <v>1.92101515737393E-005</v>
      </c>
      <c r="N847" s="2" t="n">
        <f aca="false">M847*(1-N$835)+M846*N$835</f>
        <v>0.000287909439781803</v>
      </c>
      <c r="O847" s="2" t="n">
        <f aca="false">N847*(1-O$835)+N846*O$835</f>
        <v>0.000287909439781803</v>
      </c>
    </row>
    <row r="848" customFormat="false" ht="15" hidden="false" customHeight="false" outlineLevel="0" collapsed="false">
      <c r="B848" s="2" t="n">
        <v>12</v>
      </c>
      <c r="C848" s="2" t="n">
        <f aca="false">0</f>
        <v>0</v>
      </c>
      <c r="D848" s="2" t="n">
        <f aca="false">C848*(1-D$835)+C847*D$835</f>
        <v>0</v>
      </c>
      <c r="E848" s="2" t="n">
        <f aca="false">D848*(1-E$835)+D847*E$835</f>
        <v>0</v>
      </c>
      <c r="F848" s="2" t="n">
        <f aca="false">E848*(1-F$835)+E847*F$835</f>
        <v>0</v>
      </c>
      <c r="G848" s="2" t="n">
        <f aca="false">F848*(1-G$835)+F847*G$835</f>
        <v>0</v>
      </c>
      <c r="H848" s="2" t="n">
        <f aca="false">G848*(1-H$835)+G847*H$835</f>
        <v>0</v>
      </c>
      <c r="I848" s="2" t="n">
        <f aca="false">H848*(1-I$835)+H847*I$835</f>
        <v>0</v>
      </c>
      <c r="J848" s="2" t="n">
        <f aca="false">I848*(1-J$835)+I847*J$835</f>
        <v>0</v>
      </c>
      <c r="K848" s="2" t="n">
        <f aca="false">J848*(1-K$835)+J847*K$835</f>
        <v>0</v>
      </c>
      <c r="L848" s="2" t="n">
        <f aca="false">K848*(1-L$835)+K847*L$835</f>
        <v>0</v>
      </c>
      <c r="M848" s="2" t="n">
        <f aca="false">L848*(1-M$835)+L847*M$835</f>
        <v>0</v>
      </c>
      <c r="N848" s="2" t="n">
        <f aca="false">M848*(1-N$835)+M847*N$835</f>
        <v>9.65297386050608E-006</v>
      </c>
      <c r="O848" s="2" t="n">
        <f aca="false">N848*(1-O$835)+N847*O$835</f>
        <v>9.65297386050608E-006</v>
      </c>
    </row>
    <row r="849" customFormat="false" ht="15" hidden="false" customHeight="false" outlineLevel="0" collapsed="false">
      <c r="B849" s="2" t="n">
        <v>13</v>
      </c>
      <c r="C849" s="2" t="n">
        <f aca="false">0</f>
        <v>0</v>
      </c>
      <c r="D849" s="2" t="n">
        <f aca="false">C849*(1-D$835)+C848*D$835</f>
        <v>0</v>
      </c>
      <c r="E849" s="2" t="n">
        <f aca="false">D849*(1-E$835)+D848*E$835</f>
        <v>0</v>
      </c>
      <c r="F849" s="2" t="n">
        <f aca="false">E849*(1-F$835)+E848*F$835</f>
        <v>0</v>
      </c>
      <c r="G849" s="2" t="n">
        <f aca="false">F849*(1-G$835)+F848*G$835</f>
        <v>0</v>
      </c>
      <c r="H849" s="2" t="n">
        <f aca="false">G849*(1-H$835)+G848*H$835</f>
        <v>0</v>
      </c>
      <c r="I849" s="2" t="n">
        <f aca="false">H849*(1-I$835)+H848*I$835</f>
        <v>0</v>
      </c>
      <c r="J849" s="2" t="n">
        <f aca="false">I849*(1-J$835)+I848*J$835</f>
        <v>0</v>
      </c>
      <c r="K849" s="2" t="n">
        <f aca="false">J849*(1-K$835)+J848*K$835</f>
        <v>0</v>
      </c>
      <c r="L849" s="2" t="n">
        <f aca="false">K849*(1-L$835)+K848*L$835</f>
        <v>0</v>
      </c>
      <c r="M849" s="2" t="n">
        <f aca="false">L849*(1-M$835)+L848*M$835</f>
        <v>0</v>
      </c>
      <c r="N849" s="2" t="n">
        <f aca="false">M849*(1-N$835)+M848*N$835</f>
        <v>0</v>
      </c>
      <c r="O849" s="2" t="n">
        <f aca="false">N849*(1-O$835)+N848*O$835</f>
        <v>0</v>
      </c>
    </row>
    <row r="851" customFormat="false" ht="15" hidden="false" customHeight="false" outlineLevel="0" collapsed="false">
      <c r="A851" s="1" t="s">
        <v>111</v>
      </c>
      <c r="C851" s="2" t="n">
        <f aca="false">Schedule!G55</f>
        <v>0.315169414269308</v>
      </c>
      <c r="D851" s="2" t="n">
        <f aca="false">Schedule!L55</f>
        <v>0.998730900562069</v>
      </c>
      <c r="E851" s="2" t="n">
        <f aca="false">Schedule!Q55</f>
        <v>0.832100748402324</v>
      </c>
      <c r="F851" s="2" t="n">
        <f aca="false">Schedule!V55</f>
        <v>0.636830651175619</v>
      </c>
      <c r="G851" s="2" t="n">
        <f aca="false">Schedule!AA55</f>
        <v>0.41098963713127</v>
      </c>
      <c r="H851" s="2" t="n">
        <f aca="false">Schedule!AF55</f>
        <v>0.423185819619029</v>
      </c>
      <c r="I851" s="2" t="n">
        <f aca="false">Schedule!AK55</f>
        <v>0.450261775169887</v>
      </c>
      <c r="J851" s="2" t="n">
        <f aca="false">Schedule!AP55</f>
        <v>0.490027481804762</v>
      </c>
      <c r="K851" s="2" t="n">
        <f aca="false">Schedule!AU55</f>
        <v>0.662300575057129</v>
      </c>
      <c r="L851" s="2" t="n">
        <f aca="false">Schedule!AZ55</f>
        <v>0.197662543122692</v>
      </c>
      <c r="M851" s="2" t="n">
        <f aca="false">Schedule!BE55</f>
        <v>0.166334969492118</v>
      </c>
      <c r="N851" s="2" t="n">
        <f aca="false">Schedule!BJ55</f>
        <v>0.351508875516277</v>
      </c>
      <c r="O851" s="2" t="n">
        <f aca="false">Schedule!BO55</f>
        <v>0</v>
      </c>
    </row>
    <row r="852" customFormat="false" ht="15" hidden="false" customHeight="false" outlineLevel="0" collapsed="false">
      <c r="B852" s="2" t="n">
        <v>0</v>
      </c>
      <c r="C852" s="2" t="n">
        <f aca="false">1-C$851</f>
        <v>0.684830585730692</v>
      </c>
      <c r="D852" s="2" t="n">
        <f aca="false">C852*(1-D$851)</f>
        <v>0.000869118111429134</v>
      </c>
      <c r="E852" s="2" t="n">
        <f aca="false">D852*(1-E$851)</f>
        <v>0.000145924280458937</v>
      </c>
      <c r="F852" s="2" t="n">
        <f aca="false">E852*(1-F$851)</f>
        <v>5.29952259119387E-005</v>
      </c>
      <c r="G852" s="2" t="n">
        <f aca="false">F852*(1-G$851)</f>
        <v>3.12147372447013E-005</v>
      </c>
      <c r="H852" s="2" t="n">
        <f aca="false">G852*(1-H$851)</f>
        <v>1.80051030796097E-005</v>
      </c>
      <c r="I852" s="2" t="n">
        <f aca="false">H852*(1-I$851)</f>
        <v>9.89809340486785E-006</v>
      </c>
      <c r="J852" s="2" t="n">
        <f aca="false">I852*(1-J$851)</f>
        <v>5.04775561901214E-006</v>
      </c>
      <c r="K852" s="2" t="n">
        <f aca="false">J852*(1-K$851)</f>
        <v>1.70462416979254E-006</v>
      </c>
      <c r="L852" s="2" t="n">
        <f aca="false">K852*(1-L$851)</f>
        <v>1.36768382132294E-006</v>
      </c>
      <c r="M852" s="2" t="n">
        <f aca="false">L852*(1-M$851)</f>
        <v>1.14019017462833E-006</v>
      </c>
      <c r="N852" s="2" t="n">
        <f aca="false">M852*(1-N$851)</f>
        <v>7.39403208470016E-007</v>
      </c>
      <c r="O852" s="2" t="n">
        <f aca="false">N852*(1-O$851)</f>
        <v>7.39403208470016E-007</v>
      </c>
    </row>
    <row r="853" customFormat="false" ht="15" hidden="false" customHeight="false" outlineLevel="0" collapsed="false">
      <c r="B853" s="2" t="n">
        <v>1</v>
      </c>
      <c r="C853" s="2" t="n">
        <f aca="false">C$851</f>
        <v>0.315169414269308</v>
      </c>
      <c r="D853" s="2" t="n">
        <f aca="false">C853*(1-D$851)+C852*D$851</f>
        <v>0.684361448945765</v>
      </c>
      <c r="E853" s="2" t="n">
        <f aca="false">D853*(1-E$851)+D852*E$851</f>
        <v>0.115626968931265</v>
      </c>
      <c r="F853" s="2" t="n">
        <f aca="false">E853*(1-F$851)+E852*F$851</f>
        <v>0.0420851000678516</v>
      </c>
      <c r="G853" s="2" t="n">
        <f aca="false">F853*(1-G$851)+F852*G$851</f>
        <v>0.0248103405509993</v>
      </c>
      <c r="H853" s="2" t="n">
        <f aca="false">G853*(1-H$851)+G852*H$851</f>
        <v>0.0143241658840625</v>
      </c>
      <c r="I853" s="2" t="n">
        <f aca="false">H853*(1-I$851)+H852*I$851</f>
        <v>0.00788264853495133</v>
      </c>
      <c r="J853" s="2" t="n">
        <f aca="false">I853*(1-J$851)+I852*J$851</f>
        <v>0.00402478446120299</v>
      </c>
      <c r="K853" s="2" t="n">
        <f aca="false">J853*(1-K$851)+J852*K$851</f>
        <v>0.00136251052951647</v>
      </c>
      <c r="L853" s="2" t="n">
        <f aca="false">K853*(1-L$851)+K852*L$851</f>
        <v>0.00109353017356927</v>
      </c>
      <c r="M853" s="2" t="n">
        <f aca="false">L853*(1-M$851)+L852*M$851</f>
        <v>0.000911865359156609</v>
      </c>
      <c r="N853" s="2" t="n">
        <f aca="false">M853*(1-N$851)+M852*N$851</f>
        <v>0.000591737379103382</v>
      </c>
      <c r="O853" s="2" t="n">
        <f aca="false">N853*(1-O$851)+N852*O$851</f>
        <v>0.000591737379103382</v>
      </c>
    </row>
    <row r="854" customFormat="false" ht="15" hidden="false" customHeight="false" outlineLevel="0" collapsed="false">
      <c r="B854" s="2" t="n">
        <v>2</v>
      </c>
      <c r="C854" s="2" t="n">
        <f aca="false">0</f>
        <v>0</v>
      </c>
      <c r="D854" s="2" t="n">
        <f aca="false">C854*(1-D$851)+C853*D$851</f>
        <v>0.314769432942806</v>
      </c>
      <c r="E854" s="2" t="n">
        <f aca="false">D854*(1-E$851)+D853*E$851</f>
        <v>0.622307226062392</v>
      </c>
      <c r="F854" s="2" t="n">
        <f aca="false">E854*(1-F$851)+E853*F$851</f>
        <v>0.299637707975746</v>
      </c>
      <c r="G854" s="2" t="n">
        <f aca="false">F854*(1-G$851)+F853*G$851</f>
        <v>0.193786255109468</v>
      </c>
      <c r="H854" s="2" t="n">
        <f aca="false">G854*(1-H$851)+G853*H$851</f>
        <v>0.122278044211168</v>
      </c>
      <c r="I854" s="2" t="n">
        <f aca="false">H854*(1-I$851)+H853*I$851</f>
        <v>0.0736705393191312</v>
      </c>
      <c r="J854" s="2" t="n">
        <f aca="false">I854*(1-J$851)+I853*J$851</f>
        <v>0.0414326648649129</v>
      </c>
      <c r="K854" s="2" t="n">
        <f aca="false">J854*(1-K$851)+J853*K$851</f>
        <v>0.0166574041618675</v>
      </c>
      <c r="L854" s="2" t="n">
        <f aca="false">K854*(1-L$851)+K853*L$851</f>
        <v>0.0136341765897059</v>
      </c>
      <c r="M854" s="2" t="n">
        <f aca="false">L854*(1-M$851)+L853*M$851</f>
        <v>0.0115482285506664</v>
      </c>
      <c r="N854" s="2" t="n">
        <f aca="false">M854*(1-N$851)+M853*N$851</f>
        <v>0.00780945248563607</v>
      </c>
      <c r="O854" s="2" t="n">
        <f aca="false">N854*(1-O$851)+N853*O$851</f>
        <v>0.00780945248563607</v>
      </c>
    </row>
    <row r="855" customFormat="false" ht="15" hidden="false" customHeight="false" outlineLevel="0" collapsed="false">
      <c r="B855" s="2" t="n">
        <v>3</v>
      </c>
      <c r="C855" s="2" t="n">
        <f aca="false">0</f>
        <v>0</v>
      </c>
      <c r="D855" s="2" t="n">
        <f aca="false">C855*(1-D$851)+C854*D$851</f>
        <v>0</v>
      </c>
      <c r="E855" s="2" t="n">
        <f aca="false">D855*(1-E$851)+D854*E$851</f>
        <v>0.261919880725884</v>
      </c>
      <c r="F855" s="2" t="n">
        <f aca="false">E855*(1-F$851)+E854*F$851</f>
        <v>0.491425588531985</v>
      </c>
      <c r="G855" s="2" t="n">
        <f aca="false">F855*(1-G$851)+F854*G$851</f>
        <v>0.412602757096001</v>
      </c>
      <c r="H855" s="2" t="n">
        <f aca="false">G855*(1-H$851)+G854*H$851</f>
        <v>0.320002716356661</v>
      </c>
      <c r="I855" s="2" t="n">
        <f aca="false">H855*(1-I$851)+H854*I$851</f>
        <v>0.230974854481547</v>
      </c>
      <c r="J855" s="2" t="n">
        <f aca="false">I855*(1-J$851)+I854*J$851</f>
        <v>0.153891417045486</v>
      </c>
      <c r="K855" s="2" t="n">
        <f aca="false">J855*(1-K$851)+J854*K$851</f>
        <v>0.0794099208060852</v>
      </c>
      <c r="L855" s="2" t="n">
        <f aca="false">K855*(1-L$851)+K854*L$851</f>
        <v>0.0670060987788401</v>
      </c>
      <c r="M855" s="2" t="n">
        <f aca="false">L855*(1-M$851)+L854*M$851</f>
        <v>0.0581284817297747</v>
      </c>
      <c r="N855" s="2" t="n">
        <f aca="false">M855*(1-N$851)+M854*N$851</f>
        <v>0.0417551093135229</v>
      </c>
      <c r="O855" s="2" t="n">
        <f aca="false">N855*(1-O$851)+N854*O$851</f>
        <v>0.0417551093135229</v>
      </c>
    </row>
    <row r="856" customFormat="false" ht="15" hidden="false" customHeight="false" outlineLevel="0" collapsed="false">
      <c r="B856" s="2" t="n">
        <v>4</v>
      </c>
      <c r="C856" s="2" t="n">
        <f aca="false">0</f>
        <v>0</v>
      </c>
      <c r="D856" s="2" t="n">
        <f aca="false">C856*(1-D$851)+C855*D$851</f>
        <v>0</v>
      </c>
      <c r="E856" s="2" t="n">
        <f aca="false">D856*(1-E$851)+D855*E$851</f>
        <v>0</v>
      </c>
      <c r="F856" s="2" t="n">
        <f aca="false">E856*(1-F$851)+E855*F$851</f>
        <v>0.166798608198505</v>
      </c>
      <c r="G856" s="2" t="n">
        <f aca="false">F856*(1-G$851)+F855*G$851</f>
        <v>0.300216933048782</v>
      </c>
      <c r="H856" s="2" t="n">
        <f aca="false">G856*(1-H$851)+G855*H$851</f>
        <v>0.347777020111764</v>
      </c>
      <c r="I856" s="2" t="n">
        <f aca="false">H856*(1-I$851)+H855*I$851</f>
        <v>0.335271312798884</v>
      </c>
      <c r="J856" s="2" t="n">
        <f aca="false">I856*(1-J$851)+I855*J$851</f>
        <v>0.284163181968484</v>
      </c>
      <c r="K856" s="2" t="n">
        <f aca="false">J856*(1-K$851)+J855*K$851</f>
        <v>0.197884117146275</v>
      </c>
      <c r="L856" s="2" t="n">
        <f aca="false">K856*(1-L$851)+K855*L$851</f>
        <v>0.174466206203256</v>
      </c>
      <c r="M856" s="2" t="n">
        <f aca="false">L856*(1-M$851)+L855*M$851</f>
        <v>0.156591832513196</v>
      </c>
      <c r="N856" s="2" t="n">
        <f aca="false">M856*(1-N$851)+M855*N$851</f>
        <v>0.121981090799751</v>
      </c>
      <c r="O856" s="2" t="n">
        <f aca="false">N856*(1-O$851)+N855*O$851</f>
        <v>0.121981090799751</v>
      </c>
    </row>
    <row r="857" customFormat="false" ht="15" hidden="false" customHeight="false" outlineLevel="0" collapsed="false">
      <c r="B857" s="2" t="n">
        <v>5</v>
      </c>
      <c r="C857" s="2" t="n">
        <f aca="false">0</f>
        <v>0</v>
      </c>
      <c r="D857" s="2" t="n">
        <f aca="false">C857*(1-D$851)+C856*D$851</f>
        <v>0</v>
      </c>
      <c r="E857" s="2" t="n">
        <f aca="false">D857*(1-E$851)+D856*E$851</f>
        <v>0</v>
      </c>
      <c r="F857" s="2" t="n">
        <f aca="false">E857*(1-F$851)+E856*F$851</f>
        <v>0</v>
      </c>
      <c r="G857" s="2" t="n">
        <f aca="false">F857*(1-G$851)+F856*G$851</f>
        <v>0.0685524994575046</v>
      </c>
      <c r="H857" s="2" t="n">
        <f aca="false">G857*(1-H$851)+G856*H$851</f>
        <v>0.166589602663408</v>
      </c>
      <c r="I857" s="2" t="n">
        <f aca="false">H857*(1-I$851)+H856*I$851</f>
        <v>0.248171370882152</v>
      </c>
      <c r="J857" s="2" t="n">
        <f aca="false">I857*(1-J$851)+I856*J$851</f>
        <v>0.290852736084949</v>
      </c>
      <c r="K857" s="2" t="n">
        <f aca="false">J857*(1-K$851)+J856*K$851</f>
        <v>0.286422240546739</v>
      </c>
      <c r="L857" s="2" t="n">
        <f aca="false">K857*(1-L$851)+K856*L$851</f>
        <v>0.268921569912092</v>
      </c>
      <c r="M857" s="2" t="n">
        <f aca="false">L857*(1-M$851)+L856*M$851</f>
        <v>0.253210339871216</v>
      </c>
      <c r="N857" s="2" t="n">
        <f aca="false">M857*(1-N$851)+M856*N$851</f>
        <v>0.219248076995737</v>
      </c>
      <c r="O857" s="2" t="n">
        <f aca="false">N857*(1-O$851)+N856*O$851</f>
        <v>0.219248076995737</v>
      </c>
    </row>
    <row r="858" customFormat="false" ht="15" hidden="false" customHeight="false" outlineLevel="0" collapsed="false">
      <c r="B858" s="2" t="n">
        <v>6</v>
      </c>
      <c r="C858" s="2" t="n">
        <f aca="false">0</f>
        <v>0</v>
      </c>
      <c r="D858" s="2" t="n">
        <f aca="false">C858*(1-D$851)+C857*D$851</f>
        <v>0</v>
      </c>
      <c r="E858" s="2" t="n">
        <f aca="false">D858*(1-E$851)+D857*E$851</f>
        <v>0</v>
      </c>
      <c r="F858" s="2" t="n">
        <f aca="false">E858*(1-F$851)+E857*F$851</f>
        <v>0</v>
      </c>
      <c r="G858" s="2" t="n">
        <f aca="false">F858*(1-G$851)+F857*G$851</f>
        <v>0</v>
      </c>
      <c r="H858" s="2" t="n">
        <f aca="false">G858*(1-H$851)+G857*H$851</f>
        <v>0.0290104456698571</v>
      </c>
      <c r="I858" s="2" t="n">
        <f aca="false">H858*(1-I$851)+H857*I$851</f>
        <v>0.0909570811241497</v>
      </c>
      <c r="J858" s="2" t="n">
        <f aca="false">I858*(1-J$851)+I857*J$851</f>
        <v>0.167996403637988</v>
      </c>
      <c r="K858" s="2" t="n">
        <f aca="false">J858*(1-K$851)+J857*K$851</f>
        <v>0.24936422326702</v>
      </c>
      <c r="L858" s="2" t="n">
        <f aca="false">K858*(1-L$851)+K857*L$851</f>
        <v>0.256689205205614</v>
      </c>
      <c r="M858" s="2" t="n">
        <f aca="false">L858*(1-M$851)+L857*M$851</f>
        <v>0.258723875215882</v>
      </c>
      <c r="N858" s="2" t="n">
        <f aca="false">M858*(1-N$851)+M857*N$851</f>
        <v>0.25678581860676</v>
      </c>
      <c r="O858" s="2" t="n">
        <f aca="false">N858*(1-O$851)+N857*O$851</f>
        <v>0.25678581860676</v>
      </c>
    </row>
    <row r="859" customFormat="false" ht="15" hidden="false" customHeight="false" outlineLevel="0" collapsed="false">
      <c r="B859" s="2" t="n">
        <v>7</v>
      </c>
      <c r="C859" s="2" t="n">
        <f aca="false">0</f>
        <v>0</v>
      </c>
      <c r="D859" s="2" t="n">
        <f aca="false">C859*(1-D$851)+C858*D$851</f>
        <v>0</v>
      </c>
      <c r="E859" s="2" t="n">
        <f aca="false">D859*(1-E$851)+D858*E$851</f>
        <v>0</v>
      </c>
      <c r="F859" s="2" t="n">
        <f aca="false">E859*(1-F$851)+E858*F$851</f>
        <v>0</v>
      </c>
      <c r="G859" s="2" t="n">
        <f aca="false">F859*(1-G$851)+F858*G$851</f>
        <v>0</v>
      </c>
      <c r="H859" s="2" t="n">
        <f aca="false">G859*(1-H$851)+G858*H$851</f>
        <v>0</v>
      </c>
      <c r="I859" s="2" t="n">
        <f aca="false">H859*(1-I$851)+H858*I$851</f>
        <v>0.0130622947657794</v>
      </c>
      <c r="J859" s="2" t="n">
        <f aca="false">I859*(1-J$851)+I858*J$851</f>
        <v>0.0512328807706916</v>
      </c>
      <c r="K859" s="2" t="n">
        <f aca="false">J859*(1-K$851)+J858*K$851</f>
        <v>0.128565429111398</v>
      </c>
      <c r="L859" s="2" t="n">
        <f aca="false">K859*(1-L$851)+K858*L$851</f>
        <v>0.152442825970353</v>
      </c>
      <c r="M859" s="2" t="n">
        <f aca="false">L859*(1-M$851)+L858*M$851</f>
        <v>0.169782644280114</v>
      </c>
      <c r="N859" s="2" t="n">
        <f aca="false">M859*(1-N$851)+M858*N$851</f>
        <v>0.201046276353379</v>
      </c>
      <c r="O859" s="2" t="n">
        <f aca="false">N859*(1-O$851)+N858*O$851</f>
        <v>0.201046276353379</v>
      </c>
    </row>
    <row r="860" customFormat="false" ht="15" hidden="false" customHeight="false" outlineLevel="0" collapsed="false">
      <c r="B860" s="2" t="n">
        <v>8</v>
      </c>
      <c r="C860" s="2" t="n">
        <f aca="false">0</f>
        <v>0</v>
      </c>
      <c r="D860" s="2" t="n">
        <f aca="false">C860*(1-D$851)+C859*D$851</f>
        <v>0</v>
      </c>
      <c r="E860" s="2" t="n">
        <f aca="false">D860*(1-E$851)+D859*E$851</f>
        <v>0</v>
      </c>
      <c r="F860" s="2" t="n">
        <f aca="false">E860*(1-F$851)+E859*F$851</f>
        <v>0</v>
      </c>
      <c r="G860" s="2" t="n">
        <f aca="false">F860*(1-G$851)+F859*G$851</f>
        <v>0</v>
      </c>
      <c r="H860" s="2" t="n">
        <f aca="false">G860*(1-H$851)+G859*H$851</f>
        <v>0</v>
      </c>
      <c r="I860" s="2" t="n">
        <f aca="false">H860*(1-I$851)+H859*I$851</f>
        <v>0</v>
      </c>
      <c r="J860" s="2" t="n">
        <f aca="false">I860*(1-J$851)+I859*J$851</f>
        <v>0.00640088341066642</v>
      </c>
      <c r="K860" s="2" t="n">
        <f aca="false">J860*(1-K$851)+J859*K$851</f>
        <v>0.0360931410431708</v>
      </c>
      <c r="L860" s="2" t="n">
        <f aca="false">K860*(1-L$851)+K859*L$851</f>
        <v>0.0543714486711108</v>
      </c>
      <c r="M860" s="2" t="n">
        <f aca="false">L860*(1-M$851)+L859*M$851</f>
        <v>0.0706841482222303</v>
      </c>
      <c r="N860" s="2" t="n">
        <f aca="false">M860*(1-N$851)+M859*N$851</f>
        <v>0.105518149136891</v>
      </c>
      <c r="O860" s="2" t="n">
        <f aca="false">N860*(1-O$851)+N859*O$851</f>
        <v>0.105518149136891</v>
      </c>
    </row>
    <row r="861" customFormat="false" ht="15" hidden="false" customHeight="false" outlineLevel="0" collapsed="false">
      <c r="B861" s="2" t="n">
        <v>9</v>
      </c>
      <c r="C861" s="2" t="n">
        <f aca="false">0</f>
        <v>0</v>
      </c>
      <c r="D861" s="2" t="n">
        <f aca="false">C861*(1-D$851)+C860*D$851</f>
        <v>0</v>
      </c>
      <c r="E861" s="2" t="n">
        <f aca="false">D861*(1-E$851)+D860*E$851</f>
        <v>0</v>
      </c>
      <c r="F861" s="2" t="n">
        <f aca="false">E861*(1-F$851)+E860*F$851</f>
        <v>0</v>
      </c>
      <c r="G861" s="2" t="n">
        <f aca="false">F861*(1-G$851)+F860*G$851</f>
        <v>0</v>
      </c>
      <c r="H861" s="2" t="n">
        <f aca="false">G861*(1-H$851)+G860*H$851</f>
        <v>0</v>
      </c>
      <c r="I861" s="2" t="n">
        <f aca="false">H861*(1-I$851)+H860*I$851</f>
        <v>0</v>
      </c>
      <c r="J861" s="2" t="n">
        <f aca="false">I861*(1-J$851)+I860*J$851</f>
        <v>0</v>
      </c>
      <c r="K861" s="2" t="n">
        <f aca="false">J861*(1-K$851)+J860*K$851</f>
        <v>0.00423930876375801</v>
      </c>
      <c r="L861" s="2" t="n">
        <f aca="false">K861*(1-L$851)+K860*L$851</f>
        <v>0.0105356182603104</v>
      </c>
      <c r="M861" s="2" t="n">
        <f aca="false">L861*(1-M$851)+L860*M$851</f>
        <v>0.0178270497743526</v>
      </c>
      <c r="N861" s="2" t="n">
        <f aca="false">M861*(1-N$851)+M860*N$851</f>
        <v>0.0364067890128192</v>
      </c>
      <c r="O861" s="2" t="n">
        <f aca="false">N861*(1-O$851)+N860*O$851</f>
        <v>0.0364067890128192</v>
      </c>
    </row>
    <row r="862" customFormat="false" ht="15" hidden="false" customHeight="false" outlineLevel="0" collapsed="false">
      <c r="B862" s="2" t="n">
        <v>10</v>
      </c>
      <c r="C862" s="2" t="n">
        <f aca="false">0</f>
        <v>0</v>
      </c>
      <c r="D862" s="2" t="n">
        <f aca="false">C862*(1-D$851)+C861*D$851</f>
        <v>0</v>
      </c>
      <c r="E862" s="2" t="n">
        <f aca="false">D862*(1-E$851)+D861*E$851</f>
        <v>0</v>
      </c>
      <c r="F862" s="2" t="n">
        <f aca="false">E862*(1-F$851)+E861*F$851</f>
        <v>0</v>
      </c>
      <c r="G862" s="2" t="n">
        <f aca="false">F862*(1-G$851)+F861*G$851</f>
        <v>0</v>
      </c>
      <c r="H862" s="2" t="n">
        <f aca="false">G862*(1-H$851)+G861*H$851</f>
        <v>0</v>
      </c>
      <c r="I862" s="2" t="n">
        <f aca="false">H862*(1-I$851)+H861*I$851</f>
        <v>0</v>
      </c>
      <c r="J862" s="2" t="n">
        <f aca="false">I862*(1-J$851)+I861*J$851</f>
        <v>0</v>
      </c>
      <c r="K862" s="2" t="n">
        <f aca="false">J862*(1-K$851)+J861*K$851</f>
        <v>0</v>
      </c>
      <c r="L862" s="2" t="n">
        <f aca="false">K862*(1-L$851)+K861*L$851</f>
        <v>0.000837952551326725</v>
      </c>
      <c r="M862" s="2" t="n">
        <f aca="false">L862*(1-M$851)+L861*M$851</f>
        <v>0.00245101348117529</v>
      </c>
      <c r="N862" s="2" t="n">
        <f aca="false">M862*(1-N$851)+M861*N$851</f>
        <v>0.00785582670848751</v>
      </c>
      <c r="O862" s="2" t="n">
        <f aca="false">N862*(1-O$851)+N861*O$851</f>
        <v>0.00785582670848751</v>
      </c>
    </row>
    <row r="863" customFormat="false" ht="15" hidden="false" customHeight="false" outlineLevel="0" collapsed="false">
      <c r="B863" s="2" t="n">
        <v>11</v>
      </c>
      <c r="C863" s="2" t="n">
        <f aca="false">0</f>
        <v>0</v>
      </c>
      <c r="D863" s="2" t="n">
        <f aca="false">C863*(1-D$851)+C862*D$851</f>
        <v>0</v>
      </c>
      <c r="E863" s="2" t="n">
        <f aca="false">D863*(1-E$851)+D862*E$851</f>
        <v>0</v>
      </c>
      <c r="F863" s="2" t="n">
        <f aca="false">E863*(1-F$851)+E862*F$851</f>
        <v>0</v>
      </c>
      <c r="G863" s="2" t="n">
        <f aca="false">F863*(1-G$851)+F862*G$851</f>
        <v>0</v>
      </c>
      <c r="H863" s="2" t="n">
        <f aca="false">G863*(1-H$851)+G862*H$851</f>
        <v>0</v>
      </c>
      <c r="I863" s="2" t="n">
        <f aca="false">H863*(1-I$851)+H862*I$851</f>
        <v>0</v>
      </c>
      <c r="J863" s="2" t="n">
        <f aca="false">I863*(1-J$851)+I862*J$851</f>
        <v>0</v>
      </c>
      <c r="K863" s="2" t="n">
        <f aca="false">J863*(1-K$851)+J862*K$851</f>
        <v>0</v>
      </c>
      <c r="L863" s="2" t="n">
        <f aca="false">K863*(1-L$851)+K862*L$851</f>
        <v>0</v>
      </c>
      <c r="M863" s="2" t="n">
        <f aca="false">L863*(1-M$851)+L862*M$851</f>
        <v>0.000139380812060774</v>
      </c>
      <c r="N863" s="2" t="n">
        <f aca="false">M863*(1-N$851)+M862*N$851</f>
        <v>0.000951940212187909</v>
      </c>
      <c r="O863" s="2" t="n">
        <f aca="false">N863*(1-O$851)+N862*O$851</f>
        <v>0.000951940212187909</v>
      </c>
    </row>
    <row r="864" customFormat="false" ht="15" hidden="false" customHeight="false" outlineLevel="0" collapsed="false">
      <c r="B864" s="2" t="n">
        <v>12</v>
      </c>
      <c r="C864" s="2" t="n">
        <f aca="false">0</f>
        <v>0</v>
      </c>
      <c r="D864" s="2" t="n">
        <f aca="false">C864*(1-D$851)+C863*D$851</f>
        <v>0</v>
      </c>
      <c r="E864" s="2" t="n">
        <f aca="false">D864*(1-E$851)+D863*E$851</f>
        <v>0</v>
      </c>
      <c r="F864" s="2" t="n">
        <f aca="false">E864*(1-F$851)+E863*F$851</f>
        <v>0</v>
      </c>
      <c r="G864" s="2" t="n">
        <f aca="false">F864*(1-G$851)+F863*G$851</f>
        <v>0</v>
      </c>
      <c r="H864" s="2" t="n">
        <f aca="false">G864*(1-H$851)+G863*H$851</f>
        <v>0</v>
      </c>
      <c r="I864" s="2" t="n">
        <f aca="false">H864*(1-I$851)+H863*I$851</f>
        <v>0</v>
      </c>
      <c r="J864" s="2" t="n">
        <f aca="false">I864*(1-J$851)+I863*J$851</f>
        <v>0</v>
      </c>
      <c r="K864" s="2" t="n">
        <f aca="false">J864*(1-K$851)+J863*K$851</f>
        <v>0</v>
      </c>
      <c r="L864" s="2" t="n">
        <f aca="false">K864*(1-L$851)+K863*L$851</f>
        <v>0</v>
      </c>
      <c r="M864" s="2" t="n">
        <f aca="false">L864*(1-M$851)+L863*M$851</f>
        <v>0</v>
      </c>
      <c r="N864" s="2" t="n">
        <f aca="false">M864*(1-N$851)+M863*N$851</f>
        <v>4.89935925160281E-005</v>
      </c>
      <c r="O864" s="2" t="n">
        <f aca="false">N864*(1-O$851)+N863*O$851</f>
        <v>4.89935925160281E-005</v>
      </c>
    </row>
    <row r="865" customFormat="false" ht="15" hidden="false" customHeight="false" outlineLevel="0" collapsed="false">
      <c r="B865" s="2" t="n">
        <v>13</v>
      </c>
      <c r="C865" s="2" t="n">
        <f aca="false">0</f>
        <v>0</v>
      </c>
      <c r="D865" s="2" t="n">
        <f aca="false">C865*(1-D$851)+C864*D$851</f>
        <v>0</v>
      </c>
      <c r="E865" s="2" t="n">
        <f aca="false">D865*(1-E$851)+D864*E$851</f>
        <v>0</v>
      </c>
      <c r="F865" s="2" t="n">
        <f aca="false">E865*(1-F$851)+E864*F$851</f>
        <v>0</v>
      </c>
      <c r="G865" s="2" t="n">
        <f aca="false">F865*(1-G$851)+F864*G$851</f>
        <v>0</v>
      </c>
      <c r="H865" s="2" t="n">
        <f aca="false">G865*(1-H$851)+G864*H$851</f>
        <v>0</v>
      </c>
      <c r="I865" s="2" t="n">
        <f aca="false">H865*(1-I$851)+H864*I$851</f>
        <v>0</v>
      </c>
      <c r="J865" s="2" t="n">
        <f aca="false">I865*(1-J$851)+I864*J$851</f>
        <v>0</v>
      </c>
      <c r="K865" s="2" t="n">
        <f aca="false">J865*(1-K$851)+J864*K$851</f>
        <v>0</v>
      </c>
      <c r="L865" s="2" t="n">
        <f aca="false">K865*(1-L$851)+K864*L$851</f>
        <v>0</v>
      </c>
      <c r="M865" s="2" t="n">
        <f aca="false">L865*(1-M$851)+L864*M$851</f>
        <v>0</v>
      </c>
      <c r="N865" s="2" t="n">
        <f aca="false">M865*(1-N$851)+M864*N$851</f>
        <v>0</v>
      </c>
      <c r="O865" s="2" t="n">
        <f aca="false">N865*(1-O$851)+N864*O$851</f>
        <v>0</v>
      </c>
    </row>
    <row r="867" customFormat="false" ht="15" hidden="false" customHeight="false" outlineLevel="0" collapsed="false">
      <c r="A867" s="1" t="s">
        <v>112</v>
      </c>
      <c r="C867" s="2" t="n">
        <f aca="false">Schedule!G56</f>
        <v>0.641510788235092</v>
      </c>
      <c r="D867" s="2" t="n">
        <f aca="false">Schedule!L56</f>
        <v>0.591439705940164</v>
      </c>
      <c r="E867" s="2" t="n">
        <f aca="false">Schedule!Q56</f>
        <v>0.786329507059644</v>
      </c>
      <c r="F867" s="2" t="n">
        <f aca="false">Schedule!V56</f>
        <v>0.933192798731142</v>
      </c>
      <c r="G867" s="2" t="n">
        <f aca="false">Schedule!AA56</f>
        <v>0.576814180380971</v>
      </c>
      <c r="H867" s="2" t="n">
        <f aca="false">Schedule!AF56</f>
        <v>0.689258625618694</v>
      </c>
      <c r="I867" s="2" t="n">
        <f aca="false">Schedule!AK56</f>
        <v>0.605938963847754</v>
      </c>
      <c r="J867" s="2" t="n">
        <f aca="false">Schedule!AP56</f>
        <v>0.927338238979873</v>
      </c>
      <c r="K867" s="2" t="n">
        <f aca="false">Schedule!AU56</f>
        <v>0.854572993611396</v>
      </c>
      <c r="L867" s="2" t="n">
        <f aca="false">Schedule!AZ56</f>
        <v>0.527405690960468</v>
      </c>
      <c r="M867" s="2" t="n">
        <f aca="false">Schedule!BE56</f>
        <v>0.853140943624104</v>
      </c>
      <c r="N867" s="2" t="n">
        <f aca="false">Schedule!BJ56</f>
        <v>0.867038384922096</v>
      </c>
      <c r="O867" s="2" t="n">
        <f aca="false">Schedule!BO56</f>
        <v>0</v>
      </c>
    </row>
    <row r="868" customFormat="false" ht="15" hidden="false" customHeight="false" outlineLevel="0" collapsed="false">
      <c r="B868" s="2" t="n">
        <v>0</v>
      </c>
      <c r="C868" s="2" t="n">
        <f aca="false">1-C$867</f>
        <v>0.358489211764908</v>
      </c>
      <c r="D868" s="2" t="n">
        <f aca="false">C868*(1-D$867)</f>
        <v>0.14646445777595</v>
      </c>
      <c r="E868" s="2" t="n">
        <f aca="false">D868*(1-E$867)</f>
        <v>0.0312951328912292</v>
      </c>
      <c r="F868" s="2" t="n">
        <f aca="false">E868*(1-F$867)</f>
        <v>0.00209074024180001</v>
      </c>
      <c r="G868" s="2" t="n">
        <f aca="false">F868*(1-G$867)</f>
        <v>0.000884771622836624</v>
      </c>
      <c r="H868" s="2" t="n">
        <f aca="false">G868*(1-H$867)</f>
        <v>0.000274935150093831</v>
      </c>
      <c r="I868" s="2" t="n">
        <f aca="false">H868*(1-I$867)</f>
        <v>0.000108341230120648</v>
      </c>
      <c r="J868" s="2" t="n">
        <f aca="false">I868*(1-J$867)</f>
        <v>7.87226457165317E-006</v>
      </c>
      <c r="K868" s="2" t="n">
        <f aca="false">J868*(1-K$867)</f>
        <v>1.14483987015459E-006</v>
      </c>
      <c r="L868" s="2" t="n">
        <f aca="false">K868*(1-L$867)</f>
        <v>5.41044807396616E-007</v>
      </c>
      <c r="M868" s="2" t="n">
        <f aca="false">L868*(1-M$867)</f>
        <v>7.94573298713453E-008</v>
      </c>
      <c r="N868" s="2" t="n">
        <f aca="false">M868*(1-N$867)</f>
        <v>1.05647749094719E-008</v>
      </c>
      <c r="O868" s="2" t="n">
        <f aca="false">N868*(1-O$867)</f>
        <v>1.05647749094719E-008</v>
      </c>
    </row>
    <row r="869" customFormat="false" ht="15" hidden="false" customHeight="false" outlineLevel="0" collapsed="false">
      <c r="B869" s="2" t="n">
        <v>1</v>
      </c>
      <c r="C869" s="2" t="n">
        <f aca="false">C$867</f>
        <v>0.641510788235092</v>
      </c>
      <c r="D869" s="2" t="n">
        <f aca="false">C869*(1-D$867)+C868*D$867</f>
        <v>0.474120590272845</v>
      </c>
      <c r="E869" s="2" t="n">
        <f aca="false">D869*(1-E$867)+D868*E$867</f>
        <v>0.216474905121492</v>
      </c>
      <c r="F869" s="2" t="n">
        <f aca="false">E869*(1-F$867)+E868*F$867</f>
        <v>0.0436664752055376</v>
      </c>
      <c r="G869" s="2" t="n">
        <f aca="false">F869*(1-G$867)+F868*G$867</f>
        <v>0.0196850017186929</v>
      </c>
      <c r="H869" s="2" t="n">
        <f aca="false">G869*(1-H$867)+G868*H$867</f>
        <v>0.00672678096150778</v>
      </c>
      <c r="I869" s="2" t="n">
        <f aca="false">H869*(1-I$867)+H868*I$867</f>
        <v>0.00281735619563414</v>
      </c>
      <c r="J869" s="2" t="n">
        <f aca="false">I869*(1-J$867)+I868*J$867</f>
        <v>0.000305183028144738</v>
      </c>
      <c r="K869" s="2" t="n">
        <f aca="false">J869*(1-K$867)+J868*K$867</f>
        <v>5.11092788851971E-005</v>
      </c>
      <c r="L869" s="2" t="n">
        <f aca="false">K869*(1-L$867)+K868*L$867</f>
        <v>2.47577494030164E-005</v>
      </c>
      <c r="M869" s="2" t="n">
        <f aca="false">L869*(1-M$867)+L868*M$867</f>
        <v>4.09748719284316E-006</v>
      </c>
      <c r="N869" s="2" t="n">
        <f aca="false">M869*(1-N$867)+M868*N$867</f>
        <v>6.13701069883327E-007</v>
      </c>
      <c r="O869" s="2" t="n">
        <f aca="false">N869*(1-O$867)+N868*O$867</f>
        <v>6.13701069883327E-007</v>
      </c>
    </row>
    <row r="870" customFormat="false" ht="15" hidden="false" customHeight="false" outlineLevel="0" collapsed="false">
      <c r="B870" s="2" t="n">
        <v>2</v>
      </c>
      <c r="C870" s="2" t="n">
        <f aca="false">0</f>
        <v>0</v>
      </c>
      <c r="D870" s="2" t="n">
        <f aca="false">C870*(1-D$867)+C869*D$867</f>
        <v>0.379414951951205</v>
      </c>
      <c r="E870" s="2" t="n">
        <f aca="false">D870*(1-E$867)+D869*E$867</f>
        <v>0.453884789848429</v>
      </c>
      <c r="F870" s="2" t="n">
        <f aca="false">E870*(1-F$867)+E869*F$867</f>
        <v>0.232335595073661</v>
      </c>
      <c r="G870" s="2" t="n">
        <f aca="false">F870*(1-G$867)+F869*G$867</f>
        <v>0.12350857133373</v>
      </c>
      <c r="H870" s="2" t="n">
        <f aca="false">G870*(1-H$867)+G869*H$867</f>
        <v>0.0519472804340428</v>
      </c>
      <c r="I870" s="2" t="n">
        <f aca="false">H870*(1-I$867)+H869*I$867</f>
        <v>0.024546417838977</v>
      </c>
      <c r="J870" s="2" t="n">
        <f aca="false">I870*(1-J$867)+I869*J$867</f>
        <v>0.00439622807995433</v>
      </c>
      <c r="K870" s="2" t="n">
        <f aca="false">J870*(1-K$867)+J869*K$867</f>
        <v>0.000900131463030321</v>
      </c>
      <c r="L870" s="2" t="n">
        <f aca="false">K870*(1-L$867)+K869*L$867</f>
        <v>0.000452352331360496</v>
      </c>
      <c r="M870" s="2" t="n">
        <f aca="false">L870*(1-M$867)+L869*M$867</f>
        <v>8.75538862207375E-005</v>
      </c>
      <c r="N870" s="2" t="n">
        <f aca="false">M870*(1-N$867)+M869*N$867</f>
        <v>1.5193984796178E-005</v>
      </c>
      <c r="O870" s="2" t="n">
        <f aca="false">N870*(1-O$867)+N869*O$867</f>
        <v>1.5193984796178E-005</v>
      </c>
    </row>
    <row r="871" customFormat="false" ht="15" hidden="false" customHeight="false" outlineLevel="0" collapsed="false">
      <c r="B871" s="2" t="n">
        <v>3</v>
      </c>
      <c r="C871" s="2" t="n">
        <f aca="false">0</f>
        <v>0</v>
      </c>
      <c r="D871" s="2" t="n">
        <f aca="false">C871*(1-D$867)+C870*D$867</f>
        <v>0</v>
      </c>
      <c r="E871" s="2" t="n">
        <f aca="false">D871*(1-E$867)+D870*E$867</f>
        <v>0.29834517213885</v>
      </c>
      <c r="F871" s="2" t="n">
        <f aca="false">E871*(1-F$867)+E870*F$867</f>
        <v>0.443493623302824</v>
      </c>
      <c r="G871" s="2" t="n">
        <f aca="false">F871*(1-G$867)+F870*G$867</f>
        <v>0.321694678318958</v>
      </c>
      <c r="H871" s="2" t="n">
        <f aca="false">G871*(1-H$867)+G870*H$867</f>
        <v>0.1850931946016</v>
      </c>
      <c r="I871" s="2" t="n">
        <f aca="false">H871*(1-I$867)+H870*I$867</f>
        <v>0.104414897330348</v>
      </c>
      <c r="J871" s="2" t="n">
        <f aca="false">I871*(1-J$867)+I870*J$867</f>
        <v>0.03034980220882</v>
      </c>
      <c r="K871" s="2" t="n">
        <f aca="false">J871*(1-K$867)+J870*K$867</f>
        <v>0.0081705786706</v>
      </c>
      <c r="L871" s="2" t="n">
        <f aca="false">K871*(1-L$867)+K870*L$867</f>
        <v>0.0043361034375001</v>
      </c>
      <c r="M871" s="2" t="n">
        <f aca="false">L871*(1-M$867)+L870*M$867</f>
        <v>0.001022716354007</v>
      </c>
      <c r="N871" s="2" t="n">
        <f aca="false">M871*(1-N$867)+M870*N$867</f>
        <v>0.000211894598297837</v>
      </c>
      <c r="O871" s="2" t="n">
        <f aca="false">N871*(1-O$867)+N870*O$867</f>
        <v>0.000211894598297837</v>
      </c>
    </row>
    <row r="872" customFormat="false" ht="15" hidden="false" customHeight="false" outlineLevel="0" collapsed="false">
      <c r="B872" s="2" t="n">
        <v>4</v>
      </c>
      <c r="C872" s="2" t="n">
        <f aca="false">0</f>
        <v>0</v>
      </c>
      <c r="D872" s="2" t="n">
        <f aca="false">C872*(1-D$867)+C871*D$867</f>
        <v>0</v>
      </c>
      <c r="E872" s="2" t="n">
        <f aca="false">D872*(1-E$867)+D871*E$867</f>
        <v>0</v>
      </c>
      <c r="F872" s="2" t="n">
        <f aca="false">E872*(1-F$867)+E871*F$867</f>
        <v>0.278413566176177</v>
      </c>
      <c r="G872" s="2" t="n">
        <f aca="false">F872*(1-G$867)+F871*G$867</f>
        <v>0.373634084024928</v>
      </c>
      <c r="H872" s="2" t="n">
        <f aca="false">G872*(1-H$867)+G871*H$867</f>
        <v>0.337834400632579</v>
      </c>
      <c r="I872" s="2" t="n">
        <f aca="false">H872*(1-I$867)+H871*I$867</f>
        <v>0.245282552513311</v>
      </c>
      <c r="J872" s="2" t="n">
        <f aca="false">I872*(1-J$867)+I871*J$867</f>
        <v>0.114650589226719</v>
      </c>
      <c r="K872" s="2" t="n">
        <f aca="false">J872*(1-K$867)+J871*K$867</f>
        <v>0.0426094133010363</v>
      </c>
      <c r="L872" s="2" t="n">
        <f aca="false">K872*(1-L$867)+K871*L$867</f>
        <v>0.0244461759268977</v>
      </c>
      <c r="M872" s="2" t="n">
        <f aca="false">L872*(1-M$867)+L871*M$867</f>
        <v>0.0072894497069439</v>
      </c>
      <c r="N872" s="2" t="n">
        <f aca="false">M872*(1-N$867)+M871*N$867</f>
        <v>0.00185595134187606</v>
      </c>
      <c r="O872" s="2" t="n">
        <f aca="false">N872*(1-O$867)+N871*O$867</f>
        <v>0.00185595134187606</v>
      </c>
    </row>
    <row r="873" customFormat="false" ht="15" hidden="false" customHeight="false" outlineLevel="0" collapsed="false">
      <c r="B873" s="2" t="n">
        <v>5</v>
      </c>
      <c r="C873" s="2" t="n">
        <f aca="false">0</f>
        <v>0</v>
      </c>
      <c r="D873" s="2" t="n">
        <f aca="false">C873*(1-D$867)+C872*D$867</f>
        <v>0</v>
      </c>
      <c r="E873" s="2" t="n">
        <f aca="false">D873*(1-E$867)+D872*E$867</f>
        <v>0</v>
      </c>
      <c r="F873" s="2" t="n">
        <f aca="false">E873*(1-F$867)+E872*F$867</f>
        <v>0</v>
      </c>
      <c r="G873" s="2" t="n">
        <f aca="false">F873*(1-G$867)+F872*G$867</f>
        <v>0.160592892980855</v>
      </c>
      <c r="H873" s="2" t="n">
        <f aca="false">G873*(1-H$867)+G872*H$867</f>
        <v>0.307433371520062</v>
      </c>
      <c r="I873" s="2" t="n">
        <f aca="false">H873*(1-I$867)+H872*I$867</f>
        <v>0.325854539600406</v>
      </c>
      <c r="J873" s="2" t="n">
        <f aca="false">I873*(1-J$867)+I872*J$867</f>
        <v>0.251137054983951</v>
      </c>
      <c r="K873" s="2" t="n">
        <f aca="false">J873*(1-K$867)+J872*K$867</f>
        <v>0.134499407354354</v>
      </c>
      <c r="L873" s="2" t="n">
        <f aca="false">K873*(1-L$867)+K872*L$867</f>
        <v>0.0860361015483105</v>
      </c>
      <c r="M873" s="2" t="n">
        <f aca="false">L873*(1-M$867)+L872*M$867</f>
        <v>0.03349121428592</v>
      </c>
      <c r="N873" s="2" t="n">
        <f aca="false">M873*(1-N$867)+M872*N$867</f>
        <v>0.0107732786432556</v>
      </c>
      <c r="O873" s="2" t="n">
        <f aca="false">N873*(1-O$867)+N872*O$867</f>
        <v>0.0107732786432556</v>
      </c>
    </row>
    <row r="874" customFormat="false" ht="15" hidden="false" customHeight="false" outlineLevel="0" collapsed="false">
      <c r="B874" s="2" t="n">
        <v>6</v>
      </c>
      <c r="C874" s="2" t="n">
        <f aca="false">0</f>
        <v>0</v>
      </c>
      <c r="D874" s="2" t="n">
        <f aca="false">C874*(1-D$867)+C873*D$867</f>
        <v>0</v>
      </c>
      <c r="E874" s="2" t="n">
        <f aca="false">D874*(1-E$867)+D873*E$867</f>
        <v>0</v>
      </c>
      <c r="F874" s="2" t="n">
        <f aca="false">E874*(1-F$867)+E873*F$867</f>
        <v>0</v>
      </c>
      <c r="G874" s="2" t="n">
        <f aca="false">F874*(1-G$867)+F873*G$867</f>
        <v>0</v>
      </c>
      <c r="H874" s="2" t="n">
        <f aca="false">G874*(1-H$867)+G873*H$867</f>
        <v>0.110690036700114</v>
      </c>
      <c r="I874" s="2" t="n">
        <f aca="false">H874*(1-I$867)+H873*I$867</f>
        <v>0.229904489144865</v>
      </c>
      <c r="J874" s="2" t="n">
        <f aca="false">I874*(1-J$867)+I873*J$867</f>
        <v>0.318882639964336</v>
      </c>
      <c r="K874" s="2" t="n">
        <f aca="false">J874*(1-K$867)+J873*K$867</f>
        <v>0.260989092603693</v>
      </c>
      <c r="L874" s="2" t="n">
        <f aca="false">K874*(1-L$867)+K873*L$867</f>
        <v>0.194277712755393</v>
      </c>
      <c r="M874" s="2" t="n">
        <f aca="false">L874*(1-M$867)+L873*M$867</f>
        <v>0.101932362430789</v>
      </c>
      <c r="N874" s="2" t="n">
        <f aca="false">M874*(1-N$867)+M873*N$867</f>
        <v>0.0425912598810479</v>
      </c>
      <c r="O874" s="2" t="n">
        <f aca="false">N874*(1-O$867)+N873*O$867</f>
        <v>0.0425912598810479</v>
      </c>
    </row>
    <row r="875" customFormat="false" ht="15" hidden="false" customHeight="false" outlineLevel="0" collapsed="false">
      <c r="B875" s="2" t="n">
        <v>7</v>
      </c>
      <c r="C875" s="2" t="n">
        <f aca="false">0</f>
        <v>0</v>
      </c>
      <c r="D875" s="2" t="n">
        <f aca="false">C875*(1-D$867)+C874*D$867</f>
        <v>0</v>
      </c>
      <c r="E875" s="2" t="n">
        <f aca="false">D875*(1-E$867)+D874*E$867</f>
        <v>0</v>
      </c>
      <c r="F875" s="2" t="n">
        <f aca="false">E875*(1-F$867)+E874*F$867</f>
        <v>0</v>
      </c>
      <c r="G875" s="2" t="n">
        <f aca="false">F875*(1-G$867)+F874*G$867</f>
        <v>0</v>
      </c>
      <c r="H875" s="2" t="n">
        <f aca="false">G875*(1-H$867)+G874*H$867</f>
        <v>0</v>
      </c>
      <c r="I875" s="2" t="n">
        <f aca="false">H875*(1-I$867)+H874*I$867</f>
        <v>0.0670714061463371</v>
      </c>
      <c r="J875" s="2" t="n">
        <f aca="false">I875*(1-J$867)+I874*J$867</f>
        <v>0.218072750581856</v>
      </c>
      <c r="K875" s="2" t="n">
        <f aca="false">J875*(1-K$867)+J874*K$867</f>
        <v>0.304222159537076</v>
      </c>
      <c r="L875" s="2" t="n">
        <f aca="false">K875*(1-L$867)+K874*L$867</f>
        <v>0.281420793998735</v>
      </c>
      <c r="M875" s="2" t="n">
        <f aca="false">L875*(1-M$867)+L874*M$867</f>
        <v>0.207075463436478</v>
      </c>
      <c r="N875" s="2" t="n">
        <f aca="false">M875*(1-N$867)+M874*N$867</f>
        <v>0.115912358954805</v>
      </c>
      <c r="O875" s="2" t="n">
        <f aca="false">N875*(1-O$867)+N874*O$867</f>
        <v>0.115912358954805</v>
      </c>
    </row>
    <row r="876" customFormat="false" ht="15" hidden="false" customHeight="false" outlineLevel="0" collapsed="false">
      <c r="B876" s="2" t="n">
        <v>8</v>
      </c>
      <c r="C876" s="2" t="n">
        <f aca="false">0</f>
        <v>0</v>
      </c>
      <c r="D876" s="2" t="n">
        <f aca="false">C876*(1-D$867)+C875*D$867</f>
        <v>0</v>
      </c>
      <c r="E876" s="2" t="n">
        <f aca="false">D876*(1-E$867)+D875*E$867</f>
        <v>0</v>
      </c>
      <c r="F876" s="2" t="n">
        <f aca="false">E876*(1-F$867)+E875*F$867</f>
        <v>0</v>
      </c>
      <c r="G876" s="2" t="n">
        <f aca="false">F876*(1-G$867)+F875*G$867</f>
        <v>0</v>
      </c>
      <c r="H876" s="2" t="n">
        <f aca="false">G876*(1-H$867)+G875*H$867</f>
        <v>0</v>
      </c>
      <c r="I876" s="2" t="n">
        <f aca="false">H876*(1-I$867)+H875*I$867</f>
        <v>0</v>
      </c>
      <c r="J876" s="2" t="n">
        <f aca="false">I876*(1-J$867)+I875*J$867</f>
        <v>0.062197879661648</v>
      </c>
      <c r="K876" s="2" t="n">
        <f aca="false">J876*(1-K$867)+J875*K$867</f>
        <v>0.19540433473272</v>
      </c>
      <c r="L876" s="2" t="n">
        <f aca="false">K876*(1-L$867)+K875*L$867</f>
        <v>0.252795474812476</v>
      </c>
      <c r="M876" s="2" t="n">
        <f aca="false">L876*(1-M$867)+L875*M$867</f>
        <v>0.277216906634582</v>
      </c>
      <c r="N876" s="2" t="n">
        <f aca="false">M876*(1-N$867)+M875*N$867</f>
        <v>0.216401583007993</v>
      </c>
      <c r="O876" s="2" t="n">
        <f aca="false">N876*(1-O$867)+N875*O$867</f>
        <v>0.216401583007993</v>
      </c>
    </row>
    <row r="877" customFormat="false" ht="15" hidden="false" customHeight="false" outlineLevel="0" collapsed="false">
      <c r="B877" s="2" t="n">
        <v>9</v>
      </c>
      <c r="C877" s="2" t="n">
        <f aca="false">0</f>
        <v>0</v>
      </c>
      <c r="D877" s="2" t="n">
        <f aca="false">C877*(1-D$867)+C876*D$867</f>
        <v>0</v>
      </c>
      <c r="E877" s="2" t="n">
        <f aca="false">D877*(1-E$867)+D876*E$867</f>
        <v>0</v>
      </c>
      <c r="F877" s="2" t="n">
        <f aca="false">E877*(1-F$867)+E876*F$867</f>
        <v>0</v>
      </c>
      <c r="G877" s="2" t="n">
        <f aca="false">F877*(1-G$867)+F876*G$867</f>
        <v>0</v>
      </c>
      <c r="H877" s="2" t="n">
        <f aca="false">G877*(1-H$867)+G876*H$867</f>
        <v>0</v>
      </c>
      <c r="I877" s="2" t="n">
        <f aca="false">H877*(1-I$867)+H876*I$867</f>
        <v>0</v>
      </c>
      <c r="J877" s="2" t="n">
        <f aca="false">I877*(1-J$867)+I876*J$867</f>
        <v>0</v>
      </c>
      <c r="K877" s="2" t="n">
        <f aca="false">J877*(1-K$867)+J876*K$867</f>
        <v>0.0531526282187359</v>
      </c>
      <c r="L877" s="2" t="n">
        <f aca="false">K877*(1-L$867)+K876*L$867</f>
        <v>0.128176987783049</v>
      </c>
      <c r="M877" s="2" t="n">
        <f aca="false">L877*(1-M$867)+L876*M$867</f>
        <v>0.234494121400343</v>
      </c>
      <c r="N877" s="2" t="n">
        <f aca="false">M877*(1-N$867)+M876*N$867</f>
        <v>0.271536416109211</v>
      </c>
      <c r="O877" s="2" t="n">
        <f aca="false">N877*(1-O$867)+N876*O$867</f>
        <v>0.271536416109211</v>
      </c>
    </row>
    <row r="878" customFormat="false" ht="15" hidden="false" customHeight="false" outlineLevel="0" collapsed="false">
      <c r="B878" s="2" t="n">
        <v>10</v>
      </c>
      <c r="C878" s="2" t="n">
        <f aca="false">0</f>
        <v>0</v>
      </c>
      <c r="D878" s="2" t="n">
        <f aca="false">C878*(1-D$867)+C877*D$867</f>
        <v>0</v>
      </c>
      <c r="E878" s="2" t="n">
        <f aca="false">D878*(1-E$867)+D877*E$867</f>
        <v>0</v>
      </c>
      <c r="F878" s="2" t="n">
        <f aca="false">E878*(1-F$867)+E877*F$867</f>
        <v>0</v>
      </c>
      <c r="G878" s="2" t="n">
        <f aca="false">F878*(1-G$867)+F877*G$867</f>
        <v>0</v>
      </c>
      <c r="H878" s="2" t="n">
        <f aca="false">G878*(1-H$867)+G877*H$867</f>
        <v>0</v>
      </c>
      <c r="I878" s="2" t="n">
        <f aca="false">H878*(1-I$867)+H877*I$867</f>
        <v>0</v>
      </c>
      <c r="J878" s="2" t="n">
        <f aca="false">I878*(1-J$867)+I877*J$867</f>
        <v>0</v>
      </c>
      <c r="K878" s="2" t="n">
        <f aca="false">J878*(1-K$867)+J877*K$867</f>
        <v>0</v>
      </c>
      <c r="L878" s="2" t="n">
        <f aca="false">K878*(1-L$867)+K877*L$867</f>
        <v>0.0280329986120673</v>
      </c>
      <c r="M878" s="2" t="n">
        <f aca="false">L878*(1-M$867)+L877*M$867</f>
        <v>0.113469936031681</v>
      </c>
      <c r="N878" s="2" t="n">
        <f aca="false">M878*(1-N$867)+M877*N$867</f>
        <v>0.218402550250238</v>
      </c>
      <c r="O878" s="2" t="n">
        <f aca="false">N878*(1-O$867)+N877*O$867</f>
        <v>0.218402550250238</v>
      </c>
    </row>
    <row r="879" customFormat="false" ht="15" hidden="false" customHeight="false" outlineLevel="0" collapsed="false">
      <c r="B879" s="2" t="n">
        <v>11</v>
      </c>
      <c r="C879" s="2" t="n">
        <f aca="false">0</f>
        <v>0</v>
      </c>
      <c r="D879" s="2" t="n">
        <f aca="false">C879*(1-D$867)+C878*D$867</f>
        <v>0</v>
      </c>
      <c r="E879" s="2" t="n">
        <f aca="false">D879*(1-E$867)+D878*E$867</f>
        <v>0</v>
      </c>
      <c r="F879" s="2" t="n">
        <f aca="false">E879*(1-F$867)+E878*F$867</f>
        <v>0</v>
      </c>
      <c r="G879" s="2" t="n">
        <f aca="false">F879*(1-G$867)+F878*G$867</f>
        <v>0</v>
      </c>
      <c r="H879" s="2" t="n">
        <f aca="false">G879*(1-H$867)+G878*H$867</f>
        <v>0</v>
      </c>
      <c r="I879" s="2" t="n">
        <f aca="false">H879*(1-I$867)+H878*I$867</f>
        <v>0</v>
      </c>
      <c r="J879" s="2" t="n">
        <f aca="false">I879*(1-J$867)+I878*J$867</f>
        <v>0</v>
      </c>
      <c r="K879" s="2" t="n">
        <f aca="false">J879*(1-K$867)+J878*K$867</f>
        <v>0</v>
      </c>
      <c r="L879" s="2" t="n">
        <f aca="false">K879*(1-L$867)+K878*L$867</f>
        <v>0</v>
      </c>
      <c r="M879" s="2" t="n">
        <f aca="false">L879*(1-M$867)+L878*M$867</f>
        <v>0.0239160988885123</v>
      </c>
      <c r="N879" s="2" t="n">
        <f aca="false">M879*(1-N$867)+M878*N$867</f>
        <v>0.101562713208702</v>
      </c>
      <c r="O879" s="2" t="n">
        <f aca="false">N879*(1-O$867)+N878*O$867</f>
        <v>0.101562713208702</v>
      </c>
    </row>
    <row r="880" customFormat="false" ht="15" hidden="false" customHeight="false" outlineLevel="0" collapsed="false">
      <c r="B880" s="2" t="n">
        <v>12</v>
      </c>
      <c r="C880" s="2" t="n">
        <f aca="false">0</f>
        <v>0</v>
      </c>
      <c r="D880" s="2" t="n">
        <f aca="false">C880*(1-D$867)+C879*D$867</f>
        <v>0</v>
      </c>
      <c r="E880" s="2" t="n">
        <f aca="false">D880*(1-E$867)+D879*E$867</f>
        <v>0</v>
      </c>
      <c r="F880" s="2" t="n">
        <f aca="false">E880*(1-F$867)+E879*F$867</f>
        <v>0</v>
      </c>
      <c r="G880" s="2" t="n">
        <f aca="false">F880*(1-G$867)+F879*G$867</f>
        <v>0</v>
      </c>
      <c r="H880" s="2" t="n">
        <f aca="false">G880*(1-H$867)+G879*H$867</f>
        <v>0</v>
      </c>
      <c r="I880" s="2" t="n">
        <f aca="false">H880*(1-I$867)+H879*I$867</f>
        <v>0</v>
      </c>
      <c r="J880" s="2" t="n">
        <f aca="false">I880*(1-J$867)+I879*J$867</f>
        <v>0</v>
      </c>
      <c r="K880" s="2" t="n">
        <f aca="false">J880*(1-K$867)+J879*K$867</f>
        <v>0</v>
      </c>
      <c r="L880" s="2" t="n">
        <f aca="false">K880*(1-L$867)+K879*L$867</f>
        <v>0</v>
      </c>
      <c r="M880" s="2" t="n">
        <f aca="false">L880*(1-M$867)+L879*M$867</f>
        <v>0</v>
      </c>
      <c r="N880" s="2" t="n">
        <f aca="false">M880*(1-N$867)+M879*N$867</f>
        <v>0.0207361757539328</v>
      </c>
      <c r="O880" s="2" t="n">
        <f aca="false">N880*(1-O$867)+N879*O$867</f>
        <v>0.0207361757539328</v>
      </c>
    </row>
    <row r="881" customFormat="false" ht="15" hidden="false" customHeight="false" outlineLevel="0" collapsed="false">
      <c r="B881" s="2" t="n">
        <v>13</v>
      </c>
      <c r="C881" s="2" t="n">
        <f aca="false">0</f>
        <v>0</v>
      </c>
      <c r="D881" s="2" t="n">
        <f aca="false">C881*(1-D$867)+C880*D$867</f>
        <v>0</v>
      </c>
      <c r="E881" s="2" t="n">
        <f aca="false">D881*(1-E$867)+D880*E$867</f>
        <v>0</v>
      </c>
      <c r="F881" s="2" t="n">
        <f aca="false">E881*(1-F$867)+E880*F$867</f>
        <v>0</v>
      </c>
      <c r="G881" s="2" t="n">
        <f aca="false">F881*(1-G$867)+F880*G$867</f>
        <v>0</v>
      </c>
      <c r="H881" s="2" t="n">
        <f aca="false">G881*(1-H$867)+G880*H$867</f>
        <v>0</v>
      </c>
      <c r="I881" s="2" t="n">
        <f aca="false">H881*(1-I$867)+H880*I$867</f>
        <v>0</v>
      </c>
      <c r="J881" s="2" t="n">
        <f aca="false">I881*(1-J$867)+I880*J$867</f>
        <v>0</v>
      </c>
      <c r="K881" s="2" t="n">
        <f aca="false">J881*(1-K$867)+J880*K$867</f>
        <v>0</v>
      </c>
      <c r="L881" s="2" t="n">
        <f aca="false">K881*(1-L$867)+K880*L$867</f>
        <v>0</v>
      </c>
      <c r="M881" s="2" t="n">
        <f aca="false">L881*(1-M$867)+L880*M$867</f>
        <v>0</v>
      </c>
      <c r="N881" s="2" t="n">
        <f aca="false">M881*(1-N$867)+M880*N$867</f>
        <v>0</v>
      </c>
      <c r="O881" s="2" t="n">
        <f aca="false">N881*(1-O$867)+N880*O$867</f>
        <v>0</v>
      </c>
    </row>
    <row r="883" customFormat="false" ht="15" hidden="false" customHeight="false" outlineLevel="0" collapsed="false">
      <c r="A883" s="1" t="s">
        <v>113</v>
      </c>
      <c r="C883" s="2" t="n">
        <f aca="false">Schedule!G57</f>
        <v>0.356157038183677</v>
      </c>
      <c r="D883" s="2" t="n">
        <f aca="false">Schedule!L57</f>
        <v>0.987775527344955</v>
      </c>
      <c r="E883" s="2" t="n">
        <f aca="false">Schedule!Q57</f>
        <v>0.22474965994458</v>
      </c>
      <c r="F883" s="2" t="n">
        <f aca="false">Schedule!V57</f>
        <v>0.100052934477426</v>
      </c>
      <c r="G883" s="2" t="n">
        <f aca="false">Schedule!AA57</f>
        <v>0.372590535846716</v>
      </c>
      <c r="H883" s="2" t="n">
        <f aca="false">Schedule!AF57</f>
        <v>0.386864750968727</v>
      </c>
      <c r="I883" s="2" t="n">
        <f aca="false">Schedule!AK57</f>
        <v>0.689258625618694</v>
      </c>
      <c r="J883" s="2" t="n">
        <f aca="false">Schedule!AP57</f>
        <v>0.158655253931457</v>
      </c>
      <c r="K883" s="2" t="n">
        <f aca="false">Schedule!AU57</f>
        <v>0.789950642982085</v>
      </c>
      <c r="L883" s="2" t="n">
        <f aca="false">Schedule!AZ57</f>
        <v>0.374958048081219</v>
      </c>
      <c r="M883" s="2" t="n">
        <f aca="false">Schedule!BE57</f>
        <v>0.328611670769279</v>
      </c>
      <c r="N883" s="2" t="n">
        <f aca="false">Schedule!BJ57</f>
        <v>0.507479729489559</v>
      </c>
      <c r="O883" s="2" t="n">
        <f aca="false">Schedule!BO57</f>
        <v>0</v>
      </c>
    </row>
    <row r="884" customFormat="false" ht="15" hidden="false" customHeight="false" outlineLevel="0" collapsed="false">
      <c r="B884" s="2" t="n">
        <v>0</v>
      </c>
      <c r="C884" s="2" t="n">
        <f aca="false">1-C$883</f>
        <v>0.643842961816324</v>
      </c>
      <c r="D884" s="2" t="n">
        <f aca="false">C884*(1-D$883)</f>
        <v>0.00787064068086662</v>
      </c>
      <c r="E884" s="2" t="n">
        <f aca="false">D884*(1-E$883)</f>
        <v>0.00610171686429587</v>
      </c>
      <c r="F884" s="2" t="n">
        <f aca="false">E884*(1-F$883)</f>
        <v>0.00549122218667267</v>
      </c>
      <c r="G884" s="2" t="n">
        <f aca="false">F884*(1-G$883)</f>
        <v>0.00344524476968692</v>
      </c>
      <c r="H884" s="2" t="n">
        <f aca="false">G884*(1-H$883)</f>
        <v>0.00211240100983568</v>
      </c>
      <c r="I884" s="2" t="n">
        <f aca="false">H884*(1-I$883)</f>
        <v>0.000656410393040798</v>
      </c>
      <c r="J884" s="2" t="n">
        <f aca="false">I884*(1-J$883)</f>
        <v>0.000552267435449663</v>
      </c>
      <c r="K884" s="2" t="n">
        <f aca="false">J884*(1-K$883)</f>
        <v>0.000116003419718134</v>
      </c>
      <c r="L884" s="2" t="n">
        <f aca="false">K884*(1-L$883)</f>
        <v>7.25070038898763E-005</v>
      </c>
      <c r="M884" s="2" t="n">
        <f aca="false">L884*(1-M$883)</f>
        <v>4.86803561991495E-005</v>
      </c>
      <c r="N884" s="2" t="n">
        <f aca="false">M884*(1-N$883)</f>
        <v>2.39760622037497E-005</v>
      </c>
      <c r="O884" s="2" t="n">
        <f aca="false">N884*(1-O$883)</f>
        <v>2.39760622037497E-005</v>
      </c>
    </row>
    <row r="885" customFormat="false" ht="15" hidden="false" customHeight="false" outlineLevel="0" collapsed="false">
      <c r="B885" s="2" t="n">
        <v>1</v>
      </c>
      <c r="C885" s="2" t="n">
        <f aca="false">C$883</f>
        <v>0.356157038183677</v>
      </c>
      <c r="D885" s="2" t="n">
        <f aca="false">C885*(1-D$883)+C884*D$883</f>
        <v>0.640326153109635</v>
      </c>
      <c r="E885" s="2" t="n">
        <f aca="false">D885*(1-E$883)+D884*E$883</f>
        <v>0.498181991761194</v>
      </c>
      <c r="F885" s="2" t="n">
        <f aca="false">E885*(1-F$883)+E884*F$883</f>
        <v>0.448947916259301</v>
      </c>
      <c r="G885" s="2" t="n">
        <f aca="false">F885*(1-G$883)+F884*G$883</f>
        <v>0.283720148989967</v>
      </c>
      <c r="H885" s="2" t="n">
        <f aca="false">G885*(1-H$883)+G884*H$883</f>
        <v>0.175291667966005</v>
      </c>
      <c r="I885" s="2" t="n">
        <f aca="false">H885*(1-I$883)+H884*I$883</f>
        <v>0.0559263644381427</v>
      </c>
      <c r="J885" s="2" t="n">
        <f aca="false">I885*(1-J$883)+I884*J$883</f>
        <v>0.0471574958443371</v>
      </c>
      <c r="K885" s="2" t="n">
        <f aca="false">J885*(1-K$883)+J884*K$883</f>
        <v>0.0103416656964095</v>
      </c>
      <c r="L885" s="2" t="n">
        <f aca="false">K885*(1-L$883)+K884*L$883</f>
        <v>0.00650747132880357</v>
      </c>
      <c r="M885" s="2" t="n">
        <f aca="false">L885*(1-M$883)+L884*M$883</f>
        <v>0.00439286695065297</v>
      </c>
      <c r="N885" s="2" t="n">
        <f aca="false">M885*(1-N$883)+M884*N$883</f>
        <v>0.00218828031284738</v>
      </c>
      <c r="O885" s="2" t="n">
        <f aca="false">N885*(1-O$883)+N884*O$883</f>
        <v>0.00218828031284738</v>
      </c>
    </row>
    <row r="886" customFormat="false" ht="15" hidden="false" customHeight="false" outlineLevel="0" collapsed="false">
      <c r="B886" s="2" t="n">
        <v>2</v>
      </c>
      <c r="C886" s="2" t="n">
        <f aca="false">0</f>
        <v>0</v>
      </c>
      <c r="D886" s="2" t="n">
        <f aca="false">C886*(1-D$883)+C885*D$883</f>
        <v>0.351803206209498</v>
      </c>
      <c r="E886" s="2" t="n">
        <f aca="false">D886*(1-E$883)+D885*E$883</f>
        <v>0.416648640411512</v>
      </c>
      <c r="F886" s="2" t="n">
        <f aca="false">E886*(1-F$883)+E885*F$883</f>
        <v>0.424806291471827</v>
      </c>
      <c r="G886" s="2" t="n">
        <f aca="false">F886*(1-G$883)+F885*G$883</f>
        <v>0.433801232387602</v>
      </c>
      <c r="H886" s="2" t="n">
        <f aca="false">G886*(1-H$883)+G885*H$883</f>
        <v>0.37574015143386</v>
      </c>
      <c r="I886" s="2" t="n">
        <f aca="false">H886*(1-I$883)+H885*I$883</f>
        <v>0.237579305211454</v>
      </c>
      <c r="J886" s="2" t="n">
        <f aca="false">I886*(1-J$883)+I885*J$883</f>
        <v>0.208759111765669</v>
      </c>
      <c r="K886" s="2" t="n">
        <f aca="false">J886*(1-K$883)+J885*K$883</f>
        <v>0.0811018113616688</v>
      </c>
      <c r="L886" s="2" t="n">
        <f aca="false">K886*(1-L$883)+K885*L$883</f>
        <v>0.0545697252610805</v>
      </c>
      <c r="M886" s="2" t="n">
        <f aca="false">L886*(1-M$883)+L885*M$883</f>
        <v>0.0387759076954576</v>
      </c>
      <c r="N886" s="2" t="n">
        <f aca="false">M886*(1-N$883)+M885*N$883</f>
        <v>0.0213272114792557</v>
      </c>
      <c r="O886" s="2" t="n">
        <f aca="false">N886*(1-O$883)+N885*O$883</f>
        <v>0.0213272114792557</v>
      </c>
    </row>
    <row r="887" customFormat="false" ht="15" hidden="false" customHeight="false" outlineLevel="0" collapsed="false">
      <c r="B887" s="2" t="n">
        <v>3</v>
      </c>
      <c r="C887" s="2" t="n">
        <f aca="false">0</f>
        <v>0</v>
      </c>
      <c r="D887" s="2" t="n">
        <f aca="false">C887*(1-D$883)+C886*D$883</f>
        <v>0</v>
      </c>
      <c r="E887" s="2" t="n">
        <f aca="false">D887*(1-E$883)+D886*E$883</f>
        <v>0.0790676509629977</v>
      </c>
      <c r="F887" s="2" t="n">
        <f aca="false">E887*(1-F$883)+E886*F$883</f>
        <v>0.112843619581114</v>
      </c>
      <c r="G887" s="2" t="n">
        <f aca="false">F887*(1-G$883)+F886*G$883</f>
        <v>0.229077958665048</v>
      </c>
      <c r="H887" s="2" t="n">
        <f aca="false">G887*(1-H$883)+G886*H$883</f>
        <v>0.308278176971227</v>
      </c>
      <c r="I887" s="2" t="n">
        <f aca="false">H887*(1-I$883)+H886*I$883</f>
        <v>0.354776924770864</v>
      </c>
      <c r="J887" s="2" t="n">
        <f aca="false">I887*(1-J$883)+I886*J$883</f>
        <v>0.336182906679504</v>
      </c>
      <c r="K887" s="2" t="n">
        <f aca="false">J887*(1-K$883)+J886*K$883</f>
        <v>0.235524397956102</v>
      </c>
      <c r="L887" s="2" t="n">
        <f aca="false">K887*(1-L$883)+K886*L$883</f>
        <v>0.177622406307001</v>
      </c>
      <c r="M887" s="2" t="n">
        <f aca="false">L887*(1-M$883)+L886*M$883</f>
        <v>0.137185859195862</v>
      </c>
      <c r="N887" s="2" t="n">
        <f aca="false">M887*(1-N$883)+M886*N$883</f>
        <v>0.0872448036293559</v>
      </c>
      <c r="O887" s="2" t="n">
        <f aca="false">N887*(1-O$883)+N886*O$883</f>
        <v>0.0872448036293559</v>
      </c>
    </row>
    <row r="888" customFormat="false" ht="15" hidden="false" customHeight="false" outlineLevel="0" collapsed="false">
      <c r="B888" s="2" t="n">
        <v>4</v>
      </c>
      <c r="C888" s="2" t="n">
        <f aca="false">0</f>
        <v>0</v>
      </c>
      <c r="D888" s="2" t="n">
        <f aca="false">C888*(1-D$883)+C887*D$883</f>
        <v>0</v>
      </c>
      <c r="E888" s="2" t="n">
        <f aca="false">D888*(1-E$883)+D887*E$883</f>
        <v>0</v>
      </c>
      <c r="F888" s="2" t="n">
        <f aca="false">E888*(1-F$883)+E887*F$883</f>
        <v>0.00791095050108478</v>
      </c>
      <c r="G888" s="2" t="n">
        <f aca="false">F888*(1-G$883)+F887*G$883</f>
        <v>0.0470078699014392</v>
      </c>
      <c r="H888" s="2" t="n">
        <f aca="false">G888*(1-H$883)+G887*H$883</f>
        <v>0.117444369449827</v>
      </c>
      <c r="I888" s="2" t="n">
        <f aca="false">H888*(1-I$883)+H887*I$883</f>
        <v>0.248978217343609</v>
      </c>
      <c r="J888" s="2" t="n">
        <f aca="false">I888*(1-J$883)+I887*J$883</f>
        <v>0.2657637381361</v>
      </c>
      <c r="K888" s="2" t="n">
        <f aca="false">J888*(1-K$883)+J887*K$883</f>
        <v>0.321391405605226</v>
      </c>
      <c r="L888" s="2" t="n">
        <f aca="false">K888*(1-L$883)+K887*L$883</f>
        <v>0.289194880022536</v>
      </c>
      <c r="M888" s="2" t="n">
        <f aca="false">L888*(1-M$883)+L887*M$883</f>
        <v>0.252530863023012</v>
      </c>
      <c r="N888" s="2" t="n">
        <f aca="false">M888*(1-N$883)+M887*N$883</f>
        <v>0.193995611682838</v>
      </c>
      <c r="O888" s="2" t="n">
        <f aca="false">N888*(1-O$883)+N887*O$883</f>
        <v>0.193995611682838</v>
      </c>
    </row>
    <row r="889" customFormat="false" ht="15" hidden="false" customHeight="false" outlineLevel="0" collapsed="false">
      <c r="B889" s="2" t="n">
        <v>5</v>
      </c>
      <c r="C889" s="2" t="n">
        <f aca="false">0</f>
        <v>0</v>
      </c>
      <c r="D889" s="2" t="n">
        <f aca="false">C889*(1-D$883)+C888*D$883</f>
        <v>0</v>
      </c>
      <c r="E889" s="2" t="n">
        <f aca="false">D889*(1-E$883)+D888*E$883</f>
        <v>0</v>
      </c>
      <c r="F889" s="2" t="n">
        <f aca="false">E889*(1-F$883)+E888*F$883</f>
        <v>0</v>
      </c>
      <c r="G889" s="2" t="n">
        <f aca="false">F889*(1-G$883)+F888*G$883</f>
        <v>0.00294754528625602</v>
      </c>
      <c r="H889" s="2" t="n">
        <f aca="false">G889*(1-H$883)+G888*H$883</f>
        <v>0.0199929317961101</v>
      </c>
      <c r="I889" s="2" t="n">
        <f aca="false">H889*(1-I$883)+H888*I$883</f>
        <v>0.0871621757778768</v>
      </c>
      <c r="J889" s="2" t="n">
        <f aca="false">I889*(1-J$883)+I888*J$883</f>
        <v>0.112835140942671</v>
      </c>
      <c r="K889" s="2" t="n">
        <f aca="false">J889*(1-K$883)+J888*K$883</f>
        <v>0.233641184625969</v>
      </c>
      <c r="L889" s="2" t="n">
        <f aca="false">K889*(1-L$883)+K888*L$883</f>
        <v>0.266543836203047</v>
      </c>
      <c r="M889" s="2" t="n">
        <f aca="false">L889*(1-M$883)+L888*M$883</f>
        <v>0.273987233557237</v>
      </c>
      <c r="N889" s="2" t="n">
        <f aca="false">M889*(1-N$883)+M888*N$883</f>
        <v>0.263098560442701</v>
      </c>
      <c r="O889" s="2" t="n">
        <f aca="false">N889*(1-O$883)+N888*O$883</f>
        <v>0.263098560442701</v>
      </c>
    </row>
    <row r="890" customFormat="false" ht="15" hidden="false" customHeight="false" outlineLevel="0" collapsed="false">
      <c r="B890" s="2" t="n">
        <v>6</v>
      </c>
      <c r="C890" s="2" t="n">
        <f aca="false">0</f>
        <v>0</v>
      </c>
      <c r="D890" s="2" t="n">
        <f aca="false">C890*(1-D$883)+C889*D$883</f>
        <v>0</v>
      </c>
      <c r="E890" s="2" t="n">
        <f aca="false">D890*(1-E$883)+D889*E$883</f>
        <v>0</v>
      </c>
      <c r="F890" s="2" t="n">
        <f aca="false">E890*(1-F$883)+E889*F$883</f>
        <v>0</v>
      </c>
      <c r="G890" s="2" t="n">
        <f aca="false">F890*(1-G$883)+F889*G$883</f>
        <v>0</v>
      </c>
      <c r="H890" s="2" t="n">
        <f aca="false">G890*(1-H$883)+G889*H$883</f>
        <v>0.00114030137313648</v>
      </c>
      <c r="I890" s="2" t="n">
        <f aca="false">H890*(1-I$883)+H889*I$883</f>
        <v>0.0141346395077725</v>
      </c>
      <c r="J890" s="2" t="n">
        <f aca="false">I890*(1-J$883)+I889*J$883</f>
        <v>0.0257208418186946</v>
      </c>
      <c r="K890" s="2" t="n">
        <f aca="false">J890*(1-K$883)+J889*K$883</f>
        <v>0.0945368384246137</v>
      </c>
      <c r="L890" s="2" t="n">
        <f aca="false">K890*(1-L$883)+K889*L$883</f>
        <v>0.146695132555888</v>
      </c>
      <c r="M890" s="2" t="n">
        <f aca="false">L890*(1-M$883)+L889*M$883</f>
        <v>0.186078815300913</v>
      </c>
      <c r="N890" s="2" t="n">
        <f aca="false">M890*(1-N$883)+M889*N$883</f>
        <v>0.230690555617487</v>
      </c>
      <c r="O890" s="2" t="n">
        <f aca="false">N890*(1-O$883)+N889*O$883</f>
        <v>0.230690555617487</v>
      </c>
    </row>
    <row r="891" customFormat="false" ht="15" hidden="false" customHeight="false" outlineLevel="0" collapsed="false">
      <c r="B891" s="2" t="n">
        <v>7</v>
      </c>
      <c r="C891" s="2" t="n">
        <f aca="false">0</f>
        <v>0</v>
      </c>
      <c r="D891" s="2" t="n">
        <f aca="false">C891*(1-D$883)+C890*D$883</f>
        <v>0</v>
      </c>
      <c r="E891" s="2" t="n">
        <f aca="false">D891*(1-E$883)+D890*E$883</f>
        <v>0</v>
      </c>
      <c r="F891" s="2" t="n">
        <f aca="false">E891*(1-F$883)+E890*F$883</f>
        <v>0</v>
      </c>
      <c r="G891" s="2" t="n">
        <f aca="false">F891*(1-G$883)+F890*G$883</f>
        <v>0</v>
      </c>
      <c r="H891" s="2" t="n">
        <f aca="false">G891*(1-H$883)+G890*H$883</f>
        <v>0</v>
      </c>
      <c r="I891" s="2" t="n">
        <f aca="false">H891*(1-I$883)+H890*I$883</f>
        <v>0.000785962557239161</v>
      </c>
      <c r="J891" s="2" t="n">
        <f aca="false">I891*(1-J$883)+I890*J$883</f>
        <v>0.00290380028847501</v>
      </c>
      <c r="K891" s="2" t="n">
        <f aca="false">J891*(1-K$883)+J890*K$883</f>
        <v>0.0209281369162209</v>
      </c>
      <c r="L891" s="2" t="n">
        <f aca="false">K891*(1-L$883)+K890*L$883</f>
        <v>0.0485283119556009</v>
      </c>
      <c r="M891" s="2" t="n">
        <f aca="false">L891*(1-M$883)+L890*M$883</f>
        <v>0.0807870748871694</v>
      </c>
      <c r="N891" s="2" t="n">
        <f aca="false">M891*(1-N$883)+M890*N$883</f>
        <v>0.134220498829821</v>
      </c>
      <c r="O891" s="2" t="n">
        <f aca="false">N891*(1-O$883)+N890*O$883</f>
        <v>0.134220498829821</v>
      </c>
    </row>
    <row r="892" customFormat="false" ht="15" hidden="false" customHeight="false" outlineLevel="0" collapsed="false">
      <c r="B892" s="2" t="n">
        <v>8</v>
      </c>
      <c r="C892" s="2" t="n">
        <f aca="false">0</f>
        <v>0</v>
      </c>
      <c r="D892" s="2" t="n">
        <f aca="false">C892*(1-D$883)+C891*D$883</f>
        <v>0</v>
      </c>
      <c r="E892" s="2" t="n">
        <f aca="false">D892*(1-E$883)+D891*E$883</f>
        <v>0</v>
      </c>
      <c r="F892" s="2" t="n">
        <f aca="false">E892*(1-F$883)+E891*F$883</f>
        <v>0</v>
      </c>
      <c r="G892" s="2" t="n">
        <f aca="false">F892*(1-G$883)+F891*G$883</f>
        <v>0</v>
      </c>
      <c r="H892" s="2" t="n">
        <f aca="false">G892*(1-H$883)+G891*H$883</f>
        <v>0</v>
      </c>
      <c r="I892" s="2" t="n">
        <f aca="false">H892*(1-I$883)+H891*I$883</f>
        <v>0</v>
      </c>
      <c r="J892" s="2" t="n">
        <f aca="false">I892*(1-J$883)+I891*J$883</f>
        <v>0.000124697089099396</v>
      </c>
      <c r="K892" s="2" t="n">
        <f aca="false">J892*(1-K$883)+J891*K$883</f>
        <v>0.00232005144835973</v>
      </c>
      <c r="L892" s="2" t="n">
        <f aca="false">K892*(1-L$883)+K891*L$883</f>
        <v>0.00929730285391745</v>
      </c>
      <c r="M892" s="2" t="n">
        <f aca="false">L892*(1-M$883)+L891*M$883</f>
        <v>0.0221890703007865</v>
      </c>
      <c r="N892" s="2" t="n">
        <f aca="false">M892*(1-N$883)+M891*N$883</f>
        <v>0.051926369816912</v>
      </c>
      <c r="O892" s="2" t="n">
        <f aca="false">N892*(1-O$883)+N891*O$883</f>
        <v>0.051926369816912</v>
      </c>
    </row>
    <row r="893" customFormat="false" ht="15" hidden="false" customHeight="false" outlineLevel="0" collapsed="false">
      <c r="B893" s="2" t="n">
        <v>9</v>
      </c>
      <c r="C893" s="2" t="n">
        <f aca="false">0</f>
        <v>0</v>
      </c>
      <c r="D893" s="2" t="n">
        <f aca="false">C893*(1-D$883)+C892*D$883</f>
        <v>0</v>
      </c>
      <c r="E893" s="2" t="n">
        <f aca="false">D893*(1-E$883)+D892*E$883</f>
        <v>0</v>
      </c>
      <c r="F893" s="2" t="n">
        <f aca="false">E893*(1-F$883)+E892*F$883</f>
        <v>0</v>
      </c>
      <c r="G893" s="2" t="n">
        <f aca="false">F893*(1-G$883)+F892*G$883</f>
        <v>0</v>
      </c>
      <c r="H893" s="2" t="n">
        <f aca="false">G893*(1-H$883)+G892*H$883</f>
        <v>0</v>
      </c>
      <c r="I893" s="2" t="n">
        <f aca="false">H893*(1-I$883)+H892*I$883</f>
        <v>0</v>
      </c>
      <c r="J893" s="2" t="n">
        <f aca="false">I893*(1-J$883)+I892*J$883</f>
        <v>0</v>
      </c>
      <c r="K893" s="2" t="n">
        <f aca="false">J893*(1-K$883)+J892*K$883</f>
        <v>9.85045457120626E-005</v>
      </c>
      <c r="L893" s="2" t="n">
        <f aca="false">K893*(1-L$883)+K892*L$883</f>
        <v>0.000931491436049711</v>
      </c>
      <c r="M893" s="2" t="n">
        <f aca="false">L893*(1-M$883)+L892*M$883</f>
        <v>0.00368059470341594</v>
      </c>
      <c r="N893" s="2" t="n">
        <f aca="false">M893*(1-N$883)+M892*N$883</f>
        <v>0.0130732708928336</v>
      </c>
      <c r="O893" s="2" t="n">
        <f aca="false">N893*(1-O$883)+N892*O$883</f>
        <v>0.0130732708928336</v>
      </c>
    </row>
    <row r="894" customFormat="false" ht="15" hidden="false" customHeight="false" outlineLevel="0" collapsed="false">
      <c r="B894" s="2" t="n">
        <v>10</v>
      </c>
      <c r="C894" s="2" t="n">
        <f aca="false">0</f>
        <v>0</v>
      </c>
      <c r="D894" s="2" t="n">
        <f aca="false">C894*(1-D$883)+C893*D$883</f>
        <v>0</v>
      </c>
      <c r="E894" s="2" t="n">
        <f aca="false">D894*(1-E$883)+D893*E$883</f>
        <v>0</v>
      </c>
      <c r="F894" s="2" t="n">
        <f aca="false">E894*(1-F$883)+E893*F$883</f>
        <v>0</v>
      </c>
      <c r="G894" s="2" t="n">
        <f aca="false">F894*(1-G$883)+F893*G$883</f>
        <v>0</v>
      </c>
      <c r="H894" s="2" t="n">
        <f aca="false">G894*(1-H$883)+G893*H$883</f>
        <v>0</v>
      </c>
      <c r="I894" s="2" t="n">
        <f aca="false">H894*(1-I$883)+H893*I$883</f>
        <v>0</v>
      </c>
      <c r="J894" s="2" t="n">
        <f aca="false">I894*(1-J$883)+I893*J$883</f>
        <v>0</v>
      </c>
      <c r="K894" s="2" t="n">
        <f aca="false">J894*(1-K$883)+J893*K$883</f>
        <v>0</v>
      </c>
      <c r="L894" s="2" t="n">
        <f aca="false">K894*(1-L$883)+K893*L$883</f>
        <v>3.69350721873222E-005</v>
      </c>
      <c r="M894" s="2" t="n">
        <f aca="false">L894*(1-M$883)+L893*M$883</f>
        <v>0.000330896733513433</v>
      </c>
      <c r="N894" s="2" t="n">
        <f aca="false">M894*(1-N$883)+M893*N$883</f>
        <v>0.00203080055315128</v>
      </c>
      <c r="O894" s="2" t="n">
        <f aca="false">N894*(1-O$883)+N893*O$883</f>
        <v>0.00203080055315128</v>
      </c>
    </row>
    <row r="895" customFormat="false" ht="15" hidden="false" customHeight="false" outlineLevel="0" collapsed="false">
      <c r="B895" s="2" t="n">
        <v>11</v>
      </c>
      <c r="C895" s="2" t="n">
        <f aca="false">0</f>
        <v>0</v>
      </c>
      <c r="D895" s="2" t="n">
        <f aca="false">C895*(1-D$883)+C894*D$883</f>
        <v>0</v>
      </c>
      <c r="E895" s="2" t="n">
        <f aca="false">D895*(1-E$883)+D894*E$883</f>
        <v>0</v>
      </c>
      <c r="F895" s="2" t="n">
        <f aca="false">E895*(1-F$883)+E894*F$883</f>
        <v>0</v>
      </c>
      <c r="G895" s="2" t="n">
        <f aca="false">F895*(1-G$883)+F894*G$883</f>
        <v>0</v>
      </c>
      <c r="H895" s="2" t="n">
        <f aca="false">G895*(1-H$883)+G894*H$883</f>
        <v>0</v>
      </c>
      <c r="I895" s="2" t="n">
        <f aca="false">H895*(1-I$883)+H894*I$883</f>
        <v>0</v>
      </c>
      <c r="J895" s="2" t="n">
        <f aca="false">I895*(1-J$883)+I894*J$883</f>
        <v>0</v>
      </c>
      <c r="K895" s="2" t="n">
        <f aca="false">J895*(1-K$883)+J894*K$883</f>
        <v>0</v>
      </c>
      <c r="L895" s="2" t="n">
        <f aca="false">K895*(1-L$883)+K894*L$883</f>
        <v>0</v>
      </c>
      <c r="M895" s="2" t="n">
        <f aca="false">L895*(1-M$883)+L894*M$883</f>
        <v>1.21372957814599E-005</v>
      </c>
      <c r="N895" s="2" t="n">
        <f aca="false">M895*(1-N$883)+M894*N$883</f>
        <v>0.000173901249013926</v>
      </c>
      <c r="O895" s="2" t="n">
        <f aca="false">N895*(1-O$883)+N894*O$883</f>
        <v>0.000173901249013926</v>
      </c>
    </row>
    <row r="896" customFormat="false" ht="15" hidden="false" customHeight="false" outlineLevel="0" collapsed="false">
      <c r="B896" s="2" t="n">
        <v>12</v>
      </c>
      <c r="C896" s="2" t="n">
        <f aca="false">0</f>
        <v>0</v>
      </c>
      <c r="D896" s="2" t="n">
        <f aca="false">C896*(1-D$883)+C895*D$883</f>
        <v>0</v>
      </c>
      <c r="E896" s="2" t="n">
        <f aca="false">D896*(1-E$883)+D895*E$883</f>
        <v>0</v>
      </c>
      <c r="F896" s="2" t="n">
        <f aca="false">E896*(1-F$883)+E895*F$883</f>
        <v>0</v>
      </c>
      <c r="G896" s="2" t="n">
        <f aca="false">F896*(1-G$883)+F895*G$883</f>
        <v>0</v>
      </c>
      <c r="H896" s="2" t="n">
        <f aca="false">G896*(1-H$883)+G895*H$883</f>
        <v>0</v>
      </c>
      <c r="I896" s="2" t="n">
        <f aca="false">H896*(1-I$883)+H895*I$883</f>
        <v>0</v>
      </c>
      <c r="J896" s="2" t="n">
        <f aca="false">I896*(1-J$883)+I895*J$883</f>
        <v>0</v>
      </c>
      <c r="K896" s="2" t="n">
        <f aca="false">J896*(1-K$883)+J895*K$883</f>
        <v>0</v>
      </c>
      <c r="L896" s="2" t="n">
        <f aca="false">K896*(1-L$883)+K895*L$883</f>
        <v>0</v>
      </c>
      <c r="M896" s="2" t="n">
        <f aca="false">L896*(1-M$883)+L895*M$883</f>
        <v>0</v>
      </c>
      <c r="N896" s="2" t="n">
        <f aca="false">M896*(1-N$883)+M895*N$883</f>
        <v>6.15943157991003E-006</v>
      </c>
      <c r="O896" s="2" t="n">
        <f aca="false">N896*(1-O$883)+N895*O$883</f>
        <v>6.15943157991003E-006</v>
      </c>
    </row>
    <row r="897" customFormat="false" ht="15" hidden="false" customHeight="false" outlineLevel="0" collapsed="false">
      <c r="B897" s="2" t="n">
        <v>13</v>
      </c>
      <c r="C897" s="2" t="n">
        <f aca="false">0</f>
        <v>0</v>
      </c>
      <c r="D897" s="2" t="n">
        <f aca="false">C897*(1-D$883)+C896*D$883</f>
        <v>0</v>
      </c>
      <c r="E897" s="2" t="n">
        <f aca="false">D897*(1-E$883)+D896*E$883</f>
        <v>0</v>
      </c>
      <c r="F897" s="2" t="n">
        <f aca="false">E897*(1-F$883)+E896*F$883</f>
        <v>0</v>
      </c>
      <c r="G897" s="2" t="n">
        <f aca="false">F897*(1-G$883)+F896*G$883</f>
        <v>0</v>
      </c>
      <c r="H897" s="2" t="n">
        <f aca="false">G897*(1-H$883)+G896*H$883</f>
        <v>0</v>
      </c>
      <c r="I897" s="2" t="n">
        <f aca="false">H897*(1-I$883)+H896*I$883</f>
        <v>0</v>
      </c>
      <c r="J897" s="2" t="n">
        <f aca="false">I897*(1-J$883)+I896*J$883</f>
        <v>0</v>
      </c>
      <c r="K897" s="2" t="n">
        <f aca="false">J897*(1-K$883)+J896*K$883</f>
        <v>0</v>
      </c>
      <c r="L897" s="2" t="n">
        <f aca="false">K897*(1-L$883)+K896*L$883</f>
        <v>0</v>
      </c>
      <c r="M897" s="2" t="n">
        <f aca="false">L897*(1-M$883)+L896*M$883</f>
        <v>0</v>
      </c>
      <c r="N897" s="2" t="n">
        <f aca="false">M897*(1-N$883)+M896*N$883</f>
        <v>0</v>
      </c>
      <c r="O897" s="2" t="n">
        <f aca="false">N897*(1-O$883)+N896*O$883</f>
        <v>0</v>
      </c>
    </row>
    <row r="899" customFormat="false" ht="15" hidden="false" customHeight="false" outlineLevel="0" collapsed="false">
      <c r="A899" s="1" t="s">
        <v>114</v>
      </c>
      <c r="C899" s="2" t="n">
        <f aca="false">Schedule!G58</f>
        <v>0.964069680887074</v>
      </c>
      <c r="D899" s="2" t="n">
        <f aca="false">Schedule!L58</f>
        <v>0.576814180380971</v>
      </c>
      <c r="E899" s="2" t="n">
        <f aca="false">Schedule!Q58</f>
        <v>0.157147662863196</v>
      </c>
      <c r="F899" s="2" t="n">
        <f aca="false">Schedule!V58</f>
        <v>0.26189960497694</v>
      </c>
      <c r="G899" s="2" t="n">
        <f aca="false">Schedule!AA58</f>
        <v>0.69584943984712</v>
      </c>
      <c r="H899" s="2" t="n">
        <f aca="false">Schedule!AF58</f>
        <v>0.382088577811047</v>
      </c>
      <c r="I899" s="2" t="n">
        <f aca="false">Schedule!AK58</f>
        <v>0.447788771872615</v>
      </c>
      <c r="J899" s="2" t="n">
        <f aca="false">Schedule!AP58</f>
        <v>0.445317796372433</v>
      </c>
      <c r="K899" s="2" t="n">
        <f aca="false">Schedule!AU58</f>
        <v>0.999091900042147</v>
      </c>
      <c r="L899" s="2" t="n">
        <f aca="false">Schedule!AZ58</f>
        <v>0.241963652223073</v>
      </c>
      <c r="M899" s="2" t="n">
        <f aca="false">Schedule!BE58</f>
        <v>0.377330281529843</v>
      </c>
      <c r="N899" s="2" t="n">
        <f aca="false">Schedule!BJ58</f>
        <v>0.507479729489559</v>
      </c>
      <c r="O899" s="2" t="n">
        <f aca="false">Schedule!BO58</f>
        <v>0</v>
      </c>
    </row>
    <row r="900" customFormat="false" ht="15" hidden="false" customHeight="false" outlineLevel="0" collapsed="false">
      <c r="B900" s="2" t="n">
        <v>0</v>
      </c>
      <c r="C900" s="2" t="n">
        <f aca="false">1-C$899</f>
        <v>0.0359303191129258</v>
      </c>
      <c r="D900" s="2" t="n">
        <f aca="false">C900*(1-D$899)</f>
        <v>0.0152052015429768</v>
      </c>
      <c r="E900" s="2" t="n">
        <f aca="false">D900*(1-E$899)</f>
        <v>0.0128157396571341</v>
      </c>
      <c r="F900" s="2" t="n">
        <f aca="false">E900*(1-F$899)</f>
        <v>0.00945930250344339</v>
      </c>
      <c r="G900" s="2" t="n">
        <f aca="false">F900*(1-G$899)</f>
        <v>0.00287705215507785</v>
      </c>
      <c r="H900" s="2" t="n">
        <f aca="false">G900*(1-H$899)</f>
        <v>0.00177776338885594</v>
      </c>
      <c r="I900" s="2" t="n">
        <f aca="false">H900*(1-I$899)</f>
        <v>0.000981700904280041</v>
      </c>
      <c r="J900" s="2" t="n">
        <f aca="false">I900*(1-J$899)</f>
        <v>0.000544532020889229</v>
      </c>
      <c r="K900" s="2" t="n">
        <f aca="false">J900*(1-K$899)</f>
        <v>4.94489505219307E-007</v>
      </c>
      <c r="L900" s="2" t="n">
        <f aca="false">K900*(1-L$899)</f>
        <v>3.74841018550463E-007</v>
      </c>
      <c r="M900" s="2" t="n">
        <f aca="false">L900*(1-M$899)</f>
        <v>2.33402151491884E-007</v>
      </c>
      <c r="N900" s="2" t="n">
        <f aca="false">M900*(1-N$899)</f>
        <v>1.14955290790501E-007</v>
      </c>
      <c r="O900" s="2" t="n">
        <f aca="false">N900*(1-O$899)</f>
        <v>1.14955290790501E-007</v>
      </c>
    </row>
    <row r="901" customFormat="false" ht="15" hidden="false" customHeight="false" outlineLevel="0" collapsed="false">
      <c r="B901" s="2" t="n">
        <v>1</v>
      </c>
      <c r="C901" s="2" t="n">
        <f aca="false">C$899</f>
        <v>0.964069680887074</v>
      </c>
      <c r="D901" s="2" t="n">
        <f aca="false">C901*(1-D$899)+C900*D$899</f>
        <v>0.428705735646002</v>
      </c>
      <c r="E901" s="2" t="n">
        <f aca="false">D901*(1-E$899)+D900*E$899</f>
        <v>0.363725093119028</v>
      </c>
      <c r="F901" s="2" t="n">
        <f aca="false">E901*(1-F$899)+E900*F$899</f>
        <v>0.271822072064645</v>
      </c>
      <c r="G901" s="2" t="n">
        <f aca="false">F901*(1-G$899)+F900*G$899</f>
        <v>0.0892570858287437</v>
      </c>
      <c r="H901" s="2" t="n">
        <f aca="false">G901*(1-H$899)+G900*H$899</f>
        <v>0.0562522616111023</v>
      </c>
      <c r="I901" s="2" t="n">
        <f aca="false">H901*(1-I$899)+H900*I$899</f>
        <v>0.0318591929537857</v>
      </c>
      <c r="J901" s="2" t="n">
        <f aca="false">I901*(1-J$899)+I900*J$899</f>
        <v>0.0181088962367925</v>
      </c>
      <c r="K901" s="2" t="n">
        <f aca="false">J901*(1-K$899)+J900*K$899</f>
        <v>0.000560482219293411</v>
      </c>
      <c r="L901" s="2" t="n">
        <f aca="false">K901*(1-L$899)+K900*L$899</f>
        <v>0.000424985542993753</v>
      </c>
      <c r="M901" s="2" t="n">
        <f aca="false">L901*(1-M$899)+L900*M$899</f>
        <v>0.000264767067276866</v>
      </c>
      <c r="N901" s="2" t="n">
        <f aca="false">M901*(1-N$899)+M900*N$899</f>
        <v>0.000130521594458159</v>
      </c>
      <c r="O901" s="2" t="n">
        <f aca="false">N901*(1-O$899)+N900*O$899</f>
        <v>0.000130521594458159</v>
      </c>
    </row>
    <row r="902" customFormat="false" ht="15" hidden="false" customHeight="false" outlineLevel="0" collapsed="false">
      <c r="B902" s="2" t="n">
        <v>2</v>
      </c>
      <c r="C902" s="2" t="n">
        <f aca="false">0</f>
        <v>0</v>
      </c>
      <c r="D902" s="2" t="n">
        <f aca="false">C902*(1-D$899)+C901*D$899</f>
        <v>0.556089062811022</v>
      </c>
      <c r="E902" s="2" t="n">
        <f aca="false">D902*(1-E$899)+D901*E$899</f>
        <v>0.536071070659301</v>
      </c>
      <c r="F902" s="2" t="n">
        <f aca="false">E902*(1-F$899)+E901*F$899</f>
        <v>0.490933727222139</v>
      </c>
      <c r="G902" s="2" t="n">
        <f aca="false">F902*(1-G$899)+F901*G$899</f>
        <v>0.338465004716821</v>
      </c>
      <c r="H902" s="2" t="n">
        <f aca="false">G902*(1-H$899)+G901*H$899</f>
        <v>0.243245505409625</v>
      </c>
      <c r="I902" s="2" t="n">
        <f aca="false">H902*(1-I$899)+H901*I$899</f>
        <v>0.159512030420608</v>
      </c>
      <c r="J902" s="2" t="n">
        <f aca="false">I902*(1-J$899)+I901*J$899</f>
        <v>0.102665950139194</v>
      </c>
      <c r="K902" s="2" t="n">
        <f aca="false">J902*(1-K$899)+J901*K$899</f>
        <v>0.0181856824938775</v>
      </c>
      <c r="L902" s="2" t="n">
        <f aca="false">K902*(1-L$899)+K901*L$899</f>
        <v>0.013921024664276</v>
      </c>
      <c r="M902" s="2" t="n">
        <f aca="false">L902*(1-M$899)+L901*M$899</f>
        <v>0.0088285604231048</v>
      </c>
      <c r="N902" s="2" t="n">
        <f aca="false">M902*(1-N$899)+M901*N$899</f>
        <v>0.00448260888748475</v>
      </c>
      <c r="O902" s="2" t="n">
        <f aca="false">N902*(1-O$899)+N901*O$899</f>
        <v>0.00448260888748475</v>
      </c>
    </row>
    <row r="903" customFormat="false" ht="15" hidden="false" customHeight="false" outlineLevel="0" collapsed="false">
      <c r="B903" s="2" t="n">
        <v>3</v>
      </c>
      <c r="C903" s="2" t="n">
        <f aca="false">0</f>
        <v>0</v>
      </c>
      <c r="D903" s="2" t="n">
        <f aca="false">C903*(1-D$899)+C902*D$899</f>
        <v>0</v>
      </c>
      <c r="E903" s="2" t="n">
        <f aca="false">D903*(1-E$899)+D902*E$899</f>
        <v>0.0873880965645371</v>
      </c>
      <c r="F903" s="2" t="n">
        <f aca="false">E903*(1-F$899)+E902*F$899</f>
        <v>0.204897990239834</v>
      </c>
      <c r="G903" s="2" t="n">
        <f aca="false">F903*(1-G$899)+F902*G$899</f>
        <v>0.403935797595229</v>
      </c>
      <c r="H903" s="2" t="n">
        <f aca="false">G903*(1-H$899)+G902*H$899</f>
        <v>0.378920155456157</v>
      </c>
      <c r="I903" s="2" t="n">
        <f aca="false">H903*(1-I$899)+H902*I$899</f>
        <v>0.318166570537573</v>
      </c>
      <c r="J903" s="2" t="n">
        <f aca="false">I903*(1-J$899)+I902*J$899</f>
        <v>0.247514880348204</v>
      </c>
      <c r="K903" s="2" t="n">
        <f aca="false">J903*(1-K$899)+J902*K$899</f>
        <v>0.102797487446612</v>
      </c>
      <c r="L903" s="2" t="n">
        <f aca="false">K903*(1-L$899)+K902*L$899</f>
        <v>0.0823245060990622</v>
      </c>
      <c r="M903" s="2" t="n">
        <f aca="false">L903*(1-M$899)+L902*M$899</f>
        <v>0.0565138011916529</v>
      </c>
      <c r="N903" s="2" t="n">
        <f aca="false">M903*(1-N$899)+M902*N$899</f>
        <v>0.0323145081057856</v>
      </c>
      <c r="O903" s="2" t="n">
        <f aca="false">N903*(1-O$899)+N902*O$899</f>
        <v>0.0323145081057856</v>
      </c>
    </row>
    <row r="904" customFormat="false" ht="15" hidden="false" customHeight="false" outlineLevel="0" collapsed="false">
      <c r="B904" s="2" t="n">
        <v>4</v>
      </c>
      <c r="C904" s="2" t="n">
        <f aca="false">0</f>
        <v>0</v>
      </c>
      <c r="D904" s="2" t="n">
        <f aca="false">C904*(1-D$899)+C903*D$899</f>
        <v>0</v>
      </c>
      <c r="E904" s="2" t="n">
        <f aca="false">D904*(1-E$899)+D903*E$899</f>
        <v>0</v>
      </c>
      <c r="F904" s="2" t="n">
        <f aca="false">E904*(1-F$899)+E903*F$899</f>
        <v>0.0228869079699389</v>
      </c>
      <c r="G904" s="2" t="n">
        <f aca="false">F904*(1-G$899)+F903*G$899</f>
        <v>0.149539217613414</v>
      </c>
      <c r="H904" s="2" t="n">
        <f aca="false">G904*(1-H$899)+G903*H$899</f>
        <v>0.24674124505866</v>
      </c>
      <c r="I904" s="2" t="n">
        <f aca="false">H904*(1-I$899)+H903*I$899</f>
        <v>0.305929477013015</v>
      </c>
      <c r="J904" s="2" t="n">
        <f aca="false">I904*(1-J$899)+I903*J$899</f>
        <v>0.311378872535375</v>
      </c>
      <c r="K904" s="2" t="n">
        <f aca="false">J904*(1-K$899)+J903*K$899</f>
        <v>0.247572875236818</v>
      </c>
      <c r="L904" s="2" t="n">
        <f aca="false">K904*(1-L$899)+K903*L$899</f>
        <v>0.212542493655088</v>
      </c>
      <c r="M904" s="2" t="n">
        <f aca="false">L904*(1-M$899)+L903*M$899</f>
        <v>0.163407303750323</v>
      </c>
      <c r="N904" s="2" t="n">
        <f aca="false">M904*(1-N$899)+M903*N$899</f>
        <v>0.109161017987658</v>
      </c>
      <c r="O904" s="2" t="n">
        <f aca="false">N904*(1-O$899)+N903*O$899</f>
        <v>0.109161017987658</v>
      </c>
    </row>
    <row r="905" customFormat="false" ht="15" hidden="false" customHeight="false" outlineLevel="0" collapsed="false">
      <c r="B905" s="2" t="n">
        <v>5</v>
      </c>
      <c r="C905" s="2" t="n">
        <f aca="false">0</f>
        <v>0</v>
      </c>
      <c r="D905" s="2" t="n">
        <f aca="false">C905*(1-D$899)+C904*D$899</f>
        <v>0</v>
      </c>
      <c r="E905" s="2" t="n">
        <f aca="false">D905*(1-E$899)+D904*E$899</f>
        <v>0</v>
      </c>
      <c r="F905" s="2" t="n">
        <f aca="false">E905*(1-F$899)+E904*F$899</f>
        <v>0</v>
      </c>
      <c r="G905" s="2" t="n">
        <f aca="false">F905*(1-G$899)+F904*G$899</f>
        <v>0.0159258420907146</v>
      </c>
      <c r="H905" s="2" t="n">
        <f aca="false">G905*(1-H$899)+G904*H$899</f>
        <v>0.0669779867207161</v>
      </c>
      <c r="I905" s="2" t="n">
        <f aca="false">H905*(1-I$899)+H904*I$899</f>
        <v>0.147473955399684</v>
      </c>
      <c r="J905" s="2" t="n">
        <f aca="false">I905*(1-J$899)+I904*J$899</f>
        <v>0.218037019107577</v>
      </c>
      <c r="K905" s="2" t="n">
        <f aca="false">J905*(1-K$899)+J904*K$899</f>
        <v>0.311294108802211</v>
      </c>
      <c r="L905" s="2" t="n">
        <f aca="false">K905*(1-L$899)+K904*L$899</f>
        <v>0.295875886404569</v>
      </c>
      <c r="M905" s="2" t="n">
        <f aca="false">L905*(1-M$899)+L904*M$899</f>
        <v>0.26443167385757</v>
      </c>
      <c r="N905" s="2" t="n">
        <f aca="false">M905*(1-N$899)+M904*N$899</f>
        <v>0.213163853843692</v>
      </c>
      <c r="O905" s="2" t="n">
        <f aca="false">N905*(1-O$899)+N904*O$899</f>
        <v>0.213163853843692</v>
      </c>
    </row>
    <row r="906" customFormat="false" ht="15" hidden="false" customHeight="false" outlineLevel="0" collapsed="false">
      <c r="B906" s="2" t="n">
        <v>6</v>
      </c>
      <c r="C906" s="2" t="n">
        <f aca="false">0</f>
        <v>0</v>
      </c>
      <c r="D906" s="2" t="n">
        <f aca="false">C906*(1-D$899)+C905*D$899</f>
        <v>0</v>
      </c>
      <c r="E906" s="2" t="n">
        <f aca="false">D906*(1-E$899)+D905*E$899</f>
        <v>0</v>
      </c>
      <c r="F906" s="2" t="n">
        <f aca="false">E906*(1-F$899)+E905*F$899</f>
        <v>0</v>
      </c>
      <c r="G906" s="2" t="n">
        <f aca="false">F906*(1-G$899)+F905*G$899</f>
        <v>0</v>
      </c>
      <c r="H906" s="2" t="n">
        <f aca="false">G906*(1-H$899)+G905*H$899</f>
        <v>0.00608508235488446</v>
      </c>
      <c r="I906" s="2" t="n">
        <f aca="false">H906*(1-I$899)+H905*I$899</f>
        <v>0.0333522412166168</v>
      </c>
      <c r="J906" s="2" t="n">
        <f aca="false">I906*(1-J$899)+I905*J$899</f>
        <v>0.0841726714948648</v>
      </c>
      <c r="K906" s="2" t="n">
        <f aca="false">J906*(1-K$899)+J905*K$899</f>
        <v>0.217915456899152</v>
      </c>
      <c r="L906" s="2" t="n">
        <f aca="false">K906*(1-L$899)+K905*L$899</f>
        <v>0.240509696553283</v>
      </c>
      <c r="M906" s="2" t="n">
        <f aca="false">L906*(1-M$899)+L905*M$899</f>
        <v>0.261401036557104</v>
      </c>
      <c r="N906" s="2" t="n">
        <f aca="false">M906*(1-N$899)+M905*N$899</f>
        <v>0.262939023554526</v>
      </c>
      <c r="O906" s="2" t="n">
        <f aca="false">N906*(1-O$899)+N905*O$899</f>
        <v>0.262939023554526</v>
      </c>
    </row>
    <row r="907" customFormat="false" ht="15" hidden="false" customHeight="false" outlineLevel="0" collapsed="false">
      <c r="B907" s="2" t="n">
        <v>7</v>
      </c>
      <c r="C907" s="2" t="n">
        <f aca="false">0</f>
        <v>0</v>
      </c>
      <c r="D907" s="2" t="n">
        <f aca="false">C907*(1-D$899)+C906*D$899</f>
        <v>0</v>
      </c>
      <c r="E907" s="2" t="n">
        <f aca="false">D907*(1-E$899)+D906*E$899</f>
        <v>0</v>
      </c>
      <c r="F907" s="2" t="n">
        <f aca="false">E907*(1-F$899)+E906*F$899</f>
        <v>0</v>
      </c>
      <c r="G907" s="2" t="n">
        <f aca="false">F907*(1-G$899)+F906*G$899</f>
        <v>0</v>
      </c>
      <c r="H907" s="2" t="n">
        <f aca="false">G907*(1-H$899)+G906*H$899</f>
        <v>0</v>
      </c>
      <c r="I907" s="2" t="n">
        <f aca="false">H907*(1-I$899)+H906*I$899</f>
        <v>0.00272483155443743</v>
      </c>
      <c r="J907" s="2" t="n">
        <f aca="false">I907*(1-J$899)+I906*J$899</f>
        <v>0.0163637621337949</v>
      </c>
      <c r="K907" s="2" t="n">
        <f aca="false">J907*(1-K$899)+J906*K$899</f>
        <v>0.0841110942271319</v>
      </c>
      <c r="L907" s="2" t="n">
        <f aca="false">K907*(1-L$899)+K906*L$899</f>
        <v>0.116486886502634</v>
      </c>
      <c r="M907" s="2" t="n">
        <f aca="false">L907*(1-M$899)+L906*M$899</f>
        <v>0.163284448335168</v>
      </c>
      <c r="N907" s="2" t="n">
        <f aca="false">M907*(1-N$899)+M906*N$899</f>
        <v>0.213076627984474</v>
      </c>
      <c r="O907" s="2" t="n">
        <f aca="false">N907*(1-O$899)+N906*O$899</f>
        <v>0.213076627984474</v>
      </c>
    </row>
    <row r="908" customFormat="false" ht="15" hidden="false" customHeight="false" outlineLevel="0" collapsed="false">
      <c r="B908" s="2" t="n">
        <v>8</v>
      </c>
      <c r="C908" s="2" t="n">
        <f aca="false">0</f>
        <v>0</v>
      </c>
      <c r="D908" s="2" t="n">
        <f aca="false">C908*(1-D$899)+C907*D$899</f>
        <v>0</v>
      </c>
      <c r="E908" s="2" t="n">
        <f aca="false">D908*(1-E$899)+D907*E$899</f>
        <v>0</v>
      </c>
      <c r="F908" s="2" t="n">
        <f aca="false">E908*(1-F$899)+E907*F$899</f>
        <v>0</v>
      </c>
      <c r="G908" s="2" t="n">
        <f aca="false">F908*(1-G$899)+F907*G$899</f>
        <v>0</v>
      </c>
      <c r="H908" s="2" t="n">
        <f aca="false">G908*(1-H$899)+G907*H$899</f>
        <v>0</v>
      </c>
      <c r="I908" s="2" t="n">
        <f aca="false">H908*(1-I$899)+H907*I$899</f>
        <v>0</v>
      </c>
      <c r="J908" s="2" t="n">
        <f aca="false">I908*(1-J$899)+I907*J$899</f>
        <v>0.00121341598330815</v>
      </c>
      <c r="K908" s="2" t="n">
        <f aca="false">J908*(1-K$899)+J907*K$899</f>
        <v>0.0163500041050942</v>
      </c>
      <c r="L908" s="2" t="n">
        <f aca="false">K908*(1-L$899)+K907*L$899</f>
        <v>0.0327457249496392</v>
      </c>
      <c r="M908" s="2" t="n">
        <f aca="false">L908*(1-M$899)+L907*M$899</f>
        <v>0.064343801014067</v>
      </c>
      <c r="N908" s="2" t="n">
        <f aca="false">M908*(1-N$899)+M907*N$899</f>
        <v>0.114554173952101</v>
      </c>
      <c r="O908" s="2" t="n">
        <f aca="false">N908*(1-O$899)+N907*O$899</f>
        <v>0.114554173952101</v>
      </c>
    </row>
    <row r="909" customFormat="false" ht="15" hidden="false" customHeight="false" outlineLevel="0" collapsed="false">
      <c r="B909" s="2" t="n">
        <v>9</v>
      </c>
      <c r="C909" s="2" t="n">
        <f aca="false">0</f>
        <v>0</v>
      </c>
      <c r="D909" s="2" t="n">
        <f aca="false">C909*(1-D$899)+C908*D$899</f>
        <v>0</v>
      </c>
      <c r="E909" s="2" t="n">
        <f aca="false">D909*(1-E$899)+D908*E$899</f>
        <v>0</v>
      </c>
      <c r="F909" s="2" t="n">
        <f aca="false">E909*(1-F$899)+E908*F$899</f>
        <v>0</v>
      </c>
      <c r="G909" s="2" t="n">
        <f aca="false">F909*(1-G$899)+F908*G$899</f>
        <v>0</v>
      </c>
      <c r="H909" s="2" t="n">
        <f aca="false">G909*(1-H$899)+G908*H$899</f>
        <v>0</v>
      </c>
      <c r="I909" s="2" t="n">
        <f aca="false">H909*(1-I$899)+H908*I$899</f>
        <v>0</v>
      </c>
      <c r="J909" s="2" t="n">
        <f aca="false">I909*(1-J$899)+I908*J$899</f>
        <v>0</v>
      </c>
      <c r="K909" s="2" t="n">
        <f aca="false">J909*(1-K$899)+J908*K$899</f>
        <v>0.00121231408030485</v>
      </c>
      <c r="L909" s="2" t="n">
        <f aca="false">K909*(1-L$899)+K908*L$899</f>
        <v>0.00487508484492366</v>
      </c>
      <c r="M909" s="2" t="n">
        <f aca="false">L909*(1-M$899)+L908*M$899</f>
        <v>0.0153915213220529</v>
      </c>
      <c r="N909" s="2" t="n">
        <f aca="false">M909*(1-N$899)+M908*N$899</f>
        <v>0.0402338109780535</v>
      </c>
      <c r="O909" s="2" t="n">
        <f aca="false">N909*(1-O$899)+N908*O$899</f>
        <v>0.0402338109780535</v>
      </c>
    </row>
    <row r="910" customFormat="false" ht="15" hidden="false" customHeight="false" outlineLevel="0" collapsed="false">
      <c r="B910" s="2" t="n">
        <v>10</v>
      </c>
      <c r="C910" s="2" t="n">
        <f aca="false">0</f>
        <v>0</v>
      </c>
      <c r="D910" s="2" t="n">
        <f aca="false">C910*(1-D$899)+C909*D$899</f>
        <v>0</v>
      </c>
      <c r="E910" s="2" t="n">
        <f aca="false">D910*(1-E$899)+D909*E$899</f>
        <v>0</v>
      </c>
      <c r="F910" s="2" t="n">
        <f aca="false">E910*(1-F$899)+E909*F$899</f>
        <v>0</v>
      </c>
      <c r="G910" s="2" t="n">
        <f aca="false">F910*(1-G$899)+F909*G$899</f>
        <v>0</v>
      </c>
      <c r="H910" s="2" t="n">
        <f aca="false">G910*(1-H$899)+G909*H$899</f>
        <v>0</v>
      </c>
      <c r="I910" s="2" t="n">
        <f aca="false">H910*(1-I$899)+H909*I$899</f>
        <v>0</v>
      </c>
      <c r="J910" s="2" t="n">
        <f aca="false">I910*(1-J$899)+I909*J$899</f>
        <v>0</v>
      </c>
      <c r="K910" s="2" t="n">
        <f aca="false">J910*(1-K$899)+J909*K$899</f>
        <v>0</v>
      </c>
      <c r="L910" s="2" t="n">
        <f aca="false">K910*(1-L$899)+K909*L$899</f>
        <v>0.000293335942512017</v>
      </c>
      <c r="M910" s="2" t="n">
        <f aca="false">L910*(1-M$899)+L909*M$899</f>
        <v>0.00202216854575805</v>
      </c>
      <c r="N910" s="2" t="n">
        <f aca="false">M910*(1-N$899)+M909*N$899</f>
        <v>0.00880684407612266</v>
      </c>
      <c r="O910" s="2" t="n">
        <f aca="false">N910*(1-O$899)+N909*O$899</f>
        <v>0.00880684407612266</v>
      </c>
    </row>
    <row r="911" customFormat="false" ht="15" hidden="false" customHeight="false" outlineLevel="0" collapsed="false">
      <c r="B911" s="2" t="n">
        <v>11</v>
      </c>
      <c r="C911" s="2" t="n">
        <f aca="false">0</f>
        <v>0</v>
      </c>
      <c r="D911" s="2" t="n">
        <f aca="false">C911*(1-D$899)+C910*D$899</f>
        <v>0</v>
      </c>
      <c r="E911" s="2" t="n">
        <f aca="false">D911*(1-E$899)+D910*E$899</f>
        <v>0</v>
      </c>
      <c r="F911" s="2" t="n">
        <f aca="false">E911*(1-F$899)+E910*F$899</f>
        <v>0</v>
      </c>
      <c r="G911" s="2" t="n">
        <f aca="false">F911*(1-G$899)+F910*G$899</f>
        <v>0</v>
      </c>
      <c r="H911" s="2" t="n">
        <f aca="false">G911*(1-H$899)+G910*H$899</f>
        <v>0</v>
      </c>
      <c r="I911" s="2" t="n">
        <f aca="false">H911*(1-I$899)+H910*I$899</f>
        <v>0</v>
      </c>
      <c r="J911" s="2" t="n">
        <f aca="false">I911*(1-J$899)+I910*J$899</f>
        <v>0</v>
      </c>
      <c r="K911" s="2" t="n">
        <f aca="false">J911*(1-K$899)+J910*K$899</f>
        <v>0</v>
      </c>
      <c r="L911" s="2" t="n">
        <f aca="false">K911*(1-L$899)+K910*L$899</f>
        <v>0</v>
      </c>
      <c r="M911" s="2" t="n">
        <f aca="false">L911*(1-M$899)+L910*M$899</f>
        <v>0.000110684533770881</v>
      </c>
      <c r="N911" s="2" t="n">
        <f aca="false">M911*(1-N$899)+M910*N$899</f>
        <v>0.00108072392309775</v>
      </c>
      <c r="O911" s="2" t="n">
        <f aca="false">N911*(1-O$899)+N910*O$899</f>
        <v>0.00108072392309775</v>
      </c>
    </row>
    <row r="912" customFormat="false" ht="15" hidden="false" customHeight="false" outlineLevel="0" collapsed="false">
      <c r="B912" s="2" t="n">
        <v>12</v>
      </c>
      <c r="C912" s="2" t="n">
        <f aca="false">0</f>
        <v>0</v>
      </c>
      <c r="D912" s="2" t="n">
        <f aca="false">C912*(1-D$899)+C911*D$899</f>
        <v>0</v>
      </c>
      <c r="E912" s="2" t="n">
        <f aca="false">D912*(1-E$899)+D911*E$899</f>
        <v>0</v>
      </c>
      <c r="F912" s="2" t="n">
        <f aca="false">E912*(1-F$899)+E911*F$899</f>
        <v>0</v>
      </c>
      <c r="G912" s="2" t="n">
        <f aca="false">F912*(1-G$899)+F911*G$899</f>
        <v>0</v>
      </c>
      <c r="H912" s="2" t="n">
        <f aca="false">G912*(1-H$899)+G911*H$899</f>
        <v>0</v>
      </c>
      <c r="I912" s="2" t="n">
        <f aca="false">H912*(1-I$899)+H911*I$899</f>
        <v>0</v>
      </c>
      <c r="J912" s="2" t="n">
        <f aca="false">I912*(1-J$899)+I911*J$899</f>
        <v>0</v>
      </c>
      <c r="K912" s="2" t="n">
        <f aca="false">J912*(1-K$899)+J911*K$899</f>
        <v>0</v>
      </c>
      <c r="L912" s="2" t="n">
        <f aca="false">K912*(1-L$899)+K911*L$899</f>
        <v>0</v>
      </c>
      <c r="M912" s="2" t="n">
        <f aca="false">L912*(1-M$899)+L911*M$899</f>
        <v>0</v>
      </c>
      <c r="N912" s="2" t="n">
        <f aca="false">M912*(1-N$899)+M911*N$899</f>
        <v>5.61701572567247E-005</v>
      </c>
      <c r="O912" s="2" t="n">
        <f aca="false">N912*(1-O$899)+N911*O$899</f>
        <v>5.61701572567247E-005</v>
      </c>
    </row>
    <row r="913" customFormat="false" ht="15" hidden="false" customHeight="false" outlineLevel="0" collapsed="false">
      <c r="B913" s="2" t="n">
        <v>13</v>
      </c>
      <c r="C913" s="2" t="n">
        <f aca="false">0</f>
        <v>0</v>
      </c>
      <c r="D913" s="2" t="n">
        <f aca="false">C913*(1-D$899)+C912*D$899</f>
        <v>0</v>
      </c>
      <c r="E913" s="2" t="n">
        <f aca="false">D913*(1-E$899)+D912*E$899</f>
        <v>0</v>
      </c>
      <c r="F913" s="2" t="n">
        <f aca="false">E913*(1-F$899)+E912*F$899</f>
        <v>0</v>
      </c>
      <c r="G913" s="2" t="n">
        <f aca="false">F913*(1-G$899)+F912*G$899</f>
        <v>0</v>
      </c>
      <c r="H913" s="2" t="n">
        <f aca="false">G913*(1-H$899)+G912*H$899</f>
        <v>0</v>
      </c>
      <c r="I913" s="2" t="n">
        <f aca="false">H913*(1-I$899)+H912*I$899</f>
        <v>0</v>
      </c>
      <c r="J913" s="2" t="n">
        <f aca="false">I913*(1-J$899)+I912*J$899</f>
        <v>0</v>
      </c>
      <c r="K913" s="2" t="n">
        <f aca="false">J913*(1-K$899)+J912*K$899</f>
        <v>0</v>
      </c>
      <c r="L913" s="2" t="n">
        <f aca="false">K913*(1-L$899)+K912*L$899</f>
        <v>0</v>
      </c>
      <c r="M913" s="2" t="n">
        <f aca="false">L913*(1-M$899)+L912*M$899</f>
        <v>0</v>
      </c>
      <c r="N913" s="2" t="n">
        <f aca="false">M913*(1-N$899)+M912*N$899</f>
        <v>0</v>
      </c>
      <c r="O913" s="2" t="n">
        <f aca="false">N913*(1-O$899)+N912*O$899</f>
        <v>0</v>
      </c>
    </row>
    <row r="915" customFormat="false" ht="15" hidden="false" customHeight="false" outlineLevel="0" collapsed="false">
      <c r="A915" s="1" t="s">
        <v>115</v>
      </c>
      <c r="C915" s="2" t="n">
        <f aca="false">Schedule!G59</f>
        <v>0.999692600289695</v>
      </c>
      <c r="D915" s="2" t="n">
        <f aca="false">Schedule!L59</f>
        <v>0.274253117750074</v>
      </c>
      <c r="E915" s="2" t="n">
        <f aca="false">Schedule!Q59</f>
        <v>0.460172162722971</v>
      </c>
      <c r="F915" s="2" t="n">
        <f aca="false">Schedule!V59</f>
        <v>0.978243394862276</v>
      </c>
      <c r="G915" s="2" t="n">
        <f aca="false">Schedule!AA59</f>
        <v>0.286887701816365</v>
      </c>
      <c r="H915" s="2" t="n">
        <f aca="false">Schedule!AF59</f>
        <v>0.299791595468696</v>
      </c>
      <c r="I915" s="2" t="n">
        <f aca="false">Schedule!AK59</f>
        <v>0.549738224830113</v>
      </c>
      <c r="J915" s="2" t="n">
        <f aca="false">Schedule!AP59</f>
        <v>0.295461142462736</v>
      </c>
      <c r="K915" s="2" t="n">
        <f aca="false">Schedule!AU59</f>
        <v>0.601121098652944</v>
      </c>
      <c r="L915" s="2" t="n">
        <f aca="false">Schedule!AZ59</f>
        <v>0.552211228127385</v>
      </c>
      <c r="M915" s="2" t="n">
        <f aca="false">Schedule!BE59</f>
        <v>0.284762905379547</v>
      </c>
      <c r="N915" s="2" t="n">
        <f aca="false">Schedule!BJ59</f>
        <v>0.351508875516277</v>
      </c>
      <c r="O915" s="2" t="n">
        <f aca="false">Schedule!BO59</f>
        <v>0</v>
      </c>
    </row>
    <row r="916" customFormat="false" ht="15" hidden="false" customHeight="false" outlineLevel="0" collapsed="false">
      <c r="B916" s="2" t="n">
        <v>0</v>
      </c>
      <c r="C916" s="2" t="n">
        <f aca="false">1-C$915</f>
        <v>0.000307399710304801</v>
      </c>
      <c r="D916" s="2" t="n">
        <f aca="false">C916*(1-D$915)</f>
        <v>0.00022309438135824</v>
      </c>
      <c r="E916" s="2" t="n">
        <f aca="false">D916*(1-E$915)</f>
        <v>0.000120432557397275</v>
      </c>
      <c r="F916" s="2" t="n">
        <f aca="false">E916*(1-F$915)</f>
        <v>2.62020359701882E-006</v>
      </c>
      <c r="G916" s="2" t="n">
        <f aca="false">F916*(1-G$915)</f>
        <v>1.86849940877912E-006</v>
      </c>
      <c r="H916" s="2" t="n">
        <f aca="false">G916*(1-H$915)</f>
        <v>1.30833898988891E-006</v>
      </c>
      <c r="I916" s="2" t="n">
        <f aca="false">H916*(1-I$915)</f>
        <v>5.89095036111358E-007</v>
      </c>
      <c r="J916" s="2" t="n">
        <f aca="false">I916*(1-J$915)</f>
        <v>4.15040343722769E-007</v>
      </c>
      <c r="K916" s="2" t="n">
        <f aca="false">J916*(1-K$915)</f>
        <v>1.65550836318843E-007</v>
      </c>
      <c r="L916" s="2" t="n">
        <f aca="false">K916*(1-L$915)</f>
        <v>7.4131805677699E-008</v>
      </c>
      <c r="M916" s="2" t="n">
        <f aca="false">L916*(1-M$915)</f>
        <v>5.30218173118855E-008</v>
      </c>
      <c r="N916" s="2" t="n">
        <f aca="false">M916*(1-N$915)</f>
        <v>3.43841779307551E-008</v>
      </c>
      <c r="O916" s="2" t="n">
        <f aca="false">N916*(1-O$915)</f>
        <v>3.43841779307551E-008</v>
      </c>
    </row>
    <row r="917" customFormat="false" ht="15" hidden="false" customHeight="false" outlineLevel="0" collapsed="false">
      <c r="B917" s="2" t="n">
        <v>1</v>
      </c>
      <c r="C917" s="2" t="n">
        <f aca="false">C$915</f>
        <v>0.999692600289695</v>
      </c>
      <c r="D917" s="2" t="n">
        <f aca="false">C917*(1-D$915)+C916*D$915</f>
        <v>0.725608093197515</v>
      </c>
      <c r="E917" s="2" t="n">
        <f aca="false">D917*(1-E$915)+D916*E$915</f>
        <v>0.391806109485484</v>
      </c>
      <c r="F917" s="2" t="n">
        <f aca="false">E917*(1-F$915)+E916*F$915</f>
        <v>0.00864218316842385</v>
      </c>
      <c r="G917" s="2" t="n">
        <f aca="false">F917*(1-G$915)+F916*G$915</f>
        <v>0.0061635988047469</v>
      </c>
      <c r="H917" s="2" t="n">
        <f aca="false">G917*(1-H$915)+G916*H$915</f>
        <v>0.00431636384566177</v>
      </c>
      <c r="I917" s="2" t="n">
        <f aca="false">H917*(1-I$915)+H916*I$915</f>
        <v>0.00194421289138057</v>
      </c>
      <c r="J917" s="2" t="n">
        <f aca="false">I917*(1-J$915)+I916*J$915</f>
        <v>0.00136994758399487</v>
      </c>
      <c r="K917" s="2" t="n">
        <f aca="false">J917*(1-K$915)+J916*K$915</f>
        <v>0.000546692676714334</v>
      </c>
      <c r="L917" s="2" t="n">
        <f aca="false">K917*(1-L$915)+K916*L$915</f>
        <v>0.000244894261328305</v>
      </c>
      <c r="M917" s="2" t="n">
        <f aca="false">L917*(1-M$915)+L916*M$915</f>
        <v>0.000175178569950045</v>
      </c>
      <c r="N917" s="2" t="n">
        <f aca="false">M917*(1-N$915)+M916*N$915</f>
        <v>0.000113620385451736</v>
      </c>
      <c r="O917" s="2" t="n">
        <f aca="false">N917*(1-O$915)+N916*O$915</f>
        <v>0.000113620385451736</v>
      </c>
    </row>
    <row r="918" customFormat="false" ht="15" hidden="false" customHeight="false" outlineLevel="0" collapsed="false">
      <c r="B918" s="2" t="n">
        <v>2</v>
      </c>
      <c r="C918" s="2" t="n">
        <f aca="false">0</f>
        <v>0</v>
      </c>
      <c r="D918" s="2" t="n">
        <f aca="false">C918*(1-D$915)+C917*D$915</f>
        <v>0.274168812421127</v>
      </c>
      <c r="E918" s="2" t="n">
        <f aca="false">D918*(1-E$915)+D917*E$915</f>
        <v>0.4819086025941</v>
      </c>
      <c r="F918" s="2" t="n">
        <f aca="false">E918*(1-F$915)+E917*F$915</f>
        <v>0.393766433849973</v>
      </c>
      <c r="G918" s="2" t="n">
        <f aca="false">F918*(1-G$915)+F917*G$915</f>
        <v>0.283279022658194</v>
      </c>
      <c r="H918" s="2" t="n">
        <f aca="false">G918*(1-H$915)+G917*H$915</f>
        <v>0.200202147612185</v>
      </c>
      <c r="I918" s="2" t="n">
        <f aca="false">H918*(1-I$915)+H917*I$915</f>
        <v>0.0925162445749212</v>
      </c>
      <c r="J918" s="2" t="n">
        <f aca="false">I918*(1-J$915)+I917*J$915</f>
        <v>0.0657557286185311</v>
      </c>
      <c r="K918" s="2" t="n">
        <f aca="false">J918*(1-K$915)+J917*K$915</f>
        <v>0.0270520771854228</v>
      </c>
      <c r="L918" s="2" t="n">
        <f aca="false">K918*(1-L$915)+K917*L$915</f>
        <v>0.0124155062538804</v>
      </c>
      <c r="M918" s="2" t="n">
        <f aca="false">L918*(1-M$915)+L917*M$915</f>
        <v>0.00894976742263408</v>
      </c>
      <c r="N918" s="2" t="n">
        <f aca="false">M918*(1-N$915)+M917*N$915</f>
        <v>0.00586542156190946</v>
      </c>
      <c r="O918" s="2" t="n">
        <f aca="false">N918*(1-O$915)+N917*O$915</f>
        <v>0.00586542156190946</v>
      </c>
    </row>
    <row r="919" customFormat="false" ht="15" hidden="false" customHeight="false" outlineLevel="0" collapsed="false">
      <c r="B919" s="2" t="n">
        <v>3</v>
      </c>
      <c r="C919" s="2" t="n">
        <f aca="false">0</f>
        <v>0</v>
      </c>
      <c r="D919" s="2" t="n">
        <f aca="false">C919*(1-D$915)+C918*D$915</f>
        <v>0</v>
      </c>
      <c r="E919" s="2" t="n">
        <f aca="false">D919*(1-E$915)+D918*E$915</f>
        <v>0.126164855363019</v>
      </c>
      <c r="F919" s="2" t="n">
        <f aca="false">E919*(1-F$915)+E918*F$915</f>
        <v>0.474168826355379</v>
      </c>
      <c r="G919" s="2" t="n">
        <f aca="false">F919*(1-G$915)+F918*G$915</f>
        <v>0.451102368748966</v>
      </c>
      <c r="H919" s="2" t="n">
        <f aca="false">G919*(1-H$915)+G918*H$915</f>
        <v>0.400790340067518</v>
      </c>
      <c r="I919" s="2" t="n">
        <f aca="false">H919*(1-I$915)+H918*I$915</f>
        <v>0.290519343225242</v>
      </c>
      <c r="J919" s="2" t="n">
        <f aca="false">I919*(1-J$915)+I918*J$915</f>
        <v>0.232017121486857</v>
      </c>
      <c r="K919" s="2" t="n">
        <f aca="false">J919*(1-K$915)+J918*K$915</f>
        <v>0.13207389034228</v>
      </c>
      <c r="L919" s="2" t="n">
        <f aca="false">K919*(1-L$915)+K918*L$915</f>
        <v>0.0740796659187672</v>
      </c>
      <c r="M919" s="2" t="n">
        <f aca="false">L919*(1-M$915)+L918*M$915</f>
        <v>0.0565200006548058</v>
      </c>
      <c r="N919" s="2" t="n">
        <f aca="false">M919*(1-N$915)+M918*N$915</f>
        <v>0.0397986414633181</v>
      </c>
      <c r="O919" s="2" t="n">
        <f aca="false">N919*(1-O$915)+N918*O$915</f>
        <v>0.0397986414633181</v>
      </c>
    </row>
    <row r="920" customFormat="false" ht="15" hidden="false" customHeight="false" outlineLevel="0" collapsed="false">
      <c r="B920" s="2" t="n">
        <v>4</v>
      </c>
      <c r="C920" s="2" t="n">
        <f aca="false">0</f>
        <v>0</v>
      </c>
      <c r="D920" s="2" t="n">
        <f aca="false">C920*(1-D$915)+C919*D$915</f>
        <v>0</v>
      </c>
      <c r="E920" s="2" t="n">
        <f aca="false">D920*(1-E$915)+D919*E$915</f>
        <v>0</v>
      </c>
      <c r="F920" s="2" t="n">
        <f aca="false">E920*(1-F$915)+E919*F$915</f>
        <v>0.123419936422627</v>
      </c>
      <c r="G920" s="2" t="n">
        <f aca="false">F920*(1-G$915)+F919*G$915</f>
        <v>0.224045479370076</v>
      </c>
      <c r="H920" s="2" t="n">
        <f aca="false">G920*(1-H$915)+G919*H$915</f>
        <v>0.292115226499132</v>
      </c>
      <c r="I920" s="2" t="n">
        <f aca="false">H920*(1-I$915)+H919*I$915</f>
        <v>0.351858090515428</v>
      </c>
      <c r="J920" s="2" t="n">
        <f aca="false">I920*(1-J$915)+I919*J$915</f>
        <v>0.333734874163836</v>
      </c>
      <c r="K920" s="2" t="n">
        <f aca="false">J920*(1-K$915)+J919*K$915</f>
        <v>0.272590186922142</v>
      </c>
      <c r="L920" s="2" t="n">
        <f aca="false">K920*(1-L$915)+K919*L$915</f>
        <v>0.194995510215865</v>
      </c>
      <c r="M920" s="2" t="n">
        <f aca="false">L920*(1-M$915)+L919*M$915</f>
        <v>0.160563163087402</v>
      </c>
      <c r="N920" s="2" t="n">
        <f aca="false">M920*(1-N$915)+M919*N$915</f>
        <v>0.123991068055563</v>
      </c>
      <c r="O920" s="2" t="n">
        <f aca="false">N920*(1-O$915)+N919*O$915</f>
        <v>0.123991068055563</v>
      </c>
    </row>
    <row r="921" customFormat="false" ht="15" hidden="false" customHeight="false" outlineLevel="0" collapsed="false">
      <c r="B921" s="2" t="n">
        <v>5</v>
      </c>
      <c r="C921" s="2" t="n">
        <f aca="false">0</f>
        <v>0</v>
      </c>
      <c r="D921" s="2" t="n">
        <f aca="false">C921*(1-D$915)+C920*D$915</f>
        <v>0</v>
      </c>
      <c r="E921" s="2" t="n">
        <f aca="false">D921*(1-E$915)+D920*E$915</f>
        <v>0</v>
      </c>
      <c r="F921" s="2" t="n">
        <f aca="false">E921*(1-F$915)+E920*F$915</f>
        <v>0</v>
      </c>
      <c r="G921" s="2" t="n">
        <f aca="false">F921*(1-G$915)+F920*G$915</f>
        <v>0.0354076619186095</v>
      </c>
      <c r="H921" s="2" t="n">
        <f aca="false">G921*(1-H$915)+G920*H$915</f>
        <v>0.0919596941781171</v>
      </c>
      <c r="I921" s="2" t="n">
        <f aca="false">H921*(1-I$915)+H920*I$915</f>
        <v>0.201992841206198</v>
      </c>
      <c r="J921" s="2" t="n">
        <f aca="false">I921*(1-J$915)+I920*J$915</f>
        <v>0.246272198982566</v>
      </c>
      <c r="K921" s="2" t="n">
        <f aca="false">J921*(1-K$915)+J920*K$915</f>
        <v>0.298847858378657</v>
      </c>
      <c r="L921" s="2" t="n">
        <f aca="false">K921*(1-L$915)+K920*L$915</f>
        <v>0.284348077375889</v>
      </c>
      <c r="M921" s="2" t="n">
        <f aca="false">L921*(1-M$915)+L920*M$915</f>
        <v>0.258903780748279</v>
      </c>
      <c r="N921" s="2" t="n">
        <f aca="false">M921*(1-N$915)+M920*N$915</f>
        <v>0.224336180816728</v>
      </c>
      <c r="O921" s="2" t="n">
        <f aca="false">N921*(1-O$915)+N920*O$915</f>
        <v>0.224336180816728</v>
      </c>
    </row>
    <row r="922" customFormat="false" ht="15" hidden="false" customHeight="false" outlineLevel="0" collapsed="false">
      <c r="B922" s="2" t="n">
        <v>6</v>
      </c>
      <c r="C922" s="2" t="n">
        <f aca="false">0</f>
        <v>0</v>
      </c>
      <c r="D922" s="2" t="n">
        <f aca="false">C922*(1-D$915)+C921*D$915</f>
        <v>0</v>
      </c>
      <c r="E922" s="2" t="n">
        <f aca="false">D922*(1-E$915)+D921*E$915</f>
        <v>0</v>
      </c>
      <c r="F922" s="2" t="n">
        <f aca="false">E922*(1-F$915)+E921*F$915</f>
        <v>0</v>
      </c>
      <c r="G922" s="2" t="n">
        <f aca="false">F922*(1-G$915)+F921*G$915</f>
        <v>0</v>
      </c>
      <c r="H922" s="2" t="n">
        <f aca="false">G922*(1-H$915)+G921*H$915</f>
        <v>0.0106149194583961</v>
      </c>
      <c r="I922" s="2" t="n">
        <f aca="false">H922*(1-I$915)+H921*I$915</f>
        <v>0.055333251512021</v>
      </c>
      <c r="J922" s="2" t="n">
        <f aca="false">I922*(1-J$915)+I921*J$915</f>
        <v>0.0986654614361787</v>
      </c>
      <c r="K922" s="2" t="n">
        <f aca="false">J922*(1-K$915)+J921*K$915</f>
        <v>0.18739498567864</v>
      </c>
      <c r="L922" s="2" t="n">
        <f aca="false">K922*(1-L$915)+K921*L$915</f>
        <v>0.248940513390641</v>
      </c>
      <c r="M922" s="2" t="n">
        <f aca="false">L922*(1-M$915)+L921*M$915</f>
        <v>0.259023274183493</v>
      </c>
      <c r="N922" s="2" t="n">
        <f aca="false">M922*(1-N$915)+M921*N$915</f>
        <v>0.258981271180449</v>
      </c>
      <c r="O922" s="2" t="n">
        <f aca="false">N922*(1-O$915)+N921*O$915</f>
        <v>0.258981271180449</v>
      </c>
    </row>
    <row r="923" customFormat="false" ht="15" hidden="false" customHeight="false" outlineLevel="0" collapsed="false">
      <c r="B923" s="2" t="n">
        <v>7</v>
      </c>
      <c r="C923" s="2" t="n">
        <f aca="false">0</f>
        <v>0</v>
      </c>
      <c r="D923" s="2" t="n">
        <f aca="false">C923*(1-D$915)+C922*D$915</f>
        <v>0</v>
      </c>
      <c r="E923" s="2" t="n">
        <f aca="false">D923*(1-E$915)+D922*E$915</f>
        <v>0</v>
      </c>
      <c r="F923" s="2" t="n">
        <f aca="false">E923*(1-F$915)+E922*F$915</f>
        <v>0</v>
      </c>
      <c r="G923" s="2" t="n">
        <f aca="false">F923*(1-G$915)+F922*G$915</f>
        <v>0</v>
      </c>
      <c r="H923" s="2" t="n">
        <f aca="false">G923*(1-H$915)+G922*H$915</f>
        <v>0</v>
      </c>
      <c r="I923" s="2" t="n">
        <f aca="false">H923*(1-I$915)+H922*I$915</f>
        <v>0.0058354269797733</v>
      </c>
      <c r="J923" s="2" t="n">
        <f aca="false">I923*(1-J$915)+I922*J$915</f>
        <v>0.0204601107654912</v>
      </c>
      <c r="K923" s="2" t="n">
        <f aca="false">J923*(1-K$915)+J922*K$915</f>
        <v>0.0674709970811936</v>
      </c>
      <c r="L923" s="2" t="n">
        <f aca="false">K923*(1-L$915)+K922*L$915</f>
        <v>0.133694370106524</v>
      </c>
      <c r="M923" s="2" t="n">
        <f aca="false">L923*(1-M$915)+L922*M$915</f>
        <v>0.166512196701897</v>
      </c>
      <c r="N923" s="2" t="n">
        <f aca="false">M923*(1-N$915)+M922*N$915</f>
        <v>0.199030661520252</v>
      </c>
      <c r="O923" s="2" t="n">
        <f aca="false">N923*(1-O$915)+N922*O$915</f>
        <v>0.199030661520252</v>
      </c>
    </row>
    <row r="924" customFormat="false" ht="15" hidden="false" customHeight="false" outlineLevel="0" collapsed="false">
      <c r="B924" s="2" t="n">
        <v>8</v>
      </c>
      <c r="C924" s="2" t="n">
        <f aca="false">0</f>
        <v>0</v>
      </c>
      <c r="D924" s="2" t="n">
        <f aca="false">C924*(1-D$915)+C923*D$915</f>
        <v>0</v>
      </c>
      <c r="E924" s="2" t="n">
        <f aca="false">D924*(1-E$915)+D923*E$915</f>
        <v>0</v>
      </c>
      <c r="F924" s="2" t="n">
        <f aca="false">E924*(1-F$915)+E923*F$915</f>
        <v>0</v>
      </c>
      <c r="G924" s="2" t="n">
        <f aca="false">F924*(1-G$915)+F923*G$915</f>
        <v>0</v>
      </c>
      <c r="H924" s="2" t="n">
        <f aca="false">G924*(1-H$915)+G923*H$915</f>
        <v>0</v>
      </c>
      <c r="I924" s="2" t="n">
        <f aca="false">H924*(1-I$915)+H923*I$915</f>
        <v>0</v>
      </c>
      <c r="J924" s="2" t="n">
        <f aca="false">I924*(1-J$915)+I923*J$915</f>
        <v>0.00172414192220169</v>
      </c>
      <c r="K924" s="2" t="n">
        <f aca="false">J924*(1-K$915)+J923*K$915</f>
        <v>0.0129867280976072</v>
      </c>
      <c r="L924" s="2" t="n">
        <f aca="false">K924*(1-L$915)+K923*L$915</f>
        <v>0.0430735531866562</v>
      </c>
      <c r="M924" s="2" t="n">
        <f aca="false">L924*(1-M$915)+L923*M$915</f>
        <v>0.0688790003006257</v>
      </c>
      <c r="N924" s="2" t="n">
        <f aca="false">M924*(1-N$915)+M923*N$915</f>
        <v>0.103197935380696</v>
      </c>
      <c r="O924" s="2" t="n">
        <f aca="false">N924*(1-O$915)+N923*O$915</f>
        <v>0.103197935380696</v>
      </c>
    </row>
    <row r="925" customFormat="false" ht="15" hidden="false" customHeight="false" outlineLevel="0" collapsed="false">
      <c r="B925" s="2" t="n">
        <v>9</v>
      </c>
      <c r="C925" s="2" t="n">
        <f aca="false">0</f>
        <v>0</v>
      </c>
      <c r="D925" s="2" t="n">
        <f aca="false">C925*(1-D$915)+C924*D$915</f>
        <v>0</v>
      </c>
      <c r="E925" s="2" t="n">
        <f aca="false">D925*(1-E$915)+D924*E$915</f>
        <v>0</v>
      </c>
      <c r="F925" s="2" t="n">
        <f aca="false">E925*(1-F$915)+E924*F$915</f>
        <v>0</v>
      </c>
      <c r="G925" s="2" t="n">
        <f aca="false">F925*(1-G$915)+F924*G$915</f>
        <v>0</v>
      </c>
      <c r="H925" s="2" t="n">
        <f aca="false">G925*(1-H$915)+G924*H$915</f>
        <v>0</v>
      </c>
      <c r="I925" s="2" t="n">
        <f aca="false">H925*(1-I$915)+H924*I$915</f>
        <v>0</v>
      </c>
      <c r="J925" s="2" t="n">
        <f aca="false">I925*(1-J$915)+I924*J$915</f>
        <v>0</v>
      </c>
      <c r="K925" s="2" t="n">
        <f aca="false">J925*(1-K$915)+J924*K$915</f>
        <v>0.00103641808650748</v>
      </c>
      <c r="L925" s="2" t="n">
        <f aca="false">K925*(1-L$915)+K924*L$915</f>
        <v>0.00763551345423985</v>
      </c>
      <c r="M925" s="2" t="n">
        <f aca="false">L925*(1-M$915)+L924*M$915</f>
        <v>0.0177269526093986</v>
      </c>
      <c r="N925" s="2" t="n">
        <f aca="false">M925*(1-N$915)+M924*N$915</f>
        <v>0.0357073513736968</v>
      </c>
      <c r="O925" s="2" t="n">
        <f aca="false">N925*(1-O$915)+N924*O$915</f>
        <v>0.0357073513736968</v>
      </c>
    </row>
    <row r="926" customFormat="false" ht="15" hidden="false" customHeight="false" outlineLevel="0" collapsed="false">
      <c r="B926" s="2" t="n">
        <v>10</v>
      </c>
      <c r="C926" s="2" t="n">
        <f aca="false">0</f>
        <v>0</v>
      </c>
      <c r="D926" s="2" t="n">
        <f aca="false">C926*(1-D$915)+C925*D$915</f>
        <v>0</v>
      </c>
      <c r="E926" s="2" t="n">
        <f aca="false">D926*(1-E$915)+D925*E$915</f>
        <v>0</v>
      </c>
      <c r="F926" s="2" t="n">
        <f aca="false">E926*(1-F$915)+E925*F$915</f>
        <v>0</v>
      </c>
      <c r="G926" s="2" t="n">
        <f aca="false">F926*(1-G$915)+F925*G$915</f>
        <v>0</v>
      </c>
      <c r="H926" s="2" t="n">
        <f aca="false">G926*(1-H$915)+G925*H$915</f>
        <v>0</v>
      </c>
      <c r="I926" s="2" t="n">
        <f aca="false">H926*(1-I$915)+H925*I$915</f>
        <v>0</v>
      </c>
      <c r="J926" s="2" t="n">
        <f aca="false">I926*(1-J$915)+I925*J$915</f>
        <v>0</v>
      </c>
      <c r="K926" s="2" t="n">
        <f aca="false">J926*(1-K$915)+J925*K$915</f>
        <v>0</v>
      </c>
      <c r="L926" s="2" t="n">
        <f aca="false">K926*(1-L$915)+K925*L$915</f>
        <v>0.000572321704403729</v>
      </c>
      <c r="M926" s="2" t="n">
        <f aca="false">L926*(1-M$915)+L925*M$915</f>
        <v>0.00258365670833991</v>
      </c>
      <c r="N926" s="2" t="n">
        <f aca="false">M926*(1-N$915)+M925*N$915</f>
        <v>0.00790665962213128</v>
      </c>
      <c r="O926" s="2" t="n">
        <f aca="false">N926*(1-O$915)+N925*O$915</f>
        <v>0.00790665962213128</v>
      </c>
    </row>
    <row r="927" customFormat="false" ht="15" hidden="false" customHeight="false" outlineLevel="0" collapsed="false">
      <c r="B927" s="2" t="n">
        <v>11</v>
      </c>
      <c r="C927" s="2" t="n">
        <f aca="false">0</f>
        <v>0</v>
      </c>
      <c r="D927" s="2" t="n">
        <f aca="false">C927*(1-D$915)+C926*D$915</f>
        <v>0</v>
      </c>
      <c r="E927" s="2" t="n">
        <f aca="false">D927*(1-E$915)+D926*E$915</f>
        <v>0</v>
      </c>
      <c r="F927" s="2" t="n">
        <f aca="false">E927*(1-F$915)+E926*F$915</f>
        <v>0</v>
      </c>
      <c r="G927" s="2" t="n">
        <f aca="false">F927*(1-G$915)+F926*G$915</f>
        <v>0</v>
      </c>
      <c r="H927" s="2" t="n">
        <f aca="false">G927*(1-H$915)+G926*H$915</f>
        <v>0</v>
      </c>
      <c r="I927" s="2" t="n">
        <f aca="false">H927*(1-I$915)+H926*I$915</f>
        <v>0</v>
      </c>
      <c r="J927" s="2" t="n">
        <f aca="false">I927*(1-J$915)+I926*J$915</f>
        <v>0</v>
      </c>
      <c r="K927" s="2" t="n">
        <f aca="false">J927*(1-K$915)+J926*K$915</f>
        <v>0</v>
      </c>
      <c r="L927" s="2" t="n">
        <f aca="false">K927*(1-L$915)+K926*L$915</f>
        <v>0</v>
      </c>
      <c r="M927" s="2" t="n">
        <f aca="false">L927*(1-M$915)+L926*M$915</f>
        <v>0.00016297599135778</v>
      </c>
      <c r="N927" s="2" t="n">
        <f aca="false">M927*(1-N$915)+M926*N$915</f>
        <v>0.0010138667481681</v>
      </c>
      <c r="O927" s="2" t="n">
        <f aca="false">N927*(1-O$915)+N926*O$915</f>
        <v>0.0010138667481681</v>
      </c>
    </row>
    <row r="928" customFormat="false" ht="15" hidden="false" customHeight="false" outlineLevel="0" collapsed="false">
      <c r="B928" s="2" t="n">
        <v>12</v>
      </c>
      <c r="C928" s="2" t="n">
        <f aca="false">0</f>
        <v>0</v>
      </c>
      <c r="D928" s="2" t="n">
        <f aca="false">C928*(1-D$915)+C927*D$915</f>
        <v>0</v>
      </c>
      <c r="E928" s="2" t="n">
        <f aca="false">D928*(1-E$915)+D927*E$915</f>
        <v>0</v>
      </c>
      <c r="F928" s="2" t="n">
        <f aca="false">E928*(1-F$915)+E927*F$915</f>
        <v>0</v>
      </c>
      <c r="G928" s="2" t="n">
        <f aca="false">F928*(1-G$915)+F927*G$915</f>
        <v>0</v>
      </c>
      <c r="H928" s="2" t="n">
        <f aca="false">G928*(1-H$915)+G927*H$915</f>
        <v>0</v>
      </c>
      <c r="I928" s="2" t="n">
        <f aca="false">H928*(1-I$915)+H927*I$915</f>
        <v>0</v>
      </c>
      <c r="J928" s="2" t="n">
        <f aca="false">I928*(1-J$915)+I927*J$915</f>
        <v>0</v>
      </c>
      <c r="K928" s="2" t="n">
        <f aca="false">J928*(1-K$915)+J927*K$915</f>
        <v>0</v>
      </c>
      <c r="L928" s="2" t="n">
        <f aca="false">K928*(1-L$915)+K927*L$915</f>
        <v>0</v>
      </c>
      <c r="M928" s="2" t="n">
        <f aca="false">L928*(1-M$915)+L927*M$915</f>
        <v>0</v>
      </c>
      <c r="N928" s="2" t="n">
        <f aca="false">M928*(1-N$915)+M927*N$915</f>
        <v>5.72875074583238E-005</v>
      </c>
      <c r="O928" s="2" t="n">
        <f aca="false">N928*(1-O$915)+N927*O$915</f>
        <v>5.72875074583238E-005</v>
      </c>
    </row>
    <row r="929" customFormat="false" ht="15" hidden="false" customHeight="false" outlineLevel="0" collapsed="false">
      <c r="B929" s="2" t="n">
        <v>13</v>
      </c>
      <c r="C929" s="2" t="n">
        <f aca="false">0</f>
        <v>0</v>
      </c>
      <c r="D929" s="2" t="n">
        <f aca="false">C929*(1-D$915)+C928*D$915</f>
        <v>0</v>
      </c>
      <c r="E929" s="2" t="n">
        <f aca="false">D929*(1-E$915)+D928*E$915</f>
        <v>0</v>
      </c>
      <c r="F929" s="2" t="n">
        <f aca="false">E929*(1-F$915)+E928*F$915</f>
        <v>0</v>
      </c>
      <c r="G929" s="2" t="n">
        <f aca="false">F929*(1-G$915)+F928*G$915</f>
        <v>0</v>
      </c>
      <c r="H929" s="2" t="n">
        <f aca="false">G929*(1-H$915)+G928*H$915</f>
        <v>0</v>
      </c>
      <c r="I929" s="2" t="n">
        <f aca="false">H929*(1-I$915)+H928*I$915</f>
        <v>0</v>
      </c>
      <c r="J929" s="2" t="n">
        <f aca="false">I929*(1-J$915)+I928*J$915</f>
        <v>0</v>
      </c>
      <c r="K929" s="2" t="n">
        <f aca="false">J929*(1-K$915)+J928*K$915</f>
        <v>0</v>
      </c>
      <c r="L929" s="2" t="n">
        <f aca="false">K929*(1-L$915)+K928*L$915</f>
        <v>0</v>
      </c>
      <c r="M929" s="2" t="n">
        <f aca="false">L929*(1-M$915)+L928*M$915</f>
        <v>0</v>
      </c>
      <c r="N929" s="2" t="n">
        <f aca="false">M929*(1-N$915)+M928*N$915</f>
        <v>0</v>
      </c>
      <c r="O929" s="2" t="n">
        <f aca="false">N929*(1-O$915)+N928*O$915</f>
        <v>0</v>
      </c>
    </row>
    <row r="931" customFormat="false" ht="15" hidden="false" customHeight="false" outlineLevel="0" collapsed="false">
      <c r="A931" s="1" t="s">
        <v>116</v>
      </c>
      <c r="C931" s="2" t="n">
        <f aca="false">Schedule!G60</f>
        <v>0.691462461274013</v>
      </c>
      <c r="D931" s="2" t="n">
        <f aca="false">Schedule!L60</f>
        <v>0.994317159630751</v>
      </c>
      <c r="E931" s="2" t="n">
        <f aca="false">Schedule!Q60</f>
        <v>0.669125611959121</v>
      </c>
      <c r="F931" s="2" t="n">
        <f aca="false">Schedule!V60</f>
        <v>0.408560294059836</v>
      </c>
      <c r="G931" s="2" t="n">
        <f aca="false">Schedule!AA60</f>
        <v>0.286887701816365</v>
      </c>
      <c r="H931" s="2" t="n">
        <f aca="false">Schedule!AF60</f>
        <v>0.544786515128255</v>
      </c>
      <c r="I931" s="2" t="n">
        <f aca="false">Schedule!AK60</f>
        <v>0.154160834280354</v>
      </c>
      <c r="J931" s="2" t="n">
        <f aca="false">Schedule!AP60</f>
        <v>0.394061036152246</v>
      </c>
      <c r="K931" s="2" t="n">
        <f aca="false">Schedule!AU60</f>
        <v>0.333143300876488</v>
      </c>
      <c r="L931" s="2" t="n">
        <f aca="false">Schedule!AZ60</f>
        <v>0.522428675027779</v>
      </c>
      <c r="M931" s="2" t="n">
        <f aca="false">Schedule!BE60</f>
        <v>0.617911422188953</v>
      </c>
      <c r="N931" s="2" t="n">
        <f aca="false">Schedule!BJ60</f>
        <v>0.184060125346759</v>
      </c>
      <c r="O931" s="2" t="n">
        <f aca="false">Schedule!BO60</f>
        <v>0</v>
      </c>
    </row>
    <row r="932" customFormat="false" ht="15" hidden="false" customHeight="false" outlineLevel="0" collapsed="false">
      <c r="B932" s="2" t="n">
        <v>0</v>
      </c>
      <c r="C932" s="2" t="n">
        <f aca="false">1-C$931</f>
        <v>0.308537538725987</v>
      </c>
      <c r="D932" s="2" t="n">
        <f aca="false">C932*(1-D$931)</f>
        <v>0.00175336958050088</v>
      </c>
      <c r="E932" s="2" t="n">
        <f aca="false">D932*(1-E$931)</f>
        <v>0.000580145086957722</v>
      </c>
      <c r="F932" s="2" t="n">
        <f aca="false">E932*(1-F$931)</f>
        <v>0.000343120839632906</v>
      </c>
      <c r="G932" s="2" t="n">
        <f aca="false">F932*(1-G$931)</f>
        <v>0.00024468369050532</v>
      </c>
      <c r="H932" s="2" t="n">
        <f aca="false">G932*(1-H$931)</f>
        <v>0.000111383315446206</v>
      </c>
      <c r="I932" s="2" t="n">
        <f aca="false">H932*(1-I$931)</f>
        <v>9.42123706121072E-005</v>
      </c>
      <c r="J932" s="2" t="n">
        <f aca="false">I932*(1-J$931)</f>
        <v>5.70869462303409E-005</v>
      </c>
      <c r="K932" s="2" t="n">
        <f aca="false">J932*(1-K$931)</f>
        <v>3.80688125262065E-005</v>
      </c>
      <c r="L932" s="2" t="n">
        <f aca="false">K932*(1-L$931)</f>
        <v>1.81805732382596E-005</v>
      </c>
      <c r="M932" s="2" t="n">
        <f aca="false">L932*(1-M$931)</f>
        <v>6.94658937239618E-006</v>
      </c>
      <c r="N932" s="2" t="n">
        <f aca="false">M932*(1-N$931)</f>
        <v>5.66799926178047E-006</v>
      </c>
      <c r="O932" s="2" t="n">
        <f aca="false">N932*(1-O$931)</f>
        <v>5.66799926178047E-006</v>
      </c>
    </row>
    <row r="933" customFormat="false" ht="15" hidden="false" customHeight="false" outlineLevel="0" collapsed="false">
      <c r="B933" s="2" t="n">
        <v>1</v>
      </c>
      <c r="C933" s="2" t="n">
        <f aca="false">C$931</f>
        <v>0.691462461274013</v>
      </c>
      <c r="D933" s="2" t="n">
        <f aca="false">C933*(1-D$931)+C932*D$931</f>
        <v>0.310713639934235</v>
      </c>
      <c r="E933" s="2" t="n">
        <f aca="false">D933*(1-E$931)+D932*E$931</f>
        <v>0.103980409962737</v>
      </c>
      <c r="F933" s="2" t="n">
        <f aca="false">E933*(1-F$931)+E932*F$931</f>
        <v>0.0617351673392237</v>
      </c>
      <c r="G933" s="2" t="n">
        <f aca="false">F933*(1-G$931)+F932*G$931</f>
        <v>0.0441225442091527</v>
      </c>
      <c r="H933" s="2" t="n">
        <f aca="false">G933*(1-H$931)+G932*H$931</f>
        <v>0.0202184774859151</v>
      </c>
      <c r="I933" s="2" t="n">
        <f aca="false">H933*(1-I$931)+H932*I$931</f>
        <v>0.017118751073642</v>
      </c>
      <c r="J933" s="2" t="n">
        <f aca="false">I933*(1-J$931)+I932*J$931</f>
        <v>0.010410043712312</v>
      </c>
      <c r="K933" s="2" t="n">
        <f aca="false">J933*(1-K$931)+J932*K$931</f>
        <v>0.00696102552142801</v>
      </c>
      <c r="L933" s="2" t="n">
        <f aca="false">K933*(1-L$931)+K932*L$931</f>
        <v>0.00334427442072177</v>
      </c>
      <c r="M933" s="2" t="n">
        <f aca="false">L933*(1-M$931)+L932*M$931</f>
        <v>0.00128904304108931</v>
      </c>
      <c r="N933" s="2" t="n">
        <f aca="false">M933*(1-N$931)+M932*N$931</f>
        <v>0.00105306020747966</v>
      </c>
      <c r="O933" s="2" t="n">
        <f aca="false">N933*(1-O$931)+N932*O$931</f>
        <v>0.00105306020747966</v>
      </c>
    </row>
    <row r="934" customFormat="false" ht="15" hidden="false" customHeight="false" outlineLevel="0" collapsed="false">
      <c r="B934" s="2" t="n">
        <v>2</v>
      </c>
      <c r="C934" s="2" t="n">
        <f aca="false">0</f>
        <v>0</v>
      </c>
      <c r="D934" s="2" t="n">
        <f aca="false">C934*(1-D$931)+C933*D$931</f>
        <v>0.687532990485265</v>
      </c>
      <c r="E934" s="2" t="n">
        <f aca="false">D934*(1-E$931)+D933*E$931</f>
        <v>0.435393511949768</v>
      </c>
      <c r="F934" s="2" t="n">
        <f aca="false">E934*(1-F$931)+E933*F$931</f>
        <v>0.299991277546664</v>
      </c>
      <c r="G934" s="2" t="n">
        <f aca="false">F934*(1-G$931)+F933*G$931</f>
        <v>0.231638529645545</v>
      </c>
      <c r="H934" s="2" t="n">
        <f aca="false">G934*(1-H$931)+G933*H$931</f>
        <v>0.129482349408812</v>
      </c>
      <c r="I934" s="2" t="n">
        <f aca="false">H934*(1-I$931)+H933*I$931</f>
        <v>0.112638139756477</v>
      </c>
      <c r="J934" s="2" t="n">
        <f aca="false">I934*(1-J$931)+I933*J$931</f>
        <v>0.0749976704794898</v>
      </c>
      <c r="K934" s="2" t="n">
        <f aca="false">J934*(1-K$931)+J933*K$931</f>
        <v>0.0534807353024936</v>
      </c>
      <c r="L934" s="2" t="n">
        <f aca="false">K934*(1-L$931)+K933*L$931</f>
        <v>0.0291775049588947</v>
      </c>
      <c r="M934" s="2" t="n">
        <f aca="false">L934*(1-M$931)+L933*M$931</f>
        <v>0.0132148567373172</v>
      </c>
      <c r="N934" s="2" t="n">
        <f aca="false">M934*(1-N$931)+M933*N$931</f>
        <v>0.0110197899735274</v>
      </c>
      <c r="O934" s="2" t="n">
        <f aca="false">N934*(1-O$931)+N933*O$931</f>
        <v>0.0110197899735274</v>
      </c>
    </row>
    <row r="935" customFormat="false" ht="15" hidden="false" customHeight="false" outlineLevel="0" collapsed="false">
      <c r="B935" s="2" t="n">
        <v>3</v>
      </c>
      <c r="C935" s="2" t="n">
        <f aca="false">0</f>
        <v>0</v>
      </c>
      <c r="D935" s="2" t="n">
        <f aca="false">C935*(1-D$931)+C934*D$931</f>
        <v>0</v>
      </c>
      <c r="E935" s="2" t="n">
        <f aca="false">D935*(1-E$931)+D934*E$931</f>
        <v>0.460045933000537</v>
      </c>
      <c r="F935" s="2" t="n">
        <f aca="false">E935*(1-F$931)+E934*F$931</f>
        <v>0.449973932606748</v>
      </c>
      <c r="G935" s="2" t="n">
        <f aca="false">F935*(1-G$931)+F934*G$931</f>
        <v>0.406945753384244</v>
      </c>
      <c r="H935" s="2" t="n">
        <f aca="false">G935*(1-H$931)+G934*H$931</f>
        <v>0.311440741886829</v>
      </c>
      <c r="I935" s="2" t="n">
        <f aca="false">H935*(1-I$931)+H934*I$931</f>
        <v>0.283389884298106</v>
      </c>
      <c r="J935" s="2" t="n">
        <f aca="false">I935*(1-J$931)+I934*J$931</f>
        <v>0.216103274919228</v>
      </c>
      <c r="K935" s="2" t="n">
        <f aca="false">J935*(1-K$931)+J934*K$931</f>
        <v>0.169094888084001</v>
      </c>
      <c r="L935" s="2" t="n">
        <f aca="false">K935*(1-L$931)+K934*L$931</f>
        <v>0.108694739431899</v>
      </c>
      <c r="M935" s="2" t="n">
        <f aca="false">L935*(1-M$931)+L934*M$931</f>
        <v>0.0595601319901526</v>
      </c>
      <c r="N935" s="2" t="n">
        <f aca="false">M935*(1-N$931)+M934*N$931</f>
        <v>0.0510298148178856</v>
      </c>
      <c r="O935" s="2" t="n">
        <f aca="false">N935*(1-O$931)+N934*O$931</f>
        <v>0.0510298148178856</v>
      </c>
    </row>
    <row r="936" customFormat="false" ht="15" hidden="false" customHeight="false" outlineLevel="0" collapsed="false">
      <c r="B936" s="2" t="n">
        <v>4</v>
      </c>
      <c r="C936" s="2" t="n">
        <f aca="false">0</f>
        <v>0</v>
      </c>
      <c r="D936" s="2" t="n">
        <f aca="false">C936*(1-D$931)+C935*D$931</f>
        <v>0</v>
      </c>
      <c r="E936" s="2" t="n">
        <f aca="false">D936*(1-E$931)+D935*E$931</f>
        <v>0</v>
      </c>
      <c r="F936" s="2" t="n">
        <f aca="false">E936*(1-F$931)+E935*F$931</f>
        <v>0.187956501667731</v>
      </c>
      <c r="G936" s="2" t="n">
        <f aca="false">F936*(1-G$931)+F935*G$931</f>
        <v>0.263126080265654</v>
      </c>
      <c r="H936" s="2" t="n">
        <f aca="false">G936*(1-H$931)+G935*H$931</f>
        <v>0.341477098790815</v>
      </c>
      <c r="I936" s="2" t="n">
        <f aca="false">H936*(1-I$931)+H935*I$931</f>
        <v>0.336846668951754</v>
      </c>
      <c r="J936" s="2" t="n">
        <f aca="false">I936*(1-J$931)+I935*J$931</f>
        <v>0.31578143300177</v>
      </c>
      <c r="K936" s="2" t="n">
        <f aca="false">J936*(1-K$931)+J935*K$931</f>
        <v>0.282574322392864</v>
      </c>
      <c r="L936" s="2" t="n">
        <f aca="false">K936*(1-L$931)+K935*L$931</f>
        <v>0.223289411883983</v>
      </c>
      <c r="M936" s="2" t="n">
        <f aca="false">L936*(1-M$931)+L935*M$931</f>
        <v>0.152480054853839</v>
      </c>
      <c r="N936" s="2" t="n">
        <f aca="false">M936*(1-N$931)+M935*N$931</f>
        <v>0.135377202204337</v>
      </c>
      <c r="O936" s="2" t="n">
        <f aca="false">N936*(1-O$931)+N935*O$931</f>
        <v>0.135377202204337</v>
      </c>
    </row>
    <row r="937" customFormat="false" ht="15" hidden="false" customHeight="false" outlineLevel="0" collapsed="false">
      <c r="B937" s="2" t="n">
        <v>5</v>
      </c>
      <c r="C937" s="2" t="n">
        <f aca="false">0</f>
        <v>0</v>
      </c>
      <c r="D937" s="2" t="n">
        <f aca="false">C937*(1-D$931)+C936*D$931</f>
        <v>0</v>
      </c>
      <c r="E937" s="2" t="n">
        <f aca="false">D937*(1-E$931)+D936*E$931</f>
        <v>0</v>
      </c>
      <c r="F937" s="2" t="n">
        <f aca="false">E937*(1-F$931)+E936*F$931</f>
        <v>0</v>
      </c>
      <c r="G937" s="2" t="n">
        <f aca="false">F937*(1-G$931)+F936*G$931</f>
        <v>0.0539224088048992</v>
      </c>
      <c r="H937" s="2" t="n">
        <f aca="false">G937*(1-H$931)+G936*H$931</f>
        <v>0.16789374793204</v>
      </c>
      <c r="I937" s="2" t="n">
        <f aca="false">H937*(1-I$931)+H936*I$931</f>
        <v>0.194653502117608</v>
      </c>
      <c r="J937" s="2" t="n">
        <f aca="false">I937*(1-J$931)+I936*J$931</f>
        <v>0.250686288774041</v>
      </c>
      <c r="K937" s="2" t="n">
        <f aca="false">J937*(1-K$931)+J936*K$931</f>
        <v>0.272372299993098</v>
      </c>
      <c r="L937" s="2" t="n">
        <f aca="false">K937*(1-L$931)+K936*L$931</f>
        <v>0.277702129038011</v>
      </c>
      <c r="M937" s="2" t="n">
        <f aca="false">L937*(1-M$931)+L936*M$931</f>
        <v>0.2440798895962</v>
      </c>
      <c r="N937" s="2" t="n">
        <f aca="false">M937*(1-N$931)+M936*N$931</f>
        <v>0.227220012531779</v>
      </c>
      <c r="O937" s="2" t="n">
        <f aca="false">N937*(1-O$931)+N936*O$931</f>
        <v>0.227220012531779</v>
      </c>
    </row>
    <row r="938" customFormat="false" ht="15" hidden="false" customHeight="false" outlineLevel="0" collapsed="false">
      <c r="B938" s="2" t="n">
        <v>6</v>
      </c>
      <c r="C938" s="2" t="n">
        <f aca="false">0</f>
        <v>0</v>
      </c>
      <c r="D938" s="2" t="n">
        <f aca="false">C938*(1-D$931)+C937*D$931</f>
        <v>0</v>
      </c>
      <c r="E938" s="2" t="n">
        <f aca="false">D938*(1-E$931)+D937*E$931</f>
        <v>0</v>
      </c>
      <c r="F938" s="2" t="n">
        <f aca="false">E938*(1-F$931)+E937*F$931</f>
        <v>0</v>
      </c>
      <c r="G938" s="2" t="n">
        <f aca="false">F938*(1-G$931)+F937*G$931</f>
        <v>0</v>
      </c>
      <c r="H938" s="2" t="n">
        <f aca="false">G938*(1-H$931)+G937*H$931</f>
        <v>0.0293762011801422</v>
      </c>
      <c r="I938" s="2" t="n">
        <f aca="false">H938*(1-I$931)+H937*I$931</f>
        <v>0.0507301817498827</v>
      </c>
      <c r="J938" s="2" t="n">
        <f aca="false">I938*(1-J$931)+I937*J$931</f>
        <v>0.10744475450046</v>
      </c>
      <c r="K938" s="2" t="n">
        <f aca="false">J938*(1-K$931)+J937*K$931</f>
        <v>0.155164712050974</v>
      </c>
      <c r="L938" s="2" t="n">
        <f aca="false">K938*(1-L$931)+K937*L$931</f>
        <v>0.216397316922779</v>
      </c>
      <c r="M938" s="2" t="n">
        <f aca="false">L938*(1-M$931)+L937*M$931</f>
        <v>0.254278260563929</v>
      </c>
      <c r="N938" s="2" t="n">
        <f aca="false">M938*(1-N$931)+M937*N$931</f>
        <v>0.252401147125276</v>
      </c>
      <c r="O938" s="2" t="n">
        <f aca="false">N938*(1-O$931)+N937*O$931</f>
        <v>0.252401147125276</v>
      </c>
    </row>
    <row r="939" customFormat="false" ht="15" hidden="false" customHeight="false" outlineLevel="0" collapsed="false">
      <c r="B939" s="2" t="n">
        <v>7</v>
      </c>
      <c r="C939" s="2" t="n">
        <f aca="false">0</f>
        <v>0</v>
      </c>
      <c r="D939" s="2" t="n">
        <f aca="false">C939*(1-D$931)+C938*D$931</f>
        <v>0</v>
      </c>
      <c r="E939" s="2" t="n">
        <f aca="false">D939*(1-E$931)+D938*E$931</f>
        <v>0</v>
      </c>
      <c r="F939" s="2" t="n">
        <f aca="false">E939*(1-F$931)+E938*F$931</f>
        <v>0</v>
      </c>
      <c r="G939" s="2" t="n">
        <f aca="false">F939*(1-G$931)+F938*G$931</f>
        <v>0</v>
      </c>
      <c r="H939" s="2" t="n">
        <f aca="false">G939*(1-H$931)+G938*H$931</f>
        <v>0</v>
      </c>
      <c r="I939" s="2" t="n">
        <f aca="false">H939*(1-I$931)+H938*I$931</f>
        <v>0.00452865968191823</v>
      </c>
      <c r="J939" s="2" t="n">
        <f aca="false">I939*(1-J$931)+I938*J$931</f>
        <v>0.0227348793398311</v>
      </c>
      <c r="K939" s="2" t="n">
        <f aca="false">J939*(1-K$931)+J938*K$931</f>
        <v>0.0509554067676783</v>
      </c>
      <c r="L939" s="2" t="n">
        <f aca="false">K939*(1-L$931)+K938*L$931</f>
        <v>0.105397336052396</v>
      </c>
      <c r="M939" s="2" t="n">
        <f aca="false">L939*(1-M$931)+L938*M$931</f>
        <v>0.173985492094961</v>
      </c>
      <c r="N939" s="2" t="n">
        <f aca="false">M939*(1-N$931)+M938*N$931</f>
        <v>0.188764189123797</v>
      </c>
      <c r="O939" s="2" t="n">
        <f aca="false">N939*(1-O$931)+N938*O$931</f>
        <v>0.188764189123797</v>
      </c>
    </row>
    <row r="940" customFormat="false" ht="15" hidden="false" customHeight="false" outlineLevel="0" collapsed="false">
      <c r="B940" s="2" t="n">
        <v>8</v>
      </c>
      <c r="C940" s="2" t="n">
        <f aca="false">0</f>
        <v>0</v>
      </c>
      <c r="D940" s="2" t="n">
        <f aca="false">C940*(1-D$931)+C939*D$931</f>
        <v>0</v>
      </c>
      <c r="E940" s="2" t="n">
        <f aca="false">D940*(1-E$931)+D939*E$931</f>
        <v>0</v>
      </c>
      <c r="F940" s="2" t="n">
        <f aca="false">E940*(1-F$931)+E939*F$931</f>
        <v>0</v>
      </c>
      <c r="G940" s="2" t="n">
        <f aca="false">F940*(1-G$931)+F939*G$931</f>
        <v>0</v>
      </c>
      <c r="H940" s="2" t="n">
        <f aca="false">G940*(1-H$931)+G939*H$931</f>
        <v>0</v>
      </c>
      <c r="I940" s="2" t="n">
        <f aca="false">H940*(1-I$931)+H939*I$931</f>
        <v>0</v>
      </c>
      <c r="J940" s="2" t="n">
        <f aca="false">I940*(1-J$931)+I939*J$931</f>
        <v>0.0017845683266376</v>
      </c>
      <c r="K940" s="2" t="n">
        <f aca="false">J940*(1-K$931)+J939*K$931</f>
        <v>0.00876402409196194</v>
      </c>
      <c r="L940" s="2" t="n">
        <f aca="false">K940*(1-L$931)+K939*L$931</f>
        <v>0.0308060122408264</v>
      </c>
      <c r="M940" s="2" t="n">
        <f aca="false">L940*(1-M$931)+L939*M$931</f>
        <v>0.0768968432201898</v>
      </c>
      <c r="N940" s="2" t="n">
        <f aca="false">M940*(1-N$931)+M939*N$931</f>
        <v>0.0947669921018277</v>
      </c>
      <c r="O940" s="2" t="n">
        <f aca="false">N940*(1-O$931)+N939*O$931</f>
        <v>0.0947669921018277</v>
      </c>
    </row>
    <row r="941" customFormat="false" ht="15" hidden="false" customHeight="false" outlineLevel="0" collapsed="false">
      <c r="B941" s="2" t="n">
        <v>9</v>
      </c>
      <c r="C941" s="2" t="n">
        <f aca="false">0</f>
        <v>0</v>
      </c>
      <c r="D941" s="2" t="n">
        <f aca="false">C941*(1-D$931)+C940*D$931</f>
        <v>0</v>
      </c>
      <c r="E941" s="2" t="n">
        <f aca="false">D941*(1-E$931)+D940*E$931</f>
        <v>0</v>
      </c>
      <c r="F941" s="2" t="n">
        <f aca="false">E941*(1-F$931)+E940*F$931</f>
        <v>0</v>
      </c>
      <c r="G941" s="2" t="n">
        <f aca="false">F941*(1-G$931)+F940*G$931</f>
        <v>0</v>
      </c>
      <c r="H941" s="2" t="n">
        <f aca="false">G941*(1-H$931)+G940*H$931</f>
        <v>0</v>
      </c>
      <c r="I941" s="2" t="n">
        <f aca="false">H941*(1-I$931)+H940*I$931</f>
        <v>0</v>
      </c>
      <c r="J941" s="2" t="n">
        <f aca="false">I941*(1-J$931)+I940*J$931</f>
        <v>0</v>
      </c>
      <c r="K941" s="2" t="n">
        <f aca="false">J941*(1-K$931)+J940*K$931</f>
        <v>0.00059451698297568</v>
      </c>
      <c r="L941" s="2" t="n">
        <f aca="false">K941*(1-L$931)+K940*L$931</f>
        <v>0.00486250175755339</v>
      </c>
      <c r="M941" s="2" t="n">
        <f aca="false">L941*(1-M$931)+L940*M$931</f>
        <v>0.0208932932168466</v>
      </c>
      <c r="N941" s="2" t="n">
        <f aca="false">M941*(1-N$931)+M940*N$931</f>
        <v>0.0312013136503255</v>
      </c>
      <c r="O941" s="2" t="n">
        <f aca="false">N941*(1-O$931)+N940*O$931</f>
        <v>0.0312013136503255</v>
      </c>
    </row>
    <row r="942" customFormat="false" ht="15" hidden="false" customHeight="false" outlineLevel="0" collapsed="false">
      <c r="B942" s="2" t="n">
        <v>10</v>
      </c>
      <c r="C942" s="2" t="n">
        <f aca="false">0</f>
        <v>0</v>
      </c>
      <c r="D942" s="2" t="n">
        <f aca="false">C942*(1-D$931)+C941*D$931</f>
        <v>0</v>
      </c>
      <c r="E942" s="2" t="n">
        <f aca="false">D942*(1-E$931)+D941*E$931</f>
        <v>0</v>
      </c>
      <c r="F942" s="2" t="n">
        <f aca="false">E942*(1-F$931)+E941*F$931</f>
        <v>0</v>
      </c>
      <c r="G942" s="2" t="n">
        <f aca="false">F942*(1-G$931)+F941*G$931</f>
        <v>0</v>
      </c>
      <c r="H942" s="2" t="n">
        <f aca="false">G942*(1-H$931)+G941*H$931</f>
        <v>0</v>
      </c>
      <c r="I942" s="2" t="n">
        <f aca="false">H942*(1-I$931)+H941*I$931</f>
        <v>0</v>
      </c>
      <c r="J942" s="2" t="n">
        <f aca="false">I942*(1-J$931)+I941*J$931</f>
        <v>0</v>
      </c>
      <c r="K942" s="2" t="n">
        <f aca="false">J942*(1-K$931)+J941*K$931</f>
        <v>0</v>
      </c>
      <c r="L942" s="2" t="n">
        <f aca="false">K942*(1-L$931)+K941*L$931</f>
        <v>0.000310592719697497</v>
      </c>
      <c r="M942" s="2" t="n">
        <f aca="false">L942*(1-M$931)+L941*M$931</f>
        <v>0.00312326930695378</v>
      </c>
      <c r="N942" s="2" t="n">
        <f aca="false">M942*(1-N$931)+M941*N$931</f>
        <v>0.00639402213522357</v>
      </c>
      <c r="O942" s="2" t="n">
        <f aca="false">N942*(1-O$931)+N941*O$931</f>
        <v>0.00639402213522357</v>
      </c>
    </row>
    <row r="943" customFormat="false" ht="15" hidden="false" customHeight="false" outlineLevel="0" collapsed="false">
      <c r="B943" s="2" t="n">
        <v>11</v>
      </c>
      <c r="C943" s="2" t="n">
        <f aca="false">0</f>
        <v>0</v>
      </c>
      <c r="D943" s="2" t="n">
        <f aca="false">C943*(1-D$931)+C942*D$931</f>
        <v>0</v>
      </c>
      <c r="E943" s="2" t="n">
        <f aca="false">D943*(1-E$931)+D942*E$931</f>
        <v>0</v>
      </c>
      <c r="F943" s="2" t="n">
        <f aca="false">E943*(1-F$931)+E942*F$931</f>
        <v>0</v>
      </c>
      <c r="G943" s="2" t="n">
        <f aca="false">F943*(1-G$931)+F942*G$931</f>
        <v>0</v>
      </c>
      <c r="H943" s="2" t="n">
        <f aca="false">G943*(1-H$931)+G942*H$931</f>
        <v>0</v>
      </c>
      <c r="I943" s="2" t="n">
        <f aca="false">H943*(1-I$931)+H942*I$931</f>
        <v>0</v>
      </c>
      <c r="J943" s="2" t="n">
        <f aca="false">I943*(1-J$931)+I942*J$931</f>
        <v>0</v>
      </c>
      <c r="K943" s="2" t="n">
        <f aca="false">J943*(1-K$931)+J942*K$931</f>
        <v>0</v>
      </c>
      <c r="L943" s="2" t="n">
        <f aca="false">K943*(1-L$931)+K942*L$931</f>
        <v>0</v>
      </c>
      <c r="M943" s="2" t="n">
        <f aca="false">L943*(1-M$931)+L942*M$931</f>
        <v>0.000191918789149815</v>
      </c>
      <c r="N943" s="2" t="n">
        <f aca="false">M943*(1-N$931)+M942*N$931</f>
        <v>0.0007314635328921</v>
      </c>
      <c r="O943" s="2" t="n">
        <f aca="false">N943*(1-O$931)+N942*O$931</f>
        <v>0.0007314635328921</v>
      </c>
    </row>
    <row r="944" customFormat="false" ht="15" hidden="false" customHeight="false" outlineLevel="0" collapsed="false">
      <c r="B944" s="2" t="n">
        <v>12</v>
      </c>
      <c r="C944" s="2" t="n">
        <f aca="false">0</f>
        <v>0</v>
      </c>
      <c r="D944" s="2" t="n">
        <f aca="false">C944*(1-D$931)+C943*D$931</f>
        <v>0</v>
      </c>
      <c r="E944" s="2" t="n">
        <f aca="false">D944*(1-E$931)+D943*E$931</f>
        <v>0</v>
      </c>
      <c r="F944" s="2" t="n">
        <f aca="false">E944*(1-F$931)+E943*F$931</f>
        <v>0</v>
      </c>
      <c r="G944" s="2" t="n">
        <f aca="false">F944*(1-G$931)+F943*G$931</f>
        <v>0</v>
      </c>
      <c r="H944" s="2" t="n">
        <f aca="false">G944*(1-H$931)+G943*H$931</f>
        <v>0</v>
      </c>
      <c r="I944" s="2" t="n">
        <f aca="false">H944*(1-I$931)+H943*I$931</f>
        <v>0</v>
      </c>
      <c r="J944" s="2" t="n">
        <f aca="false">I944*(1-J$931)+I943*J$931</f>
        <v>0</v>
      </c>
      <c r="K944" s="2" t="n">
        <f aca="false">J944*(1-K$931)+J943*K$931</f>
        <v>0</v>
      </c>
      <c r="L944" s="2" t="n">
        <f aca="false">K944*(1-L$931)+K943*L$931</f>
        <v>0</v>
      </c>
      <c r="M944" s="2" t="n">
        <f aca="false">L944*(1-M$931)+L943*M$931</f>
        <v>0</v>
      </c>
      <c r="N944" s="2" t="n">
        <f aca="false">M944*(1-N$931)+M943*N$931</f>
        <v>3.53245963873132E-005</v>
      </c>
      <c r="O944" s="2" t="n">
        <f aca="false">N944*(1-O$931)+N943*O$931</f>
        <v>3.53245963873132E-005</v>
      </c>
    </row>
    <row r="945" customFormat="false" ht="15" hidden="false" customHeight="false" outlineLevel="0" collapsed="false">
      <c r="B945" s="2" t="n">
        <v>13</v>
      </c>
      <c r="C945" s="2" t="n">
        <f aca="false">0</f>
        <v>0</v>
      </c>
      <c r="D945" s="2" t="n">
        <f aca="false">C945*(1-D$931)+C944*D$931</f>
        <v>0</v>
      </c>
      <c r="E945" s="2" t="n">
        <f aca="false">D945*(1-E$931)+D944*E$931</f>
        <v>0</v>
      </c>
      <c r="F945" s="2" t="n">
        <f aca="false">E945*(1-F$931)+E944*F$931</f>
        <v>0</v>
      </c>
      <c r="G945" s="2" t="n">
        <f aca="false">F945*(1-G$931)+F944*G$931</f>
        <v>0</v>
      </c>
      <c r="H945" s="2" t="n">
        <f aca="false">G945*(1-H$931)+G944*H$931</f>
        <v>0</v>
      </c>
      <c r="I945" s="2" t="n">
        <f aca="false">H945*(1-I$931)+H944*I$931</f>
        <v>0</v>
      </c>
      <c r="J945" s="2" t="n">
        <f aca="false">I945*(1-J$931)+I944*J$931</f>
        <v>0</v>
      </c>
      <c r="K945" s="2" t="n">
        <f aca="false">J945*(1-K$931)+J944*K$931</f>
        <v>0</v>
      </c>
      <c r="L945" s="2" t="n">
        <f aca="false">K945*(1-L$931)+K944*L$931</f>
        <v>0</v>
      </c>
      <c r="M945" s="2" t="n">
        <f aca="false">L945*(1-M$931)+L944*M$931</f>
        <v>0</v>
      </c>
      <c r="N945" s="2" t="n">
        <f aca="false">M945*(1-N$931)+M944*N$931</f>
        <v>0</v>
      </c>
      <c r="O945" s="2" t="n">
        <f aca="false">N945*(1-O$931)+N944*O$931</f>
        <v>0</v>
      </c>
    </row>
    <row r="947" customFormat="false" ht="15" hidden="false" customHeight="false" outlineLevel="0" collapsed="false">
      <c r="A947" s="1" t="s">
        <v>117</v>
      </c>
      <c r="C947" s="2" t="n">
        <f aca="false">Schedule!G61</f>
        <v>0.502493373019601</v>
      </c>
      <c r="D947" s="2" t="n">
        <f aca="false">Schedule!L61</f>
        <v>0.559617692370243</v>
      </c>
      <c r="E947" s="2" t="n">
        <f aca="false">Schedule!Q61</f>
        <v>0.999670690804268</v>
      </c>
      <c r="F947" s="2" t="n">
        <f aca="false">Schedule!V61</f>
        <v>0.317393486641259</v>
      </c>
      <c r="G947" s="2" t="n">
        <f aca="false">Schedule!AA61</f>
        <v>0.423185819619029</v>
      </c>
      <c r="H947" s="2" t="n">
        <f aca="false">Schedule!AF61</f>
        <v>0.423185819619029</v>
      </c>
      <c r="I947" s="2" t="n">
        <f aca="false">Schedule!AK61</f>
        <v>0.552211228127385</v>
      </c>
      <c r="J947" s="2" t="n">
        <f aca="false">Schedule!AP61</f>
        <v>0.234226015212695</v>
      </c>
      <c r="K947" s="2" t="n">
        <f aca="false">Schedule!AU61</f>
        <v>0.372590535846716</v>
      </c>
      <c r="L947" s="2" t="n">
        <f aca="false">Schedule!AZ61</f>
        <v>0.317393486641259</v>
      </c>
      <c r="M947" s="2" t="n">
        <f aca="false">Schedule!BE61</f>
        <v>0.687047978582113</v>
      </c>
      <c r="N947" s="2" t="n">
        <f aca="false">Schedule!BJ61</f>
        <v>0.48255184155421</v>
      </c>
      <c r="O947" s="2" t="n">
        <f aca="false">Schedule!BO61</f>
        <v>0</v>
      </c>
    </row>
    <row r="948" customFormat="false" ht="15" hidden="false" customHeight="false" outlineLevel="0" collapsed="false">
      <c r="B948" s="2" t="n">
        <v>0</v>
      </c>
      <c r="C948" s="2" t="n">
        <f aca="false">1-C$947</f>
        <v>0.497506626980399</v>
      </c>
      <c r="D948" s="2" t="n">
        <f aca="false">C948*(1-D$947)</f>
        <v>0.219093116450725</v>
      </c>
      <c r="E948" s="2" t="n">
        <f aca="false">D948*(1-E$947)</f>
        <v>7.21493779688878E-005</v>
      </c>
      <c r="F948" s="2" t="n">
        <f aca="false">E948*(1-F$947)</f>
        <v>4.92496353363444E-005</v>
      </c>
      <c r="G948" s="2" t="n">
        <f aca="false">F948*(1-G$947)</f>
        <v>2.84078880405952E-005</v>
      </c>
      <c r="H948" s="2" t="n">
        <f aca="false">G948*(1-H$947)</f>
        <v>1.63860726564903E-005</v>
      </c>
      <c r="I948" s="2" t="n">
        <f aca="false">H948*(1-I$947)</f>
        <v>7.33749935066523E-006</v>
      </c>
      <c r="J948" s="2" t="n">
        <f aca="false">I948*(1-J$947)</f>
        <v>5.61886611613318E-006</v>
      </c>
      <c r="K948" s="2" t="n">
        <f aca="false">J948*(1-K$947)</f>
        <v>3.52532977907216E-006</v>
      </c>
      <c r="L948" s="2" t="n">
        <f aca="false">K948*(1-L$947)</f>
        <v>2.40641306893219E-006</v>
      </c>
      <c r="M948" s="2" t="n">
        <f aca="false">L948*(1-M$947)</f>
        <v>7.53091834288751E-007</v>
      </c>
      <c r="N948" s="2" t="n">
        <f aca="false">M948*(1-N$947)</f>
        <v>3.89685982793276E-007</v>
      </c>
      <c r="O948" s="2" t="n">
        <f aca="false">N948*(1-O$947)</f>
        <v>3.89685982793276E-007</v>
      </c>
    </row>
    <row r="949" customFormat="false" ht="15" hidden="false" customHeight="false" outlineLevel="0" collapsed="false">
      <c r="B949" s="2" t="n">
        <v>1</v>
      </c>
      <c r="C949" s="2" t="n">
        <f aca="false">C$947</f>
        <v>0.502493373019601</v>
      </c>
      <c r="D949" s="2" t="n">
        <f aca="false">C949*(1-D$947)+C948*D$947</f>
        <v>0.499702701708706</v>
      </c>
      <c r="E949" s="2" t="n">
        <f aca="false">D949*(1-E$947)+D948*E$947</f>
        <v>0.219185523767561</v>
      </c>
      <c r="F949" s="2" t="n">
        <f aca="false">E949*(1-F$947)+E948*F$947</f>
        <v>0.149640365900317</v>
      </c>
      <c r="G949" s="2" t="n">
        <f aca="false">F949*(1-G$947)+F948*G$947</f>
        <v>0.0863355267559956</v>
      </c>
      <c r="H949" s="2" t="n">
        <f aca="false">G949*(1-H$947)+G948*H$947</f>
        <v>0.049811577918903</v>
      </c>
      <c r="I949" s="2" t="n">
        <f aca="false">H949*(1-I$947)+H948*I$947</f>
        <v>0.0223141138746485</v>
      </c>
      <c r="J949" s="2" t="n">
        <f aca="false">I949*(1-J$947)+I948*J$947</f>
        <v>0.0170892865320218</v>
      </c>
      <c r="K949" s="2" t="n">
        <f aca="false">J949*(1-K$947)+J948*K$947</f>
        <v>0.0107240736421548</v>
      </c>
      <c r="L949" s="2" t="n">
        <f aca="false">K949*(1-L$947)+K948*L$947</f>
        <v>0.0073214414345838</v>
      </c>
      <c r="M949" s="2" t="n">
        <f aca="false">L949*(1-M$947)+L948*M$947</f>
        <v>0.00229291321788032</v>
      </c>
      <c r="N949" s="2" t="n">
        <f aca="false">M949*(1-N$947)+M948*N$947</f>
        <v>0.00118682712791968</v>
      </c>
      <c r="O949" s="2" t="n">
        <f aca="false">N949*(1-O$947)+N948*O$947</f>
        <v>0.00118682712791968</v>
      </c>
    </row>
    <row r="950" customFormat="false" ht="15" hidden="false" customHeight="false" outlineLevel="0" collapsed="false">
      <c r="B950" s="2" t="n">
        <v>2</v>
      </c>
      <c r="C950" s="2" t="n">
        <f aca="false">0</f>
        <v>0</v>
      </c>
      <c r="D950" s="2" t="n">
        <f aca="false">C950*(1-D$947)+C949*D$947</f>
        <v>0.281204181840569</v>
      </c>
      <c r="E950" s="2" t="n">
        <f aca="false">D950*(1-E$947)+D949*E$947</f>
        <v>0.49963074813686</v>
      </c>
      <c r="F950" s="2" t="n">
        <f aca="false">E950*(1-F$947)+E949*F$947</f>
        <v>0.410619260562398</v>
      </c>
      <c r="G950" s="2" t="n">
        <f aca="false">F950*(1-G$947)+F949*G$947</f>
        <v>0.300176693121557</v>
      </c>
      <c r="H950" s="2" t="n">
        <f aca="false">G950*(1-H$947)+G949*H$947</f>
        <v>0.209682143864858</v>
      </c>
      <c r="I950" s="2" t="n">
        <f aca="false">H950*(1-I$947)+H949*I$947</f>
        <v>0.121399822302422</v>
      </c>
      <c r="J950" s="2" t="n">
        <f aca="false">I950*(1-J$947)+I949*J$947</f>
        <v>0.0981913716528576</v>
      </c>
      <c r="K950" s="2" t="n">
        <f aca="false">J950*(1-K$947)+J949*K$947</f>
        <v>0.0679735022993995</v>
      </c>
      <c r="L950" s="2" t="n">
        <f aca="false">K950*(1-L$947)+K949*L$947</f>
        <v>0.0498029065296566</v>
      </c>
      <c r="M950" s="2" t="n">
        <f aca="false">L950*(1-M$947)+L949*M$947</f>
        <v>0.0206161018088802</v>
      </c>
      <c r="N950" s="2" t="n">
        <f aca="false">M950*(1-N$947)+M949*N$947</f>
        <v>0.0117742134111481</v>
      </c>
      <c r="O950" s="2" t="n">
        <f aca="false">N950*(1-O$947)+N949*O$947</f>
        <v>0.0117742134111481</v>
      </c>
    </row>
    <row r="951" customFormat="false" ht="15" hidden="false" customHeight="false" outlineLevel="0" collapsed="false">
      <c r="B951" s="2" t="n">
        <v>3</v>
      </c>
      <c r="C951" s="2" t="n">
        <f aca="false">0</f>
        <v>0</v>
      </c>
      <c r="D951" s="2" t="n">
        <f aca="false">C951*(1-D$947)+C950*D$947</f>
        <v>0</v>
      </c>
      <c r="E951" s="2" t="n">
        <f aca="false">D951*(1-E$947)+D950*E$947</f>
        <v>0.28111157871761</v>
      </c>
      <c r="F951" s="2" t="n">
        <f aca="false">E951*(1-F$947)+E950*F$947</f>
        <v>0.350468139797538</v>
      </c>
      <c r="G951" s="2" t="n">
        <f aca="false">F951*(1-G$947)+F950*G$947</f>
        <v>0.375923241139418</v>
      </c>
      <c r="H951" s="2" t="n">
        <f aca="false">G951*(1-H$947)+G950*H$947</f>
        <v>0.343868376133167</v>
      </c>
      <c r="I951" s="2" t="n">
        <f aca="false">H951*(1-I$947)+H950*I$947</f>
        <v>0.269769232014498</v>
      </c>
      <c r="J951" s="2" t="n">
        <f aca="false">I951*(1-J$947)+I950*J$947</f>
        <v>0.235017256398178</v>
      </c>
      <c r="K951" s="2" t="n">
        <f aca="false">J951*(1-K$947)+J950*K$947</f>
        <v>0.184037226683218</v>
      </c>
      <c r="L951" s="2" t="n">
        <f aca="false">K951*(1-L$947)+K950*L$947</f>
        <v>0.147199356528468</v>
      </c>
      <c r="M951" s="2" t="n">
        <f aca="false">L951*(1-M$947)+L950*M$947</f>
        <v>0.0802833224357108</v>
      </c>
      <c r="N951" s="2" t="n">
        <f aca="false">M951*(1-N$947)+M950*N$947</f>
        <v>0.0514907952418124</v>
      </c>
      <c r="O951" s="2" t="n">
        <f aca="false">N951*(1-O$947)+N950*O$947</f>
        <v>0.0514907952418124</v>
      </c>
    </row>
    <row r="952" customFormat="false" ht="15" hidden="false" customHeight="false" outlineLevel="0" collapsed="false">
      <c r="B952" s="2" t="n">
        <v>4</v>
      </c>
      <c r="C952" s="2" t="n">
        <f aca="false">0</f>
        <v>0</v>
      </c>
      <c r="D952" s="2" t="n">
        <f aca="false">C952*(1-D$947)+C951*D$947</f>
        <v>0</v>
      </c>
      <c r="E952" s="2" t="n">
        <f aca="false">D952*(1-E$947)+D951*E$947</f>
        <v>0</v>
      </c>
      <c r="F952" s="2" t="n">
        <f aca="false">E952*(1-F$947)+E951*F$947</f>
        <v>0.089222984104411</v>
      </c>
      <c r="G952" s="2" t="n">
        <f aca="false">F952*(1-G$947)+F951*G$947</f>
        <v>0.199778229437908</v>
      </c>
      <c r="H952" s="2" t="n">
        <f aca="false">G952*(1-H$947)+G951*H$947</f>
        <v>0.274320300586615</v>
      </c>
      <c r="I952" s="2" t="n">
        <f aca="false">H952*(1-I$947)+H951*I$947</f>
        <v>0.312725528798073</v>
      </c>
      <c r="J952" s="2" t="n">
        <f aca="false">I952*(1-J$947)+I951*J$947</f>
        <v>0.302664046574162</v>
      </c>
      <c r="K952" s="2" t="n">
        <f aca="false">J952*(1-K$947)+J951*K$947</f>
        <v>0.277459492774182</v>
      </c>
      <c r="L952" s="2" t="n">
        <f aca="false">K952*(1-L$947)+K951*L$947</f>
        <v>0.247807874009644</v>
      </c>
      <c r="M952" s="2" t="n">
        <f aca="false">L952*(1-M$947)+L951*M$947</f>
        <v>0.178684995446059</v>
      </c>
      <c r="N952" s="2" t="n">
        <f aca="false">M952*(1-N$947)+M951*N$947</f>
        <v>0.1312010869229</v>
      </c>
      <c r="O952" s="2" t="n">
        <f aca="false">N952*(1-O$947)+N951*O$947</f>
        <v>0.1312010869229</v>
      </c>
    </row>
    <row r="953" customFormat="false" ht="15" hidden="false" customHeight="false" outlineLevel="0" collapsed="false">
      <c r="B953" s="2" t="n">
        <v>5</v>
      </c>
      <c r="C953" s="2" t="n">
        <f aca="false">0</f>
        <v>0</v>
      </c>
      <c r="D953" s="2" t="n">
        <f aca="false">C953*(1-D$947)+C952*D$947</f>
        <v>0</v>
      </c>
      <c r="E953" s="2" t="n">
        <f aca="false">D953*(1-E$947)+D952*E$947</f>
        <v>0</v>
      </c>
      <c r="F953" s="2" t="n">
        <f aca="false">E953*(1-F$947)+E952*F$947</f>
        <v>0</v>
      </c>
      <c r="G953" s="2" t="n">
        <f aca="false">F953*(1-G$947)+F952*G$947</f>
        <v>0.0377579016570808</v>
      </c>
      <c r="H953" s="2" t="n">
        <f aca="false">G953*(1-H$947)+G952*H$947</f>
        <v>0.106322606863954</v>
      </c>
      <c r="I953" s="2" t="n">
        <f aca="false">H953*(1-I$947)+H952*I$947</f>
        <v>0.199092819637113</v>
      </c>
      <c r="J953" s="2" t="n">
        <f aca="false">I953*(1-J$947)+I952*J$947</f>
        <v>0.225708556301708</v>
      </c>
      <c r="K953" s="2" t="n">
        <f aca="false">J953*(1-K$947)+J952*K$947</f>
        <v>0.254381443658668</v>
      </c>
      <c r="L953" s="2" t="n">
        <f aca="false">K953*(1-L$947)+K952*L$947</f>
        <v>0.261706266132319</v>
      </c>
      <c r="M953" s="2" t="n">
        <f aca="false">L953*(1-M$947)+L952*M$947</f>
        <v>0.252157403918893</v>
      </c>
      <c r="N953" s="2" t="n">
        <f aca="false">M953*(1-N$947)+M952*N$947</f>
        <v>0.216703157906904</v>
      </c>
      <c r="O953" s="2" t="n">
        <f aca="false">N953*(1-O$947)+N952*O$947</f>
        <v>0.216703157906904</v>
      </c>
    </row>
    <row r="954" customFormat="false" ht="15" hidden="false" customHeight="false" outlineLevel="0" collapsed="false">
      <c r="B954" s="2" t="n">
        <v>6</v>
      </c>
      <c r="C954" s="2" t="n">
        <f aca="false">0</f>
        <v>0</v>
      </c>
      <c r="D954" s="2" t="n">
        <f aca="false">C954*(1-D$947)+C953*D$947</f>
        <v>0</v>
      </c>
      <c r="E954" s="2" t="n">
        <f aca="false">D954*(1-E$947)+D953*E$947</f>
        <v>0</v>
      </c>
      <c r="F954" s="2" t="n">
        <f aca="false">E954*(1-F$947)+E953*F$947</f>
        <v>0</v>
      </c>
      <c r="G954" s="2" t="n">
        <f aca="false">F954*(1-G$947)+F953*G$947</f>
        <v>0</v>
      </c>
      <c r="H954" s="2" t="n">
        <f aca="false">G954*(1-H$947)+G953*H$947</f>
        <v>0.0159786085598465</v>
      </c>
      <c r="I954" s="2" t="n">
        <f aca="false">H954*(1-I$947)+H953*I$947</f>
        <v>0.065867578817296</v>
      </c>
      <c r="J954" s="2" t="n">
        <f aca="false">I954*(1-J$947)+I953*J$947</f>
        <v>0.0970723961002733</v>
      </c>
      <c r="K954" s="2" t="n">
        <f aca="false">J954*(1-K$947)+J953*K$947</f>
        <v>0.14500101195899</v>
      </c>
      <c r="L954" s="2" t="n">
        <f aca="false">K954*(1-L$947)+K953*L$947</f>
        <v>0.179717648546477</v>
      </c>
      <c r="M954" s="2" t="n">
        <f aca="false">L954*(1-M$947)+L953*M$947</f>
        <v>0.236047762525572</v>
      </c>
      <c r="N954" s="2" t="n">
        <f aca="false">M954*(1-N$947)+M953*N$947</f>
        <v>0.243821499646697</v>
      </c>
      <c r="O954" s="2" t="n">
        <f aca="false">N954*(1-O$947)+N953*O$947</f>
        <v>0.243821499646697</v>
      </c>
    </row>
    <row r="955" customFormat="false" ht="15" hidden="false" customHeight="false" outlineLevel="0" collapsed="false">
      <c r="B955" s="2" t="n">
        <v>7</v>
      </c>
      <c r="C955" s="2" t="n">
        <f aca="false">0</f>
        <v>0</v>
      </c>
      <c r="D955" s="2" t="n">
        <f aca="false">C955*(1-D$947)+C954*D$947</f>
        <v>0</v>
      </c>
      <c r="E955" s="2" t="n">
        <f aca="false">D955*(1-E$947)+D954*E$947</f>
        <v>0</v>
      </c>
      <c r="F955" s="2" t="n">
        <f aca="false">E955*(1-F$947)+E954*F$947</f>
        <v>0</v>
      </c>
      <c r="G955" s="2" t="n">
        <f aca="false">F955*(1-G$947)+F954*G$947</f>
        <v>0</v>
      </c>
      <c r="H955" s="2" t="n">
        <f aca="false">G955*(1-H$947)+G954*H$947</f>
        <v>0</v>
      </c>
      <c r="I955" s="2" t="n">
        <f aca="false">H955*(1-I$947)+H954*I$947</f>
        <v>0.00882356705659955</v>
      </c>
      <c r="J955" s="2" t="n">
        <f aca="false">I955*(1-J$947)+I954*J$947</f>
        <v>0.0221847586230536</v>
      </c>
      <c r="K955" s="2" t="n">
        <f aca="false">J955*(1-K$947)+J954*K$947</f>
        <v>0.0500871835989855</v>
      </c>
      <c r="L955" s="2" t="n">
        <f aca="false">K955*(1-L$947)+K954*L$947</f>
        <v>0.0802122145126372</v>
      </c>
      <c r="M955" s="2" t="n">
        <f aca="false">L955*(1-M$947)+L954*M$947</f>
        <v>0.148577221823522</v>
      </c>
      <c r="N955" s="2" t="n">
        <f aca="false">M955*(1-N$947)+M954*N$947</f>
        <v>0.190786292321039</v>
      </c>
      <c r="O955" s="2" t="n">
        <f aca="false">N955*(1-O$947)+N954*O$947</f>
        <v>0.190786292321039</v>
      </c>
    </row>
    <row r="956" customFormat="false" ht="15" hidden="false" customHeight="false" outlineLevel="0" collapsed="false">
      <c r="B956" s="2" t="n">
        <v>8</v>
      </c>
      <c r="C956" s="2" t="n">
        <f aca="false">0</f>
        <v>0</v>
      </c>
      <c r="D956" s="2" t="n">
        <f aca="false">C956*(1-D$947)+C955*D$947</f>
        <v>0</v>
      </c>
      <c r="E956" s="2" t="n">
        <f aca="false">D956*(1-E$947)+D955*E$947</f>
        <v>0</v>
      </c>
      <c r="F956" s="2" t="n">
        <f aca="false">E956*(1-F$947)+E955*F$947</f>
        <v>0</v>
      </c>
      <c r="G956" s="2" t="n">
        <f aca="false">F956*(1-G$947)+F955*G$947</f>
        <v>0</v>
      </c>
      <c r="H956" s="2" t="n">
        <f aca="false">G956*(1-H$947)+G955*H$947</f>
        <v>0</v>
      </c>
      <c r="I956" s="2" t="n">
        <f aca="false">H956*(1-I$947)+H955*I$947</f>
        <v>0</v>
      </c>
      <c r="J956" s="2" t="n">
        <f aca="false">I956*(1-J$947)+I955*J$947</f>
        <v>0.00206670895162932</v>
      </c>
      <c r="K956" s="2" t="n">
        <f aca="false">J956*(1-K$947)+J955*K$947</f>
        <v>0.00956250385889613</v>
      </c>
      <c r="L956" s="2" t="n">
        <f aca="false">K956*(1-L$947)+K955*L$947</f>
        <v>0.0224247732566235</v>
      </c>
      <c r="M956" s="2" t="n">
        <f aca="false">L956*(1-M$947)+L955*M$947</f>
        <v>0.0621275179590003</v>
      </c>
      <c r="N956" s="2" t="n">
        <f aca="false">M956*(1-N$947)+M955*N$947</f>
        <v>0.103843981760642</v>
      </c>
      <c r="O956" s="2" t="n">
        <f aca="false">N956*(1-O$947)+N955*O$947</f>
        <v>0.103843981760642</v>
      </c>
    </row>
    <row r="957" customFormat="false" ht="15" hidden="false" customHeight="false" outlineLevel="0" collapsed="false">
      <c r="B957" s="2" t="n">
        <v>9</v>
      </c>
      <c r="C957" s="2" t="n">
        <f aca="false">0</f>
        <v>0</v>
      </c>
      <c r="D957" s="2" t="n">
        <f aca="false">C957*(1-D$947)+C956*D$947</f>
        <v>0</v>
      </c>
      <c r="E957" s="2" t="n">
        <f aca="false">D957*(1-E$947)+D956*E$947</f>
        <v>0</v>
      </c>
      <c r="F957" s="2" t="n">
        <f aca="false">E957*(1-F$947)+E956*F$947</f>
        <v>0</v>
      </c>
      <c r="G957" s="2" t="n">
        <f aca="false">F957*(1-G$947)+F956*G$947</f>
        <v>0</v>
      </c>
      <c r="H957" s="2" t="n">
        <f aca="false">G957*(1-H$947)+G956*H$947</f>
        <v>0</v>
      </c>
      <c r="I957" s="2" t="n">
        <f aca="false">H957*(1-I$947)+H956*I$947</f>
        <v>0</v>
      </c>
      <c r="J957" s="2" t="n">
        <f aca="false">I957*(1-J$947)+I956*J$947</f>
        <v>0</v>
      </c>
      <c r="K957" s="2" t="n">
        <f aca="false">J957*(1-K$947)+J956*K$947</f>
        <v>0.000770036195726773</v>
      </c>
      <c r="L957" s="2" t="n">
        <f aca="false">K957*(1-L$947)+K956*L$947</f>
        <v>0.00356070816352062</v>
      </c>
      <c r="M957" s="2" t="n">
        <f aca="false">L957*(1-M$947)+L956*M$947</f>
        <v>0.0165212259535783</v>
      </c>
      <c r="N957" s="2" t="n">
        <f aca="false">M957*(1-N$947)+M956*N$947</f>
        <v>0.0385286261472538</v>
      </c>
      <c r="O957" s="2" t="n">
        <f aca="false">N957*(1-O$947)+N956*O$947</f>
        <v>0.0385286261472538</v>
      </c>
    </row>
    <row r="958" customFormat="false" ht="15" hidden="false" customHeight="false" outlineLevel="0" collapsed="false">
      <c r="B958" s="2" t="n">
        <v>10</v>
      </c>
      <c r="C958" s="2" t="n">
        <f aca="false">0</f>
        <v>0</v>
      </c>
      <c r="D958" s="2" t="n">
        <f aca="false">C958*(1-D$947)+C957*D$947</f>
        <v>0</v>
      </c>
      <c r="E958" s="2" t="n">
        <f aca="false">D958*(1-E$947)+D957*E$947</f>
        <v>0</v>
      </c>
      <c r="F958" s="2" t="n">
        <f aca="false">E958*(1-F$947)+E957*F$947</f>
        <v>0</v>
      </c>
      <c r="G958" s="2" t="n">
        <f aca="false">F958*(1-G$947)+F957*G$947</f>
        <v>0</v>
      </c>
      <c r="H958" s="2" t="n">
        <f aca="false">G958*(1-H$947)+G957*H$947</f>
        <v>0</v>
      </c>
      <c r="I958" s="2" t="n">
        <f aca="false">H958*(1-I$947)+H957*I$947</f>
        <v>0</v>
      </c>
      <c r="J958" s="2" t="n">
        <f aca="false">I958*(1-J$947)+I957*J$947</f>
        <v>0</v>
      </c>
      <c r="K958" s="2" t="n">
        <f aca="false">J958*(1-K$947)+J957*K$947</f>
        <v>0</v>
      </c>
      <c r="L958" s="2" t="n">
        <f aca="false">K958*(1-L$947)+K957*L$947</f>
        <v>0.000244404473001691</v>
      </c>
      <c r="M958" s="2" t="n">
        <f aca="false">L958*(1-M$947)+L957*M$947</f>
        <v>0.00252286421993712</v>
      </c>
      <c r="N958" s="2" t="n">
        <f aca="false">M958*(1-N$947)+M957*N$947</f>
        <v>0.00927779945324767</v>
      </c>
      <c r="O958" s="2" t="n">
        <f aca="false">N958*(1-O$947)+N957*O$947</f>
        <v>0.00927779945324767</v>
      </c>
    </row>
    <row r="959" customFormat="false" ht="15" hidden="false" customHeight="false" outlineLevel="0" collapsed="false">
      <c r="B959" s="2" t="n">
        <v>11</v>
      </c>
      <c r="C959" s="2" t="n">
        <f aca="false">0</f>
        <v>0</v>
      </c>
      <c r="D959" s="2" t="n">
        <f aca="false">C959*(1-D$947)+C958*D$947</f>
        <v>0</v>
      </c>
      <c r="E959" s="2" t="n">
        <f aca="false">D959*(1-E$947)+D958*E$947</f>
        <v>0</v>
      </c>
      <c r="F959" s="2" t="n">
        <f aca="false">E959*(1-F$947)+E958*F$947</f>
        <v>0</v>
      </c>
      <c r="G959" s="2" t="n">
        <f aca="false">F959*(1-G$947)+F958*G$947</f>
        <v>0</v>
      </c>
      <c r="H959" s="2" t="n">
        <f aca="false">G959*(1-H$947)+G958*H$947</f>
        <v>0</v>
      </c>
      <c r="I959" s="2" t="n">
        <f aca="false">H959*(1-I$947)+H958*I$947</f>
        <v>0</v>
      </c>
      <c r="J959" s="2" t="n">
        <f aca="false">I959*(1-J$947)+I958*J$947</f>
        <v>0</v>
      </c>
      <c r="K959" s="2" t="n">
        <f aca="false">J959*(1-K$947)+J958*K$947</f>
        <v>0</v>
      </c>
      <c r="L959" s="2" t="n">
        <f aca="false">K959*(1-L$947)+K958*L$947</f>
        <v>0</v>
      </c>
      <c r="M959" s="2" t="n">
        <f aca="false">L959*(1-M$947)+L958*M$947</f>
        <v>0.000167917599132239</v>
      </c>
      <c r="N959" s="2" t="n">
        <f aca="false">M959*(1-N$947)+M958*N$947</f>
        <v>0.0013043014277635</v>
      </c>
      <c r="O959" s="2" t="n">
        <f aca="false">N959*(1-O$947)+N958*O$947</f>
        <v>0.0013043014277635</v>
      </c>
    </row>
    <row r="960" customFormat="false" ht="15" hidden="false" customHeight="false" outlineLevel="0" collapsed="false">
      <c r="B960" s="2" t="n">
        <v>12</v>
      </c>
      <c r="C960" s="2" t="n">
        <f aca="false">0</f>
        <v>0</v>
      </c>
      <c r="D960" s="2" t="n">
        <f aca="false">C960*(1-D$947)+C959*D$947</f>
        <v>0</v>
      </c>
      <c r="E960" s="2" t="n">
        <f aca="false">D960*(1-E$947)+D959*E$947</f>
        <v>0</v>
      </c>
      <c r="F960" s="2" t="n">
        <f aca="false">E960*(1-F$947)+E959*F$947</f>
        <v>0</v>
      </c>
      <c r="G960" s="2" t="n">
        <f aca="false">F960*(1-G$947)+F959*G$947</f>
        <v>0</v>
      </c>
      <c r="H960" s="2" t="n">
        <f aca="false">G960*(1-H$947)+G959*H$947</f>
        <v>0</v>
      </c>
      <c r="I960" s="2" t="n">
        <f aca="false">H960*(1-I$947)+H959*I$947</f>
        <v>0</v>
      </c>
      <c r="J960" s="2" t="n">
        <f aca="false">I960*(1-J$947)+I959*J$947</f>
        <v>0</v>
      </c>
      <c r="K960" s="2" t="n">
        <f aca="false">J960*(1-K$947)+J959*K$947</f>
        <v>0</v>
      </c>
      <c r="L960" s="2" t="n">
        <f aca="false">K960*(1-L$947)+K959*L$947</f>
        <v>0</v>
      </c>
      <c r="M960" s="2" t="n">
        <f aca="false">L960*(1-M$947)+L959*M$947</f>
        <v>0</v>
      </c>
      <c r="N960" s="2" t="n">
        <f aca="false">M960*(1-N$947)+M959*N$947</f>
        <v>8.10289466906233E-005</v>
      </c>
      <c r="O960" s="2" t="n">
        <f aca="false">N960*(1-O$947)+N959*O$947</f>
        <v>8.10289466906233E-005</v>
      </c>
    </row>
    <row r="961" customFormat="false" ht="15" hidden="false" customHeight="false" outlineLevel="0" collapsed="false">
      <c r="B961" s="2" t="n">
        <v>13</v>
      </c>
      <c r="C961" s="2" t="n">
        <f aca="false">0</f>
        <v>0</v>
      </c>
      <c r="D961" s="2" t="n">
        <f aca="false">C961*(1-D$947)+C960*D$947</f>
        <v>0</v>
      </c>
      <c r="E961" s="2" t="n">
        <f aca="false">D961*(1-E$947)+D960*E$947</f>
        <v>0</v>
      </c>
      <c r="F961" s="2" t="n">
        <f aca="false">E961*(1-F$947)+E960*F$947</f>
        <v>0</v>
      </c>
      <c r="G961" s="2" t="n">
        <f aca="false">F961*(1-G$947)+F960*G$947</f>
        <v>0</v>
      </c>
      <c r="H961" s="2" t="n">
        <f aca="false">G961*(1-H$947)+G960*H$947</f>
        <v>0</v>
      </c>
      <c r="I961" s="2" t="n">
        <f aca="false">H961*(1-I$947)+H960*I$947</f>
        <v>0</v>
      </c>
      <c r="J961" s="2" t="n">
        <f aca="false">I961*(1-J$947)+I960*J$947</f>
        <v>0</v>
      </c>
      <c r="K961" s="2" t="n">
        <f aca="false">J961*(1-K$947)+J960*K$947</f>
        <v>0</v>
      </c>
      <c r="L961" s="2" t="n">
        <f aca="false">K961*(1-L$947)+K960*L$947</f>
        <v>0</v>
      </c>
      <c r="M961" s="2" t="n">
        <f aca="false">L961*(1-M$947)+L960*M$947</f>
        <v>0</v>
      </c>
      <c r="N961" s="2" t="n">
        <f aca="false">M961*(1-N$947)+M960*N$947</f>
        <v>0</v>
      </c>
      <c r="O961" s="2" t="n">
        <f aca="false">N961*(1-O$947)+N960*O$947</f>
        <v>0</v>
      </c>
    </row>
    <row r="963" customFormat="false" ht="15" hidden="false" customHeight="false" outlineLevel="0" collapsed="false">
      <c r="A963" s="1" t="s">
        <v>118</v>
      </c>
      <c r="C963" s="2" t="n">
        <f aca="false">Schedule!G62</f>
        <v>0.991373001063283</v>
      </c>
      <c r="D963" s="2" t="n">
        <f aca="false">Schedule!L62</f>
        <v>0.567003355806672</v>
      </c>
      <c r="E963" s="2" t="n">
        <f aca="false">Schedule!Q62</f>
        <v>0.217327735678086</v>
      </c>
      <c r="F963" s="2" t="n">
        <f aca="false">Schedule!V62</f>
        <v>0.997131971911371</v>
      </c>
      <c r="G963" s="2" t="n">
        <f aca="false">Schedule!AA62</f>
        <v>0.0989600348010886</v>
      </c>
      <c r="H963" s="2" t="n">
        <f aca="false">Schedule!AF62</f>
        <v>0.377330281529843</v>
      </c>
      <c r="I963" s="2" t="n">
        <f aca="false">Schedule!AK62</f>
        <v>0.379707152759433</v>
      </c>
      <c r="J963" s="2" t="n">
        <f aca="false">Schedule!AP62</f>
        <v>0.230409171603573</v>
      </c>
      <c r="K963" s="2" t="n">
        <f aca="false">Schedule!AU62</f>
        <v>0.41098963713127</v>
      </c>
      <c r="L963" s="2" t="n">
        <f aca="false">Schedule!AZ62</f>
        <v>0.398878901347056</v>
      </c>
      <c r="M963" s="2" t="n">
        <f aca="false">Schedule!BE62</f>
        <v>0.158655253931457</v>
      </c>
      <c r="N963" s="2" t="n">
        <f aca="false">Schedule!BJ62</f>
        <v>0.574365688155897</v>
      </c>
      <c r="O963" s="2" t="n">
        <f aca="false">Schedule!BO62</f>
        <v>0</v>
      </c>
    </row>
    <row r="964" customFormat="false" ht="15" hidden="false" customHeight="false" outlineLevel="0" collapsed="false">
      <c r="B964" s="2" t="n">
        <v>0</v>
      </c>
      <c r="C964" s="2" t="n">
        <f aca="false">1-C$963</f>
        <v>0.00862699893671703</v>
      </c>
      <c r="D964" s="2" t="n">
        <f aca="false">C964*(1-D$963)</f>
        <v>0.00373546158905789</v>
      </c>
      <c r="E964" s="2" t="n">
        <f aca="false">D964*(1-E$963)</f>
        <v>0.00292364218019547</v>
      </c>
      <c r="F964" s="2" t="n">
        <f aca="false">E964*(1-F$963)</f>
        <v>8.38508789390167E-006</v>
      </c>
      <c r="G964" s="2" t="n">
        <f aca="false">F964*(1-G$963)</f>
        <v>7.55529930411098E-006</v>
      </c>
      <c r="H964" s="2" t="n">
        <f aca="false">G964*(1-H$963)</f>
        <v>4.70445609064856E-006</v>
      </c>
      <c r="I964" s="2" t="n">
        <f aca="false">H964*(1-I$963)</f>
        <v>2.91814046318662E-006</v>
      </c>
      <c r="J964" s="2" t="n">
        <f aca="false">I964*(1-J$963)</f>
        <v>2.24577413644092E-006</v>
      </c>
      <c r="K964" s="2" t="n">
        <f aca="false">J964*(1-K$963)</f>
        <v>1.32278423902628E-006</v>
      </c>
      <c r="L964" s="2" t="n">
        <f aca="false">K964*(1-L$963)</f>
        <v>7.95153515044273E-007</v>
      </c>
      <c r="M964" s="2" t="n">
        <f aca="false">L964*(1-M$963)</f>
        <v>6.68998232200433E-007</v>
      </c>
      <c r="N964" s="2" t="n">
        <f aca="false">M964*(1-N$963)</f>
        <v>2.84748602187553E-007</v>
      </c>
      <c r="O964" s="2" t="n">
        <f aca="false">N964*(1-O$963)</f>
        <v>2.84748602187553E-007</v>
      </c>
    </row>
    <row r="965" customFormat="false" ht="15" hidden="false" customHeight="false" outlineLevel="0" collapsed="false">
      <c r="B965" s="2" t="n">
        <v>1</v>
      </c>
      <c r="C965" s="2" t="n">
        <f aca="false">C$963</f>
        <v>0.991373001063283</v>
      </c>
      <c r="D965" s="2" t="n">
        <f aca="false">C965*(1-D$963)+C964*D$963</f>
        <v>0.434152719951929</v>
      </c>
      <c r="E965" s="2" t="n">
        <f aca="false">D965*(1-E$963)+D964*E$963</f>
        <v>0.340611111795157</v>
      </c>
      <c r="F965" s="2" t="n">
        <f aca="false">E965*(1-F$963)+E964*F$963</f>
        <v>0.00389213932822929</v>
      </c>
      <c r="G965" s="2" t="n">
        <f aca="false">F965*(1-G$963)+F964*G$963</f>
        <v>0.00350780287344683</v>
      </c>
      <c r="H965" s="2" t="n">
        <f aca="false">G965*(1-H$963)+G964*H$963</f>
        <v>0.00218705347087141</v>
      </c>
      <c r="I965" s="2" t="n">
        <f aca="false">H965*(1-I$963)+H964*I$963</f>
        <v>0.00135839994014165</v>
      </c>
      <c r="J965" s="2" t="n">
        <f aca="false">I965*(1-J$963)+I964*J$963</f>
        <v>0.00104608450155402</v>
      </c>
      <c r="K965" s="2" t="n">
        <f aca="false">J965*(1-K$963)+J964*K$963</f>
        <v>0.0006170776017491</v>
      </c>
      <c r="L965" s="2" t="n">
        <f aca="false">K965*(1-L$963)+K964*L$963</f>
        <v>0.000371465996641524</v>
      </c>
      <c r="M965" s="2" t="n">
        <f aca="false">L965*(1-M$963)+L964*M$963</f>
        <v>0.000312657119900305</v>
      </c>
      <c r="N965" s="2" t="n">
        <f aca="false">M965*(1-N$963)+M964*N$963</f>
        <v>0.000133461847701939</v>
      </c>
      <c r="O965" s="2" t="n">
        <f aca="false">N965*(1-O$963)+N964*O$963</f>
        <v>0.000133461847701939</v>
      </c>
    </row>
    <row r="966" customFormat="false" ht="15" hidden="false" customHeight="false" outlineLevel="0" collapsed="false">
      <c r="B966" s="2" t="n">
        <v>2</v>
      </c>
      <c r="C966" s="2" t="n">
        <f aca="false">0</f>
        <v>0</v>
      </c>
      <c r="D966" s="2" t="n">
        <f aca="false">C966*(1-D$963)+C965*D$963</f>
        <v>0.562111818459013</v>
      </c>
      <c r="E966" s="2" t="n">
        <f aca="false">D966*(1-E$963)+D965*E$963</f>
        <v>0.534302757321059</v>
      </c>
      <c r="F966" s="2" t="n">
        <f aca="false">E966*(1-F$963)+E965*F$963</f>
        <v>0.341166624875058</v>
      </c>
      <c r="G966" s="2" t="n">
        <f aca="false">F966*(1-G$963)+F965*G$963</f>
        <v>0.307789930047825</v>
      </c>
      <c r="H966" s="2" t="n">
        <f aca="false">G966*(1-H$963)+G965*H$963</f>
        <v>0.192975069336617</v>
      </c>
      <c r="I966" s="2" t="n">
        <f aca="false">H966*(1-I$963)+H965*I$963</f>
        <v>0.120531495051613</v>
      </c>
      <c r="J966" s="2" t="n">
        <f aca="false">I966*(1-J$963)+I965*J$963</f>
        <v>0.0930729209295453</v>
      </c>
      <c r="K966" s="2" t="n">
        <f aca="false">J966*(1-K$963)+J965*K$963</f>
        <v>0.0552508448196664</v>
      </c>
      <c r="L966" s="2" t="n">
        <f aca="false">K966*(1-L$963)+K965*L$963</f>
        <v>0.0334585877753327</v>
      </c>
      <c r="M966" s="2" t="n">
        <f aca="false">L966*(1-M$963)+L965*M$963</f>
        <v>0.0282091420676734</v>
      </c>
      <c r="N966" s="2" t="n">
        <f aca="false">M966*(1-N$963)+M965*N$963</f>
        <v>0.0121863582935151</v>
      </c>
      <c r="O966" s="2" t="n">
        <f aca="false">N966*(1-O$963)+N965*O$963</f>
        <v>0.0121863582935151</v>
      </c>
    </row>
    <row r="967" customFormat="false" ht="15" hidden="false" customHeight="false" outlineLevel="0" collapsed="false">
      <c r="B967" s="2" t="n">
        <v>3</v>
      </c>
      <c r="C967" s="2" t="n">
        <f aca="false">0</f>
        <v>0</v>
      </c>
      <c r="D967" s="2" t="n">
        <f aca="false">C967*(1-D$963)+C966*D$963</f>
        <v>0</v>
      </c>
      <c r="E967" s="2" t="n">
        <f aca="false">D967*(1-E$963)+D966*E$963</f>
        <v>0.122162488703588</v>
      </c>
      <c r="F967" s="2" t="n">
        <f aca="false">E967*(1-F$963)+E966*F$963</f>
        <v>0.533120727454209</v>
      </c>
      <c r="G967" s="2" t="n">
        <f aca="false">F967*(1-G$963)+F966*G$963</f>
        <v>0.514124942782764</v>
      </c>
      <c r="H967" s="2" t="n">
        <f aca="false">G967*(1-H$963)+G966*H$963</f>
        <v>0.436268494338026</v>
      </c>
      <c r="I967" s="2" t="n">
        <f aca="false">H967*(1-I$963)+H966*I$963</f>
        <v>0.34388824064565</v>
      </c>
      <c r="J967" s="2" t="n">
        <f aca="false">I967*(1-J$963)+I966*J$963</f>
        <v>0.292424797921258</v>
      </c>
      <c r="K967" s="2" t="n">
        <f aca="false">J967*(1-K$963)+J966*K$963</f>
        <v>0.210493242334996</v>
      </c>
      <c r="L967" s="2" t="n">
        <f aca="false">K967*(1-L$963)+K966*L$963</f>
        <v>0.148570325371599</v>
      </c>
      <c r="M967" s="2" t="n">
        <f aca="false">L967*(1-M$963)+L966*M$963</f>
        <v>0.130307243412772</v>
      </c>
      <c r="N967" s="2" t="n">
        <f aca="false">M967*(1-N$963)+M966*N$963</f>
        <v>0.0716655971742838</v>
      </c>
      <c r="O967" s="2" t="n">
        <f aca="false">N967*(1-O$963)+N966*O$963</f>
        <v>0.0716655971742838</v>
      </c>
    </row>
    <row r="968" customFormat="false" ht="15" hidden="false" customHeight="false" outlineLevel="0" collapsed="false">
      <c r="B968" s="2" t="n">
        <v>4</v>
      </c>
      <c r="C968" s="2" t="n">
        <f aca="false">0</f>
        <v>0</v>
      </c>
      <c r="D968" s="2" t="n">
        <f aca="false">C968*(1-D$963)+C967*D$963</f>
        <v>0</v>
      </c>
      <c r="E968" s="2" t="n">
        <f aca="false">D968*(1-E$963)+D967*E$963</f>
        <v>0</v>
      </c>
      <c r="F968" s="2" t="n">
        <f aca="false">E968*(1-F$963)+E967*F$963</f>
        <v>0.12181212325461</v>
      </c>
      <c r="G968" s="2" t="n">
        <f aca="false">F968*(1-G$963)+F967*G$963</f>
        <v>0.162515237040189</v>
      </c>
      <c r="H968" s="2" t="n">
        <f aca="false">G968*(1-H$963)+G967*H$963</f>
        <v>0.29518822629666</v>
      </c>
      <c r="I968" s="2" t="n">
        <f aca="false">H968*(1-I$963)+H967*I$963</f>
        <v>0.348757413185185</v>
      </c>
      <c r="J968" s="2" t="n">
        <f aca="false">I968*(1-J$963)+I967*J$963</f>
        <v>0.347635511173956</v>
      </c>
      <c r="K968" s="2" t="n">
        <f aca="false">J968*(1-K$963)+J967*K$963</f>
        <v>0.324944480168471</v>
      </c>
      <c r="L968" s="2" t="n">
        <f aca="false">K968*(1-L$963)+K967*L$963</f>
        <v>0.279292296163644</v>
      </c>
      <c r="M968" s="2" t="n">
        <f aca="false">L968*(1-M$963)+L967*M$963</f>
        <v>0.258552568693212</v>
      </c>
      <c r="N968" s="2" t="n">
        <f aca="false">M968*(1-N$963)+M967*N$963</f>
        <v>0.184892854185735</v>
      </c>
      <c r="O968" s="2" t="n">
        <f aca="false">N968*(1-O$963)+N967*O$963</f>
        <v>0.184892854185735</v>
      </c>
    </row>
    <row r="969" customFormat="false" ht="15" hidden="false" customHeight="false" outlineLevel="0" collapsed="false">
      <c r="B969" s="2" t="n">
        <v>5</v>
      </c>
      <c r="C969" s="2" t="n">
        <f aca="false">0</f>
        <v>0</v>
      </c>
      <c r="D969" s="2" t="n">
        <f aca="false">C969*(1-D$963)+C968*D$963</f>
        <v>0</v>
      </c>
      <c r="E969" s="2" t="n">
        <f aca="false">D969*(1-E$963)+D968*E$963</f>
        <v>0</v>
      </c>
      <c r="F969" s="2" t="n">
        <f aca="false">E969*(1-F$963)+E968*F$963</f>
        <v>0</v>
      </c>
      <c r="G969" s="2" t="n">
        <f aca="false">F969*(1-G$963)+F968*G$963</f>
        <v>0.0120545319564707</v>
      </c>
      <c r="H969" s="2" t="n">
        <f aca="false">G969*(1-H$963)+G968*H$963</f>
        <v>0.0688279121648888</v>
      </c>
      <c r="I969" s="2" t="n">
        <f aca="false">H969*(1-I$963)+H968*I$963</f>
        <v>0.154778542541595</v>
      </c>
      <c r="J969" s="2" t="n">
        <f aca="false">I969*(1-J$963)+I968*J$963</f>
        <v>0.199473053435181</v>
      </c>
      <c r="K969" s="2" t="n">
        <f aca="false">J969*(1-K$963)+J968*K$963</f>
        <v>0.260366288177717</v>
      </c>
      <c r="L969" s="2" t="n">
        <f aca="false">K969*(1-L$963)+K968*L$963</f>
        <v>0.286125166449968</v>
      </c>
      <c r="M969" s="2" t="n">
        <f aca="false">L969*(1-M$963)+L968*M$963</f>
        <v>0.285041095679611</v>
      </c>
      <c r="N969" s="2" t="n">
        <f aca="false">M969*(1-N$963)+M968*N$963</f>
        <v>0.269826994648832</v>
      </c>
      <c r="O969" s="2" t="n">
        <f aca="false">N969*(1-O$963)+N968*O$963</f>
        <v>0.269826994648832</v>
      </c>
    </row>
    <row r="970" customFormat="false" ht="15" hidden="false" customHeight="false" outlineLevel="0" collapsed="false">
      <c r="B970" s="2" t="n">
        <v>6</v>
      </c>
      <c r="C970" s="2" t="n">
        <f aca="false">0</f>
        <v>0</v>
      </c>
      <c r="D970" s="2" t="n">
        <f aca="false">C970*(1-D$963)+C969*D$963</f>
        <v>0</v>
      </c>
      <c r="E970" s="2" t="n">
        <f aca="false">D970*(1-E$963)+D969*E$963</f>
        <v>0</v>
      </c>
      <c r="F970" s="2" t="n">
        <f aca="false">E970*(1-F$963)+E969*F$963</f>
        <v>0</v>
      </c>
      <c r="G970" s="2" t="n">
        <f aca="false">F970*(1-G$963)+F969*G$963</f>
        <v>0</v>
      </c>
      <c r="H970" s="2" t="n">
        <f aca="false">G970*(1-H$963)+G969*H$963</f>
        <v>0.00454853993684556</v>
      </c>
      <c r="I970" s="2" t="n">
        <f aca="false">H970*(1-I$963)+H969*I$963</f>
        <v>0.0289558773467197</v>
      </c>
      <c r="J970" s="2" t="n">
        <f aca="false">I970*(1-J$963)+I969*J$963</f>
        <v>0.0579465734032246</v>
      </c>
      <c r="K970" s="2" t="n">
        <f aca="false">J970*(1-K$963)+J969*K$963</f>
        <v>0.116112490076024</v>
      </c>
      <c r="L970" s="2" t="n">
        <f aca="false">K970*(1-L$963)+K969*L$963</f>
        <v>0.173652286577968</v>
      </c>
      <c r="M970" s="2" t="n">
        <f aca="false">L970*(1-M$963)+L969*M$963</f>
        <v>0.191496699894462</v>
      </c>
      <c r="N970" s="2" t="n">
        <f aca="false">M970*(1-N$963)+M969*N$963</f>
        <v>0.245225391152727</v>
      </c>
      <c r="O970" s="2" t="n">
        <f aca="false">N970*(1-O$963)+N969*O$963</f>
        <v>0.245225391152727</v>
      </c>
    </row>
    <row r="971" customFormat="false" ht="15" hidden="false" customHeight="false" outlineLevel="0" collapsed="false">
      <c r="B971" s="2" t="n">
        <v>7</v>
      </c>
      <c r="C971" s="2" t="n">
        <f aca="false">0</f>
        <v>0</v>
      </c>
      <c r="D971" s="2" t="n">
        <f aca="false">C971*(1-D$963)+C970*D$963</f>
        <v>0</v>
      </c>
      <c r="E971" s="2" t="n">
        <f aca="false">D971*(1-E$963)+D970*E$963</f>
        <v>0</v>
      </c>
      <c r="F971" s="2" t="n">
        <f aca="false">E971*(1-F$963)+E970*F$963</f>
        <v>0</v>
      </c>
      <c r="G971" s="2" t="n">
        <f aca="false">F971*(1-G$963)+F970*G$963</f>
        <v>0</v>
      </c>
      <c r="H971" s="2" t="n">
        <f aca="false">G971*(1-H$963)+G970*H$963</f>
        <v>0</v>
      </c>
      <c r="I971" s="2" t="n">
        <f aca="false">H971*(1-I$963)+H970*I$963</f>
        <v>0.0017271131486322</v>
      </c>
      <c r="J971" s="2" t="n">
        <f aca="false">I971*(1-J$963)+I970*J$963</f>
        <v>0.00800087015130257</v>
      </c>
      <c r="K971" s="2" t="n">
        <f aca="false">J971*(1-K$963)+J970*K$963</f>
        <v>0.0285280366070761</v>
      </c>
      <c r="L971" s="2" t="n">
        <f aca="false">K971*(1-L$963)+K970*L$963</f>
        <v>0.0634636271818526</v>
      </c>
      <c r="M971" s="2" t="n">
        <f aca="false">L971*(1-M$963)+L970*M$963</f>
        <v>0.08094563691871</v>
      </c>
      <c r="N971" s="2" t="n">
        <f aca="false">M971*(1-N$963)+M970*N$963</f>
        <v>0.144442374281144</v>
      </c>
      <c r="O971" s="2" t="n">
        <f aca="false">N971*(1-O$963)+N970*O$963</f>
        <v>0.144442374281144</v>
      </c>
    </row>
    <row r="972" customFormat="false" ht="15" hidden="false" customHeight="false" outlineLevel="0" collapsed="false">
      <c r="B972" s="2" t="n">
        <v>8</v>
      </c>
      <c r="C972" s="2" t="n">
        <f aca="false">0</f>
        <v>0</v>
      </c>
      <c r="D972" s="2" t="n">
        <f aca="false">C972*(1-D$963)+C971*D$963</f>
        <v>0</v>
      </c>
      <c r="E972" s="2" t="n">
        <f aca="false">D972*(1-E$963)+D971*E$963</f>
        <v>0</v>
      </c>
      <c r="F972" s="2" t="n">
        <f aca="false">E972*(1-F$963)+E971*F$963</f>
        <v>0</v>
      </c>
      <c r="G972" s="2" t="n">
        <f aca="false">F972*(1-G$963)+F971*G$963</f>
        <v>0</v>
      </c>
      <c r="H972" s="2" t="n">
        <f aca="false">G972*(1-H$963)+G971*H$963</f>
        <v>0</v>
      </c>
      <c r="I972" s="2" t="n">
        <f aca="false">H972*(1-I$963)+H971*I$963</f>
        <v>0</v>
      </c>
      <c r="J972" s="2" t="n">
        <f aca="false">I972*(1-J$963)+I971*J$963</f>
        <v>0.000397942709841985</v>
      </c>
      <c r="K972" s="2" t="n">
        <f aca="false">J972*(1-K$963)+J971*K$963</f>
        <v>0.00352266710014325</v>
      </c>
      <c r="L972" s="2" t="n">
        <f aca="false">K972*(1-L$963)+K971*L$963</f>
        <v>0.0134967814168458</v>
      </c>
      <c r="M972" s="2" t="n">
        <f aca="false">L972*(1-M$963)+L971*M$963</f>
        <v>0.0214242840198469</v>
      </c>
      <c r="N972" s="2" t="n">
        <f aca="false">M972*(1-N$963)+M971*N$963</f>
        <v>0.0556113068375724</v>
      </c>
      <c r="O972" s="2" t="n">
        <f aca="false">N972*(1-O$963)+N971*O$963</f>
        <v>0.0556113068375724</v>
      </c>
    </row>
    <row r="973" customFormat="false" ht="15" hidden="false" customHeight="false" outlineLevel="0" collapsed="false">
      <c r="B973" s="2" t="n">
        <v>9</v>
      </c>
      <c r="C973" s="2" t="n">
        <f aca="false">0</f>
        <v>0</v>
      </c>
      <c r="D973" s="2" t="n">
        <f aca="false">C973*(1-D$963)+C972*D$963</f>
        <v>0</v>
      </c>
      <c r="E973" s="2" t="n">
        <f aca="false">D973*(1-E$963)+D972*E$963</f>
        <v>0</v>
      </c>
      <c r="F973" s="2" t="n">
        <f aca="false">E973*(1-F$963)+E972*F$963</f>
        <v>0</v>
      </c>
      <c r="G973" s="2" t="n">
        <f aca="false">F973*(1-G$963)+F972*G$963</f>
        <v>0</v>
      </c>
      <c r="H973" s="2" t="n">
        <f aca="false">G973*(1-H$963)+G972*H$963</f>
        <v>0</v>
      </c>
      <c r="I973" s="2" t="n">
        <f aca="false">H973*(1-I$963)+H972*I$963</f>
        <v>0</v>
      </c>
      <c r="J973" s="2" t="n">
        <f aca="false">I973*(1-J$963)+I972*J$963</f>
        <v>0</v>
      </c>
      <c r="K973" s="2" t="n">
        <f aca="false">J973*(1-K$963)+J972*K$963</f>
        <v>0.000163550329916992</v>
      </c>
      <c r="L973" s="2" t="n">
        <f aca="false">K973*(1-L$963)+K972*L$963</f>
        <v>0.00150343113672131</v>
      </c>
      <c r="M973" s="2" t="n">
        <f aca="false">L973*(1-M$963)+L972*M$963</f>
        <v>0.00340623917090338</v>
      </c>
      <c r="N973" s="2" t="n">
        <f aca="false">M973*(1-N$963)+M972*N$963</f>
        <v>0.0137551858997906</v>
      </c>
      <c r="O973" s="2" t="n">
        <f aca="false">N973*(1-O$963)+N972*O$963</f>
        <v>0.0137551858997906</v>
      </c>
    </row>
    <row r="974" customFormat="false" ht="15" hidden="false" customHeight="false" outlineLevel="0" collapsed="false">
      <c r="B974" s="2" t="n">
        <v>10</v>
      </c>
      <c r="C974" s="2" t="n">
        <f aca="false">0</f>
        <v>0</v>
      </c>
      <c r="D974" s="2" t="n">
        <f aca="false">C974*(1-D$963)+C973*D$963</f>
        <v>0</v>
      </c>
      <c r="E974" s="2" t="n">
        <f aca="false">D974*(1-E$963)+D973*E$963</f>
        <v>0</v>
      </c>
      <c r="F974" s="2" t="n">
        <f aca="false">E974*(1-F$963)+E973*F$963</f>
        <v>0</v>
      </c>
      <c r="G974" s="2" t="n">
        <f aca="false">F974*(1-G$963)+F973*G$963</f>
        <v>0</v>
      </c>
      <c r="H974" s="2" t="n">
        <f aca="false">G974*(1-H$963)+G973*H$963</f>
        <v>0</v>
      </c>
      <c r="I974" s="2" t="n">
        <f aca="false">H974*(1-I$963)+H973*I$963</f>
        <v>0</v>
      </c>
      <c r="J974" s="2" t="n">
        <f aca="false">I974*(1-J$963)+I973*J$963</f>
        <v>0</v>
      </c>
      <c r="K974" s="2" t="n">
        <f aca="false">J974*(1-K$963)+J973*K$963</f>
        <v>0</v>
      </c>
      <c r="L974" s="2" t="n">
        <f aca="false">K974*(1-L$963)+K973*L$963</f>
        <v>6.52367759122382E-005</v>
      </c>
      <c r="M974" s="2" t="n">
        <f aca="false">L974*(1-M$963)+L973*M$963</f>
        <v>0.000293413867429192</v>
      </c>
      <c r="N974" s="2" t="n">
        <f aca="false">M974*(1-N$963)+M973*N$963</f>
        <v>0.00208131391496823</v>
      </c>
      <c r="O974" s="2" t="n">
        <f aca="false">N974*(1-O$963)+N973*O$963</f>
        <v>0.00208131391496823</v>
      </c>
    </row>
    <row r="975" customFormat="false" ht="15" hidden="false" customHeight="false" outlineLevel="0" collapsed="false">
      <c r="B975" s="2" t="n">
        <v>11</v>
      </c>
      <c r="C975" s="2" t="n">
        <f aca="false">0</f>
        <v>0</v>
      </c>
      <c r="D975" s="2" t="n">
        <f aca="false">C975*(1-D$963)+C974*D$963</f>
        <v>0</v>
      </c>
      <c r="E975" s="2" t="n">
        <f aca="false">D975*(1-E$963)+D974*E$963</f>
        <v>0</v>
      </c>
      <c r="F975" s="2" t="n">
        <f aca="false">E975*(1-F$963)+E974*F$963</f>
        <v>0</v>
      </c>
      <c r="G975" s="2" t="n">
        <f aca="false">F975*(1-G$963)+F974*G$963</f>
        <v>0</v>
      </c>
      <c r="H975" s="2" t="n">
        <f aca="false">G975*(1-H$963)+G974*H$963</f>
        <v>0</v>
      </c>
      <c r="I975" s="2" t="n">
        <f aca="false">H975*(1-I$963)+H974*I$963</f>
        <v>0</v>
      </c>
      <c r="J975" s="2" t="n">
        <f aca="false">I975*(1-J$963)+I974*J$963</f>
        <v>0</v>
      </c>
      <c r="K975" s="2" t="n">
        <f aca="false">J975*(1-K$963)+J974*K$963</f>
        <v>0</v>
      </c>
      <c r="L975" s="2" t="n">
        <f aca="false">K975*(1-L$963)+K974*L$963</f>
        <v>0</v>
      </c>
      <c r="M975" s="2" t="n">
        <f aca="false">L975*(1-M$963)+L974*M$963</f>
        <v>1.03501572480257E-005</v>
      </c>
      <c r="N975" s="2" t="n">
        <f aca="false">M975*(1-N$963)+M974*N$963</f>
        <v>0.000172932239938192</v>
      </c>
      <c r="O975" s="2" t="n">
        <f aca="false">N975*(1-O$963)+N974*O$963</f>
        <v>0.000172932239938192</v>
      </c>
    </row>
    <row r="976" customFormat="false" ht="15" hidden="false" customHeight="false" outlineLevel="0" collapsed="false">
      <c r="B976" s="2" t="n">
        <v>12</v>
      </c>
      <c r="C976" s="2" t="n">
        <f aca="false">0</f>
        <v>0</v>
      </c>
      <c r="D976" s="2" t="n">
        <f aca="false">C976*(1-D$963)+C975*D$963</f>
        <v>0</v>
      </c>
      <c r="E976" s="2" t="n">
        <f aca="false">D976*(1-E$963)+D975*E$963</f>
        <v>0</v>
      </c>
      <c r="F976" s="2" t="n">
        <f aca="false">E976*(1-F$963)+E975*F$963</f>
        <v>0</v>
      </c>
      <c r="G976" s="2" t="n">
        <f aca="false">F976*(1-G$963)+F975*G$963</f>
        <v>0</v>
      </c>
      <c r="H976" s="2" t="n">
        <f aca="false">G976*(1-H$963)+G975*H$963</f>
        <v>0</v>
      </c>
      <c r="I976" s="2" t="n">
        <f aca="false">H976*(1-I$963)+H975*I$963</f>
        <v>0</v>
      </c>
      <c r="J976" s="2" t="n">
        <f aca="false">I976*(1-J$963)+I975*J$963</f>
        <v>0</v>
      </c>
      <c r="K976" s="2" t="n">
        <f aca="false">J976*(1-K$963)+J975*K$963</f>
        <v>0</v>
      </c>
      <c r="L976" s="2" t="n">
        <f aca="false">K976*(1-L$963)+K975*L$963</f>
        <v>0</v>
      </c>
      <c r="M976" s="2" t="n">
        <f aca="false">L976*(1-M$963)+L975*M$963</f>
        <v>0</v>
      </c>
      <c r="N976" s="2" t="n">
        <f aca="false">M976*(1-N$963)+M975*N$963</f>
        <v>5.94477519028404E-006</v>
      </c>
      <c r="O976" s="2" t="n">
        <f aca="false">N976*(1-O$963)+N975*O$963</f>
        <v>5.94477519028404E-006</v>
      </c>
    </row>
    <row r="977" customFormat="false" ht="15" hidden="false" customHeight="false" outlineLevel="0" collapsed="false">
      <c r="B977" s="2" t="n">
        <v>13</v>
      </c>
      <c r="C977" s="2" t="n">
        <f aca="false">0</f>
        <v>0</v>
      </c>
      <c r="D977" s="2" t="n">
        <f aca="false">C977*(1-D$963)+C976*D$963</f>
        <v>0</v>
      </c>
      <c r="E977" s="2" t="n">
        <f aca="false">D977*(1-E$963)+D976*E$963</f>
        <v>0</v>
      </c>
      <c r="F977" s="2" t="n">
        <f aca="false">E977*(1-F$963)+E976*F$963</f>
        <v>0</v>
      </c>
      <c r="G977" s="2" t="n">
        <f aca="false">F977*(1-G$963)+F976*G$963</f>
        <v>0</v>
      </c>
      <c r="H977" s="2" t="n">
        <f aca="false">G977*(1-H$963)+G976*H$963</f>
        <v>0</v>
      </c>
      <c r="I977" s="2" t="n">
        <f aca="false">H977*(1-I$963)+H976*I$963</f>
        <v>0</v>
      </c>
      <c r="J977" s="2" t="n">
        <f aca="false">I977*(1-J$963)+I976*J$963</f>
        <v>0</v>
      </c>
      <c r="K977" s="2" t="n">
        <f aca="false">J977*(1-K$963)+J976*K$963</f>
        <v>0</v>
      </c>
      <c r="L977" s="2" t="n">
        <f aca="false">K977*(1-L$963)+K976*L$963</f>
        <v>0</v>
      </c>
      <c r="M977" s="2" t="n">
        <f aca="false">L977*(1-M$963)+L976*M$963</f>
        <v>0</v>
      </c>
      <c r="N977" s="2" t="n">
        <f aca="false">M977*(1-N$963)+M976*N$963</f>
        <v>0</v>
      </c>
      <c r="O977" s="2" t="n">
        <f aca="false">N977*(1-O$963)+N976*O$963</f>
        <v>0</v>
      </c>
    </row>
    <row r="979" customFormat="false" ht="15" hidden="false" customHeight="false" outlineLevel="0" collapsed="false">
      <c r="A979" s="1" t="s">
        <v>119</v>
      </c>
      <c r="C979" s="2" t="n">
        <f aca="false">Schedule!G63</f>
        <v>0.805793783456004</v>
      </c>
      <c r="D979" s="2" t="n">
        <f aca="false">Schedule!L63</f>
        <v>0.90319951541439</v>
      </c>
      <c r="E979" s="2" t="n">
        <f aca="false">Schedule!Q63</f>
        <v>0.0469671158307458</v>
      </c>
      <c r="F979" s="2" t="n">
        <f aca="false">Schedule!V63</f>
        <v>0.386864750968727</v>
      </c>
      <c r="G979" s="2" t="n">
        <f aca="false">Schedule!AA63</f>
        <v>0.398878901347056</v>
      </c>
      <c r="H979" s="2" t="n">
        <f aca="false">Schedule!AF63</f>
        <v>0.360826675149783</v>
      </c>
      <c r="I979" s="2" t="n">
        <f aca="false">Schedule!AK63</f>
        <v>0.490027481804762</v>
      </c>
      <c r="J979" s="2" t="n">
        <f aca="false">Schedule!AP63</f>
        <v>0.360826675149783</v>
      </c>
      <c r="K979" s="2" t="n">
        <f aca="false">Schedule!AU63</f>
        <v>0.139792961067114</v>
      </c>
      <c r="L979" s="2" t="n">
        <f aca="false">Schedule!AZ63</f>
        <v>0.243919501888608</v>
      </c>
      <c r="M979" s="2" t="n">
        <f aca="false">Schedule!BE63</f>
        <v>0.0628538088582518</v>
      </c>
      <c r="N979" s="2" t="n">
        <f aca="false">Schedule!BJ63</f>
        <v>0.425634311844103</v>
      </c>
      <c r="O979" s="2" t="n">
        <f aca="false">Schedule!BO63</f>
        <v>0</v>
      </c>
    </row>
    <row r="980" customFormat="false" ht="15" hidden="false" customHeight="false" outlineLevel="0" collapsed="false">
      <c r="B980" s="2" t="n">
        <v>0</v>
      </c>
      <c r="C980" s="2" t="n">
        <f aca="false">1-C$979</f>
        <v>0.194206216543996</v>
      </c>
      <c r="D980" s="2" t="n">
        <f aca="false">C980*(1-D$979)</f>
        <v>0.0187992558709968</v>
      </c>
      <c r="E980" s="2" t="n">
        <f aca="false">D980*(1-E$979)</f>
        <v>0.0179163090429718</v>
      </c>
      <c r="F980" s="2" t="n">
        <f aca="false">E980*(1-F$979)</f>
        <v>0.0109851206067838</v>
      </c>
      <c r="G980" s="2" t="n">
        <f aca="false">F980*(1-G$979)</f>
        <v>0.00660338776798496</v>
      </c>
      <c r="H980" s="2" t="n">
        <f aca="false">G980*(1-H$979)</f>
        <v>0.0042207093149382</v>
      </c>
      <c r="I980" s="2" t="n">
        <f aca="false">H980*(1-I$979)</f>
        <v>0.00215244575790913</v>
      </c>
      <c r="J980" s="2" t="n">
        <f aca="false">I980*(1-J$979)</f>
        <v>0.00137578591164252</v>
      </c>
      <c r="K980" s="2" t="n">
        <f aca="false">J980*(1-K$979)</f>
        <v>0.0011834607252596</v>
      </c>
      <c r="L980" s="2" t="n">
        <f aca="false">K980*(1-L$979)</f>
        <v>0.000894791574649545</v>
      </c>
      <c r="M980" s="2" t="n">
        <f aca="false">L980*(1-M$979)</f>
        <v>0.000838550516048548</v>
      </c>
      <c r="N980" s="2" t="n">
        <f aca="false">M980*(1-N$979)</f>
        <v>0.000481634644203707</v>
      </c>
      <c r="O980" s="2" t="n">
        <f aca="false">N980*(1-O$979)</f>
        <v>0.000481634644203707</v>
      </c>
    </row>
    <row r="981" customFormat="false" ht="15" hidden="false" customHeight="false" outlineLevel="0" collapsed="false">
      <c r="B981" s="2" t="n">
        <v>1</v>
      </c>
      <c r="C981" s="2" t="n">
        <f aca="false">C$979</f>
        <v>0.805793783456004</v>
      </c>
      <c r="D981" s="2" t="n">
        <f aca="false">C981*(1-D$979)+C980*D$979</f>
        <v>0.253408189387613</v>
      </c>
      <c r="E981" s="2" t="n">
        <f aca="false">D981*(1-E$979)+D980*E$979</f>
        <v>0.24238928443221</v>
      </c>
      <c r="F981" s="2" t="n">
        <f aca="false">E981*(1-F$979)+E980*F$979</f>
        <v>0.155548602709043</v>
      </c>
      <c r="G981" s="2" t="n">
        <f aca="false">F981*(1-G$979)+F980*G$979</f>
        <v>0.0978852797931891</v>
      </c>
      <c r="H981" s="2" t="n">
        <f aca="false">G981*(1-H$979)+G980*H$979</f>
        <v>0.0649483381923532</v>
      </c>
      <c r="I981" s="2" t="n">
        <f aca="false">H981*(1-I$979)+H980*I$979</f>
        <v>0.0351901311375794</v>
      </c>
      <c r="J981" s="2" t="n">
        <f aca="false">I981*(1-J$979)+I980*J$979</f>
        <v>0.0232692529673884</v>
      </c>
      <c r="K981" s="2" t="n">
        <f aca="false">J981*(1-K$979)+J980*K$979</f>
        <v>0.0202087003796403</v>
      </c>
      <c r="L981" s="2" t="n">
        <f aca="false">K981*(1-L$979)+K980*L$979</f>
        <v>0.0155680733998324</v>
      </c>
      <c r="M981" s="2" t="n">
        <f aca="false">L981*(1-M$979)+L980*M$979</f>
        <v>0.0146458017486691</v>
      </c>
      <c r="N981" s="2" t="n">
        <f aca="false">M981*(1-N$979)+M980*N$979</f>
        <v>0.008768961871814</v>
      </c>
      <c r="O981" s="2" t="n">
        <f aca="false">N981*(1-O$979)+N980*O$979</f>
        <v>0.008768961871814</v>
      </c>
    </row>
    <row r="982" customFormat="false" ht="15" hidden="false" customHeight="false" outlineLevel="0" collapsed="false">
      <c r="B982" s="2" t="n">
        <v>2</v>
      </c>
      <c r="C982" s="2" t="n">
        <f aca="false">0</f>
        <v>0</v>
      </c>
      <c r="D982" s="2" t="n">
        <f aca="false">C982*(1-D$979)+C981*D$979</f>
        <v>0.727792554741391</v>
      </c>
      <c r="E982" s="2" t="n">
        <f aca="false">D982*(1-E$979)+D981*E$979</f>
        <v>0.705512089305525</v>
      </c>
      <c r="F982" s="2" t="n">
        <f aca="false">E982*(1-F$979)+E981*F$979</f>
        <v>0.526346200730272</v>
      </c>
      <c r="G982" s="2" t="n">
        <f aca="false">F982*(1-G$979)+F981*G$979</f>
        <v>0.378442862209437</v>
      </c>
      <c r="H982" s="2" t="n">
        <f aca="false">G982*(1-H$979)+G981*H$979</f>
        <v>0.277210202558121</v>
      </c>
      <c r="I982" s="2" t="n">
        <f aca="false">H982*(1-I$979)+H981*I$979</f>
        <v>0.17319605567978</v>
      </c>
      <c r="J982" s="2" t="n">
        <f aca="false">I982*(1-J$979)+I981*J$979</f>
        <v>0.123399836776246</v>
      </c>
      <c r="K982" s="2" t="n">
        <f aca="false">J982*(1-K$979)+J981*K$979</f>
        <v>0.109402285972227</v>
      </c>
      <c r="L982" s="2" t="n">
        <f aca="false">K982*(1-L$979)+K981*L$979</f>
        <v>0.0876462310028241</v>
      </c>
      <c r="M982" s="2" t="n">
        <f aca="false">L982*(1-M$979)+L981*M$979</f>
        <v>0.0831158442619907</v>
      </c>
      <c r="N982" s="2" t="n">
        <f aca="false">M982*(1-N$979)+M981*N$979</f>
        <v>0.0539726448348966</v>
      </c>
      <c r="O982" s="2" t="n">
        <f aca="false">N982*(1-O$979)+N981*O$979</f>
        <v>0.0539726448348966</v>
      </c>
    </row>
    <row r="983" customFormat="false" ht="15" hidden="false" customHeight="false" outlineLevel="0" collapsed="false">
      <c r="B983" s="2" t="n">
        <v>3</v>
      </c>
      <c r="C983" s="2" t="n">
        <f aca="false">0</f>
        <v>0</v>
      </c>
      <c r="D983" s="2" t="n">
        <f aca="false">C983*(1-D$979)+C982*D$979</f>
        <v>0</v>
      </c>
      <c r="E983" s="2" t="n">
        <f aca="false">D983*(1-E$979)+D982*E$979</f>
        <v>0.0341823172192933</v>
      </c>
      <c r="F983" s="2" t="n">
        <f aca="false">E983*(1-F$979)+E982*F$979</f>
        <v>0.293896142315326</v>
      </c>
      <c r="G983" s="2" t="n">
        <f aca="false">F983*(1-G$979)+F982*G$979</f>
        <v>0.386615566233938</v>
      </c>
      <c r="H983" s="2" t="n">
        <f aca="false">G983*(1-H$979)+G982*H$979</f>
        <v>0.383666636613794</v>
      </c>
      <c r="I983" s="2" t="n">
        <f aca="false">H983*(1-I$979)+H982*I$979</f>
        <v>0.331500058311578</v>
      </c>
      <c r="J983" s="2" t="n">
        <f aca="false">I983*(1-J$979)+I982*J$979</f>
        <v>0.274379751379044</v>
      </c>
      <c r="K983" s="2" t="n">
        <f aca="false">J983*(1-K$979)+J982*K$979</f>
        <v>0.253273822055058</v>
      </c>
      <c r="L983" s="2" t="n">
        <f aca="false">K983*(1-L$979)+K982*L$979</f>
        <v>0.218180748637785</v>
      </c>
      <c r="M983" s="2" t="n">
        <f aca="false">L983*(1-M$979)+L982*M$979</f>
        <v>0.209976157016953</v>
      </c>
      <c r="N983" s="2" t="n">
        <f aca="false">M983*(1-N$979)+M982*N$979</f>
        <v>0.155980055097167</v>
      </c>
      <c r="O983" s="2" t="n">
        <f aca="false">N983*(1-O$979)+N982*O$979</f>
        <v>0.155980055097167</v>
      </c>
    </row>
    <row r="984" customFormat="false" ht="15" hidden="false" customHeight="false" outlineLevel="0" collapsed="false">
      <c r="B984" s="2" t="n">
        <v>4</v>
      </c>
      <c r="C984" s="2" t="n">
        <f aca="false">0</f>
        <v>0</v>
      </c>
      <c r="D984" s="2" t="n">
        <f aca="false">C984*(1-D$979)+C983*D$979</f>
        <v>0</v>
      </c>
      <c r="E984" s="2" t="n">
        <f aca="false">D984*(1-E$979)+D983*E$979</f>
        <v>0</v>
      </c>
      <c r="F984" s="2" t="n">
        <f aca="false">E984*(1-F$979)+E983*F$979</f>
        <v>0.0132239336385759</v>
      </c>
      <c r="G984" s="2" t="n">
        <f aca="false">F984*(1-G$979)+F983*G$979</f>
        <v>0.12517815587421</v>
      </c>
      <c r="H984" s="2" t="n">
        <f aca="false">G984*(1-H$979)+G983*H$979</f>
        <v>0.21951174741408</v>
      </c>
      <c r="I984" s="2" t="n">
        <f aca="false">H984*(1-I$979)+H983*I$979</f>
        <v>0.299952154394556</v>
      </c>
      <c r="J984" s="2" t="n">
        <f aca="false">I984*(1-J$979)+I983*J$979</f>
        <v>0.31133547967288</v>
      </c>
      <c r="K984" s="2" t="n">
        <f aca="false">J984*(1-K$979)+J983*K$979</f>
        <v>0.306169328986292</v>
      </c>
      <c r="L984" s="2" t="n">
        <f aca="false">K984*(1-L$979)+K983*L$979</f>
        <v>0.29326708328348</v>
      </c>
      <c r="M984" s="2" t="n">
        <f aca="false">L984*(1-M$979)+L983*M$979</f>
        <v>0.288547621157793</v>
      </c>
      <c r="N984" s="2" t="n">
        <f aca="false">M984*(1-N$979)+M983*N$979</f>
        <v>0.255104910087623</v>
      </c>
      <c r="O984" s="2" t="n">
        <f aca="false">N984*(1-O$979)+N983*O$979</f>
        <v>0.255104910087623</v>
      </c>
    </row>
    <row r="985" customFormat="false" ht="15" hidden="false" customHeight="false" outlineLevel="0" collapsed="false">
      <c r="B985" s="2" t="n">
        <v>5</v>
      </c>
      <c r="C985" s="2" t="n">
        <f aca="false">0</f>
        <v>0</v>
      </c>
      <c r="D985" s="2" t="n">
        <f aca="false">C985*(1-D$979)+C984*D$979</f>
        <v>0</v>
      </c>
      <c r="E985" s="2" t="n">
        <f aca="false">D985*(1-E$979)+D984*E$979</f>
        <v>0</v>
      </c>
      <c r="F985" s="2" t="n">
        <f aca="false">E985*(1-F$979)+E984*F$979</f>
        <v>0</v>
      </c>
      <c r="G985" s="2" t="n">
        <f aca="false">F985*(1-G$979)+F984*G$979</f>
        <v>0.00527474812124155</v>
      </c>
      <c r="H985" s="2" t="n">
        <f aca="false">G985*(1-H$979)+G984*H$979</f>
        <v>0.0485390960798737</v>
      </c>
      <c r="I985" s="2" t="n">
        <f aca="false">H985*(1-I$979)+H984*I$979</f>
        <v>0.132320393870658</v>
      </c>
      <c r="J985" s="2" t="n">
        <f aca="false">I985*(1-J$979)+I984*J$979</f>
        <v>0.192806404670001</v>
      </c>
      <c r="K985" s="2" t="n">
        <f aca="false">J985*(1-K$979)+J984*K$979</f>
        <v>0.209375935037199</v>
      </c>
      <c r="L985" s="2" t="n">
        <f aca="false">K985*(1-L$979)+K984*L$979</f>
        <v>0.23298573147537</v>
      </c>
      <c r="M985" s="2" t="n">
        <f aca="false">L985*(1-M$979)+L984*M$979</f>
        <v>0.236774644039634</v>
      </c>
      <c r="N985" s="2" t="n">
        <f aca="false">M985*(1-N$979)+M984*N$979</f>
        <v>0.258810999527442</v>
      </c>
      <c r="O985" s="2" t="n">
        <f aca="false">N985*(1-O$979)+N984*O$979</f>
        <v>0.258810999527442</v>
      </c>
    </row>
    <row r="986" customFormat="false" ht="15" hidden="false" customHeight="false" outlineLevel="0" collapsed="false">
      <c r="B986" s="2" t="n">
        <v>6</v>
      </c>
      <c r="C986" s="2" t="n">
        <f aca="false">0</f>
        <v>0</v>
      </c>
      <c r="D986" s="2" t="n">
        <f aca="false">C986*(1-D$979)+C985*D$979</f>
        <v>0</v>
      </c>
      <c r="E986" s="2" t="n">
        <f aca="false">D986*(1-E$979)+D985*E$979</f>
        <v>0</v>
      </c>
      <c r="F986" s="2" t="n">
        <f aca="false">E986*(1-F$979)+E985*F$979</f>
        <v>0</v>
      </c>
      <c r="G986" s="2" t="n">
        <f aca="false">F986*(1-G$979)+F985*G$979</f>
        <v>0</v>
      </c>
      <c r="H986" s="2" t="n">
        <f aca="false">G986*(1-H$979)+G985*H$979</f>
        <v>0.00190326982684015</v>
      </c>
      <c r="I986" s="2" t="n">
        <f aca="false">H986*(1-I$979)+H985*I$979</f>
        <v>0.0247561063274986</v>
      </c>
      <c r="J986" s="2" t="n">
        <f aca="false">I986*(1-J$979)+I985*J$979</f>
        <v>0.0635681705665522</v>
      </c>
      <c r="K986" s="2" t="n">
        <f aca="false">J986*(1-K$979)+J985*K$979</f>
        <v>0.0816347659949581</v>
      </c>
      <c r="L986" s="2" t="n">
        <f aca="false">K986*(1-L$979)+K985*L$979</f>
        <v>0.11279332831841</v>
      </c>
      <c r="M986" s="2" t="n">
        <f aca="false">L986*(1-M$979)+L985*M$979</f>
        <v>0.120347878652652</v>
      </c>
      <c r="N986" s="2" t="n">
        <f aca="false">M986*(1-N$979)+M985*N$979</f>
        <v>0.169903104818375</v>
      </c>
      <c r="O986" s="2" t="n">
        <f aca="false">N986*(1-O$979)+N985*O$979</f>
        <v>0.169903104818375</v>
      </c>
    </row>
    <row r="987" customFormat="false" ht="15" hidden="false" customHeight="false" outlineLevel="0" collapsed="false">
      <c r="B987" s="2" t="n">
        <v>7</v>
      </c>
      <c r="C987" s="2" t="n">
        <f aca="false">0</f>
        <v>0</v>
      </c>
      <c r="D987" s="2" t="n">
        <f aca="false">C987*(1-D$979)+C986*D$979</f>
        <v>0</v>
      </c>
      <c r="E987" s="2" t="n">
        <f aca="false">D987*(1-E$979)+D986*E$979</f>
        <v>0</v>
      </c>
      <c r="F987" s="2" t="n">
        <f aca="false">E987*(1-F$979)+E986*F$979</f>
        <v>0</v>
      </c>
      <c r="G987" s="2" t="n">
        <f aca="false">F987*(1-G$979)+F986*G$979</f>
        <v>0</v>
      </c>
      <c r="H987" s="2" t="n">
        <f aca="false">G987*(1-H$979)+G986*H$979</f>
        <v>0</v>
      </c>
      <c r="I987" s="2" t="n">
        <f aca="false">H987*(1-I$979)+H986*I$979</f>
        <v>0.000932654520441465</v>
      </c>
      <c r="J987" s="2" t="n">
        <f aca="false">I987*(1-J$979)+I986*J$979</f>
        <v>0.00952879142657299</v>
      </c>
      <c r="K987" s="2" t="n">
        <f aca="false">J987*(1-K$979)+J986*K$979</f>
        <v>0.0170831162507791</v>
      </c>
      <c r="L987" s="2" t="n">
        <f aca="false">K987*(1-L$979)+K986*L$979</f>
        <v>0.0328285225024671</v>
      </c>
      <c r="M987" s="2" t="n">
        <f aca="false">L987*(1-M$979)+L986*M$979</f>
        <v>0.0378546151226096</v>
      </c>
      <c r="N987" s="2" t="n">
        <f aca="false">M987*(1-N$979)+M986*N$979</f>
        <v>0.0729665785769933</v>
      </c>
      <c r="O987" s="2" t="n">
        <f aca="false">N987*(1-O$979)+N986*O$979</f>
        <v>0.0729665785769933</v>
      </c>
    </row>
    <row r="988" customFormat="false" ht="15" hidden="false" customHeight="false" outlineLevel="0" collapsed="false">
      <c r="B988" s="2" t="n">
        <v>8</v>
      </c>
      <c r="C988" s="2" t="n">
        <f aca="false">0</f>
        <v>0</v>
      </c>
      <c r="D988" s="2" t="n">
        <f aca="false">C988*(1-D$979)+C987*D$979</f>
        <v>0</v>
      </c>
      <c r="E988" s="2" t="n">
        <f aca="false">D988*(1-E$979)+D987*E$979</f>
        <v>0</v>
      </c>
      <c r="F988" s="2" t="n">
        <f aca="false">E988*(1-F$979)+E987*F$979</f>
        <v>0</v>
      </c>
      <c r="G988" s="2" t="n">
        <f aca="false">F988*(1-G$979)+F987*G$979</f>
        <v>0</v>
      </c>
      <c r="H988" s="2" t="n">
        <f aca="false">G988*(1-H$979)+G987*H$979</f>
        <v>0</v>
      </c>
      <c r="I988" s="2" t="n">
        <f aca="false">H988*(1-I$979)+H987*I$979</f>
        <v>0</v>
      </c>
      <c r="J988" s="2" t="n">
        <f aca="false">I988*(1-J$979)+I987*J$979</f>
        <v>0.000336526629674309</v>
      </c>
      <c r="K988" s="2" t="n">
        <f aca="false">J988*(1-K$979)+J987*K$979</f>
        <v>0.00162154054454577</v>
      </c>
      <c r="L988" s="2" t="n">
        <f aca="false">K988*(1-L$979)+K987*L$979</f>
        <v>0.0053929203892232</v>
      </c>
      <c r="M988" s="2" t="n">
        <f aca="false">L988*(1-M$979)+L987*M$979</f>
        <v>0.00711735248036009</v>
      </c>
      <c r="N988" s="2" t="n">
        <f aca="false">M988*(1-N$979)+M987*N$979</f>
        <v>0.0202001861130654</v>
      </c>
      <c r="O988" s="2" t="n">
        <f aca="false">N988*(1-O$979)+N987*O$979</f>
        <v>0.0202001861130654</v>
      </c>
    </row>
    <row r="989" customFormat="false" ht="15" hidden="false" customHeight="false" outlineLevel="0" collapsed="false">
      <c r="B989" s="2" t="n">
        <v>9</v>
      </c>
      <c r="C989" s="2" t="n">
        <f aca="false">0</f>
        <v>0</v>
      </c>
      <c r="D989" s="2" t="n">
        <f aca="false">C989*(1-D$979)+C988*D$979</f>
        <v>0</v>
      </c>
      <c r="E989" s="2" t="n">
        <f aca="false">D989*(1-E$979)+D988*E$979</f>
        <v>0</v>
      </c>
      <c r="F989" s="2" t="n">
        <f aca="false">E989*(1-F$979)+E988*F$979</f>
        <v>0</v>
      </c>
      <c r="G989" s="2" t="n">
        <f aca="false">F989*(1-G$979)+F988*G$979</f>
        <v>0</v>
      </c>
      <c r="H989" s="2" t="n">
        <f aca="false">G989*(1-H$979)+G988*H$979</f>
        <v>0</v>
      </c>
      <c r="I989" s="2" t="n">
        <f aca="false">H989*(1-I$979)+H988*I$979</f>
        <v>0</v>
      </c>
      <c r="J989" s="2" t="n">
        <f aca="false">I989*(1-J$979)+I988*J$979</f>
        <v>0</v>
      </c>
      <c r="K989" s="2" t="n">
        <f aca="false">J989*(1-K$979)+J988*K$979</f>
        <v>4.70440540401077E-005</v>
      </c>
      <c r="L989" s="2" t="n">
        <f aca="false">K989*(1-L$979)+K988*L$979</f>
        <v>0.000431094453729609</v>
      </c>
      <c r="M989" s="2" t="n">
        <f aca="false">L989*(1-M$979)+L988*M$979</f>
        <v>0.00074296411266704</v>
      </c>
      <c r="N989" s="2" t="n">
        <f aca="false">M989*(1-N$979)+M988*N$979</f>
        <v>0.00345612251897712</v>
      </c>
      <c r="O989" s="2" t="n">
        <f aca="false">N989*(1-O$979)+N988*O$979</f>
        <v>0.00345612251897712</v>
      </c>
    </row>
    <row r="990" customFormat="false" ht="15" hidden="false" customHeight="false" outlineLevel="0" collapsed="false">
      <c r="B990" s="2" t="n">
        <v>10</v>
      </c>
      <c r="C990" s="2" t="n">
        <f aca="false">0</f>
        <v>0</v>
      </c>
      <c r="D990" s="2" t="n">
        <f aca="false">C990*(1-D$979)+C989*D$979</f>
        <v>0</v>
      </c>
      <c r="E990" s="2" t="n">
        <f aca="false">D990*(1-E$979)+D989*E$979</f>
        <v>0</v>
      </c>
      <c r="F990" s="2" t="n">
        <f aca="false">E990*(1-F$979)+E989*F$979</f>
        <v>0</v>
      </c>
      <c r="G990" s="2" t="n">
        <f aca="false">F990*(1-G$979)+F989*G$979</f>
        <v>0</v>
      </c>
      <c r="H990" s="2" t="n">
        <f aca="false">G990*(1-H$979)+G989*H$979</f>
        <v>0</v>
      </c>
      <c r="I990" s="2" t="n">
        <f aca="false">H990*(1-I$979)+H989*I$979</f>
        <v>0</v>
      </c>
      <c r="J990" s="2" t="n">
        <f aca="false">I990*(1-J$979)+I989*J$979</f>
        <v>0</v>
      </c>
      <c r="K990" s="2" t="n">
        <f aca="false">J990*(1-K$979)+J989*K$979</f>
        <v>0</v>
      </c>
      <c r="L990" s="2" t="n">
        <f aca="false">K990*(1-L$979)+K989*L$979</f>
        <v>1.14749622282838E-005</v>
      </c>
      <c r="M990" s="2" t="n">
        <f aca="false">L990*(1-M$979)+L989*M$979</f>
        <v>3.7849645540305E-005</v>
      </c>
      <c r="N990" s="2" t="n">
        <f aca="false">M990*(1-N$979)+M989*N$979</f>
        <v>0.000337970556527114</v>
      </c>
      <c r="O990" s="2" t="n">
        <f aca="false">N990*(1-O$979)+N989*O$979</f>
        <v>0.000337970556527114</v>
      </c>
    </row>
    <row r="991" customFormat="false" ht="15" hidden="false" customHeight="false" outlineLevel="0" collapsed="false">
      <c r="B991" s="2" t="n">
        <v>11</v>
      </c>
      <c r="C991" s="2" t="n">
        <f aca="false">0</f>
        <v>0</v>
      </c>
      <c r="D991" s="2" t="n">
        <f aca="false">C991*(1-D$979)+C990*D$979</f>
        <v>0</v>
      </c>
      <c r="E991" s="2" t="n">
        <f aca="false">D991*(1-E$979)+D990*E$979</f>
        <v>0</v>
      </c>
      <c r="F991" s="2" t="n">
        <f aca="false">E991*(1-F$979)+E990*F$979</f>
        <v>0</v>
      </c>
      <c r="G991" s="2" t="n">
        <f aca="false">F991*(1-G$979)+F990*G$979</f>
        <v>0</v>
      </c>
      <c r="H991" s="2" t="n">
        <f aca="false">G991*(1-H$979)+G990*H$979</f>
        <v>0</v>
      </c>
      <c r="I991" s="2" t="n">
        <f aca="false">H991*(1-I$979)+H990*I$979</f>
        <v>0</v>
      </c>
      <c r="J991" s="2" t="n">
        <f aca="false">I991*(1-J$979)+I990*J$979</f>
        <v>0</v>
      </c>
      <c r="K991" s="2" t="n">
        <f aca="false">J991*(1-K$979)+J990*K$979</f>
        <v>0</v>
      </c>
      <c r="L991" s="2" t="n">
        <f aca="false">K991*(1-L$979)+K990*L$979</f>
        <v>0</v>
      </c>
      <c r="M991" s="2" t="n">
        <f aca="false">L991*(1-M$979)+L990*M$979</f>
        <v>7.21245082552212E-007</v>
      </c>
      <c r="N991" s="2" t="n">
        <f aca="false">M991*(1-N$979)+M990*N$979</f>
        <v>1.65243662612601E-005</v>
      </c>
      <c r="O991" s="2" t="n">
        <f aca="false">N991*(1-O$979)+N990*O$979</f>
        <v>1.65243662612601E-005</v>
      </c>
    </row>
    <row r="992" customFormat="false" ht="15" hidden="false" customHeight="false" outlineLevel="0" collapsed="false">
      <c r="B992" s="2" t="n">
        <v>12</v>
      </c>
      <c r="C992" s="2" t="n">
        <f aca="false">0</f>
        <v>0</v>
      </c>
      <c r="D992" s="2" t="n">
        <f aca="false">C992*(1-D$979)+C991*D$979</f>
        <v>0</v>
      </c>
      <c r="E992" s="2" t="n">
        <f aca="false">D992*(1-E$979)+D991*E$979</f>
        <v>0</v>
      </c>
      <c r="F992" s="2" t="n">
        <f aca="false">E992*(1-F$979)+E991*F$979</f>
        <v>0</v>
      </c>
      <c r="G992" s="2" t="n">
        <f aca="false">F992*(1-G$979)+F991*G$979</f>
        <v>0</v>
      </c>
      <c r="H992" s="2" t="n">
        <f aca="false">G992*(1-H$979)+G991*H$979</f>
        <v>0</v>
      </c>
      <c r="I992" s="2" t="n">
        <f aca="false">H992*(1-I$979)+H991*I$979</f>
        <v>0</v>
      </c>
      <c r="J992" s="2" t="n">
        <f aca="false">I992*(1-J$979)+I991*J$979</f>
        <v>0</v>
      </c>
      <c r="K992" s="2" t="n">
        <f aca="false">J992*(1-K$979)+J991*K$979</f>
        <v>0</v>
      </c>
      <c r="L992" s="2" t="n">
        <f aca="false">K992*(1-L$979)+K991*L$979</f>
        <v>0</v>
      </c>
      <c r="M992" s="2" t="n">
        <f aca="false">L992*(1-M$979)+L991*M$979</f>
        <v>0</v>
      </c>
      <c r="N992" s="2" t="n">
        <f aca="false">M992*(1-N$979)+M991*N$979</f>
        <v>3.06986654383054E-007</v>
      </c>
      <c r="O992" s="2" t="n">
        <f aca="false">N992*(1-O$979)+N991*O$979</f>
        <v>3.06986654383054E-007</v>
      </c>
    </row>
    <row r="993" customFormat="false" ht="15" hidden="false" customHeight="false" outlineLevel="0" collapsed="false">
      <c r="B993" s="2" t="n">
        <v>13</v>
      </c>
      <c r="C993" s="2" t="n">
        <f aca="false">0</f>
        <v>0</v>
      </c>
      <c r="D993" s="2" t="n">
        <f aca="false">C993*(1-D$979)+C992*D$979</f>
        <v>0</v>
      </c>
      <c r="E993" s="2" t="n">
        <f aca="false">D993*(1-E$979)+D992*E$979</f>
        <v>0</v>
      </c>
      <c r="F993" s="2" t="n">
        <f aca="false">E993*(1-F$979)+E992*F$979</f>
        <v>0</v>
      </c>
      <c r="G993" s="2" t="n">
        <f aca="false">F993*(1-G$979)+F992*G$979</f>
        <v>0</v>
      </c>
      <c r="H993" s="2" t="n">
        <f aca="false">G993*(1-H$979)+G992*H$979</f>
        <v>0</v>
      </c>
      <c r="I993" s="2" t="n">
        <f aca="false">H993*(1-I$979)+H992*I$979</f>
        <v>0</v>
      </c>
      <c r="J993" s="2" t="n">
        <f aca="false">I993*(1-J$979)+I992*J$979</f>
        <v>0</v>
      </c>
      <c r="K993" s="2" t="n">
        <f aca="false">J993*(1-K$979)+J992*K$979</f>
        <v>0</v>
      </c>
      <c r="L993" s="2" t="n">
        <f aca="false">K993*(1-L$979)+K992*L$979</f>
        <v>0</v>
      </c>
      <c r="M993" s="2" t="n">
        <f aca="false">L993*(1-M$979)+L992*M$979</f>
        <v>0</v>
      </c>
      <c r="N993" s="2" t="n">
        <f aca="false">M993*(1-N$979)+M992*N$979</f>
        <v>0</v>
      </c>
      <c r="O993" s="2" t="n">
        <f aca="false">N993*(1-O$979)+N992*O$979</f>
        <v>0</v>
      </c>
    </row>
    <row r="995" customFormat="false" ht="15" hidden="false" customHeight="false" outlineLevel="0" collapsed="false">
      <c r="A995" s="1" t="s">
        <v>120</v>
      </c>
      <c r="C995" s="2" t="n">
        <f aca="false">Schedule!G64</f>
        <v>0.994987995668239</v>
      </c>
      <c r="D995" s="2" t="n">
        <f aca="false">Schedule!L64</f>
        <v>0.330874388040879</v>
      </c>
      <c r="E995" s="2" t="n">
        <f aca="false">Schedule!Q64</f>
        <v>0.981858871836494</v>
      </c>
      <c r="F995" s="2" t="n">
        <f aca="false">Schedule!V64</f>
        <v>0.372590535846716</v>
      </c>
      <c r="G995" s="2" t="n">
        <f aca="false">Schedule!AA64</f>
        <v>0.30415056015288</v>
      </c>
      <c r="H995" s="2" t="n">
        <f aca="false">Schedule!AF64</f>
        <v>0.315169414269308</v>
      </c>
      <c r="I995" s="2" t="n">
        <f aca="false">Schedule!AK64</f>
        <v>0.25182748330014</v>
      </c>
      <c r="J995" s="2" t="n">
        <f aca="false">Schedule!AP64</f>
        <v>0.509972518195238</v>
      </c>
      <c r="K995" s="2" t="n">
        <f aca="false">Schedule!AU64</f>
        <v>0.398878901347056</v>
      </c>
      <c r="L995" s="2" t="n">
        <f aca="false">Schedule!AZ64</f>
        <v>0.48255184155421</v>
      </c>
      <c r="M995" s="2" t="n">
        <f aca="false">Schedule!BE64</f>
        <v>0.613135249031273</v>
      </c>
      <c r="N995" s="2" t="n">
        <f aca="false">Schedule!BJ64</f>
        <v>0.462653875444673</v>
      </c>
      <c r="O995" s="2" t="n">
        <f aca="false">Schedule!BO64</f>
        <v>0</v>
      </c>
    </row>
    <row r="996" customFormat="false" ht="15" hidden="false" customHeight="false" outlineLevel="0" collapsed="false">
      <c r="B996" s="2" t="n">
        <v>0</v>
      </c>
      <c r="C996" s="2" t="n">
        <f aca="false">1-C$995</f>
        <v>0.0050120043317613</v>
      </c>
      <c r="D996" s="2" t="n">
        <f aca="false">C996*(1-D$995)</f>
        <v>0.00335366046563154</v>
      </c>
      <c r="E996" s="2" t="n">
        <f aca="false">D996*(1-E$995)</f>
        <v>6.08391843239058E-005</v>
      </c>
      <c r="F996" s="2" t="n">
        <f aca="false">E996*(1-F$995)</f>
        <v>3.81710800361846E-005</v>
      </c>
      <c r="G996" s="2" t="n">
        <f aca="false">F996*(1-G$995)</f>
        <v>2.65613246615386E-005</v>
      </c>
      <c r="H996" s="2" t="n">
        <f aca="false">G996*(1-H$995)</f>
        <v>1.81900075257446E-005</v>
      </c>
      <c r="I996" s="2" t="n">
        <f aca="false">H996*(1-I$995)</f>
        <v>1.36092637093257E-005</v>
      </c>
      <c r="J996" s="2" t="n">
        <f aca="false">I996*(1-J$995)</f>
        <v>6.66891322469781E-006</v>
      </c>
      <c r="K996" s="2" t="n">
        <f aca="false">J996*(1-K$995)</f>
        <v>4.00882444445149E-006</v>
      </c>
      <c r="L996" s="2" t="n">
        <f aca="false">K996*(1-L$995)</f>
        <v>2.07435882631389E-006</v>
      </c>
      <c r="M996" s="2" t="n">
        <f aca="false">L996*(1-M$995)</f>
        <v>8.02496310761705E-007</v>
      </c>
      <c r="N996" s="2" t="n">
        <f aca="false">M996*(1-N$995)</f>
        <v>4.31218282557749E-007</v>
      </c>
      <c r="O996" s="2" t="n">
        <f aca="false">N996*(1-O$995)</f>
        <v>4.31218282557749E-007</v>
      </c>
    </row>
    <row r="997" customFormat="false" ht="15" hidden="false" customHeight="false" outlineLevel="0" collapsed="false">
      <c r="B997" s="2" t="n">
        <v>1</v>
      </c>
      <c r="C997" s="2" t="n">
        <f aca="false">C$995</f>
        <v>0.994987995668239</v>
      </c>
      <c r="D997" s="2" t="n">
        <f aca="false">C997*(1-D$995)+C996*D$995</f>
        <v>0.667430295359619</v>
      </c>
      <c r="E997" s="2" t="n">
        <f aca="false">D997*(1-E$995)+D996*E$995</f>
        <v>0.0154007598096333</v>
      </c>
      <c r="F997" s="2" t="n">
        <f aca="false">E997*(1-F$995)+E996*F$995</f>
        <v>0.00968525056400318</v>
      </c>
      <c r="G997" s="2" t="n">
        <f aca="false">F997*(1-G$995)+F996*G$995</f>
        <v>0.00675108593511526</v>
      </c>
      <c r="H997" s="2" t="n">
        <f aca="false">G997*(1-H$995)+G996*H$995</f>
        <v>0.00463172145239901</v>
      </c>
      <c r="I997" s="2" t="n">
        <f aca="false">H997*(1-I$995)+H996*I$995</f>
        <v>0.00346990743951052</v>
      </c>
      <c r="J997" s="2" t="n">
        <f aca="false">I997*(1-J$995)+I996*J$995</f>
        <v>0.00170729035516358</v>
      </c>
      <c r="K997" s="2" t="n">
        <f aca="false">J997*(1-K$995)+J996*K$995</f>
        <v>0.00102894834279575</v>
      </c>
      <c r="L997" s="2" t="n">
        <f aca="false">K997*(1-L$995)+K996*L$995</f>
        <v>0.000534361890733646</v>
      </c>
      <c r="M997" s="2" t="n">
        <f aca="false">L997*(1-M$995)+L996*M$995</f>
        <v>0.000207997642301402</v>
      </c>
      <c r="N997" s="2" t="n">
        <f aca="false">M997*(1-N$995)+M996*N$995</f>
        <v>0.000112138005035507</v>
      </c>
      <c r="O997" s="2" t="n">
        <f aca="false">N997*(1-O$995)+N996*O$995</f>
        <v>0.000112138005035507</v>
      </c>
    </row>
    <row r="998" customFormat="false" ht="15" hidden="false" customHeight="false" outlineLevel="0" collapsed="false">
      <c r="B998" s="2" t="n">
        <v>2</v>
      </c>
      <c r="C998" s="2" t="n">
        <f aca="false">0</f>
        <v>0</v>
      </c>
      <c r="D998" s="2" t="n">
        <f aca="false">C998*(1-D$995)+C997*D$995</f>
        <v>0.32921604417475</v>
      </c>
      <c r="E998" s="2" t="n">
        <f aca="false">D998*(1-E$995)+D997*E$995</f>
        <v>0.66129470728215</v>
      </c>
      <c r="F998" s="2" t="n">
        <f aca="false">E998*(1-F$995)+E997*F$995</f>
        <v>0.420640735293214</v>
      </c>
      <c r="G998" s="2" t="n">
        <f aca="false">F998*(1-G$995)+F997*G$995</f>
        <v>0.295648394414927</v>
      </c>
      <c r="H998" s="2" t="n">
        <f aca="false">G998*(1-H$995)+G997*H$995</f>
        <v>0.204596798917365</v>
      </c>
      <c r="I998" s="2" t="n">
        <f aca="false">H998*(1-I$995)+H997*I$995</f>
        <v>0.154240096711445</v>
      </c>
      <c r="J998" s="2" t="n">
        <f aca="false">I998*(1-J$995)+I997*J$995</f>
        <v>0.0773514436196638</v>
      </c>
      <c r="K998" s="2" t="n">
        <f aca="false">J998*(1-K$995)+J997*K$995</f>
        <v>0.0471785868721916</v>
      </c>
      <c r="L998" s="2" t="n">
        <f aca="false">K998*(1-L$995)+K997*L$995</f>
        <v>0.0249089938127705</v>
      </c>
      <c r="M998" s="2" t="n">
        <f aca="false">L998*(1-M$995)+L997*M$995</f>
        <v>0.00996404779920682</v>
      </c>
      <c r="N998" s="2" t="n">
        <f aca="false">M998*(1-N$995)+M997*N$995</f>
        <v>0.00545037338508192</v>
      </c>
      <c r="O998" s="2" t="n">
        <f aca="false">N998*(1-O$995)+N997*O$995</f>
        <v>0.00545037338508192</v>
      </c>
    </row>
    <row r="999" customFormat="false" ht="15" hidden="false" customHeight="false" outlineLevel="0" collapsed="false">
      <c r="B999" s="2" t="n">
        <v>3</v>
      </c>
      <c r="C999" s="2" t="n">
        <f aca="false">0</f>
        <v>0</v>
      </c>
      <c r="D999" s="2" t="n">
        <f aca="false">C999*(1-D$995)+C998*D$995</f>
        <v>0</v>
      </c>
      <c r="E999" s="2" t="n">
        <f aca="false">D999*(1-E$995)+D998*E$995</f>
        <v>0.323243693723893</v>
      </c>
      <c r="F999" s="2" t="n">
        <f aca="false">E999*(1-F$995)+E998*F$995</f>
        <v>0.449198302009089</v>
      </c>
      <c r="G999" s="2" t="n">
        <f aca="false">F999*(1-G$995)+F998*G$995</f>
        <v>0.440512502095853</v>
      </c>
      <c r="H999" s="2" t="n">
        <f aca="false">G999*(1-H$995)+G998*H$995</f>
        <v>0.394855766129409</v>
      </c>
      <c r="I999" s="2" t="n">
        <f aca="false">H999*(1-I$995)+H998*I$995</f>
        <v>0.346943329241116</v>
      </c>
      <c r="J999" s="2" t="n">
        <f aca="false">I999*(1-J$995)+I998*J$995</f>
        <v>0.248669976483597</v>
      </c>
      <c r="K999" s="2" t="n">
        <f aca="false">J999*(1-K$995)+J998*K$995</f>
        <v>0.180334628314442</v>
      </c>
      <c r="L999" s="2" t="n">
        <f aca="false">K999*(1-L$995)+K998*L$995</f>
        <v>0.116079935302415</v>
      </c>
      <c r="M999" s="2" t="n">
        <f aca="false">L999*(1-M$995)+L998*M$995</f>
        <v>0.0601798173877463</v>
      </c>
      <c r="N999" s="2" t="n">
        <f aca="false">M999*(1-N$995)+M998*N$995</f>
        <v>0.0369472969791718</v>
      </c>
      <c r="O999" s="2" t="n">
        <f aca="false">N999*(1-O$995)+N998*O$995</f>
        <v>0.0369472969791718</v>
      </c>
    </row>
    <row r="1000" customFormat="false" ht="15" hidden="false" customHeight="false" outlineLevel="0" collapsed="false">
      <c r="B1000" s="2" t="n">
        <v>4</v>
      </c>
      <c r="C1000" s="2" t="n">
        <f aca="false">0</f>
        <v>0</v>
      </c>
      <c r="D1000" s="2" t="n">
        <f aca="false">C1000*(1-D$995)+C999*D$995</f>
        <v>0</v>
      </c>
      <c r="E1000" s="2" t="n">
        <f aca="false">D1000*(1-E$995)+D999*E$995</f>
        <v>0</v>
      </c>
      <c r="F1000" s="2" t="n">
        <f aca="false">E1000*(1-F$995)+E999*F$995</f>
        <v>0.120437541053657</v>
      </c>
      <c r="G1000" s="2" t="n">
        <f aca="false">F1000*(1-G$995)+F999*G$995</f>
        <v>0.220430310654539</v>
      </c>
      <c r="H1000" s="2" t="n">
        <f aca="false">G1000*(1-H$995)+G999*H$995</f>
        <v>0.289793486022203</v>
      </c>
      <c r="I1000" s="2" t="n">
        <f aca="false">H1000*(1-I$995)+H999*I$995</f>
        <v>0.316251055611375</v>
      </c>
      <c r="J1000" s="2" t="n">
        <f aca="false">I1000*(1-J$995)+I999*J$995</f>
        <v>0.331903271683472</v>
      </c>
      <c r="K1000" s="2" t="n">
        <f aca="false">J1000*(1-K$995)+J999*K$995</f>
        <v>0.29870326633865</v>
      </c>
      <c r="L1000" s="2" t="n">
        <f aca="false">K1000*(1-L$995)+K999*L$995</f>
        <v>0.241584262077805</v>
      </c>
      <c r="M1000" s="2" t="n">
        <f aca="false">L1000*(1-M$995)+L999*M$995</f>
        <v>0.164633135425874</v>
      </c>
      <c r="N1000" s="2" t="n">
        <f aca="false">M1000*(1-N$995)+M999*N$995</f>
        <v>0.116307403032479</v>
      </c>
      <c r="O1000" s="2" t="n">
        <f aca="false">N1000*(1-O$995)+N999*O$995</f>
        <v>0.116307403032479</v>
      </c>
    </row>
    <row r="1001" customFormat="false" ht="15" hidden="false" customHeight="false" outlineLevel="0" collapsed="false">
      <c r="B1001" s="2" t="n">
        <v>5</v>
      </c>
      <c r="C1001" s="2" t="n">
        <f aca="false">0</f>
        <v>0</v>
      </c>
      <c r="D1001" s="2" t="n">
        <f aca="false">C1001*(1-D$995)+C1000*D$995</f>
        <v>0</v>
      </c>
      <c r="E1001" s="2" t="n">
        <f aca="false">D1001*(1-E$995)+D1000*E$995</f>
        <v>0</v>
      </c>
      <c r="F1001" s="2" t="n">
        <f aca="false">E1001*(1-F$995)+E1000*F$995</f>
        <v>0</v>
      </c>
      <c r="G1001" s="2" t="n">
        <f aca="false">F1001*(1-G$995)+F1000*G$995</f>
        <v>0.0366311455749052</v>
      </c>
      <c r="H1001" s="2" t="n">
        <f aca="false">G1001*(1-H$995)+G1000*H$995</f>
        <v>0.0945590207762413</v>
      </c>
      <c r="I1001" s="2" t="n">
        <f aca="false">H1001*(1-I$995)+H1000*I$995</f>
        <v>0.143724424812581</v>
      </c>
      <c r="J1001" s="2" t="n">
        <f aca="false">I1001*(1-J$995)+I1000*J$995</f>
        <v>0.231708265176782</v>
      </c>
      <c r="K1001" s="2" t="n">
        <f aca="false">J1001*(1-K$995)+J1000*K$995</f>
        <v>0.271673939292632</v>
      </c>
      <c r="L1001" s="2" t="n">
        <f aca="false">K1001*(1-L$995)+K1000*L$995</f>
        <v>0.284716990834659</v>
      </c>
      <c r="M1001" s="2" t="n">
        <f aca="false">L1001*(1-M$995)+L1000*M$995</f>
        <v>0.258270794446927</v>
      </c>
      <c r="N1001" s="2" t="n">
        <f aca="false">M1001*(1-N$995)+M1000*N$995</f>
        <v>0.21494896861327</v>
      </c>
      <c r="O1001" s="2" t="n">
        <f aca="false">N1001*(1-O$995)+N1000*O$995</f>
        <v>0.21494896861327</v>
      </c>
    </row>
    <row r="1002" customFormat="false" ht="15" hidden="false" customHeight="false" outlineLevel="0" collapsed="false">
      <c r="B1002" s="2" t="n">
        <v>6</v>
      </c>
      <c r="C1002" s="2" t="n">
        <f aca="false">0</f>
        <v>0</v>
      </c>
      <c r="D1002" s="2" t="n">
        <f aca="false">C1002*(1-D$995)+C1001*D$995</f>
        <v>0</v>
      </c>
      <c r="E1002" s="2" t="n">
        <f aca="false">D1002*(1-E$995)+D1001*E$995</f>
        <v>0</v>
      </c>
      <c r="F1002" s="2" t="n">
        <f aca="false">E1002*(1-F$995)+E1001*F$995</f>
        <v>0</v>
      </c>
      <c r="G1002" s="2" t="n">
        <f aca="false">F1002*(1-G$995)+F1001*G$995</f>
        <v>0</v>
      </c>
      <c r="H1002" s="2" t="n">
        <f aca="false">G1002*(1-H$995)+G1001*H$995</f>
        <v>0.0115450166948567</v>
      </c>
      <c r="I1002" s="2" t="n">
        <f aca="false">H1002*(1-I$995)+H1001*I$995</f>
        <v>0.0324502244213393</v>
      </c>
      <c r="J1002" s="2" t="n">
        <f aca="false">I1002*(1-J$995)+I1001*J$995</f>
        <v>0.0891970086050222</v>
      </c>
      <c r="K1002" s="2" t="n">
        <f aca="false">J1002*(1-K$995)+J1001*K$995</f>
        <v>0.146041742055954</v>
      </c>
      <c r="L1002" s="2" t="n">
        <f aca="false">K1002*(1-L$995)+K1001*L$995</f>
        <v>0.206665790191015</v>
      </c>
      <c r="M1002" s="2" t="n">
        <f aca="false">L1002*(1-M$995)+L1001*M$995</f>
        <v>0.254521732534845</v>
      </c>
      <c r="N1002" s="2" t="n">
        <f aca="false">M1002*(1-N$995)+M1001*N$995</f>
        <v>0.256256250557752</v>
      </c>
      <c r="O1002" s="2" t="n">
        <f aca="false">N1002*(1-O$995)+N1001*O$995</f>
        <v>0.256256250557752</v>
      </c>
    </row>
    <row r="1003" customFormat="false" ht="15" hidden="false" customHeight="false" outlineLevel="0" collapsed="false">
      <c r="B1003" s="2" t="n">
        <v>7</v>
      </c>
      <c r="C1003" s="2" t="n">
        <f aca="false">0</f>
        <v>0</v>
      </c>
      <c r="D1003" s="2" t="n">
        <f aca="false">C1003*(1-D$995)+C1002*D$995</f>
        <v>0</v>
      </c>
      <c r="E1003" s="2" t="n">
        <f aca="false">D1003*(1-E$995)+D1002*E$995</f>
        <v>0</v>
      </c>
      <c r="F1003" s="2" t="n">
        <f aca="false">E1003*(1-F$995)+E1002*F$995</f>
        <v>0</v>
      </c>
      <c r="G1003" s="2" t="n">
        <f aca="false">F1003*(1-G$995)+F1002*G$995</f>
        <v>0</v>
      </c>
      <c r="H1003" s="2" t="n">
        <f aca="false">G1003*(1-H$995)+G1002*H$995</f>
        <v>0</v>
      </c>
      <c r="I1003" s="2" t="n">
        <f aca="false">H1003*(1-I$995)+H1002*I$995</f>
        <v>0.00290735249892385</v>
      </c>
      <c r="J1003" s="2" t="n">
        <f aca="false">I1003*(1-J$995)+I1002*J$995</f>
        <v>0.0179734052879175</v>
      </c>
      <c r="K1003" s="2" t="n">
        <f aca="false">J1003*(1-K$995)+J1002*K$995</f>
        <v>0.0463829979290227</v>
      </c>
      <c r="L1003" s="2" t="n">
        <f aca="false">K1003*(1-L$995)+K1002*L$995</f>
        <v>0.0944735084344533</v>
      </c>
      <c r="M1003" s="2" t="n">
        <f aca="false">L1003*(1-M$995)+L1002*M$995</f>
        <v>0.163262551048649</v>
      </c>
      <c r="N1003" s="2" t="n">
        <f aca="false">M1003*(1-N$995)+M1002*N$995</f>
        <v>0.205483965033147</v>
      </c>
      <c r="O1003" s="2" t="n">
        <f aca="false">N1003*(1-O$995)+N1002*O$995</f>
        <v>0.205483965033147</v>
      </c>
    </row>
    <row r="1004" customFormat="false" ht="15" hidden="false" customHeight="false" outlineLevel="0" collapsed="false">
      <c r="B1004" s="2" t="n">
        <v>8</v>
      </c>
      <c r="C1004" s="2" t="n">
        <f aca="false">0</f>
        <v>0</v>
      </c>
      <c r="D1004" s="2" t="n">
        <f aca="false">C1004*(1-D$995)+C1003*D$995</f>
        <v>0</v>
      </c>
      <c r="E1004" s="2" t="n">
        <f aca="false">D1004*(1-E$995)+D1003*E$995</f>
        <v>0</v>
      </c>
      <c r="F1004" s="2" t="n">
        <f aca="false">E1004*(1-F$995)+E1003*F$995</f>
        <v>0</v>
      </c>
      <c r="G1004" s="2" t="n">
        <f aca="false">F1004*(1-G$995)+F1003*G$995</f>
        <v>0</v>
      </c>
      <c r="H1004" s="2" t="n">
        <f aca="false">G1004*(1-H$995)+G1003*H$995</f>
        <v>0</v>
      </c>
      <c r="I1004" s="2" t="n">
        <f aca="false">H1004*(1-I$995)+H1003*I$995</f>
        <v>0</v>
      </c>
      <c r="J1004" s="2" t="n">
        <f aca="false">I1004*(1-J$995)+I1003*J$995</f>
        <v>0.00148266987515742</v>
      </c>
      <c r="K1004" s="2" t="n">
        <f aca="false">J1004*(1-K$995)+J1003*K$995</f>
        <v>0.00806047629900414</v>
      </c>
      <c r="L1004" s="2" t="n">
        <f aca="false">K1004*(1-L$995)+K1003*L$995</f>
        <v>0.0265530796845707</v>
      </c>
      <c r="M1004" s="2" t="n">
        <f aca="false">L1004*(1-M$995)+L1003*M$995</f>
        <v>0.0681974886804408</v>
      </c>
      <c r="N1004" s="2" t="n">
        <f aca="false">M1004*(1-N$995)+M1003*N$995</f>
        <v>0.112179708204482</v>
      </c>
      <c r="O1004" s="2" t="n">
        <f aca="false">N1004*(1-O$995)+N1003*O$995</f>
        <v>0.112179708204482</v>
      </c>
    </row>
    <row r="1005" customFormat="false" ht="15" hidden="false" customHeight="false" outlineLevel="0" collapsed="false">
      <c r="B1005" s="2" t="n">
        <v>9</v>
      </c>
      <c r="C1005" s="2" t="n">
        <f aca="false">0</f>
        <v>0</v>
      </c>
      <c r="D1005" s="2" t="n">
        <f aca="false">C1005*(1-D$995)+C1004*D$995</f>
        <v>0</v>
      </c>
      <c r="E1005" s="2" t="n">
        <f aca="false">D1005*(1-E$995)+D1004*E$995</f>
        <v>0</v>
      </c>
      <c r="F1005" s="2" t="n">
        <f aca="false">E1005*(1-F$995)+E1004*F$995</f>
        <v>0</v>
      </c>
      <c r="G1005" s="2" t="n">
        <f aca="false">F1005*(1-G$995)+F1004*G$995</f>
        <v>0</v>
      </c>
      <c r="H1005" s="2" t="n">
        <f aca="false">G1005*(1-H$995)+G1004*H$995</f>
        <v>0</v>
      </c>
      <c r="I1005" s="2" t="n">
        <f aca="false">H1005*(1-I$995)+H1004*I$995</f>
        <v>0</v>
      </c>
      <c r="J1005" s="2" t="n">
        <f aca="false">I1005*(1-J$995)+I1004*J$995</f>
        <v>0</v>
      </c>
      <c r="K1005" s="2" t="n">
        <f aca="false">J1005*(1-K$995)+J1004*K$995</f>
        <v>0.000591405730863167</v>
      </c>
      <c r="L1005" s="2" t="n">
        <f aca="false">K1005*(1-L$995)+K1004*L$995</f>
        <v>0.00419561948821794</v>
      </c>
      <c r="M1005" s="2" t="n">
        <f aca="false">L1005*(1-M$995)+L1004*M$995</f>
        <v>0.0179037664134154</v>
      </c>
      <c r="N1005" s="2" t="n">
        <f aca="false">M1005*(1-N$995)+M1004*N$995</f>
        <v>0.0411723519307928</v>
      </c>
      <c r="O1005" s="2" t="n">
        <f aca="false">N1005*(1-O$995)+N1004*O$995</f>
        <v>0.0411723519307928</v>
      </c>
    </row>
    <row r="1006" customFormat="false" ht="15" hidden="false" customHeight="false" outlineLevel="0" collapsed="false">
      <c r="B1006" s="2" t="n">
        <v>10</v>
      </c>
      <c r="C1006" s="2" t="n">
        <f aca="false">0</f>
        <v>0</v>
      </c>
      <c r="D1006" s="2" t="n">
        <f aca="false">C1006*(1-D$995)+C1005*D$995</f>
        <v>0</v>
      </c>
      <c r="E1006" s="2" t="n">
        <f aca="false">D1006*(1-E$995)+D1005*E$995</f>
        <v>0</v>
      </c>
      <c r="F1006" s="2" t="n">
        <f aca="false">E1006*(1-F$995)+E1005*F$995</f>
        <v>0</v>
      </c>
      <c r="G1006" s="2" t="n">
        <f aca="false">F1006*(1-G$995)+F1005*G$995</f>
        <v>0</v>
      </c>
      <c r="H1006" s="2" t="n">
        <f aca="false">G1006*(1-H$995)+G1005*H$995</f>
        <v>0</v>
      </c>
      <c r="I1006" s="2" t="n">
        <f aca="false">H1006*(1-I$995)+H1005*I$995</f>
        <v>0</v>
      </c>
      <c r="J1006" s="2" t="n">
        <f aca="false">I1006*(1-J$995)+I1005*J$995</f>
        <v>0</v>
      </c>
      <c r="K1006" s="2" t="n">
        <f aca="false">J1006*(1-K$995)+J1005*K$995</f>
        <v>0</v>
      </c>
      <c r="L1006" s="2" t="n">
        <f aca="false">K1006*(1-L$995)+K1005*L$995</f>
        <v>0.000285383924533735</v>
      </c>
      <c r="M1006" s="2" t="n">
        <f aca="false">L1006*(1-M$995)+L1005*M$995</f>
        <v>0.00268288718064419</v>
      </c>
      <c r="N1006" s="2" t="n">
        <f aca="false">M1006*(1-N$995)+M1005*N$995</f>
        <v>0.00972488594536115</v>
      </c>
      <c r="O1006" s="2" t="n">
        <f aca="false">N1006*(1-O$995)+N1005*O$995</f>
        <v>0.00972488594536115</v>
      </c>
    </row>
    <row r="1007" customFormat="false" ht="15" hidden="false" customHeight="false" outlineLevel="0" collapsed="false">
      <c r="B1007" s="2" t="n">
        <v>11</v>
      </c>
      <c r="C1007" s="2" t="n">
        <f aca="false">0</f>
        <v>0</v>
      </c>
      <c r="D1007" s="2" t="n">
        <f aca="false">C1007*(1-D$995)+C1006*D$995</f>
        <v>0</v>
      </c>
      <c r="E1007" s="2" t="n">
        <f aca="false">D1007*(1-E$995)+D1006*E$995</f>
        <v>0</v>
      </c>
      <c r="F1007" s="2" t="n">
        <f aca="false">E1007*(1-F$995)+E1006*F$995</f>
        <v>0</v>
      </c>
      <c r="G1007" s="2" t="n">
        <f aca="false">F1007*(1-G$995)+F1006*G$995</f>
        <v>0</v>
      </c>
      <c r="H1007" s="2" t="n">
        <f aca="false">G1007*(1-H$995)+G1006*H$995</f>
        <v>0</v>
      </c>
      <c r="I1007" s="2" t="n">
        <f aca="false">H1007*(1-I$995)+H1006*I$995</f>
        <v>0</v>
      </c>
      <c r="J1007" s="2" t="n">
        <f aca="false">I1007*(1-J$995)+I1006*J$995</f>
        <v>0</v>
      </c>
      <c r="K1007" s="2" t="n">
        <f aca="false">J1007*(1-K$995)+J1006*K$995</f>
        <v>0</v>
      </c>
      <c r="L1007" s="2" t="n">
        <f aca="false">K1007*(1-L$995)+K1006*L$995</f>
        <v>0</v>
      </c>
      <c r="M1007" s="2" t="n">
        <f aca="false">L1007*(1-M$995)+L1006*M$995</f>
        <v>0.000174978943638513</v>
      </c>
      <c r="N1007" s="2" t="n">
        <f aca="false">M1007*(1-N$995)+M1006*N$995</f>
        <v>0.00133527240874881</v>
      </c>
      <c r="O1007" s="2" t="n">
        <f aca="false">N1007*(1-O$995)+N1006*O$995</f>
        <v>0.00133527240874881</v>
      </c>
    </row>
    <row r="1008" customFormat="false" ht="15" hidden="false" customHeight="false" outlineLevel="0" collapsed="false">
      <c r="B1008" s="2" t="n">
        <v>12</v>
      </c>
      <c r="C1008" s="2" t="n">
        <f aca="false">0</f>
        <v>0</v>
      </c>
      <c r="D1008" s="2" t="n">
        <f aca="false">C1008*(1-D$995)+C1007*D$995</f>
        <v>0</v>
      </c>
      <c r="E1008" s="2" t="n">
        <f aca="false">D1008*(1-E$995)+D1007*E$995</f>
        <v>0</v>
      </c>
      <c r="F1008" s="2" t="n">
        <f aca="false">E1008*(1-F$995)+E1007*F$995</f>
        <v>0</v>
      </c>
      <c r="G1008" s="2" t="n">
        <f aca="false">F1008*(1-G$995)+F1007*G$995</f>
        <v>0</v>
      </c>
      <c r="H1008" s="2" t="n">
        <f aca="false">G1008*(1-H$995)+G1007*H$995</f>
        <v>0</v>
      </c>
      <c r="I1008" s="2" t="n">
        <f aca="false">H1008*(1-I$995)+H1007*I$995</f>
        <v>0</v>
      </c>
      <c r="J1008" s="2" t="n">
        <f aca="false">I1008*(1-J$995)+I1007*J$995</f>
        <v>0</v>
      </c>
      <c r="K1008" s="2" t="n">
        <f aca="false">J1008*(1-K$995)+J1007*K$995</f>
        <v>0</v>
      </c>
      <c r="L1008" s="2" t="n">
        <f aca="false">K1008*(1-L$995)+K1007*L$995</f>
        <v>0</v>
      </c>
      <c r="M1008" s="2" t="n">
        <f aca="false">L1008*(1-M$995)+L1007*M$995</f>
        <v>0</v>
      </c>
      <c r="N1008" s="2" t="n">
        <f aca="false">M1008*(1-N$995)+M1007*N$995</f>
        <v>8.09546863955733E-005</v>
      </c>
      <c r="O1008" s="2" t="n">
        <f aca="false">N1008*(1-O$995)+N1007*O$995</f>
        <v>8.09546863955733E-005</v>
      </c>
    </row>
    <row r="1009" customFormat="false" ht="15" hidden="false" customHeight="false" outlineLevel="0" collapsed="false">
      <c r="B1009" s="2" t="n">
        <v>13</v>
      </c>
      <c r="C1009" s="2" t="n">
        <f aca="false">0</f>
        <v>0</v>
      </c>
      <c r="D1009" s="2" t="n">
        <f aca="false">C1009*(1-D$995)+C1008*D$995</f>
        <v>0</v>
      </c>
      <c r="E1009" s="2" t="n">
        <f aca="false">D1009*(1-E$995)+D1008*E$995</f>
        <v>0</v>
      </c>
      <c r="F1009" s="2" t="n">
        <f aca="false">E1009*(1-F$995)+E1008*F$995</f>
        <v>0</v>
      </c>
      <c r="G1009" s="2" t="n">
        <f aca="false">F1009*(1-G$995)+F1008*G$995</f>
        <v>0</v>
      </c>
      <c r="H1009" s="2" t="n">
        <f aca="false">G1009*(1-H$995)+G1008*H$995</f>
        <v>0</v>
      </c>
      <c r="I1009" s="2" t="n">
        <f aca="false">H1009*(1-I$995)+H1008*I$995</f>
        <v>0</v>
      </c>
      <c r="J1009" s="2" t="n">
        <f aca="false">I1009*(1-J$995)+I1008*J$995</f>
        <v>0</v>
      </c>
      <c r="K1009" s="2" t="n">
        <f aca="false">J1009*(1-K$995)+J1008*K$995</f>
        <v>0</v>
      </c>
      <c r="L1009" s="2" t="n">
        <f aca="false">K1009*(1-L$995)+K1008*L$995</f>
        <v>0</v>
      </c>
      <c r="M1009" s="2" t="n">
        <f aca="false">L1009*(1-M$995)+L1008*M$995</f>
        <v>0</v>
      </c>
      <c r="N1009" s="2" t="n">
        <f aca="false">M1009*(1-N$995)+M1008*N$995</f>
        <v>0</v>
      </c>
      <c r="O1009" s="2" t="n">
        <f aca="false">N1009*(1-O$995)+N1008*O$995</f>
        <v>0</v>
      </c>
    </row>
    <row r="1011" customFormat="false" ht="15" hidden="false" customHeight="false" outlineLevel="0" collapsed="false">
      <c r="A1011" s="1" t="s">
        <v>121</v>
      </c>
      <c r="C1011" s="2" t="n">
        <f aca="false">Schedule!G65</f>
        <v>0.968291033862344</v>
      </c>
      <c r="D1011" s="2" t="n">
        <f aca="false">Schedule!L65</f>
        <v>0.617911422188953</v>
      </c>
      <c r="E1011" s="2" t="n">
        <f aca="false">Schedule!Q65</f>
        <v>0.844350476653232</v>
      </c>
      <c r="F1011" s="2" t="n">
        <f aca="false">Schedule!V65</f>
        <v>0.547263288750412</v>
      </c>
      <c r="G1011" s="2" t="n">
        <f aca="false">Schedule!AA65</f>
        <v>0.729896500998765</v>
      </c>
      <c r="H1011" s="2" t="n">
        <f aca="false">Schedule!AF65</f>
        <v>0.495013351355962</v>
      </c>
      <c r="I1011" s="2" t="n">
        <f aca="false">Schedule!AK65</f>
        <v>0.83052702783228</v>
      </c>
      <c r="J1011" s="2" t="n">
        <f aca="false">Schedule!AP65</f>
        <v>0.0569104435235073</v>
      </c>
      <c r="K1011" s="2" t="n">
        <f aca="false">Schedule!AU65</f>
        <v>0.788144601416603</v>
      </c>
      <c r="L1011" s="2" t="n">
        <f aca="false">Schedule!AZ65</f>
        <v>0.584141511109092</v>
      </c>
      <c r="M1011" s="2" t="n">
        <f aca="false">Schedule!BE65</f>
        <v>0.922921399447928</v>
      </c>
      <c r="N1011" s="2" t="n">
        <f aca="false">Schedule!BJ65</f>
        <v>0.58901036286873</v>
      </c>
      <c r="O1011" s="2" t="n">
        <f aca="false">Schedule!BO65</f>
        <v>0</v>
      </c>
    </row>
    <row r="1012" customFormat="false" ht="15" hidden="false" customHeight="false" outlineLevel="0" collapsed="false">
      <c r="B1012" s="2" t="n">
        <v>0</v>
      </c>
      <c r="C1012" s="2" t="n">
        <f aca="false">1-C$1011</f>
        <v>0.0317089661376563</v>
      </c>
      <c r="D1012" s="2" t="n">
        <f aca="false">C1012*(1-D$1011)</f>
        <v>0.0121156337753957</v>
      </c>
      <c r="E1012" s="2" t="n">
        <f aca="false">D1012*(1-E$1011)</f>
        <v>0.00188579262218436</v>
      </c>
      <c r="F1012" s="2" t="n">
        <f aca="false">E1012*(1-F$1011)</f>
        <v>0.000853767549866483</v>
      </c>
      <c r="G1012" s="2" t="n">
        <f aca="false">F1012*(1-G$1011)</f>
        <v>0.000230605602552649</v>
      </c>
      <c r="H1012" s="2" t="n">
        <f aca="false">G1012*(1-H$1011)</f>
        <v>0.000116452750391601</v>
      </c>
      <c r="I1012" s="2" t="n">
        <f aca="false">H1012*(1-I$1011)</f>
        <v>1.97355937259702E-005</v>
      </c>
      <c r="J1012" s="2" t="n">
        <f aca="false">I1012*(1-J$1011)</f>
        <v>1.86124323338255E-005</v>
      </c>
      <c r="K1012" s="2" t="n">
        <f aca="false">J1012*(1-K$1011)</f>
        <v>3.9431442706891E-006</v>
      </c>
      <c r="L1012" s="2" t="n">
        <f aca="false">K1012*(1-L$1011)</f>
        <v>1.63979001788761E-006</v>
      </c>
      <c r="M1012" s="2" t="n">
        <f aca="false">L1012*(1-M$1011)</f>
        <v>1.26392719778034E-007</v>
      </c>
      <c r="N1012" s="2" t="n">
        <f aca="false">M1012*(1-N$1011)</f>
        <v>5.19460980376084E-008</v>
      </c>
      <c r="O1012" s="2" t="n">
        <f aca="false">N1012*(1-O$1011)</f>
        <v>5.19460980376084E-008</v>
      </c>
    </row>
    <row r="1013" customFormat="false" ht="15" hidden="false" customHeight="false" outlineLevel="0" collapsed="false">
      <c r="B1013" s="2" t="n">
        <v>1</v>
      </c>
      <c r="C1013" s="2" t="n">
        <f aca="false">C$1011</f>
        <v>0.968291033862344</v>
      </c>
      <c r="D1013" s="2" t="n">
        <f aca="false">C1013*(1-D$1011)+C1012*D$1011</f>
        <v>0.389566276397912</v>
      </c>
      <c r="E1013" s="2" t="n">
        <f aca="false">D1013*(1-E$1011)+D1012*E$1011</f>
        <v>0.0708656463865219</v>
      </c>
      <c r="F1013" s="2" t="n">
        <f aca="false">E1013*(1-F$1011)+E1012*F$1011</f>
        <v>0.033115504757928</v>
      </c>
      <c r="G1013" s="2" t="n">
        <f aca="false">F1013*(1-G$1011)+F1012*G$1011</f>
        <v>0.00956777565362225</v>
      </c>
      <c r="H1013" s="2" t="n">
        <f aca="false">G1013*(1-H$1011)+G1012*H$1011</f>
        <v>0.00494575181446177</v>
      </c>
      <c r="I1013" s="2" t="n">
        <f aca="false">H1013*(1-I$1011)+H1012*I$1011</f>
        <v>0.000934888416266359</v>
      </c>
      <c r="J1013" s="2" t="n">
        <f aca="false">I1013*(1-J$1011)+I1012*J$1011</f>
        <v>0.000882806663243796</v>
      </c>
      <c r="K1013" s="2" t="n">
        <f aca="false">J1013*(1-K$1011)+J1012*K$1011</f>
        <v>0.000201696645576729</v>
      </c>
      <c r="L1013" s="2" t="n">
        <f aca="false">K1013*(1-L$1011)+K1012*L$1011</f>
        <v>8.61806164967051E-005</v>
      </c>
      <c r="M1013" s="2" t="n">
        <f aca="false">L1013*(1-M$1011)+L1012*M$1011</f>
        <v>8.1560786123904E-006</v>
      </c>
      <c r="N1013" s="2" t="n">
        <f aca="false">M1013*(1-N$1011)+M1012*N$1011</f>
        <v>3.42651041106087E-006</v>
      </c>
      <c r="O1013" s="2" t="n">
        <f aca="false">N1013*(1-O$1011)+N1012*O$1011</f>
        <v>3.42651041106087E-006</v>
      </c>
    </row>
    <row r="1014" customFormat="false" ht="15" hidden="false" customHeight="false" outlineLevel="0" collapsed="false">
      <c r="B1014" s="2" t="n">
        <v>2</v>
      </c>
      <c r="C1014" s="2" t="n">
        <f aca="false">0</f>
        <v>0</v>
      </c>
      <c r="D1014" s="2" t="n">
        <f aca="false">C1014*(1-D$1011)+C1013*D$1011</f>
        <v>0.598318089826692</v>
      </c>
      <c r="E1014" s="2" t="n">
        <f aca="false">D1014*(1-E$1011)+D1013*E$1011</f>
        <v>0.422058396655875</v>
      </c>
      <c r="F1014" s="2" t="n">
        <f aca="false">E1014*(1-F$1011)+E1013*F$1011</f>
        <v>0.229863497158167</v>
      </c>
      <c r="G1014" s="2" t="n">
        <f aca="false">F1014*(1-G$1011)+F1013*G$1011</f>
        <v>0.086257825926701</v>
      </c>
      <c r="H1014" s="2" t="n">
        <f aca="false">G1014*(1-H$1011)+G1013*H$1011</f>
        <v>0.0482952271253671</v>
      </c>
      <c r="I1014" s="2" t="n">
        <f aca="false">H1014*(1-I$1011)+H1013*I$1011</f>
        <v>0.0122923162373121</v>
      </c>
      <c r="J1014" s="2" t="n">
        <f aca="false">I1014*(1-J$1011)+I1013*J$1011</f>
        <v>0.0116459599827301</v>
      </c>
      <c r="K1014" s="2" t="n">
        <f aca="false">J1014*(1-K$1011)+J1013*K$1011</f>
        <v>0.00316303879975778</v>
      </c>
      <c r="L1014" s="2" t="n">
        <f aca="false">K1014*(1-L$1011)+K1013*L$1011</f>
        <v>0.00143319591890341</v>
      </c>
      <c r="M1014" s="2" t="n">
        <f aca="false">L1014*(1-M$1011)+L1013*M$1011</f>
        <v>0.00019000667092844</v>
      </c>
      <c r="N1014" s="2" t="n">
        <f aca="false">M1014*(1-N$1011)+M1013*N$1011</f>
        <v>8.289478756047E-005</v>
      </c>
      <c r="O1014" s="2" t="n">
        <f aca="false">N1014*(1-O$1011)+N1013*O$1011</f>
        <v>8.289478756047E-005</v>
      </c>
    </row>
    <row r="1015" customFormat="false" ht="15" hidden="false" customHeight="false" outlineLevel="0" collapsed="false">
      <c r="B1015" s="2" t="n">
        <v>3</v>
      </c>
      <c r="C1015" s="2" t="n">
        <f aca="false">0</f>
        <v>0</v>
      </c>
      <c r="D1015" s="2" t="n">
        <f aca="false">C1015*(1-D$1011)+C1014*D$1011</f>
        <v>0</v>
      </c>
      <c r="E1015" s="2" t="n">
        <f aca="false">D1015*(1-E$1011)+D1014*E$1011</f>
        <v>0.505190164335418</v>
      </c>
      <c r="F1015" s="2" t="n">
        <f aca="false">E1015*(1-F$1011)+E1014*F$1011</f>
        <v>0.459695199755476</v>
      </c>
      <c r="G1015" s="2" t="n">
        <f aca="false">F1015*(1-G$1011)+F1014*G$1011</f>
        <v>0.291941844211111</v>
      </c>
      <c r="H1015" s="2" t="n">
        <f aca="false">G1015*(1-H$1011)+G1014*H$1011</f>
        <v>0.190125508999784</v>
      </c>
      <c r="I1015" s="2" t="n">
        <f aca="false">H1015*(1-I$1011)+H1014*I$1011</f>
        <v>0.07233162653801</v>
      </c>
      <c r="J1015" s="2" t="n">
        <f aca="false">I1015*(1-J$1011)+I1014*J$1011</f>
        <v>0.0689147627599518</v>
      </c>
      <c r="K1015" s="2" t="n">
        <f aca="false">J1015*(1-K$1011)+J1014*K$1011</f>
        <v>0.0237786650214924</v>
      </c>
      <c r="L1015" s="2" t="n">
        <f aca="false">K1015*(1-L$1011)+K1014*L$1011</f>
        <v>0.0117362219678681</v>
      </c>
      <c r="M1015" s="2" t="n">
        <f aca="false">L1015*(1-M$1011)+L1014*M$1011</f>
        <v>0.00222733874820915</v>
      </c>
      <c r="N1015" s="2" t="n">
        <f aca="false">M1015*(1-N$1011)+M1014*N$1011</f>
        <v>0.00102732904208594</v>
      </c>
      <c r="O1015" s="2" t="n">
        <f aca="false">N1015*(1-O$1011)+N1014*O$1011</f>
        <v>0.00102732904208594</v>
      </c>
    </row>
    <row r="1016" customFormat="false" ht="15" hidden="false" customHeight="false" outlineLevel="0" collapsed="false">
      <c r="B1016" s="2" t="n">
        <v>4</v>
      </c>
      <c r="C1016" s="2" t="n">
        <f aca="false">0</f>
        <v>0</v>
      </c>
      <c r="D1016" s="2" t="n">
        <f aca="false">C1016*(1-D$1011)+C1015*D$1011</f>
        <v>0</v>
      </c>
      <c r="E1016" s="2" t="n">
        <f aca="false">D1016*(1-E$1011)+D1015*E$1011</f>
        <v>0</v>
      </c>
      <c r="F1016" s="2" t="n">
        <f aca="false">E1016*(1-F$1011)+E1015*F$1011</f>
        <v>0.276472030778562</v>
      </c>
      <c r="G1016" s="2" t="n">
        <f aca="false">F1016*(1-G$1011)+F1015*G$1011</f>
        <v>0.410205980716717</v>
      </c>
      <c r="H1016" s="2" t="n">
        <f aca="false">G1016*(1-H$1011)+G1015*H$1011</f>
        <v>0.351663654159858</v>
      </c>
      <c r="I1016" s="2" t="n">
        <f aca="false">H1016*(1-I$1011)+H1015*I$1011</f>
        <v>0.217501858578523</v>
      </c>
      <c r="J1016" s="2" t="n">
        <f aca="false">I1016*(1-J$1011)+I1015*J$1011</f>
        <v>0.209240156286687</v>
      </c>
      <c r="K1016" s="2" t="n">
        <f aca="false">J1016*(1-K$1011)+J1015*K$1011</f>
        <v>0.0986434549369302</v>
      </c>
      <c r="L1016" s="2" t="n">
        <f aca="false">K1016*(1-L$1011)+K1015*L$1011</f>
        <v>0.0549118234268616</v>
      </c>
      <c r="M1016" s="2" t="n">
        <f aca="false">L1016*(1-M$1011)+L1015*M$1011</f>
        <v>0.0150641369063213</v>
      </c>
      <c r="N1016" s="2" t="n">
        <f aca="false">M1016*(1-N$1011)+M1015*N$1011</f>
        <v>0.00750312976513903</v>
      </c>
      <c r="O1016" s="2" t="n">
        <f aca="false">N1016*(1-O$1011)+N1015*O$1011</f>
        <v>0.00750312976513903</v>
      </c>
    </row>
    <row r="1017" customFormat="false" ht="15" hidden="false" customHeight="false" outlineLevel="0" collapsed="false">
      <c r="B1017" s="2" t="n">
        <v>5</v>
      </c>
      <c r="C1017" s="2" t="n">
        <f aca="false">0</f>
        <v>0</v>
      </c>
      <c r="D1017" s="2" t="n">
        <f aca="false">C1017*(1-D$1011)+C1016*D$1011</f>
        <v>0</v>
      </c>
      <c r="E1017" s="2" t="n">
        <f aca="false">D1017*(1-E$1011)+D1016*E$1011</f>
        <v>0</v>
      </c>
      <c r="F1017" s="2" t="n">
        <f aca="false">E1017*(1-F$1011)+E1016*F$1011</f>
        <v>0</v>
      </c>
      <c r="G1017" s="2" t="n">
        <f aca="false">F1017*(1-G$1011)+F1016*G$1011</f>
        <v>0.201795967889295</v>
      </c>
      <c r="H1017" s="2" t="n">
        <f aca="false">G1017*(1-H$1011)+G1016*H$1011</f>
        <v>0.304961706795137</v>
      </c>
      <c r="I1017" s="2" t="n">
        <f aca="false">H1017*(1-I$1011)+H1016*I$1011</f>
        <v>0.343748936333939</v>
      </c>
      <c r="J1017" s="2" t="n">
        <f aca="false">I1017*(1-J$1011)+I1016*J$1011</f>
        <v>0.336564159145331</v>
      </c>
      <c r="K1017" s="2" t="n">
        <f aca="false">J1017*(1-K$1011)+J1016*K$1011</f>
        <v>0.236214433661538</v>
      </c>
      <c r="L1017" s="2" t="n">
        <f aca="false">K1017*(1-L$1011)+K1016*L$1011</f>
        <v>0.155853514264589</v>
      </c>
      <c r="M1017" s="2" t="n">
        <f aca="false">L1017*(1-M$1011)+L1016*M$1011</f>
        <v>0.0626922676939935</v>
      </c>
      <c r="N1017" s="2" t="n">
        <f aca="false">M1017*(1-N$1011)+M1016*N$1011</f>
        <v>0.0346388050959874</v>
      </c>
      <c r="O1017" s="2" t="n">
        <f aca="false">N1017*(1-O$1011)+N1016*O$1011</f>
        <v>0.0346388050959874</v>
      </c>
    </row>
    <row r="1018" customFormat="false" ht="15" hidden="false" customHeight="false" outlineLevel="0" collapsed="false">
      <c r="B1018" s="2" t="n">
        <v>6</v>
      </c>
      <c r="C1018" s="2" t="n">
        <f aca="false">0</f>
        <v>0</v>
      </c>
      <c r="D1018" s="2" t="n">
        <f aca="false">C1018*(1-D$1011)+C1017*D$1011</f>
        <v>0</v>
      </c>
      <c r="E1018" s="2" t="n">
        <f aca="false">D1018*(1-E$1011)+D1017*E$1011</f>
        <v>0</v>
      </c>
      <c r="F1018" s="2" t="n">
        <f aca="false">E1018*(1-F$1011)+E1017*F$1011</f>
        <v>0</v>
      </c>
      <c r="G1018" s="2" t="n">
        <f aca="false">F1018*(1-G$1011)+F1017*G$1011</f>
        <v>0</v>
      </c>
      <c r="H1018" s="2" t="n">
        <f aca="false">G1018*(1-H$1011)+G1017*H$1011</f>
        <v>0.0998916983550002</v>
      </c>
      <c r="I1018" s="2" t="n">
        <f aca="false">H1018*(1-I$1011)+H1017*I$1011</f>
        <v>0.270207882962327</v>
      </c>
      <c r="J1018" s="2" t="n">
        <f aca="false">I1018*(1-J$1011)+I1017*J$1011</f>
        <v>0.274393136926892</v>
      </c>
      <c r="K1018" s="2" t="n">
        <f aca="false">J1018*(1-K$1011)+J1017*K$1011</f>
        <v>0.323392892452906</v>
      </c>
      <c r="L1018" s="2" t="n">
        <f aca="false">K1018*(1-L$1011)+K1017*L$1011</f>
        <v>0.272468335798355</v>
      </c>
      <c r="M1018" s="2" t="n">
        <f aca="false">L1018*(1-M$1011)+L1017*M$1011</f>
        <v>0.164842021512041</v>
      </c>
      <c r="N1018" s="2" t="n">
        <f aca="false">M1018*(1-N$1011)+M1017*N$1011</f>
        <v>0.104674757948722</v>
      </c>
      <c r="O1018" s="2" t="n">
        <f aca="false">N1018*(1-O$1011)+N1017*O$1011</f>
        <v>0.104674757948722</v>
      </c>
    </row>
    <row r="1019" customFormat="false" ht="15" hidden="false" customHeight="false" outlineLevel="0" collapsed="false">
      <c r="B1019" s="2" t="n">
        <v>7</v>
      </c>
      <c r="C1019" s="2" t="n">
        <f aca="false">0</f>
        <v>0</v>
      </c>
      <c r="D1019" s="2" t="n">
        <f aca="false">C1019*(1-D$1011)+C1018*D$1011</f>
        <v>0</v>
      </c>
      <c r="E1019" s="2" t="n">
        <f aca="false">D1019*(1-E$1011)+D1018*E$1011</f>
        <v>0</v>
      </c>
      <c r="F1019" s="2" t="n">
        <f aca="false">E1019*(1-F$1011)+E1018*F$1011</f>
        <v>0</v>
      </c>
      <c r="G1019" s="2" t="n">
        <f aca="false">F1019*(1-G$1011)+F1018*G$1011</f>
        <v>0</v>
      </c>
      <c r="H1019" s="2" t="n">
        <f aca="false">G1019*(1-H$1011)+G1018*H$1011</f>
        <v>0</v>
      </c>
      <c r="I1019" s="2" t="n">
        <f aca="false">H1019*(1-I$1011)+H1018*I$1011</f>
        <v>0.082962755339897</v>
      </c>
      <c r="J1019" s="2" t="n">
        <f aca="false">I1019*(1-J$1011)+I1018*J$1011</f>
        <v>0.0936189586005052</v>
      </c>
      <c r="K1019" s="2" t="n">
        <f aca="false">J1019*(1-K$1011)+J1018*K$1011</f>
        <v>0.236095151323969</v>
      </c>
      <c r="L1019" s="2" t="n">
        <f aca="false">K1019*(1-L$1011)+K1018*L$1011</f>
        <v>0.287089385743437</v>
      </c>
      <c r="M1019" s="2" t="n">
        <f aca="false">L1019*(1-M$1011)+L1018*M$1011</f>
        <v>0.273595305866724</v>
      </c>
      <c r="N1019" s="2" t="n">
        <f aca="false">M1019*(1-N$1011)+M1018*N$1011</f>
        <v>0.209538494385806</v>
      </c>
      <c r="O1019" s="2" t="n">
        <f aca="false">N1019*(1-O$1011)+N1018*O$1011</f>
        <v>0.209538494385806</v>
      </c>
    </row>
    <row r="1020" customFormat="false" ht="15" hidden="false" customHeight="false" outlineLevel="0" collapsed="false">
      <c r="B1020" s="2" t="n">
        <v>8</v>
      </c>
      <c r="C1020" s="2" t="n">
        <f aca="false">0</f>
        <v>0</v>
      </c>
      <c r="D1020" s="2" t="n">
        <f aca="false">C1020*(1-D$1011)+C1019*D$1011</f>
        <v>0</v>
      </c>
      <c r="E1020" s="2" t="n">
        <f aca="false">D1020*(1-E$1011)+D1019*E$1011</f>
        <v>0</v>
      </c>
      <c r="F1020" s="2" t="n">
        <f aca="false">E1020*(1-F$1011)+E1019*F$1011</f>
        <v>0</v>
      </c>
      <c r="G1020" s="2" t="n">
        <f aca="false">F1020*(1-G$1011)+F1019*G$1011</f>
        <v>0</v>
      </c>
      <c r="H1020" s="2" t="n">
        <f aca="false">G1020*(1-H$1011)+G1019*H$1011</f>
        <v>0</v>
      </c>
      <c r="I1020" s="2" t="n">
        <f aca="false">H1020*(1-I$1011)+H1019*I$1011</f>
        <v>0</v>
      </c>
      <c r="J1020" s="2" t="n">
        <f aca="false">I1020*(1-J$1011)+I1019*J$1011</f>
        <v>0.00472144720232576</v>
      </c>
      <c r="K1020" s="2" t="n">
        <f aca="false">J1020*(1-K$1011)+J1019*K$1011</f>
        <v>0.0747855408901719</v>
      </c>
      <c r="L1020" s="2" t="n">
        <f aca="false">K1020*(1-L$1011)+K1019*L$1011</f>
        <v>0.169013180485389</v>
      </c>
      <c r="M1020" s="2" t="n">
        <f aca="false">L1020*(1-M$1011)+L1019*M$1011</f>
        <v>0.277988237083647</v>
      </c>
      <c r="N1020" s="2" t="n">
        <f aca="false">M1020*(1-N$1011)+M1019*N$1011</f>
        <v>0.27540075507351</v>
      </c>
      <c r="O1020" s="2" t="n">
        <f aca="false">N1020*(1-O$1011)+N1019*O$1011</f>
        <v>0.27540075507351</v>
      </c>
    </row>
    <row r="1021" customFormat="false" ht="15" hidden="false" customHeight="false" outlineLevel="0" collapsed="false">
      <c r="B1021" s="2" t="n">
        <v>9</v>
      </c>
      <c r="C1021" s="2" t="n">
        <f aca="false">0</f>
        <v>0</v>
      </c>
      <c r="D1021" s="2" t="n">
        <f aca="false">C1021*(1-D$1011)+C1020*D$1011</f>
        <v>0</v>
      </c>
      <c r="E1021" s="2" t="n">
        <f aca="false">D1021*(1-E$1011)+D1020*E$1011</f>
        <v>0</v>
      </c>
      <c r="F1021" s="2" t="n">
        <f aca="false">E1021*(1-F$1011)+E1020*F$1011</f>
        <v>0</v>
      </c>
      <c r="G1021" s="2" t="n">
        <f aca="false">F1021*(1-G$1011)+F1020*G$1011</f>
        <v>0</v>
      </c>
      <c r="H1021" s="2" t="n">
        <f aca="false">G1021*(1-H$1011)+G1020*H$1011</f>
        <v>0</v>
      </c>
      <c r="I1021" s="2" t="n">
        <f aca="false">H1021*(1-I$1011)+H1020*I$1011</f>
        <v>0</v>
      </c>
      <c r="J1021" s="2" t="n">
        <f aca="false">I1021*(1-J$1011)+I1020*J$1011</f>
        <v>0</v>
      </c>
      <c r="K1021" s="2" t="n">
        <f aca="false">J1021*(1-K$1011)+J1020*K$1011</f>
        <v>0.00372118312338658</v>
      </c>
      <c r="L1021" s="2" t="n">
        <f aca="false">K1021*(1-L$1011)+K1020*L$1011</f>
        <v>0.0452328244552737</v>
      </c>
      <c r="M1021" s="2" t="n">
        <f aca="false">L1021*(1-M$1011)+L1020*M$1011</f>
        <v>0.159472363866751</v>
      </c>
      <c r="N1021" s="2" t="n">
        <f aca="false">M1021*(1-N$1011)+M1020*N$1011</f>
        <v>0.229279441355939</v>
      </c>
      <c r="O1021" s="2" t="n">
        <f aca="false">N1021*(1-O$1011)+N1020*O$1011</f>
        <v>0.229279441355939</v>
      </c>
    </row>
    <row r="1022" customFormat="false" ht="15" hidden="false" customHeight="false" outlineLevel="0" collapsed="false">
      <c r="B1022" s="2" t="n">
        <v>10</v>
      </c>
      <c r="C1022" s="2" t="n">
        <f aca="false">0</f>
        <v>0</v>
      </c>
      <c r="D1022" s="2" t="n">
        <f aca="false">C1022*(1-D$1011)+C1021*D$1011</f>
        <v>0</v>
      </c>
      <c r="E1022" s="2" t="n">
        <f aca="false">D1022*(1-E$1011)+D1021*E$1011</f>
        <v>0</v>
      </c>
      <c r="F1022" s="2" t="n">
        <f aca="false">E1022*(1-F$1011)+E1021*F$1011</f>
        <v>0</v>
      </c>
      <c r="G1022" s="2" t="n">
        <f aca="false">F1022*(1-G$1011)+F1021*G$1011</f>
        <v>0</v>
      </c>
      <c r="H1022" s="2" t="n">
        <f aca="false">G1022*(1-H$1011)+G1021*H$1011</f>
        <v>0</v>
      </c>
      <c r="I1022" s="2" t="n">
        <f aca="false">H1022*(1-I$1011)+H1021*I$1011</f>
        <v>0</v>
      </c>
      <c r="J1022" s="2" t="n">
        <f aca="false">I1022*(1-J$1011)+I1021*J$1011</f>
        <v>0</v>
      </c>
      <c r="K1022" s="2" t="n">
        <f aca="false">J1022*(1-K$1011)+J1021*K$1011</f>
        <v>0</v>
      </c>
      <c r="L1022" s="2" t="n">
        <f aca="false">K1022*(1-L$1011)+K1021*L$1011</f>
        <v>0.00217369753280869</v>
      </c>
      <c r="M1022" s="2" t="n">
        <f aca="false">L1022*(1-M$1011)+L1021*M$1011</f>
        <v>0.0419138872110961</v>
      </c>
      <c r="N1022" s="2" t="n">
        <f aca="false">M1022*(1-N$1011)+M1021*N$1011</f>
        <v>0.111157048204338</v>
      </c>
      <c r="O1022" s="2" t="n">
        <f aca="false">N1022*(1-O$1011)+N1021*O$1011</f>
        <v>0.111157048204338</v>
      </c>
    </row>
    <row r="1023" customFormat="false" ht="15" hidden="false" customHeight="false" outlineLevel="0" collapsed="false">
      <c r="B1023" s="2" t="n">
        <v>11</v>
      </c>
      <c r="C1023" s="2" t="n">
        <f aca="false">0</f>
        <v>0</v>
      </c>
      <c r="D1023" s="2" t="n">
        <f aca="false">C1023*(1-D$1011)+C1022*D$1011</f>
        <v>0</v>
      </c>
      <c r="E1023" s="2" t="n">
        <f aca="false">D1023*(1-E$1011)+D1022*E$1011</f>
        <v>0</v>
      </c>
      <c r="F1023" s="2" t="n">
        <f aca="false">E1023*(1-F$1011)+E1022*F$1011</f>
        <v>0</v>
      </c>
      <c r="G1023" s="2" t="n">
        <f aca="false">F1023*(1-G$1011)+F1022*G$1011</f>
        <v>0</v>
      </c>
      <c r="H1023" s="2" t="n">
        <f aca="false">G1023*(1-H$1011)+G1022*H$1011</f>
        <v>0</v>
      </c>
      <c r="I1023" s="2" t="n">
        <f aca="false">H1023*(1-I$1011)+H1022*I$1011</f>
        <v>0</v>
      </c>
      <c r="J1023" s="2" t="n">
        <f aca="false">I1023*(1-J$1011)+I1022*J$1011</f>
        <v>0</v>
      </c>
      <c r="K1023" s="2" t="n">
        <f aca="false">J1023*(1-K$1011)+J1022*K$1011</f>
        <v>0</v>
      </c>
      <c r="L1023" s="2" t="n">
        <f aca="false">K1023*(1-L$1011)+K1022*L$1011</f>
        <v>0</v>
      </c>
      <c r="M1023" s="2" t="n">
        <f aca="false">L1023*(1-M$1011)+L1022*M$1011</f>
        <v>0.0020061519689563</v>
      </c>
      <c r="N1023" s="2" t="n">
        <f aca="false">M1023*(1-N$1011)+M1022*N$1011</f>
        <v>0.0255122215851982</v>
      </c>
      <c r="O1023" s="2" t="n">
        <f aca="false">N1023*(1-O$1011)+N1022*O$1011</f>
        <v>0.0255122215851982</v>
      </c>
    </row>
    <row r="1024" customFormat="false" ht="15" hidden="false" customHeight="false" outlineLevel="0" collapsed="false">
      <c r="B1024" s="2" t="n">
        <v>12</v>
      </c>
      <c r="C1024" s="2" t="n">
        <f aca="false">0</f>
        <v>0</v>
      </c>
      <c r="D1024" s="2" t="n">
        <f aca="false">C1024*(1-D$1011)+C1023*D$1011</f>
        <v>0</v>
      </c>
      <c r="E1024" s="2" t="n">
        <f aca="false">D1024*(1-E$1011)+D1023*E$1011</f>
        <v>0</v>
      </c>
      <c r="F1024" s="2" t="n">
        <f aca="false">E1024*(1-F$1011)+E1023*F$1011</f>
        <v>0</v>
      </c>
      <c r="G1024" s="2" t="n">
        <f aca="false">F1024*(1-G$1011)+F1023*G$1011</f>
        <v>0</v>
      </c>
      <c r="H1024" s="2" t="n">
        <f aca="false">G1024*(1-H$1011)+G1023*H$1011</f>
        <v>0</v>
      </c>
      <c r="I1024" s="2" t="n">
        <f aca="false">H1024*(1-I$1011)+H1023*I$1011</f>
        <v>0</v>
      </c>
      <c r="J1024" s="2" t="n">
        <f aca="false">I1024*(1-J$1011)+I1023*J$1011</f>
        <v>0</v>
      </c>
      <c r="K1024" s="2" t="n">
        <f aca="false">J1024*(1-K$1011)+J1023*K$1011</f>
        <v>0</v>
      </c>
      <c r="L1024" s="2" t="n">
        <f aca="false">K1024*(1-L$1011)+K1023*L$1011</f>
        <v>0</v>
      </c>
      <c r="M1024" s="2" t="n">
        <f aca="false">L1024*(1-M$1011)+L1023*M$1011</f>
        <v>0</v>
      </c>
      <c r="N1024" s="2" t="n">
        <f aca="false">M1024*(1-N$1011)+M1023*N$1011</f>
        <v>0.00118164429920477</v>
      </c>
      <c r="O1024" s="2" t="n">
        <f aca="false">N1024*(1-O$1011)+N1023*O$1011</f>
        <v>0.00118164429920477</v>
      </c>
    </row>
    <row r="1025" customFormat="false" ht="15" hidden="false" customHeight="false" outlineLevel="0" collapsed="false">
      <c r="B1025" s="2" t="n">
        <v>13</v>
      </c>
      <c r="C1025" s="2" t="n">
        <f aca="false">0</f>
        <v>0</v>
      </c>
      <c r="D1025" s="2" t="n">
        <f aca="false">C1025*(1-D$1011)+C1024*D$1011</f>
        <v>0</v>
      </c>
      <c r="E1025" s="2" t="n">
        <f aca="false">D1025*(1-E$1011)+D1024*E$1011</f>
        <v>0</v>
      </c>
      <c r="F1025" s="2" t="n">
        <f aca="false">E1025*(1-F$1011)+E1024*F$1011</f>
        <v>0</v>
      </c>
      <c r="G1025" s="2" t="n">
        <f aca="false">F1025*(1-G$1011)+F1024*G$1011</f>
        <v>0</v>
      </c>
      <c r="H1025" s="2" t="n">
        <f aca="false">G1025*(1-H$1011)+G1024*H$1011</f>
        <v>0</v>
      </c>
      <c r="I1025" s="2" t="n">
        <f aca="false">H1025*(1-I$1011)+H1024*I$1011</f>
        <v>0</v>
      </c>
      <c r="J1025" s="2" t="n">
        <f aca="false">I1025*(1-J$1011)+I1024*J$1011</f>
        <v>0</v>
      </c>
      <c r="K1025" s="2" t="n">
        <f aca="false">J1025*(1-K$1011)+J1024*K$1011</f>
        <v>0</v>
      </c>
      <c r="L1025" s="2" t="n">
        <f aca="false">K1025*(1-L$1011)+K1024*L$1011</f>
        <v>0</v>
      </c>
      <c r="M1025" s="2" t="n">
        <f aca="false">L1025*(1-M$1011)+L1024*M$1011</f>
        <v>0</v>
      </c>
      <c r="N1025" s="2" t="n">
        <f aca="false">M1025*(1-N$1011)+M1024*N$1011</f>
        <v>0</v>
      </c>
      <c r="O1025" s="2" t="n">
        <f aca="false">N1025*(1-O$1011)+N1024*O$1011</f>
        <v>0</v>
      </c>
    </row>
    <row r="1027" customFormat="false" ht="15" hidden="false" customHeight="false" outlineLevel="0" collapsed="false">
      <c r="A1027" s="1" t="s">
        <v>122</v>
      </c>
      <c r="C1027" s="2" t="n">
        <f aca="false">Schedule!G66</f>
        <v>0.949236980529619</v>
      </c>
      <c r="D1027" s="2" t="n">
        <f aca="false">Schedule!L66</f>
        <v>0.32635522028792</v>
      </c>
      <c r="E1027" s="2" t="n">
        <f aca="false">Schedule!Q66</f>
        <v>0.601121098652944</v>
      </c>
      <c r="F1027" s="2" t="n">
        <f aca="false">Schedule!V66</f>
        <v>0.675894892863138</v>
      </c>
      <c r="G1027" s="2" t="n">
        <f aca="false">Schedule!AA66</f>
        <v>0.629772172275028</v>
      </c>
      <c r="H1027" s="2" t="n">
        <f aca="false">Schedule!AF66</f>
        <v>0.593865540399242</v>
      </c>
      <c r="I1027" s="2" t="n">
        <f aca="false">Schedule!AK66</f>
        <v>0.613135249031273</v>
      </c>
      <c r="J1027" s="2" t="n">
        <f aca="false">Schedule!AP66</f>
        <v>0.729896500998765</v>
      </c>
      <c r="K1027" s="2" t="n">
        <f aca="false">Schedule!AU66</f>
        <v>0.680375828482882</v>
      </c>
      <c r="L1027" s="2" t="n">
        <f aca="false">Schedule!AZ66</f>
        <v>0.756080498111392</v>
      </c>
      <c r="M1027" s="2" t="n">
        <f aca="false">Schedule!BE66</f>
        <v>0.333143300876488</v>
      </c>
      <c r="N1027" s="2" t="n">
        <f aca="false">Schedule!BJ66</f>
        <v>0.490027481804762</v>
      </c>
      <c r="O1027" s="2" t="n">
        <f aca="false">Schedule!BO66</f>
        <v>0</v>
      </c>
    </row>
    <row r="1028" customFormat="false" ht="15" hidden="false" customHeight="false" outlineLevel="0" collapsed="false">
      <c r="B1028" s="2" t="n">
        <v>0</v>
      </c>
      <c r="C1028" s="2" t="n">
        <f aca="false">1-C$1027</f>
        <v>0.0507630194703814</v>
      </c>
      <c r="D1028" s="2" t="n">
        <f aca="false">C1028*(1-D$1027)</f>
        <v>0.0341962430686451</v>
      </c>
      <c r="E1028" s="2" t="n">
        <f aca="false">D1028*(1-E$1027)</f>
        <v>0.0136401598654181</v>
      </c>
      <c r="F1028" s="2" t="n">
        <f aca="false">E1028*(1-F$1027)</f>
        <v>0.00442084547454525</v>
      </c>
      <c r="G1028" s="2" t="n">
        <f aca="false">F1028*(1-G$1027)</f>
        <v>0.00163672001674866</v>
      </c>
      <c r="H1028" s="2" t="n">
        <f aca="false">G1028*(1-H$1027)</f>
        <v>0.00066472839951996</v>
      </c>
      <c r="I1028" s="2" t="n">
        <f aca="false">H1028*(1-I$1027)</f>
        <v>0.00025715998674213</v>
      </c>
      <c r="J1028" s="2" t="n">
        <f aca="false">I1028*(1-J$1027)</f>
        <v>6.94598122221606E-005</v>
      </c>
      <c r="K1028" s="2" t="n">
        <f aca="false">J1028*(1-K$1027)</f>
        <v>2.22010349352426E-005</v>
      </c>
      <c r="L1028" s="2" t="n">
        <f aca="false">K1028*(1-L$1027)</f>
        <v>5.41526538281597E-006</v>
      </c>
      <c r="M1028" s="2" t="n">
        <f aca="false">L1028*(1-M$1027)</f>
        <v>3.61120599806248E-006</v>
      </c>
      <c r="N1028" s="2" t="n">
        <f aca="false">M1028*(1-N$1027)</f>
        <v>1.84161581655367E-006</v>
      </c>
      <c r="O1028" s="2" t="n">
        <f aca="false">N1028*(1-O$1027)</f>
        <v>1.84161581655367E-006</v>
      </c>
    </row>
    <row r="1029" customFormat="false" ht="15" hidden="false" customHeight="false" outlineLevel="0" collapsed="false">
      <c r="B1029" s="2" t="n">
        <v>1</v>
      </c>
      <c r="C1029" s="2" t="n">
        <f aca="false">C$1027</f>
        <v>0.949236980529619</v>
      </c>
      <c r="D1029" s="2" t="n">
        <f aca="false">C1029*(1-D$1027)+C1028*D$1027</f>
        <v>0.656015313045171</v>
      </c>
      <c r="E1029" s="2" t="n">
        <f aca="false">D1029*(1-E$1027)+D1028*E$1027</f>
        <v>0.28222675053753</v>
      </c>
      <c r="F1029" s="2" t="n">
        <f aca="false">E1029*(1-F$1027)+E1028*F$1027</f>
        <v>0.100690445610727</v>
      </c>
      <c r="G1029" s="2" t="n">
        <f aca="false">F1029*(1-G$1027)+F1028*G$1027</f>
        <v>0.0400625304089157</v>
      </c>
      <c r="H1029" s="2" t="n">
        <f aca="false">G1029*(1-H$1027)+G1028*H$1027</f>
        <v>0.0172427657550926</v>
      </c>
      <c r="I1029" s="2" t="n">
        <f aca="false">H1029*(1-I$1027)+H1028*I$1027</f>
        <v>0.00707818669263382</v>
      </c>
      <c r="J1029" s="2" t="n">
        <f aca="false">I1029*(1-J$1027)+I1028*J$1027</f>
        <v>0.00209954316678435</v>
      </c>
      <c r="K1029" s="2" t="n">
        <f aca="false">J1029*(1-K$1027)+J1028*K$1027</f>
        <v>0.00071832352253479</v>
      </c>
      <c r="L1029" s="2" t="n">
        <f aca="false">K1029*(1-L$1027)+K1028*L$1027</f>
        <v>0.000191998885363983</v>
      </c>
      <c r="M1029" s="2" t="n">
        <f aca="false">L1029*(1-M$1027)+L1028*M$1027</f>
        <v>0.000129839802313973</v>
      </c>
      <c r="N1029" s="2" t="n">
        <f aca="false">M1029*(1-N$1027)+M1028*N$1027</f>
        <v>6.79843211295374E-005</v>
      </c>
      <c r="O1029" s="2" t="n">
        <f aca="false">N1029*(1-O$1027)+N1028*O$1027</f>
        <v>6.79843211295374E-005</v>
      </c>
    </row>
    <row r="1030" customFormat="false" ht="15" hidden="false" customHeight="false" outlineLevel="0" collapsed="false">
      <c r="B1030" s="2" t="n">
        <v>2</v>
      </c>
      <c r="C1030" s="2" t="n">
        <f aca="false">0</f>
        <v>0</v>
      </c>
      <c r="D1030" s="2" t="n">
        <f aca="false">C1030*(1-D$1027)+C1029*D$1027</f>
        <v>0.309788443886184</v>
      </c>
      <c r="E1030" s="2" t="n">
        <f aca="false">D1030*(1-E$1027)+D1029*E$1027</f>
        <v>0.517912719858203</v>
      </c>
      <c r="F1030" s="2" t="n">
        <f aca="false">E1030*(1-F$1027)+E1029*F$1027</f>
        <v>0.358613776874862</v>
      </c>
      <c r="G1030" s="2" t="n">
        <f aca="false">F1030*(1-G$1027)+F1029*G$1027</f>
        <v>0.196180840264237</v>
      </c>
      <c r="H1030" s="2" t="n">
        <f aca="false">G1030*(1-H$1027)+G1029*H$1027</f>
        <v>0.10346755581579</v>
      </c>
      <c r="I1030" s="2" t="n">
        <f aca="false">H1030*(1-I$1027)+H1029*I$1027</f>
        <v>0.0506000976892551</v>
      </c>
      <c r="J1030" s="2" t="n">
        <f aca="false">I1030*(1-J$1027)+I1029*J$1027</f>
        <v>0.0188336071360416</v>
      </c>
      <c r="K1030" s="2" t="n">
        <f aca="false">J1030*(1-K$1027)+J1029*K$1027</f>
        <v>0.00744815449907263</v>
      </c>
      <c r="L1030" s="2" t="n">
        <f aca="false">K1030*(1-L$1027)+K1029*L$1027</f>
        <v>0.00235986054212643</v>
      </c>
      <c r="M1030" s="2" t="n">
        <f aca="false">L1030*(1-M$1027)+L1029*M$1027</f>
        <v>0.00163765195394901</v>
      </c>
      <c r="N1030" s="2" t="n">
        <f aca="false">M1030*(1-N$1027)+M1029*N$1027</f>
        <v>0.000898782562248675</v>
      </c>
      <c r="O1030" s="2" t="n">
        <f aca="false">N1030*(1-O$1027)+N1029*O$1027</f>
        <v>0.000898782562248675</v>
      </c>
    </row>
    <row r="1031" customFormat="false" ht="15" hidden="false" customHeight="false" outlineLevel="0" collapsed="false">
      <c r="B1031" s="2" t="n">
        <v>3</v>
      </c>
      <c r="C1031" s="2" t="n">
        <f aca="false">0</f>
        <v>0</v>
      </c>
      <c r="D1031" s="2" t="n">
        <f aca="false">C1031*(1-D$1027)+C1030*D$1027</f>
        <v>0</v>
      </c>
      <c r="E1031" s="2" t="n">
        <f aca="false">D1031*(1-E$1027)+D1030*E$1027</f>
        <v>0.186220369738849</v>
      </c>
      <c r="F1031" s="2" t="n">
        <f aca="false">E1031*(1-F$1027)+E1030*F$1027</f>
        <v>0.410409535186292</v>
      </c>
      <c r="G1031" s="2" t="n">
        <f aca="false">F1031*(1-G$1027)+F1030*G$1027</f>
        <v>0.377790007959871</v>
      </c>
      <c r="H1031" s="2" t="n">
        <f aca="false">G1031*(1-H$1027)+G1030*H$1027</f>
        <v>0.269938581444846</v>
      </c>
      <c r="I1031" s="2" t="n">
        <f aca="false">H1031*(1-I$1027)+H1030*I$1027</f>
        <v>0.167869327689283</v>
      </c>
      <c r="J1031" s="2" t="n">
        <f aca="false">I1031*(1-J$1027)+I1030*J$1027</f>
        <v>0.0822749270374434</v>
      </c>
      <c r="K1031" s="2" t="n">
        <f aca="false">J1031*(1-K$1027)+J1030*K$1027</f>
        <v>0.0391109864494795</v>
      </c>
      <c r="L1031" s="2" t="n">
        <f aca="false">K1031*(1-L$1027)+K1030*L$1027</f>
        <v>0.0151713366967986</v>
      </c>
      <c r="M1031" s="2" t="n">
        <f aca="false">L1031*(1-M$1027)+L1030*M$1027</f>
        <v>0.0109032792415307</v>
      </c>
      <c r="N1031" s="2" t="n">
        <f aca="false">M1031*(1-N$1027)+M1030*N$1027</f>
        <v>0.00636286723445555</v>
      </c>
      <c r="O1031" s="2" t="n">
        <f aca="false">N1031*(1-O$1027)+N1030*O$1027</f>
        <v>0.00636286723445555</v>
      </c>
    </row>
    <row r="1032" customFormat="false" ht="15" hidden="false" customHeight="false" outlineLevel="0" collapsed="false">
      <c r="B1032" s="2" t="n">
        <v>4</v>
      </c>
      <c r="C1032" s="2" t="n">
        <f aca="false">0</f>
        <v>0</v>
      </c>
      <c r="D1032" s="2" t="n">
        <f aca="false">C1032*(1-D$1027)+C1031*D$1027</f>
        <v>0</v>
      </c>
      <c r="E1032" s="2" t="n">
        <f aca="false">D1032*(1-E$1027)+D1031*E$1027</f>
        <v>0</v>
      </c>
      <c r="F1032" s="2" t="n">
        <f aca="false">E1032*(1-F$1027)+E1031*F$1027</f>
        <v>0.125865396853573</v>
      </c>
      <c r="G1032" s="2" t="n">
        <f aca="false">F1032*(1-G$1027)+F1031*G$1027</f>
        <v>0.305063376959496</v>
      </c>
      <c r="H1032" s="2" t="n">
        <f aca="false">G1032*(1-H$1027)+G1031*H$1027</f>
        <v>0.34825321697995</v>
      </c>
      <c r="I1032" s="2" t="n">
        <f aca="false">H1032*(1-I$1027)+H1031*I$1027</f>
        <v>0.300235753418341</v>
      </c>
      <c r="J1032" s="2" t="n">
        <f aca="false">I1032*(1-J$1027)+I1031*J$1027</f>
        <v>0.203621962428989</v>
      </c>
      <c r="K1032" s="2" t="n">
        <f aca="false">J1032*(1-K$1027)+J1031*K$1027</f>
        <v>0.121060372690524</v>
      </c>
      <c r="L1032" s="2" t="n">
        <f aca="false">K1032*(1-L$1027)+K1031*L$1027</f>
        <v>0.0591000399214724</v>
      </c>
      <c r="M1032" s="2" t="n">
        <f aca="false">L1032*(1-M$1027)+L1031*M$1027</f>
        <v>0.0444654867259809</v>
      </c>
      <c r="N1032" s="2" t="n">
        <f aca="false">M1032*(1-N$1027)+M1031*N$1027</f>
        <v>0.0280190827085668</v>
      </c>
      <c r="O1032" s="2" t="n">
        <f aca="false">N1032*(1-O$1027)+N1031*O$1027</f>
        <v>0.0280190827085668</v>
      </c>
    </row>
    <row r="1033" customFormat="false" ht="15" hidden="false" customHeight="false" outlineLevel="0" collapsed="false">
      <c r="B1033" s="2" t="n">
        <v>5</v>
      </c>
      <c r="C1033" s="2" t="n">
        <f aca="false">0</f>
        <v>0</v>
      </c>
      <c r="D1033" s="2" t="n">
        <f aca="false">C1033*(1-D$1027)+C1032*D$1027</f>
        <v>0</v>
      </c>
      <c r="E1033" s="2" t="n">
        <f aca="false">D1033*(1-E$1027)+D1032*E$1027</f>
        <v>0</v>
      </c>
      <c r="F1033" s="2" t="n">
        <f aca="false">E1033*(1-F$1027)+E1032*F$1027</f>
        <v>0</v>
      </c>
      <c r="G1033" s="2" t="n">
        <f aca="false">F1033*(1-G$1027)+F1032*G$1027</f>
        <v>0.0792665243907331</v>
      </c>
      <c r="H1033" s="2" t="n">
        <f aca="false">G1033*(1-H$1027)+G1032*H$1027</f>
        <v>0.213359494261929</v>
      </c>
      <c r="I1033" s="2" t="n">
        <f aca="false">H1033*(1-I$1027)+H1032*I$1027</f>
        <v>0.296067590533398</v>
      </c>
      <c r="J1033" s="2" t="n">
        <f aca="false">I1033*(1-J$1027)+I1032*J$1027</f>
        <v>0.299109918038711</v>
      </c>
      <c r="K1033" s="2" t="n">
        <f aca="false">J1033*(1-K$1027)+J1032*K$1027</f>
        <v>0.234142221130609</v>
      </c>
      <c r="L1033" s="2" t="n">
        <f aca="false">K1033*(1-L$1027)+K1032*L$1027</f>
        <v>0.148643240834673</v>
      </c>
      <c r="M1033" s="2" t="n">
        <f aca="false">L1033*(1-M$1027)+L1032*M$1027</f>
        <v>0.118812523311403</v>
      </c>
      <c r="N1033" s="2" t="n">
        <f aca="false">M1033*(1-N$1027)+M1032*N$1027</f>
        <v>0.082380432193802</v>
      </c>
      <c r="O1033" s="2" t="n">
        <f aca="false">N1033*(1-O$1027)+N1032*O$1027</f>
        <v>0.082380432193802</v>
      </c>
    </row>
    <row r="1034" customFormat="false" ht="15" hidden="false" customHeight="false" outlineLevel="0" collapsed="false">
      <c r="B1034" s="2" t="n">
        <v>6</v>
      </c>
      <c r="C1034" s="2" t="n">
        <f aca="false">0</f>
        <v>0</v>
      </c>
      <c r="D1034" s="2" t="n">
        <f aca="false">C1034*(1-D$1027)+C1033*D$1027</f>
        <v>0</v>
      </c>
      <c r="E1034" s="2" t="n">
        <f aca="false">D1034*(1-E$1027)+D1033*E$1027</f>
        <v>0</v>
      </c>
      <c r="F1034" s="2" t="n">
        <f aca="false">E1034*(1-F$1027)+E1033*F$1027</f>
        <v>0</v>
      </c>
      <c r="G1034" s="2" t="n">
        <f aca="false">F1034*(1-G$1027)+F1033*G$1027</f>
        <v>0</v>
      </c>
      <c r="H1034" s="2" t="n">
        <f aca="false">G1034*(1-H$1027)+G1033*H$1027</f>
        <v>0.0470736573428724</v>
      </c>
      <c r="I1034" s="2" t="n">
        <f aca="false">H1034*(1-I$1027)+H1033*I$1027</f>
        <v>0.149029365372612</v>
      </c>
      <c r="J1034" s="2" t="n">
        <f aca="false">I1034*(1-J$1027)+I1033*J$1027</f>
        <v>0.256352051430538</v>
      </c>
      <c r="K1034" s="2" t="n">
        <f aca="false">J1034*(1-K$1027)+J1033*K$1027</f>
        <v>0.285443470348234</v>
      </c>
      <c r="L1034" s="2" t="n">
        <f aca="false">K1034*(1-L$1027)+K1033*L$1027</f>
        <v>0.246655596286036</v>
      </c>
      <c r="M1034" s="2" t="n">
        <f aca="false">L1034*(1-M$1027)+L1033*M$1027</f>
        <v>0.214003436664289</v>
      </c>
      <c r="N1034" s="2" t="n">
        <f aca="false">M1034*(1-N$1027)+M1033*N$1027</f>
        <v>0.167357273103279</v>
      </c>
      <c r="O1034" s="2" t="n">
        <f aca="false">N1034*(1-O$1027)+N1033*O$1027</f>
        <v>0.167357273103279</v>
      </c>
    </row>
    <row r="1035" customFormat="false" ht="15" hidden="false" customHeight="false" outlineLevel="0" collapsed="false">
      <c r="B1035" s="2" t="n">
        <v>7</v>
      </c>
      <c r="C1035" s="2" t="n">
        <f aca="false">0</f>
        <v>0</v>
      </c>
      <c r="D1035" s="2" t="n">
        <f aca="false">C1035*(1-D$1027)+C1034*D$1027</f>
        <v>0</v>
      </c>
      <c r="E1035" s="2" t="n">
        <f aca="false">D1035*(1-E$1027)+D1034*E$1027</f>
        <v>0</v>
      </c>
      <c r="F1035" s="2" t="n">
        <f aca="false">E1035*(1-F$1027)+E1034*F$1027</f>
        <v>0</v>
      </c>
      <c r="G1035" s="2" t="n">
        <f aca="false">F1035*(1-G$1027)+F1034*G$1027</f>
        <v>0</v>
      </c>
      <c r="H1035" s="2" t="n">
        <f aca="false">G1035*(1-H$1027)+G1034*H$1027</f>
        <v>0</v>
      </c>
      <c r="I1035" s="2" t="n">
        <f aca="false">H1035*(1-I$1027)+H1034*I$1027</f>
        <v>0.0288625186177349</v>
      </c>
      <c r="J1035" s="2" t="n">
        <f aca="false">I1035*(1-J$1027)+I1034*J$1027</f>
        <v>0.116571879600174</v>
      </c>
      <c r="K1035" s="2" t="n">
        <f aca="false">J1035*(1-K$1027)+J1034*K$1027</f>
        <v>0.211674929814738</v>
      </c>
      <c r="L1035" s="2" t="n">
        <f aca="false">K1035*(1-L$1027)+K1034*L$1027</f>
        <v>0.267449884686254</v>
      </c>
      <c r="M1035" s="2" t="n">
        <f aca="false">L1035*(1-M$1027)+L1034*M$1027</f>
        <v>0.260522406809228</v>
      </c>
      <c r="N1035" s="2" t="n">
        <f aca="false">M1035*(1-N$1027)+M1034*N$1027</f>
        <v>0.237726833012953</v>
      </c>
      <c r="O1035" s="2" t="n">
        <f aca="false">N1035*(1-O$1027)+N1034*O$1027</f>
        <v>0.237726833012953</v>
      </c>
    </row>
    <row r="1036" customFormat="false" ht="15" hidden="false" customHeight="false" outlineLevel="0" collapsed="false">
      <c r="B1036" s="2" t="n">
        <v>8</v>
      </c>
      <c r="C1036" s="2" t="n">
        <f aca="false">0</f>
        <v>0</v>
      </c>
      <c r="D1036" s="2" t="n">
        <f aca="false">C1036*(1-D$1027)+C1035*D$1027</f>
        <v>0</v>
      </c>
      <c r="E1036" s="2" t="n">
        <f aca="false">D1036*(1-E$1027)+D1035*E$1027</f>
        <v>0</v>
      </c>
      <c r="F1036" s="2" t="n">
        <f aca="false">E1036*(1-F$1027)+E1035*F$1027</f>
        <v>0</v>
      </c>
      <c r="G1036" s="2" t="n">
        <f aca="false">F1036*(1-G$1027)+F1035*G$1027</f>
        <v>0</v>
      </c>
      <c r="H1036" s="2" t="n">
        <f aca="false">G1036*(1-H$1027)+G1035*H$1027</f>
        <v>0</v>
      </c>
      <c r="I1036" s="2" t="n">
        <f aca="false">H1036*(1-I$1027)+H1035*I$1027</f>
        <v>0</v>
      </c>
      <c r="J1036" s="2" t="n">
        <f aca="false">I1036*(1-J$1027)+I1035*J$1027</f>
        <v>0.0210666513490964</v>
      </c>
      <c r="K1036" s="2" t="n">
        <f aca="false">J1036*(1-K$1027)+J1035*K$1027</f>
        <v>0.0860461001448704</v>
      </c>
      <c r="L1036" s="2" t="n">
        <f aca="false">K1036*(1-L$1027)+K1035*L$1027</f>
        <v>0.181031608258815</v>
      </c>
      <c r="M1036" s="2" t="n">
        <f aca="false">L1036*(1-M$1027)+L1035*M$1027</f>
        <v>0.209821278123909</v>
      </c>
      <c r="N1036" s="2" t="n">
        <f aca="false">M1036*(1-N$1027)+M1035*N$1027</f>
        <v>0.234666224538235</v>
      </c>
      <c r="O1036" s="2" t="n">
        <f aca="false">N1036*(1-O$1027)+N1035*O$1027</f>
        <v>0.234666224538235</v>
      </c>
    </row>
    <row r="1037" customFormat="false" ht="15" hidden="false" customHeight="false" outlineLevel="0" collapsed="false">
      <c r="B1037" s="2" t="n">
        <v>9</v>
      </c>
      <c r="C1037" s="2" t="n">
        <f aca="false">0</f>
        <v>0</v>
      </c>
      <c r="D1037" s="2" t="n">
        <f aca="false">C1037*(1-D$1027)+C1036*D$1027</f>
        <v>0</v>
      </c>
      <c r="E1037" s="2" t="n">
        <f aca="false">D1037*(1-E$1027)+D1036*E$1027</f>
        <v>0</v>
      </c>
      <c r="F1037" s="2" t="n">
        <f aca="false">E1037*(1-F$1027)+E1036*F$1027</f>
        <v>0</v>
      </c>
      <c r="G1037" s="2" t="n">
        <f aca="false">F1037*(1-G$1027)+F1036*G$1027</f>
        <v>0</v>
      </c>
      <c r="H1037" s="2" t="n">
        <f aca="false">G1037*(1-H$1027)+G1036*H$1027</f>
        <v>0</v>
      </c>
      <c r="I1037" s="2" t="n">
        <f aca="false">H1037*(1-I$1027)+H1036*I$1027</f>
        <v>0</v>
      </c>
      <c r="J1037" s="2" t="n">
        <f aca="false">I1037*(1-J$1027)+I1036*J$1027</f>
        <v>0</v>
      </c>
      <c r="K1037" s="2" t="n">
        <f aca="false">J1037*(1-K$1027)+J1036*K$1027</f>
        <v>0.0143332403650015</v>
      </c>
      <c r="L1037" s="2" t="n">
        <f aca="false">K1037*(1-L$1027)+K1036*L$1027</f>
        <v>0.0685539351083572</v>
      </c>
      <c r="M1037" s="2" t="n">
        <f aca="false">L1037*(1-M$1027)+L1036*M$1027</f>
        <v>0.106025118416607</v>
      </c>
      <c r="N1037" s="2" t="n">
        <f aca="false">M1037*(1-N$1027)+M1036*N$1027</f>
        <v>0.156888089178981</v>
      </c>
      <c r="O1037" s="2" t="n">
        <f aca="false">N1037*(1-O$1027)+N1036*O$1027</f>
        <v>0.156888089178981</v>
      </c>
    </row>
    <row r="1038" customFormat="false" ht="15" hidden="false" customHeight="false" outlineLevel="0" collapsed="false">
      <c r="B1038" s="2" t="n">
        <v>10</v>
      </c>
      <c r="C1038" s="2" t="n">
        <f aca="false">0</f>
        <v>0</v>
      </c>
      <c r="D1038" s="2" t="n">
        <f aca="false">C1038*(1-D$1027)+C1037*D$1027</f>
        <v>0</v>
      </c>
      <c r="E1038" s="2" t="n">
        <f aca="false">D1038*(1-E$1027)+D1037*E$1027</f>
        <v>0</v>
      </c>
      <c r="F1038" s="2" t="n">
        <f aca="false">E1038*(1-F$1027)+E1037*F$1027</f>
        <v>0</v>
      </c>
      <c r="G1038" s="2" t="n">
        <f aca="false">F1038*(1-G$1027)+F1037*G$1027</f>
        <v>0</v>
      </c>
      <c r="H1038" s="2" t="n">
        <f aca="false">G1038*(1-H$1027)+G1037*H$1027</f>
        <v>0</v>
      </c>
      <c r="I1038" s="2" t="n">
        <f aca="false">H1038*(1-I$1027)+H1037*I$1027</f>
        <v>0</v>
      </c>
      <c r="J1038" s="2" t="n">
        <f aca="false">I1038*(1-J$1027)+I1037*J$1027</f>
        <v>0</v>
      </c>
      <c r="K1038" s="2" t="n">
        <f aca="false">J1038*(1-K$1027)+J1037*K$1027</f>
        <v>0</v>
      </c>
      <c r="L1038" s="2" t="n">
        <f aca="false">K1038*(1-L$1027)+K1037*L$1027</f>
        <v>0.0108370835147206</v>
      </c>
      <c r="M1038" s="2" t="n">
        <f aca="false">L1038*(1-M$1027)+L1037*M$1027</f>
        <v>0.0300650659708231</v>
      </c>
      <c r="N1038" s="2" t="n">
        <f aca="false">M1038*(1-N$1027)+M1037*N$1027</f>
        <v>0.0672875791885885</v>
      </c>
      <c r="O1038" s="2" t="n">
        <f aca="false">N1038*(1-O$1027)+N1037*O$1027</f>
        <v>0.0672875791885885</v>
      </c>
    </row>
    <row r="1039" customFormat="false" ht="15" hidden="false" customHeight="false" outlineLevel="0" collapsed="false">
      <c r="B1039" s="2" t="n">
        <v>11</v>
      </c>
      <c r="C1039" s="2" t="n">
        <f aca="false">0</f>
        <v>0</v>
      </c>
      <c r="D1039" s="2" t="n">
        <f aca="false">C1039*(1-D$1027)+C1038*D$1027</f>
        <v>0</v>
      </c>
      <c r="E1039" s="2" t="n">
        <f aca="false">D1039*(1-E$1027)+D1038*E$1027</f>
        <v>0</v>
      </c>
      <c r="F1039" s="2" t="n">
        <f aca="false">E1039*(1-F$1027)+E1038*F$1027</f>
        <v>0</v>
      </c>
      <c r="G1039" s="2" t="n">
        <f aca="false">F1039*(1-G$1027)+F1038*G$1027</f>
        <v>0</v>
      </c>
      <c r="H1039" s="2" t="n">
        <f aca="false">G1039*(1-H$1027)+G1038*H$1027</f>
        <v>0</v>
      </c>
      <c r="I1039" s="2" t="n">
        <f aca="false">H1039*(1-I$1027)+H1038*I$1027</f>
        <v>0</v>
      </c>
      <c r="J1039" s="2" t="n">
        <f aca="false">I1039*(1-J$1027)+I1038*J$1027</f>
        <v>0</v>
      </c>
      <c r="K1039" s="2" t="n">
        <f aca="false">J1039*(1-K$1027)+J1038*K$1027</f>
        <v>0</v>
      </c>
      <c r="L1039" s="2" t="n">
        <f aca="false">K1039*(1-L$1027)+K1038*L$1027</f>
        <v>0</v>
      </c>
      <c r="M1039" s="2" t="n">
        <f aca="false">L1039*(1-M$1027)+L1038*M$1027</f>
        <v>0.00361030177396821</v>
      </c>
      <c r="N1039" s="2" t="n">
        <f aca="false">M1039*(1-N$1027)+M1038*N$1027</f>
        <v>0.0165738632550918</v>
      </c>
      <c r="O1039" s="2" t="n">
        <f aca="false">N1039*(1-O$1027)+N1038*O$1027</f>
        <v>0.0165738632550918</v>
      </c>
    </row>
    <row r="1040" customFormat="false" ht="15" hidden="false" customHeight="false" outlineLevel="0" collapsed="false">
      <c r="B1040" s="2" t="n">
        <v>12</v>
      </c>
      <c r="C1040" s="2" t="n">
        <f aca="false">0</f>
        <v>0</v>
      </c>
      <c r="D1040" s="2" t="n">
        <f aca="false">C1040*(1-D$1027)+C1039*D$1027</f>
        <v>0</v>
      </c>
      <c r="E1040" s="2" t="n">
        <f aca="false">D1040*(1-E$1027)+D1039*E$1027</f>
        <v>0</v>
      </c>
      <c r="F1040" s="2" t="n">
        <f aca="false">E1040*(1-F$1027)+E1039*F$1027</f>
        <v>0</v>
      </c>
      <c r="G1040" s="2" t="n">
        <f aca="false">F1040*(1-G$1027)+F1039*G$1027</f>
        <v>0</v>
      </c>
      <c r="H1040" s="2" t="n">
        <f aca="false">G1040*(1-H$1027)+G1039*H$1027</f>
        <v>0</v>
      </c>
      <c r="I1040" s="2" t="n">
        <f aca="false">H1040*(1-I$1027)+H1039*I$1027</f>
        <v>0</v>
      </c>
      <c r="J1040" s="2" t="n">
        <f aca="false">I1040*(1-J$1027)+I1039*J$1027</f>
        <v>0</v>
      </c>
      <c r="K1040" s="2" t="n">
        <f aca="false">J1040*(1-K$1027)+J1039*K$1027</f>
        <v>0</v>
      </c>
      <c r="L1040" s="2" t="n">
        <f aca="false">K1040*(1-L$1027)+K1039*L$1027</f>
        <v>0</v>
      </c>
      <c r="M1040" s="2" t="n">
        <f aca="false">L1040*(1-M$1027)+L1039*M$1027</f>
        <v>0</v>
      </c>
      <c r="N1040" s="2" t="n">
        <f aca="false">M1040*(1-N$1027)+M1039*N$1027</f>
        <v>0.00176914708685291</v>
      </c>
      <c r="O1040" s="2" t="n">
        <f aca="false">N1040*(1-O$1027)+N1039*O$1027</f>
        <v>0.00176914708685291</v>
      </c>
    </row>
    <row r="1041" customFormat="false" ht="15" hidden="false" customHeight="false" outlineLevel="0" collapsed="false">
      <c r="B1041" s="2" t="n">
        <v>13</v>
      </c>
      <c r="C1041" s="2" t="n">
        <f aca="false">0</f>
        <v>0</v>
      </c>
      <c r="D1041" s="2" t="n">
        <f aca="false">C1041*(1-D$1027)+C1040*D$1027</f>
        <v>0</v>
      </c>
      <c r="E1041" s="2" t="n">
        <f aca="false">D1041*(1-E$1027)+D1040*E$1027</f>
        <v>0</v>
      </c>
      <c r="F1041" s="2" t="n">
        <f aca="false">E1041*(1-F$1027)+E1040*F$1027</f>
        <v>0</v>
      </c>
      <c r="G1041" s="2" t="n">
        <f aca="false">F1041*(1-G$1027)+F1040*G$1027</f>
        <v>0</v>
      </c>
      <c r="H1041" s="2" t="n">
        <f aca="false">G1041*(1-H$1027)+G1040*H$1027</f>
        <v>0</v>
      </c>
      <c r="I1041" s="2" t="n">
        <f aca="false">H1041*(1-I$1027)+H1040*I$1027</f>
        <v>0</v>
      </c>
      <c r="J1041" s="2" t="n">
        <f aca="false">I1041*(1-J$1027)+I1040*J$1027</f>
        <v>0</v>
      </c>
      <c r="K1041" s="2" t="n">
        <f aca="false">J1041*(1-K$1027)+J1040*K$1027</f>
        <v>0</v>
      </c>
      <c r="L1041" s="2" t="n">
        <f aca="false">K1041*(1-L$1027)+K1040*L$1027</f>
        <v>0</v>
      </c>
      <c r="M1041" s="2" t="n">
        <f aca="false">L1041*(1-M$1027)+L1040*M$1027</f>
        <v>0</v>
      </c>
      <c r="N1041" s="2" t="n">
        <f aca="false">M1041*(1-N$1027)+M1040*N$1027</f>
        <v>0</v>
      </c>
      <c r="O1041" s="2" t="n">
        <f aca="false">N1041*(1-O$1027)+N1040*O$1027</f>
        <v>0</v>
      </c>
    </row>
    <row r="1043" customFormat="false" ht="15" hidden="false" customHeight="false" outlineLevel="0" collapsed="false">
      <c r="A1043" s="1" t="s">
        <v>123</v>
      </c>
      <c r="C1043" s="2" t="n">
        <f aca="false">Schedule!G67</f>
        <v>0.315169414269308</v>
      </c>
      <c r="D1043" s="2" t="n">
        <f aca="false">Schedule!L67</f>
        <v>0.917355324438033</v>
      </c>
      <c r="E1043" s="2" t="n">
        <f aca="false">Schedule!Q67</f>
        <v>0.333143300876488</v>
      </c>
      <c r="F1043" s="2" t="n">
        <f aca="false">Schedule!V67</f>
        <v>0.363169348824381</v>
      </c>
      <c r="G1043" s="2" t="n">
        <f aca="false">Schedule!AA67</f>
        <v>0.122516212343049</v>
      </c>
      <c r="H1043" s="2" t="n">
        <f aca="false">Schedule!AF67</f>
        <v>0.339986490349139</v>
      </c>
      <c r="I1043" s="2" t="n">
        <f aca="false">Schedule!AK67</f>
        <v>0.293306760083888</v>
      </c>
      <c r="J1043" s="2" t="n">
        <f aca="false">Schedule!AP67</f>
        <v>0.353830233327276</v>
      </c>
      <c r="K1043" s="2" t="n">
        <f aca="false">Schedule!AU67</f>
        <v>0.337699424942871</v>
      </c>
      <c r="L1043" s="2" t="n">
        <f aca="false">Schedule!AZ67</f>
        <v>0.396467992679005</v>
      </c>
      <c r="M1043" s="2" t="n">
        <f aca="false">Schedule!BE67</f>
        <v>0.382088577811047</v>
      </c>
      <c r="N1043" s="2" t="n">
        <f aca="false">Schedule!BJ67</f>
        <v>0.537346124555327</v>
      </c>
      <c r="O1043" s="2" t="n">
        <f aca="false">Schedule!BO67</f>
        <v>0</v>
      </c>
    </row>
    <row r="1044" customFormat="false" ht="15" hidden="false" customHeight="false" outlineLevel="0" collapsed="false">
      <c r="B1044" s="2" t="n">
        <v>0</v>
      </c>
      <c r="C1044" s="2" t="n">
        <f aca="false">1-C$1043</f>
        <v>0.684830585730692</v>
      </c>
      <c r="D1044" s="2" t="n">
        <f aca="false">C1044*(1-D$1043)</f>
        <v>0.0565976015726247</v>
      </c>
      <c r="E1044" s="2" t="n">
        <f aca="false">D1044*(1-E$1043)</f>
        <v>0.0377424897630282</v>
      </c>
      <c r="F1044" s="2" t="n">
        <f aca="false">E1044*(1-F$1043)</f>
        <v>0.0240355743327784</v>
      </c>
      <c r="G1044" s="2" t="n">
        <f aca="false">F1044*(1-G$1043)</f>
        <v>0.0210908268040365</v>
      </c>
      <c r="H1044" s="2" t="n">
        <f aca="false">G1044*(1-H$1043)</f>
        <v>0.0139202306203706</v>
      </c>
      <c r="I1044" s="2" t="n">
        <f aca="false">H1044*(1-I$1043)</f>
        <v>0.00983733287748919</v>
      </c>
      <c r="J1044" s="2" t="n">
        <f aca="false">I1044*(1-J$1043)</f>
        <v>0.0063565870901291</v>
      </c>
      <c r="K1044" s="2" t="n">
        <f aca="false">J1044*(1-K$1043)</f>
        <v>0.00420997128519323</v>
      </c>
      <c r="L1044" s="2" t="n">
        <f aca="false">K1044*(1-L$1043)</f>
        <v>0.00254085242051642</v>
      </c>
      <c r="M1044" s="2" t="n">
        <f aca="false">L1044*(1-M$1043)</f>
        <v>0.00157002173273354</v>
      </c>
      <c r="N1044" s="2" t="n">
        <f aca="false">M1044*(1-N$1043)</f>
        <v>0.000726376639181534</v>
      </c>
      <c r="O1044" s="2" t="n">
        <f aca="false">N1044*(1-O$1043)</f>
        <v>0.000726376639181534</v>
      </c>
    </row>
    <row r="1045" customFormat="false" ht="15" hidden="false" customHeight="false" outlineLevel="0" collapsed="false">
      <c r="B1045" s="2" t="n">
        <v>1</v>
      </c>
      <c r="C1045" s="2" t="n">
        <f aca="false">C$1043</f>
        <v>0.315169414269308</v>
      </c>
      <c r="D1045" s="2" t="n">
        <f aca="false">C1045*(1-D$1043)+C1044*D$1043</f>
        <v>0.654280058147409</v>
      </c>
      <c r="E1045" s="2" t="n">
        <f aca="false">D1045*(1-E$1043)+D1044*E$1043</f>
        <v>0.455166151688117</v>
      </c>
      <c r="F1045" s="2" t="n">
        <f aca="false">E1045*(1-F$1043)+E1044*F$1043</f>
        <v>0.303570672202894</v>
      </c>
      <c r="G1045" s="2" t="n">
        <f aca="false">F1045*(1-G$1043)+F1044*G$1043</f>
        <v>0.269323090794904</v>
      </c>
      <c r="H1045" s="2" t="n">
        <f aca="false">G1045*(1-H$1043)+G1044*H$1043</f>
        <v>0.184927474569228</v>
      </c>
      <c r="I1045" s="2" t="n">
        <f aca="false">H1045*(1-I$1043)+H1044*I$1043</f>
        <v>0.134769893895714</v>
      </c>
      <c r="J1045" s="2" t="n">
        <f aca="false">I1045*(1-J$1043)+I1044*J$1043</f>
        <v>0.0905649766804611</v>
      </c>
      <c r="K1045" s="2" t="n">
        <f aca="false">J1045*(1-K$1043)+J1044*K$1043</f>
        <v>0.0621278519404407</v>
      </c>
      <c r="L1045" s="2" t="n">
        <f aca="false">K1045*(1-L$1043)+K1044*L$1043</f>
        <v>0.0391652660568326</v>
      </c>
      <c r="M1045" s="2" t="n">
        <f aca="false">L1045*(1-M$1043)+L1044*M$1043</f>
        <v>0.025171495937369</v>
      </c>
      <c r="N1045" s="2" t="n">
        <f aca="false">M1045*(1-N$1043)+M1044*N$1043</f>
        <v>0.0124893352397156</v>
      </c>
      <c r="O1045" s="2" t="n">
        <f aca="false">N1045*(1-O$1043)+N1044*O$1043</f>
        <v>0.0124893352397156</v>
      </c>
    </row>
    <row r="1046" customFormat="false" ht="15" hidden="false" customHeight="false" outlineLevel="0" collapsed="false">
      <c r="B1046" s="2" t="n">
        <v>2</v>
      </c>
      <c r="C1046" s="2" t="n">
        <f aca="false">0</f>
        <v>0</v>
      </c>
      <c r="D1046" s="2" t="n">
        <f aca="false">C1046*(1-D$1043)+C1045*D$1043</f>
        <v>0.289122340279966</v>
      </c>
      <c r="E1046" s="2" t="n">
        <f aca="false">D1046*(1-E$1043)+D1045*E$1043</f>
        <v>0.410772187750852</v>
      </c>
      <c r="F1046" s="2" t="n">
        <f aca="false">E1046*(1-F$1043)+E1045*F$1043</f>
        <v>0.426894714725681</v>
      </c>
      <c r="G1046" s="2" t="n">
        <f aca="false">F1046*(1-G$1043)+F1045*G$1043</f>
        <v>0.411785520144956</v>
      </c>
      <c r="H1046" s="2" t="n">
        <f aca="false">G1046*(1-H$1043)+G1045*H$1043</f>
        <v>0.36335021878362</v>
      </c>
      <c r="I1046" s="2" t="n">
        <f aca="false">H1046*(1-I$1043)+H1045*I$1043</f>
        <v>0.31101762175282</v>
      </c>
      <c r="J1046" s="2" t="n">
        <f aca="false">I1046*(1-J$1043)+I1045*J$1043</f>
        <v>0.248655847081738</v>
      </c>
      <c r="K1046" s="2" t="n">
        <f aca="false">J1046*(1-K$1043)+J1045*K$1043</f>
        <v>0.195268651058509</v>
      </c>
      <c r="L1046" s="2" t="n">
        <f aca="false">K1046*(1-L$1043)+K1045*L$1043</f>
        <v>0.14248258568849</v>
      </c>
      <c r="M1046" s="2" t="n">
        <f aca="false">L1046*(1-M$1043)+L1045*M$1043</f>
        <v>0.10300621796718</v>
      </c>
      <c r="N1046" s="2" t="n">
        <f aca="false">M1046*(1-N$1043)+M1045*N$1043</f>
        <v>0.0611820317286201</v>
      </c>
      <c r="O1046" s="2" t="n">
        <f aca="false">N1046*(1-O$1043)+N1045*O$1043</f>
        <v>0.0611820317286201</v>
      </c>
    </row>
    <row r="1047" customFormat="false" ht="15" hidden="false" customHeight="false" outlineLevel="0" collapsed="false">
      <c r="B1047" s="2" t="n">
        <v>3</v>
      </c>
      <c r="C1047" s="2" t="n">
        <f aca="false">0</f>
        <v>0</v>
      </c>
      <c r="D1047" s="2" t="n">
        <f aca="false">C1047*(1-D$1043)+C1046*D$1043</f>
        <v>0</v>
      </c>
      <c r="E1047" s="2" t="n">
        <f aca="false">D1047*(1-E$1043)+D1046*E$1043</f>
        <v>0.0963191707980033</v>
      </c>
      <c r="F1047" s="2" t="n">
        <f aca="false">E1047*(1-F$1043)+E1046*F$1043</f>
        <v>0.210518868200631</v>
      </c>
      <c r="G1047" s="2" t="n">
        <f aca="false">F1047*(1-G$1043)+F1046*G$1043</f>
        <v>0.237028417359401</v>
      </c>
      <c r="H1047" s="2" t="n">
        <f aca="false">G1047*(1-H$1043)+G1046*H$1043</f>
        <v>0.296443471399046</v>
      </c>
      <c r="I1047" s="2" t="n">
        <f aca="false">H1047*(1-I$1043)+H1046*I$1043</f>
        <v>0.316067672702166</v>
      </c>
      <c r="J1047" s="2" t="n">
        <f aca="false">I1047*(1-J$1043)+I1046*J$1043</f>
        <v>0.314280811996445</v>
      </c>
      <c r="K1047" s="2" t="n">
        <f aca="false">J1047*(1-K$1043)+J1046*K$1043</f>
        <v>0.292119299082852</v>
      </c>
      <c r="L1047" s="2" t="n">
        <f aca="false">K1047*(1-L$1043)+K1046*L$1043</f>
        <v>0.25372111707098</v>
      </c>
      <c r="M1047" s="2" t="n">
        <f aca="false">L1047*(1-M$1043)+L1046*M$1043</f>
        <v>0.211218144817255</v>
      </c>
      <c r="N1047" s="2" t="n">
        <f aca="false">M1047*(1-N$1043)+M1046*N$1043</f>
        <v>0.153070885293703</v>
      </c>
      <c r="O1047" s="2" t="n">
        <f aca="false">N1047*(1-O$1043)+N1046*O$1043</f>
        <v>0.153070885293703</v>
      </c>
    </row>
    <row r="1048" customFormat="false" ht="15" hidden="false" customHeight="false" outlineLevel="0" collapsed="false">
      <c r="B1048" s="2" t="n">
        <v>4</v>
      </c>
      <c r="C1048" s="2" t="n">
        <f aca="false">0</f>
        <v>0</v>
      </c>
      <c r="D1048" s="2" t="n">
        <f aca="false">C1048*(1-D$1043)+C1047*D$1043</f>
        <v>0</v>
      </c>
      <c r="E1048" s="2" t="n">
        <f aca="false">D1048*(1-E$1043)+D1047*E$1043</f>
        <v>0</v>
      </c>
      <c r="F1048" s="2" t="n">
        <f aca="false">E1048*(1-F$1043)+E1047*F$1043</f>
        <v>0.0349801705380152</v>
      </c>
      <c r="G1048" s="2" t="n">
        <f aca="false">F1048*(1-G$1043)+F1047*G$1043</f>
        <v>0.0564865068952706</v>
      </c>
      <c r="H1048" s="2" t="n">
        <f aca="false">G1048*(1-H$1043)+G1047*H$1043</f>
        <v>0.117868317394899</v>
      </c>
      <c r="I1048" s="2" t="n">
        <f aca="false">H1048*(1-I$1043)+H1047*I$1043</f>
        <v>0.170245617247337</v>
      </c>
      <c r="J1048" s="2" t="n">
        <f aca="false">I1048*(1-J$1043)+I1047*J$1043</f>
        <v>0.221841869153182</v>
      </c>
      <c r="K1048" s="2" t="n">
        <f aca="false">J1048*(1-K$1043)+J1047*K$1043</f>
        <v>0.253058446993679</v>
      </c>
      <c r="L1048" s="2" t="n">
        <f aca="false">K1048*(1-L$1043)+K1047*L$1043</f>
        <v>0.268544824613805</v>
      </c>
      <c r="M1048" s="2" t="n">
        <f aca="false">L1048*(1-M$1043)+L1047*M$1043</f>
        <v>0.26288085528088</v>
      </c>
      <c r="N1048" s="2" t="n">
        <f aca="false">M1048*(1-N$1043)+M1047*N$1043</f>
        <v>0.235120098029227</v>
      </c>
      <c r="O1048" s="2" t="n">
        <f aca="false">N1048*(1-O$1043)+N1047*O$1043</f>
        <v>0.235120098029227</v>
      </c>
    </row>
    <row r="1049" customFormat="false" ht="15" hidden="false" customHeight="false" outlineLevel="0" collapsed="false">
      <c r="B1049" s="2" t="n">
        <v>5</v>
      </c>
      <c r="C1049" s="2" t="n">
        <f aca="false">0</f>
        <v>0</v>
      </c>
      <c r="D1049" s="2" t="n">
        <f aca="false">C1049*(1-D$1043)+C1048*D$1043</f>
        <v>0</v>
      </c>
      <c r="E1049" s="2" t="n">
        <f aca="false">D1049*(1-E$1043)+D1048*E$1043</f>
        <v>0</v>
      </c>
      <c r="F1049" s="2" t="n">
        <f aca="false">E1049*(1-F$1043)+E1048*F$1043</f>
        <v>0</v>
      </c>
      <c r="G1049" s="2" t="n">
        <f aca="false">F1049*(1-G$1043)+F1048*G$1043</f>
        <v>0.00428563800143155</v>
      </c>
      <c r="H1049" s="2" t="n">
        <f aca="false">G1049*(1-H$1043)+G1048*H$1043</f>
        <v>0.0220332282098234</v>
      </c>
      <c r="I1049" s="2" t="n">
        <f aca="false">H1049*(1-I$1043)+H1048*I$1043</f>
        <v>0.0501423077210483</v>
      </c>
      <c r="J1049" s="2" t="n">
        <f aca="false">I1049*(1-J$1043)+I1048*J$1043</f>
        <v>0.0926384897541129</v>
      </c>
      <c r="K1049" s="2" t="n">
        <f aca="false">J1049*(1-K$1043)+J1048*K$1043</f>
        <v>0.136270396677854</v>
      </c>
      <c r="L1049" s="2" t="n">
        <f aca="false">K1049*(1-L$1043)+K1048*L$1043</f>
        <v>0.182573120555464</v>
      </c>
      <c r="M1049" s="2" t="n">
        <f aca="false">L1049*(1-M$1043)+L1048*M$1043</f>
        <v>0.215421926691108</v>
      </c>
      <c r="N1049" s="2" t="n">
        <f aca="false">M1049*(1-N$1043)+M1048*N$1043</f>
        <v>0.24092379804437</v>
      </c>
      <c r="O1049" s="2" t="n">
        <f aca="false">N1049*(1-O$1043)+N1048*O$1043</f>
        <v>0.24092379804437</v>
      </c>
    </row>
    <row r="1050" customFormat="false" ht="15" hidden="false" customHeight="false" outlineLevel="0" collapsed="false">
      <c r="B1050" s="2" t="n">
        <v>6</v>
      </c>
      <c r="C1050" s="2" t="n">
        <f aca="false">0</f>
        <v>0</v>
      </c>
      <c r="D1050" s="2" t="n">
        <f aca="false">C1050*(1-D$1043)+C1049*D$1043</f>
        <v>0</v>
      </c>
      <c r="E1050" s="2" t="n">
        <f aca="false">D1050*(1-E$1043)+D1049*E$1043</f>
        <v>0</v>
      </c>
      <c r="F1050" s="2" t="n">
        <f aca="false">E1050*(1-F$1043)+E1049*F$1043</f>
        <v>0</v>
      </c>
      <c r="G1050" s="2" t="n">
        <f aca="false">F1050*(1-G$1043)+F1049*G$1043</f>
        <v>0</v>
      </c>
      <c r="H1050" s="2" t="n">
        <f aca="false">G1050*(1-H$1043)+G1049*H$1043</f>
        <v>0.00145705902301361</v>
      </c>
      <c r="I1050" s="2" t="n">
        <f aca="false">H1050*(1-I$1043)+H1049*I$1043</f>
        <v>0.00749218854213471</v>
      </c>
      <c r="J1050" s="2" t="n">
        <f aca="false">I1050*(1-J$1043)+I1049*J$1043</f>
        <v>0.0225830901626458</v>
      </c>
      <c r="K1050" s="2" t="n">
        <f aca="false">J1050*(1-K$1043)+J1049*K$1043</f>
        <v>0.0462407583188273</v>
      </c>
      <c r="L1050" s="2" t="n">
        <f aca="false">K1050*(1-L$1043)+K1049*L$1043</f>
        <v>0.0819346283206475</v>
      </c>
      <c r="M1050" s="2" t="n">
        <f aca="false">L1050*(1-M$1043)+L1049*M$1043</f>
        <v>0.120387446691697</v>
      </c>
      <c r="N1050" s="2" t="n">
        <f aca="false">M1050*(1-N$1043)+M1049*N$1043</f>
        <v>0.171453856218511</v>
      </c>
      <c r="O1050" s="2" t="n">
        <f aca="false">N1050*(1-O$1043)+N1049*O$1043</f>
        <v>0.171453856218511</v>
      </c>
    </row>
    <row r="1051" customFormat="false" ht="15" hidden="false" customHeight="false" outlineLevel="0" collapsed="false">
      <c r="B1051" s="2" t="n">
        <v>7</v>
      </c>
      <c r="C1051" s="2" t="n">
        <f aca="false">0</f>
        <v>0</v>
      </c>
      <c r="D1051" s="2" t="n">
        <f aca="false">C1051*(1-D$1043)+C1050*D$1043</f>
        <v>0</v>
      </c>
      <c r="E1051" s="2" t="n">
        <f aca="false">D1051*(1-E$1043)+D1050*E$1043</f>
        <v>0</v>
      </c>
      <c r="F1051" s="2" t="n">
        <f aca="false">E1051*(1-F$1043)+E1050*F$1043</f>
        <v>0</v>
      </c>
      <c r="G1051" s="2" t="n">
        <f aca="false">F1051*(1-G$1043)+F1050*G$1043</f>
        <v>0</v>
      </c>
      <c r="H1051" s="2" t="n">
        <f aca="false">G1051*(1-H$1043)+G1050*H$1043</f>
        <v>0</v>
      </c>
      <c r="I1051" s="2" t="n">
        <f aca="false">H1051*(1-I$1043)+H1050*I$1043</f>
        <v>0.000427365261291116</v>
      </c>
      <c r="J1051" s="2" t="n">
        <f aca="false">I1051*(1-J$1043)+I1050*J$1043</f>
        <v>0.00292711333116798</v>
      </c>
      <c r="K1051" s="2" t="n">
        <f aca="false">J1051*(1-K$1043)+J1050*K$1043</f>
        <v>0.00956492540384845</v>
      </c>
      <c r="L1051" s="2" t="n">
        <f aca="false">K1051*(1-L$1043)+K1050*L$1043</f>
        <v>0.0241057192594807</v>
      </c>
      <c r="M1051" s="2" t="n">
        <f aca="false">L1051*(1-M$1043)+L1050*M$1043</f>
        <v>0.0462014848790263</v>
      </c>
      <c r="N1051" s="2" t="n">
        <f aca="false">M1051*(1-N$1043)+M1050*N$1043</f>
        <v>0.0860650239554741</v>
      </c>
      <c r="O1051" s="2" t="n">
        <f aca="false">N1051*(1-O$1043)+N1050*O$1043</f>
        <v>0.0860650239554741</v>
      </c>
    </row>
    <row r="1052" customFormat="false" ht="15" hidden="false" customHeight="false" outlineLevel="0" collapsed="false">
      <c r="B1052" s="2" t="n">
        <v>8</v>
      </c>
      <c r="C1052" s="2" t="n">
        <f aca="false">0</f>
        <v>0</v>
      </c>
      <c r="D1052" s="2" t="n">
        <f aca="false">C1052*(1-D$1043)+C1051*D$1043</f>
        <v>0</v>
      </c>
      <c r="E1052" s="2" t="n">
        <f aca="false">D1052*(1-E$1043)+D1051*E$1043</f>
        <v>0</v>
      </c>
      <c r="F1052" s="2" t="n">
        <f aca="false">E1052*(1-F$1043)+E1051*F$1043</f>
        <v>0</v>
      </c>
      <c r="G1052" s="2" t="n">
        <f aca="false">F1052*(1-G$1043)+F1051*G$1043</f>
        <v>0</v>
      </c>
      <c r="H1052" s="2" t="n">
        <f aca="false">G1052*(1-H$1043)+G1051*H$1043</f>
        <v>0</v>
      </c>
      <c r="I1052" s="2" t="n">
        <f aca="false">H1052*(1-I$1043)+H1051*I$1043</f>
        <v>0</v>
      </c>
      <c r="J1052" s="2" t="n">
        <f aca="false">I1052*(1-J$1043)+I1051*J$1043</f>
        <v>0.000151214750118608</v>
      </c>
      <c r="K1052" s="2" t="n">
        <f aca="false">J1052*(1-K$1043)+J1051*K$1043</f>
        <v>0.00108863410463871</v>
      </c>
      <c r="L1052" s="2" t="n">
        <f aca="false">K1052*(1-L$1043)+K1051*L$1043</f>
        <v>0.00444921230139892</v>
      </c>
      <c r="M1052" s="2" t="n">
        <f aca="false">L1052*(1-M$1043)+L1051*M$1043</f>
        <v>0.0119597390897453</v>
      </c>
      <c r="N1052" s="2" t="n">
        <f aca="false">M1052*(1-N$1043)+M1051*N$1043</f>
        <v>0.0303594084876242</v>
      </c>
      <c r="O1052" s="2" t="n">
        <f aca="false">N1052*(1-O$1043)+N1051*O$1043</f>
        <v>0.0303594084876242</v>
      </c>
    </row>
    <row r="1053" customFormat="false" ht="15" hidden="false" customHeight="false" outlineLevel="0" collapsed="false">
      <c r="B1053" s="2" t="n">
        <v>9</v>
      </c>
      <c r="C1053" s="2" t="n">
        <f aca="false">0</f>
        <v>0</v>
      </c>
      <c r="D1053" s="2" t="n">
        <f aca="false">C1053*(1-D$1043)+C1052*D$1043</f>
        <v>0</v>
      </c>
      <c r="E1053" s="2" t="n">
        <f aca="false">D1053*(1-E$1043)+D1052*E$1043</f>
        <v>0</v>
      </c>
      <c r="F1053" s="2" t="n">
        <f aca="false">E1053*(1-F$1043)+E1052*F$1043</f>
        <v>0</v>
      </c>
      <c r="G1053" s="2" t="n">
        <f aca="false">F1053*(1-G$1043)+F1052*G$1043</f>
        <v>0</v>
      </c>
      <c r="H1053" s="2" t="n">
        <f aca="false">G1053*(1-H$1043)+G1052*H$1043</f>
        <v>0</v>
      </c>
      <c r="I1053" s="2" t="n">
        <f aca="false">H1053*(1-I$1043)+H1052*I$1043</f>
        <v>0</v>
      </c>
      <c r="J1053" s="2" t="n">
        <f aca="false">I1053*(1-J$1043)+I1052*J$1043</f>
        <v>0</v>
      </c>
      <c r="K1053" s="2" t="n">
        <f aca="false">J1053*(1-K$1043)+J1052*K$1043</f>
        <v>5.10651341579339E-005</v>
      </c>
      <c r="L1053" s="2" t="n">
        <f aca="false">K1053*(1-L$1043)+K1052*L$1043</f>
        <v>0.00046242802115047</v>
      </c>
      <c r="M1053" s="2" t="n">
        <f aca="false">L1053*(1-M$1043)+L1052*M$1043</f>
        <v>0.00198573275683004</v>
      </c>
      <c r="N1053" s="2" t="n">
        <f aca="false">M1053*(1-N$1043)+M1052*N$1043</f>
        <v>0.00734522640611237</v>
      </c>
      <c r="O1053" s="2" t="n">
        <f aca="false">N1053*(1-O$1043)+N1052*O$1043</f>
        <v>0.00734522640611237</v>
      </c>
    </row>
    <row r="1054" customFormat="false" ht="15" hidden="false" customHeight="false" outlineLevel="0" collapsed="false">
      <c r="B1054" s="2" t="n">
        <v>10</v>
      </c>
      <c r="C1054" s="2" t="n">
        <f aca="false">0</f>
        <v>0</v>
      </c>
      <c r="D1054" s="2" t="n">
        <f aca="false">C1054*(1-D$1043)+C1053*D$1043</f>
        <v>0</v>
      </c>
      <c r="E1054" s="2" t="n">
        <f aca="false">D1054*(1-E$1043)+D1053*E$1043</f>
        <v>0</v>
      </c>
      <c r="F1054" s="2" t="n">
        <f aca="false">E1054*(1-F$1043)+E1053*F$1043</f>
        <v>0</v>
      </c>
      <c r="G1054" s="2" t="n">
        <f aca="false">F1054*(1-G$1043)+F1053*G$1043</f>
        <v>0</v>
      </c>
      <c r="H1054" s="2" t="n">
        <f aca="false">G1054*(1-H$1043)+G1053*H$1043</f>
        <v>0</v>
      </c>
      <c r="I1054" s="2" t="n">
        <f aca="false">H1054*(1-I$1043)+H1053*I$1043</f>
        <v>0</v>
      </c>
      <c r="J1054" s="2" t="n">
        <f aca="false">I1054*(1-J$1043)+I1053*J$1043</f>
        <v>0</v>
      </c>
      <c r="K1054" s="2" t="n">
        <f aca="false">J1054*(1-K$1043)+J1053*K$1043</f>
        <v>0</v>
      </c>
      <c r="L1054" s="2" t="n">
        <f aca="false">K1054*(1-L$1043)+K1053*L$1043</f>
        <v>2.02456912354802E-005</v>
      </c>
      <c r="M1054" s="2" t="n">
        <f aca="false">L1054*(1-M$1043)+L1053*M$1043</f>
        <v>0.000189198508805874</v>
      </c>
      <c r="N1054" s="2" t="n">
        <f aca="false">M1054*(1-N$1043)+M1053*N$1043</f>
        <v>0.00115455922461258</v>
      </c>
      <c r="O1054" s="2" t="n">
        <f aca="false">N1054*(1-O$1043)+N1053*O$1043</f>
        <v>0.00115455922461258</v>
      </c>
    </row>
    <row r="1055" customFormat="false" ht="15" hidden="false" customHeight="false" outlineLevel="0" collapsed="false">
      <c r="B1055" s="2" t="n">
        <v>11</v>
      </c>
      <c r="C1055" s="2" t="n">
        <f aca="false">0</f>
        <v>0</v>
      </c>
      <c r="D1055" s="2" t="n">
        <f aca="false">C1055*(1-D$1043)+C1054*D$1043</f>
        <v>0</v>
      </c>
      <c r="E1055" s="2" t="n">
        <f aca="false">D1055*(1-E$1043)+D1054*E$1043</f>
        <v>0</v>
      </c>
      <c r="F1055" s="2" t="n">
        <f aca="false">E1055*(1-F$1043)+E1054*F$1043</f>
        <v>0</v>
      </c>
      <c r="G1055" s="2" t="n">
        <f aca="false">F1055*(1-G$1043)+F1054*G$1043</f>
        <v>0</v>
      </c>
      <c r="H1055" s="2" t="n">
        <f aca="false">G1055*(1-H$1043)+G1054*H$1043</f>
        <v>0</v>
      </c>
      <c r="I1055" s="2" t="n">
        <f aca="false">H1055*(1-I$1043)+H1054*I$1043</f>
        <v>0</v>
      </c>
      <c r="J1055" s="2" t="n">
        <f aca="false">I1055*(1-J$1043)+I1054*J$1043</f>
        <v>0</v>
      </c>
      <c r="K1055" s="2" t="n">
        <f aca="false">J1055*(1-K$1043)+J1054*K$1043</f>
        <v>0</v>
      </c>
      <c r="L1055" s="2" t="n">
        <f aca="false">K1055*(1-L$1043)+K1054*L$1043</f>
        <v>0</v>
      </c>
      <c r="M1055" s="2" t="n">
        <f aca="false">L1055*(1-M$1043)+L1054*M$1043</f>
        <v>7.7356473709662E-006</v>
      </c>
      <c r="N1055" s="2" t="n">
        <f aca="false">M1055*(1-N$1043)+M1054*N$1043</f>
        <v>0.000105244012713734</v>
      </c>
      <c r="O1055" s="2" t="n">
        <f aca="false">N1055*(1-O$1043)+N1054*O$1043</f>
        <v>0.000105244012713734</v>
      </c>
    </row>
    <row r="1056" customFormat="false" ht="15" hidden="false" customHeight="false" outlineLevel="0" collapsed="false">
      <c r="B1056" s="2" t="n">
        <v>12</v>
      </c>
      <c r="C1056" s="2" t="n">
        <f aca="false">0</f>
        <v>0</v>
      </c>
      <c r="D1056" s="2" t="n">
        <f aca="false">C1056*(1-D$1043)+C1055*D$1043</f>
        <v>0</v>
      </c>
      <c r="E1056" s="2" t="n">
        <f aca="false">D1056*(1-E$1043)+D1055*E$1043</f>
        <v>0</v>
      </c>
      <c r="F1056" s="2" t="n">
        <f aca="false">E1056*(1-F$1043)+E1055*F$1043</f>
        <v>0</v>
      </c>
      <c r="G1056" s="2" t="n">
        <f aca="false">F1056*(1-G$1043)+F1055*G$1043</f>
        <v>0</v>
      </c>
      <c r="H1056" s="2" t="n">
        <f aca="false">G1056*(1-H$1043)+G1055*H$1043</f>
        <v>0</v>
      </c>
      <c r="I1056" s="2" t="n">
        <f aca="false">H1056*(1-I$1043)+H1055*I$1043</f>
        <v>0</v>
      </c>
      <c r="J1056" s="2" t="n">
        <f aca="false">I1056*(1-J$1043)+I1055*J$1043</f>
        <v>0</v>
      </c>
      <c r="K1056" s="2" t="n">
        <f aca="false">J1056*(1-K$1043)+J1055*K$1043</f>
        <v>0</v>
      </c>
      <c r="L1056" s="2" t="n">
        <f aca="false">K1056*(1-L$1043)+K1055*L$1043</f>
        <v>0</v>
      </c>
      <c r="M1056" s="2" t="n">
        <f aca="false">L1056*(1-M$1043)+L1055*M$1043</f>
        <v>0</v>
      </c>
      <c r="N1056" s="2" t="n">
        <f aca="false">M1056*(1-N$1043)+M1055*N$1043</f>
        <v>4.15672013571529E-006</v>
      </c>
      <c r="O1056" s="2" t="n">
        <f aca="false">N1056*(1-O$1043)+N1055*O$1043</f>
        <v>4.15672013571529E-006</v>
      </c>
    </row>
    <row r="1057" customFormat="false" ht="15" hidden="false" customHeight="false" outlineLevel="0" collapsed="false">
      <c r="B1057" s="2" t="n">
        <v>13</v>
      </c>
      <c r="C1057" s="2" t="n">
        <f aca="false">0</f>
        <v>0</v>
      </c>
      <c r="D1057" s="2" t="n">
        <f aca="false">C1057*(1-D$1043)+C1056*D$1043</f>
        <v>0</v>
      </c>
      <c r="E1057" s="2" t="n">
        <f aca="false">D1057*(1-E$1043)+D1056*E$1043</f>
        <v>0</v>
      </c>
      <c r="F1057" s="2" t="n">
        <f aca="false">E1057*(1-F$1043)+E1056*F$1043</f>
        <v>0</v>
      </c>
      <c r="G1057" s="2" t="n">
        <f aca="false">F1057*(1-G$1043)+F1056*G$1043</f>
        <v>0</v>
      </c>
      <c r="H1057" s="2" t="n">
        <f aca="false">G1057*(1-H$1043)+G1056*H$1043</f>
        <v>0</v>
      </c>
      <c r="I1057" s="2" t="n">
        <f aca="false">H1057*(1-I$1043)+H1056*I$1043</f>
        <v>0</v>
      </c>
      <c r="J1057" s="2" t="n">
        <f aca="false">I1057*(1-J$1043)+I1056*J$1043</f>
        <v>0</v>
      </c>
      <c r="K1057" s="2" t="n">
        <f aca="false">J1057*(1-K$1043)+J1056*K$1043</f>
        <v>0</v>
      </c>
      <c r="L1057" s="2" t="n">
        <f aca="false">K1057*(1-L$1043)+K1056*L$1043</f>
        <v>0</v>
      </c>
      <c r="M1057" s="2" t="n">
        <f aca="false">L1057*(1-M$1043)+L1056*M$1043</f>
        <v>0</v>
      </c>
      <c r="N1057" s="2" t="n">
        <f aca="false">M1057*(1-N$1043)+M1056*N$1043</f>
        <v>0</v>
      </c>
      <c r="O1057" s="2" t="n">
        <f aca="false">N1057*(1-O$1043)+N1056*O$1043</f>
        <v>0</v>
      </c>
    </row>
    <row r="1059" customFormat="false" ht="15" hidden="false" customHeight="false" outlineLevel="0" collapsed="false">
      <c r="A1059" s="1" t="s">
        <v>124</v>
      </c>
      <c r="C1059" s="2" t="n">
        <f aca="false">Schedule!G68</f>
        <v>0.358489211764908</v>
      </c>
      <c r="D1059" s="2" t="n">
        <f aca="false">Schedule!L68</f>
        <v>0.815939874653241</v>
      </c>
      <c r="E1059" s="2" t="n">
        <f aca="false">Schedule!Q68</f>
        <v>0.324105107136862</v>
      </c>
      <c r="F1059" s="2" t="n">
        <f aca="false">Schedule!V68</f>
        <v>0.989275889978324</v>
      </c>
      <c r="G1059" s="2" t="n">
        <f aca="false">Schedule!AA68</f>
        <v>0.914461282460005</v>
      </c>
      <c r="H1059" s="2" t="n">
        <f aca="false">Schedule!AF68</f>
        <v>0.897734878378435</v>
      </c>
      <c r="I1059" s="2" t="n">
        <f aca="false">Schedule!AK68</f>
        <v>0.552211228127385</v>
      </c>
      <c r="J1059" s="2" t="n">
        <f aca="false">Schedule!AP68</f>
        <v>0.625041951918781</v>
      </c>
      <c r="K1059" s="2" t="n">
        <f aca="false">Schedule!AU68</f>
        <v>0.627409464153284</v>
      </c>
      <c r="L1059" s="2" t="n">
        <f aca="false">Schedule!AZ68</f>
        <v>0.487535082565623</v>
      </c>
      <c r="M1059" s="2" t="n">
        <f aca="false">Schedule!BE68</f>
        <v>0.415858488890908</v>
      </c>
      <c r="N1059" s="2" t="n">
        <f aca="false">Schedule!BJ68</f>
        <v>0.771486132875137</v>
      </c>
      <c r="O1059" s="2" t="n">
        <f aca="false">Schedule!BO68</f>
        <v>0</v>
      </c>
    </row>
    <row r="1060" customFormat="false" ht="15" hidden="false" customHeight="false" outlineLevel="0" collapsed="false">
      <c r="B1060" s="2" t="n">
        <v>0</v>
      </c>
      <c r="C1060" s="2" t="n">
        <f aca="false">1-C$1059</f>
        <v>0.641510788235092</v>
      </c>
      <c r="D1060" s="2" t="n">
        <f aca="false">C1060*(1-D$1059)</f>
        <v>0.11807655609385</v>
      </c>
      <c r="E1060" s="2" t="n">
        <f aca="false">D1060*(1-E$1059)</f>
        <v>0.0798073412307007</v>
      </c>
      <c r="F1060" s="2" t="n">
        <f aca="false">E1060*(1-F$1059)</f>
        <v>0.000855862707895461</v>
      </c>
      <c r="G1060" s="2" t="n">
        <f aca="false">F1060*(1-G$1059)</f>
        <v>7.32093984236851E-005</v>
      </c>
      <c r="H1060" s="2" t="n">
        <f aca="false">G1060*(1-H$1059)</f>
        <v>7.48676803363973E-006</v>
      </c>
      <c r="I1060" s="2" t="n">
        <f aca="false">H1060*(1-I$1059)</f>
        <v>3.35249066307869E-006</v>
      </c>
      <c r="J1060" s="2" t="n">
        <f aca="false">I1060*(1-J$1059)</f>
        <v>1.2570433552385E-006</v>
      </c>
      <c r="K1060" s="2" t="n">
        <f aca="false">J1060*(1-K$1059)</f>
        <v>4.68362457310865E-007</v>
      </c>
      <c r="L1060" s="2" t="n">
        <f aca="false">K1060*(1-L$1059)</f>
        <v>2.40019328015175E-007</v>
      </c>
      <c r="M1060" s="2" t="n">
        <f aca="false">L1060*(1-M$1059)</f>
        <v>1.40205252962173E-007</v>
      </c>
      <c r="N1060" s="2" t="n">
        <f aca="false">M1060*(1-N$1059)</f>
        <v>3.20388445456058E-008</v>
      </c>
      <c r="O1060" s="2" t="n">
        <f aca="false">N1060*(1-O$1059)</f>
        <v>3.20388445456058E-008</v>
      </c>
    </row>
    <row r="1061" customFormat="false" ht="15" hidden="false" customHeight="false" outlineLevel="0" collapsed="false">
      <c r="B1061" s="2" t="n">
        <v>1</v>
      </c>
      <c r="C1061" s="2" t="n">
        <f aca="false">C$1059</f>
        <v>0.358489211764908</v>
      </c>
      <c r="D1061" s="2" t="n">
        <f aca="false">C1061*(1-D$1059)+C1060*D$1059</f>
        <v>0.589417801394153</v>
      </c>
      <c r="E1061" s="2" t="n">
        <f aca="false">D1061*(1-E$1059)+D1060*E$1059</f>
        <v>0.436653696588076</v>
      </c>
      <c r="F1061" s="2" t="n">
        <f aca="false">E1061*(1-F$1059)+E1060*F$1059</f>
        <v>0.0836342008063872</v>
      </c>
      <c r="G1061" s="2" t="n">
        <f aca="false">F1061*(1-G$1059)+F1060*G$1059</f>
        <v>0.00793661558893255</v>
      </c>
      <c r="H1061" s="2" t="n">
        <f aca="false">G1061*(1-H$1059)+G1060*H$1059</f>
        <v>0.000877361588855839</v>
      </c>
      <c r="I1061" s="2" t="n">
        <f aca="false">H1061*(1-I$1059)+H1060*I$1059</f>
        <v>0.000397006945732524</v>
      </c>
      <c r="J1061" s="2" t="n">
        <f aca="false">I1061*(1-J$1059)+I1060*J$1059</f>
        <v>0.000150956396754394</v>
      </c>
      <c r="K1061" s="2" t="n">
        <f aca="false">J1061*(1-K$1059)+J1060*K$1059</f>
        <v>5.70336056541366E-005</v>
      </c>
      <c r="L1061" s="2" t="n">
        <f aca="false">K1061*(1-L$1059)+K1060*L$1059</f>
        <v>2.94560651418276E-005</v>
      </c>
      <c r="M1061" s="2" t="n">
        <f aca="false">L1061*(1-M$1059)+L1060*M$1059</f>
        <v>1.73063244783281E-005</v>
      </c>
      <c r="N1061" s="2" t="n">
        <f aca="false">M1061*(1-N$1059)+M1060*N$1059</f>
        <v>4.06290154067698E-006</v>
      </c>
      <c r="O1061" s="2" t="n">
        <f aca="false">N1061*(1-O$1059)+N1060*O$1059</f>
        <v>4.06290154067698E-006</v>
      </c>
    </row>
    <row r="1062" customFormat="false" ht="15" hidden="false" customHeight="false" outlineLevel="0" collapsed="false">
      <c r="B1062" s="2" t="n">
        <v>2</v>
      </c>
      <c r="C1062" s="2" t="n">
        <f aca="false">0</f>
        <v>0</v>
      </c>
      <c r="D1062" s="2" t="n">
        <f aca="false">C1062*(1-D$1059)+C1061*D$1059</f>
        <v>0.292505642511998</v>
      </c>
      <c r="E1062" s="2" t="n">
        <f aca="false">D1062*(1-E$1059)+D1061*E$1059</f>
        <v>0.388736389576736</v>
      </c>
      <c r="F1062" s="2" t="n">
        <f aca="false">E1062*(1-F$1059)+E1061*F$1059</f>
        <v>0.436139826115744</v>
      </c>
      <c r="G1062" s="2" t="n">
        <f aca="false">F1062*(1-G$1059)+F1061*G$1059</f>
        <v>0.113787079920984</v>
      </c>
      <c r="H1062" s="2" t="n">
        <f aca="false">G1062*(1-H$1059)+G1061*H$1059</f>
        <v>0.0187614261975488</v>
      </c>
      <c r="I1062" s="2" t="n">
        <f aca="false">H1062*(1-I$1059)+H1061*I$1059</f>
        <v>0.00888564491607299</v>
      </c>
      <c r="J1062" s="2" t="n">
        <f aca="false">I1062*(1-J$1059)+I1061*J$1059</f>
        <v>0.0035798900699595</v>
      </c>
      <c r="K1062" s="2" t="n">
        <f aca="false">J1062*(1-K$1059)+J1061*K$1059</f>
        <v>0.00142854463143673</v>
      </c>
      <c r="L1062" s="2" t="n">
        <f aca="false">K1062*(1-L$1059)+K1061*L$1059</f>
        <v>0.000759884890242153</v>
      </c>
      <c r="M1062" s="2" t="n">
        <f aca="false">L1062*(1-M$1059)+L1061*M$1059</f>
        <v>0.00045612986279357</v>
      </c>
      <c r="N1062" s="2" t="n">
        <f aca="false">M1062*(1-N$1059)+M1061*N$1059</f>
        <v>0.000117583588204159</v>
      </c>
      <c r="O1062" s="2" t="n">
        <f aca="false">N1062*(1-O$1059)+N1061*O$1059</f>
        <v>0.000117583588204159</v>
      </c>
    </row>
    <row r="1063" customFormat="false" ht="15" hidden="false" customHeight="false" outlineLevel="0" collapsed="false">
      <c r="B1063" s="2" t="n">
        <v>3</v>
      </c>
      <c r="C1063" s="2" t="n">
        <f aca="false">0</f>
        <v>0</v>
      </c>
      <c r="D1063" s="2" t="n">
        <f aca="false">C1063*(1-D$1059)+C1062*D$1059</f>
        <v>0</v>
      </c>
      <c r="E1063" s="2" t="n">
        <f aca="false">D1063*(1-E$1059)+D1062*E$1059</f>
        <v>0.0948025726044878</v>
      </c>
      <c r="F1063" s="2" t="n">
        <f aca="false">E1063*(1-F$1059)+E1062*F$1059</f>
        <v>0.385584210984434</v>
      </c>
      <c r="G1063" s="2" t="n">
        <f aca="false">F1063*(1-G$1059)+F1062*G$1059</f>
        <v>0.431815363632966</v>
      </c>
      <c r="H1063" s="2" t="n">
        <f aca="false">G1063*(1-H$1059)+G1062*H$1059</f>
        <v>0.146310281033887</v>
      </c>
      <c r="I1063" s="2" t="n">
        <f aca="false">H1063*(1-I$1059)+H1062*I$1059</f>
        <v>0.0758763712584712</v>
      </c>
      <c r="J1063" s="2" t="n">
        <f aca="false">I1063*(1-J$1059)+I1062*J$1059</f>
        <v>0.0340043569049617</v>
      </c>
      <c r="K1063" s="2" t="n">
        <f aca="false">J1063*(1-K$1059)+J1062*K$1059</f>
        <v>0.0149157584708636</v>
      </c>
      <c r="L1063" s="2" t="n">
        <f aca="false">K1063*(1-L$1059)+K1062*L$1059</f>
        <v>0.00834026855807842</v>
      </c>
      <c r="M1063" s="2" t="n">
        <f aca="false">L1063*(1-M$1059)+L1062*M$1059</f>
        <v>0.00518790166075871</v>
      </c>
      <c r="N1063" s="2" t="n">
        <f aca="false">M1063*(1-N$1059)+M1062*N$1059</f>
        <v>0.00153740533469895</v>
      </c>
      <c r="O1063" s="2" t="n">
        <f aca="false">N1063*(1-O$1059)+N1062*O$1059</f>
        <v>0.00153740533469895</v>
      </c>
    </row>
    <row r="1064" customFormat="false" ht="15" hidden="false" customHeight="false" outlineLevel="0" collapsed="false">
      <c r="B1064" s="2" t="n">
        <v>4</v>
      </c>
      <c r="C1064" s="2" t="n">
        <f aca="false">0</f>
        <v>0</v>
      </c>
      <c r="D1064" s="2" t="n">
        <f aca="false">C1064*(1-D$1059)+C1063*D$1059</f>
        <v>0</v>
      </c>
      <c r="E1064" s="2" t="n">
        <f aca="false">D1064*(1-E$1059)+D1063*E$1059</f>
        <v>0</v>
      </c>
      <c r="F1064" s="2" t="n">
        <f aca="false">E1064*(1-F$1059)+E1063*F$1059</f>
        <v>0.0937858993855394</v>
      </c>
      <c r="G1064" s="2" t="n">
        <f aca="false">F1064*(1-G$1059)+F1063*G$1059</f>
        <v>0.360624157629929</v>
      </c>
      <c r="H1064" s="2" t="n">
        <f aca="false">G1064*(1-H$1059)+G1063*H$1059</f>
        <v>0.42453498629268</v>
      </c>
      <c r="I1064" s="2" t="n">
        <f aca="false">H1064*(1-I$1059)+H1063*I$1059</f>
        <v>0.270896180106342</v>
      </c>
      <c r="J1064" s="2" t="n">
        <f aca="false">I1064*(1-J$1059)+I1063*J$1059</f>
        <v>0.149000618121241</v>
      </c>
      <c r="K1064" s="2" t="n">
        <f aca="false">J1064*(1-K$1059)+J1063*K$1059</f>
        <v>0.0768508754919042</v>
      </c>
      <c r="L1064" s="2" t="n">
        <f aca="false">K1064*(1-L$1059)+K1063*L$1059</f>
        <v>0.0466553331013397</v>
      </c>
      <c r="M1064" s="2" t="n">
        <f aca="false">L1064*(1-M$1059)+L1063*M$1059</f>
        <v>0.0307216882586215</v>
      </c>
      <c r="N1064" s="2" t="n">
        <f aca="false">M1064*(1-N$1059)+M1063*N$1059</f>
        <v>0.0110227259785773</v>
      </c>
      <c r="O1064" s="2" t="n">
        <f aca="false">N1064*(1-O$1059)+N1063*O$1059</f>
        <v>0.0110227259785773</v>
      </c>
    </row>
    <row r="1065" customFormat="false" ht="15" hidden="false" customHeight="false" outlineLevel="0" collapsed="false">
      <c r="B1065" s="2" t="n">
        <v>5</v>
      </c>
      <c r="C1065" s="2" t="n">
        <f aca="false">0</f>
        <v>0</v>
      </c>
      <c r="D1065" s="2" t="n">
        <f aca="false">C1065*(1-D$1059)+C1064*D$1059</f>
        <v>0</v>
      </c>
      <c r="E1065" s="2" t="n">
        <f aca="false">D1065*(1-E$1059)+D1064*E$1059</f>
        <v>0</v>
      </c>
      <c r="F1065" s="2" t="n">
        <f aca="false">E1065*(1-F$1059)+E1064*F$1059</f>
        <v>0</v>
      </c>
      <c r="G1065" s="2" t="n">
        <f aca="false">F1065*(1-G$1059)+F1064*G$1059</f>
        <v>0.0857635738287654</v>
      </c>
      <c r="H1065" s="2" t="n">
        <f aca="false">G1065*(1-H$1059)+G1064*H$1059</f>
        <v>0.332515506598529</v>
      </c>
      <c r="I1065" s="2" t="n">
        <f aca="false">H1065*(1-I$1059)+H1064*I$1059</f>
        <v>0.383329696492079</v>
      </c>
      <c r="J1065" s="2" t="n">
        <f aca="false">I1065*(1-J$1059)+I1064*J$1059</f>
        <v>0.313054031949246</v>
      </c>
      <c r="K1065" s="2" t="n">
        <f aca="false">J1065*(1-K$1059)+J1064*K$1059</f>
        <v>0.2101253674869</v>
      </c>
      <c r="L1065" s="2" t="n">
        <f aca="false">K1065*(1-L$1059)+K1064*L$1059</f>
        <v>0.145149377028229</v>
      </c>
      <c r="M1065" s="2" t="n">
        <f aca="false">L1065*(1-M$1059)+L1064*M$1059</f>
        <v>0.104189792756038</v>
      </c>
      <c r="N1065" s="2" t="n">
        <f aca="false">M1065*(1-N$1059)+M1064*N$1059</f>
        <v>0.0475101689276596</v>
      </c>
      <c r="O1065" s="2" t="n">
        <f aca="false">N1065*(1-O$1059)+N1064*O$1059</f>
        <v>0.0475101689276596</v>
      </c>
    </row>
    <row r="1066" customFormat="false" ht="15" hidden="false" customHeight="false" outlineLevel="0" collapsed="false">
      <c r="B1066" s="2" t="n">
        <v>6</v>
      </c>
      <c r="C1066" s="2" t="n">
        <f aca="false">0</f>
        <v>0</v>
      </c>
      <c r="D1066" s="2" t="n">
        <f aca="false">C1066*(1-D$1059)+C1065*D$1059</f>
        <v>0</v>
      </c>
      <c r="E1066" s="2" t="n">
        <f aca="false">D1066*(1-E$1059)+D1065*E$1059</f>
        <v>0</v>
      </c>
      <c r="F1066" s="2" t="n">
        <f aca="false">E1066*(1-F$1059)+E1065*F$1059</f>
        <v>0</v>
      </c>
      <c r="G1066" s="2" t="n">
        <f aca="false">F1066*(1-G$1059)+F1065*G$1059</f>
        <v>0</v>
      </c>
      <c r="H1066" s="2" t="n">
        <f aca="false">G1066*(1-H$1059)+G1065*H$1059</f>
        <v>0.0769929515204666</v>
      </c>
      <c r="I1066" s="2" t="n">
        <f aca="false">H1066*(1-I$1059)+H1065*I$1059</f>
        <v>0.218095375474371</v>
      </c>
      <c r="J1066" s="2" t="n">
        <f aca="false">I1066*(1-J$1059)+I1065*J$1059</f>
        <v>0.321373758007253</v>
      </c>
      <c r="K1066" s="2" t="n">
        <f aca="false">J1066*(1-K$1059)+J1065*K$1059</f>
        <v>0.316153883139297</v>
      </c>
      <c r="L1066" s="2" t="n">
        <f aca="false">K1066*(1-L$1059)+K1065*L$1059</f>
        <v>0.264461262006395</v>
      </c>
      <c r="M1066" s="2" t="n">
        <f aca="false">L1066*(1-M$1059)+L1065*M$1059</f>
        <v>0.214844401812649</v>
      </c>
      <c r="N1066" s="2" t="n">
        <f aca="false">M1066*(1-N$1059)+M1065*N$1059</f>
        <v>0.129475905386754</v>
      </c>
      <c r="O1066" s="2" t="n">
        <f aca="false">N1066*(1-O$1059)+N1065*O$1059</f>
        <v>0.129475905386754</v>
      </c>
    </row>
    <row r="1067" customFormat="false" ht="15" hidden="false" customHeight="false" outlineLevel="0" collapsed="false">
      <c r="B1067" s="2" t="n">
        <v>7</v>
      </c>
      <c r="C1067" s="2" t="n">
        <f aca="false">0</f>
        <v>0</v>
      </c>
      <c r="D1067" s="2" t="n">
        <f aca="false">C1067*(1-D$1059)+C1066*D$1059</f>
        <v>0</v>
      </c>
      <c r="E1067" s="2" t="n">
        <f aca="false">D1067*(1-E$1059)+D1066*E$1059</f>
        <v>0</v>
      </c>
      <c r="F1067" s="2" t="n">
        <f aca="false">E1067*(1-F$1059)+E1066*F$1059</f>
        <v>0</v>
      </c>
      <c r="G1067" s="2" t="n">
        <f aca="false">F1067*(1-G$1059)+F1066*G$1059</f>
        <v>0</v>
      </c>
      <c r="H1067" s="2" t="n">
        <f aca="false">G1067*(1-H$1059)+G1066*H$1059</f>
        <v>0</v>
      </c>
      <c r="I1067" s="2" t="n">
        <f aca="false">H1067*(1-I$1059)+H1066*I$1059</f>
        <v>0.0425163723162691</v>
      </c>
      <c r="J1067" s="2" t="n">
        <f aca="false">I1067*(1-J$1059)+I1066*J$1059</f>
        <v>0.152260615166163</v>
      </c>
      <c r="K1067" s="2" t="n">
        <f aca="false">J1067*(1-K$1059)+J1066*K$1059</f>
        <v>0.258363801497369</v>
      </c>
      <c r="L1067" s="2" t="n">
        <f aca="false">K1067*(1-L$1059)+K1066*L$1059</f>
        <v>0.28653849372214</v>
      </c>
      <c r="M1067" s="2" t="n">
        <f aca="false">L1067*(1-M$1059)+L1066*M$1059</f>
        <v>0.277357489501936</v>
      </c>
      <c r="N1067" s="2" t="n">
        <f aca="false">M1067*(1-N$1059)+M1066*N$1059</f>
        <v>0.229129509226444</v>
      </c>
      <c r="O1067" s="2" t="n">
        <f aca="false">N1067*(1-O$1059)+N1066*O$1059</f>
        <v>0.229129509226444</v>
      </c>
    </row>
    <row r="1068" customFormat="false" ht="15" hidden="false" customHeight="false" outlineLevel="0" collapsed="false">
      <c r="B1068" s="2" t="n">
        <v>8</v>
      </c>
      <c r="C1068" s="2" t="n">
        <f aca="false">0</f>
        <v>0</v>
      </c>
      <c r="D1068" s="2" t="n">
        <f aca="false">C1068*(1-D$1059)+C1067*D$1059</f>
        <v>0</v>
      </c>
      <c r="E1068" s="2" t="n">
        <f aca="false">D1068*(1-E$1059)+D1067*E$1059</f>
        <v>0</v>
      </c>
      <c r="F1068" s="2" t="n">
        <f aca="false">E1068*(1-F$1059)+E1067*F$1059</f>
        <v>0</v>
      </c>
      <c r="G1068" s="2" t="n">
        <f aca="false">F1068*(1-G$1059)+F1067*G$1059</f>
        <v>0</v>
      </c>
      <c r="H1068" s="2" t="n">
        <f aca="false">G1068*(1-H$1059)+G1067*H$1059</f>
        <v>0</v>
      </c>
      <c r="I1068" s="2" t="n">
        <f aca="false">H1068*(1-I$1059)+H1067*I$1059</f>
        <v>0</v>
      </c>
      <c r="J1068" s="2" t="n">
        <f aca="false">I1068*(1-J$1059)+I1067*J$1059</f>
        <v>0.0265745163410665</v>
      </c>
      <c r="K1068" s="2" t="n">
        <f aca="false">J1068*(1-K$1059)+J1067*K$1059</f>
        <v>0.105431164256437</v>
      </c>
      <c r="L1068" s="2" t="n">
        <f aca="false">K1068*(1-L$1059)+K1067*L$1059</f>
        <v>0.179991190180673</v>
      </c>
      <c r="M1068" s="2" t="n">
        <f aca="false">L1068*(1-M$1059)+L1067*M$1059</f>
        <v>0.224299790826829</v>
      </c>
      <c r="N1068" s="2" t="n">
        <f aca="false">M1068*(1-N$1059)+M1067*N$1059</f>
        <v>0.265233069596942</v>
      </c>
      <c r="O1068" s="2" t="n">
        <f aca="false">N1068*(1-O$1059)+N1067*O$1059</f>
        <v>0.265233069596942</v>
      </c>
    </row>
    <row r="1069" customFormat="false" ht="15" hidden="false" customHeight="false" outlineLevel="0" collapsed="false">
      <c r="B1069" s="2" t="n">
        <v>9</v>
      </c>
      <c r="C1069" s="2" t="n">
        <f aca="false">0</f>
        <v>0</v>
      </c>
      <c r="D1069" s="2" t="n">
        <f aca="false">C1069*(1-D$1059)+C1068*D$1059</f>
        <v>0</v>
      </c>
      <c r="E1069" s="2" t="n">
        <f aca="false">D1069*(1-E$1059)+D1068*E$1059</f>
        <v>0</v>
      </c>
      <c r="F1069" s="2" t="n">
        <f aca="false">E1069*(1-F$1059)+E1068*F$1059</f>
        <v>0</v>
      </c>
      <c r="G1069" s="2" t="n">
        <f aca="false">F1069*(1-G$1059)+F1068*G$1059</f>
        <v>0</v>
      </c>
      <c r="H1069" s="2" t="n">
        <f aca="false">G1069*(1-H$1059)+G1068*H$1059</f>
        <v>0</v>
      </c>
      <c r="I1069" s="2" t="n">
        <f aca="false">H1069*(1-I$1059)+H1068*I$1059</f>
        <v>0</v>
      </c>
      <c r="J1069" s="2" t="n">
        <f aca="false">I1069*(1-J$1059)+I1068*J$1059</f>
        <v>0</v>
      </c>
      <c r="K1069" s="2" t="n">
        <f aca="false">J1069*(1-K$1059)+J1068*K$1059</f>
        <v>0.0166731030576812</v>
      </c>
      <c r="L1069" s="2" t="n">
        <f aca="false">K1069*(1-L$1059)+K1068*L$1059</f>
        <v>0.0599457717525811</v>
      </c>
      <c r="M1069" s="2" t="n">
        <f aca="false">L1069*(1-M$1059)+L1068*M$1059</f>
        <v>0.109867678058364</v>
      </c>
      <c r="N1069" s="2" t="n">
        <f aca="false">M1069*(1-N$1059)+M1068*N$1059</f>
        <v>0.198150466214838</v>
      </c>
      <c r="O1069" s="2" t="n">
        <f aca="false">N1069*(1-O$1059)+N1068*O$1059</f>
        <v>0.198150466214838</v>
      </c>
    </row>
    <row r="1070" customFormat="false" ht="15" hidden="false" customHeight="false" outlineLevel="0" collapsed="false">
      <c r="B1070" s="2" t="n">
        <v>10</v>
      </c>
      <c r="C1070" s="2" t="n">
        <f aca="false">0</f>
        <v>0</v>
      </c>
      <c r="D1070" s="2" t="n">
        <f aca="false">C1070*(1-D$1059)+C1069*D$1059</f>
        <v>0</v>
      </c>
      <c r="E1070" s="2" t="n">
        <f aca="false">D1070*(1-E$1059)+D1069*E$1059</f>
        <v>0</v>
      </c>
      <c r="F1070" s="2" t="n">
        <f aca="false">E1070*(1-F$1059)+E1069*F$1059</f>
        <v>0</v>
      </c>
      <c r="G1070" s="2" t="n">
        <f aca="false">F1070*(1-G$1059)+F1069*G$1059</f>
        <v>0</v>
      </c>
      <c r="H1070" s="2" t="n">
        <f aca="false">G1070*(1-H$1059)+G1069*H$1059</f>
        <v>0</v>
      </c>
      <c r="I1070" s="2" t="n">
        <f aca="false">H1070*(1-I$1059)+H1069*I$1059</f>
        <v>0</v>
      </c>
      <c r="J1070" s="2" t="n">
        <f aca="false">I1070*(1-J$1059)+I1069*J$1059</f>
        <v>0</v>
      </c>
      <c r="K1070" s="2" t="n">
        <f aca="false">J1070*(1-K$1059)+J1069*K$1059</f>
        <v>0</v>
      </c>
      <c r="L1070" s="2" t="n">
        <f aca="false">K1070*(1-L$1059)+K1069*L$1059</f>
        <v>0.00812872267585174</v>
      </c>
      <c r="M1070" s="2" t="n">
        <f aca="false">L1070*(1-M$1059)+L1069*M$1059</f>
        <v>0.0296772824036864</v>
      </c>
      <c r="N1070" s="2" t="n">
        <f aca="false">M1070*(1-N$1059)+M1069*N$1059</f>
        <v>0.091543060641041</v>
      </c>
      <c r="O1070" s="2" t="n">
        <f aca="false">N1070*(1-O$1059)+N1069*O$1059</f>
        <v>0.091543060641041</v>
      </c>
    </row>
    <row r="1071" customFormat="false" ht="15" hidden="false" customHeight="false" outlineLevel="0" collapsed="false">
      <c r="B1071" s="2" t="n">
        <v>11</v>
      </c>
      <c r="C1071" s="2" t="n">
        <f aca="false">0</f>
        <v>0</v>
      </c>
      <c r="D1071" s="2" t="n">
        <f aca="false">C1071*(1-D$1059)+C1070*D$1059</f>
        <v>0</v>
      </c>
      <c r="E1071" s="2" t="n">
        <f aca="false">D1071*(1-E$1059)+D1070*E$1059</f>
        <v>0</v>
      </c>
      <c r="F1071" s="2" t="n">
        <f aca="false">E1071*(1-F$1059)+E1070*F$1059</f>
        <v>0</v>
      </c>
      <c r="G1071" s="2" t="n">
        <f aca="false">F1071*(1-G$1059)+F1070*G$1059</f>
        <v>0</v>
      </c>
      <c r="H1071" s="2" t="n">
        <f aca="false">G1071*(1-H$1059)+G1070*H$1059</f>
        <v>0</v>
      </c>
      <c r="I1071" s="2" t="n">
        <f aca="false">H1071*(1-I$1059)+H1070*I$1059</f>
        <v>0</v>
      </c>
      <c r="J1071" s="2" t="n">
        <f aca="false">I1071*(1-J$1059)+I1070*J$1059</f>
        <v>0</v>
      </c>
      <c r="K1071" s="2" t="n">
        <f aca="false">J1071*(1-K$1059)+J1070*K$1059</f>
        <v>0</v>
      </c>
      <c r="L1071" s="2" t="n">
        <f aca="false">K1071*(1-L$1059)+K1070*L$1059</f>
        <v>0</v>
      </c>
      <c r="M1071" s="2" t="n">
        <f aca="false">L1071*(1-M$1059)+L1070*M$1059</f>
        <v>0.00338039832859296</v>
      </c>
      <c r="N1071" s="2" t="n">
        <f aca="false">M1071*(1-N$1059)+M1070*N$1059</f>
        <v>0.0236680797303526</v>
      </c>
      <c r="O1071" s="2" t="n">
        <f aca="false">N1071*(1-O$1059)+N1070*O$1059</f>
        <v>0.0236680797303526</v>
      </c>
    </row>
    <row r="1072" customFormat="false" ht="15" hidden="false" customHeight="false" outlineLevel="0" collapsed="false">
      <c r="B1072" s="2" t="n">
        <v>12</v>
      </c>
      <c r="C1072" s="2" t="n">
        <f aca="false">0</f>
        <v>0</v>
      </c>
      <c r="D1072" s="2" t="n">
        <f aca="false">C1072*(1-D$1059)+C1071*D$1059</f>
        <v>0</v>
      </c>
      <c r="E1072" s="2" t="n">
        <f aca="false">D1072*(1-E$1059)+D1071*E$1059</f>
        <v>0</v>
      </c>
      <c r="F1072" s="2" t="n">
        <f aca="false">E1072*(1-F$1059)+E1071*F$1059</f>
        <v>0</v>
      </c>
      <c r="G1072" s="2" t="n">
        <f aca="false">F1072*(1-G$1059)+F1071*G$1059</f>
        <v>0</v>
      </c>
      <c r="H1072" s="2" t="n">
        <f aca="false">G1072*(1-H$1059)+G1071*H$1059</f>
        <v>0</v>
      </c>
      <c r="I1072" s="2" t="n">
        <f aca="false">H1072*(1-I$1059)+H1071*I$1059</f>
        <v>0</v>
      </c>
      <c r="J1072" s="2" t="n">
        <f aca="false">I1072*(1-J$1059)+I1071*J$1059</f>
        <v>0</v>
      </c>
      <c r="K1072" s="2" t="n">
        <f aca="false">J1072*(1-K$1059)+J1071*K$1059</f>
        <v>0</v>
      </c>
      <c r="L1072" s="2" t="n">
        <f aca="false">K1072*(1-L$1059)+K1071*L$1059</f>
        <v>0</v>
      </c>
      <c r="M1072" s="2" t="n">
        <f aca="false">L1072*(1-M$1059)+L1071*M$1059</f>
        <v>0</v>
      </c>
      <c r="N1072" s="2" t="n">
        <f aca="false">M1072*(1-N$1059)+M1071*N$1059</f>
        <v>0.00260793043410376</v>
      </c>
      <c r="O1072" s="2" t="n">
        <f aca="false">N1072*(1-O$1059)+N1071*O$1059</f>
        <v>0.00260793043410376</v>
      </c>
    </row>
    <row r="1073" customFormat="false" ht="15" hidden="false" customHeight="false" outlineLevel="0" collapsed="false">
      <c r="B1073" s="2" t="n">
        <v>13</v>
      </c>
      <c r="C1073" s="2" t="n">
        <f aca="false">0</f>
        <v>0</v>
      </c>
      <c r="D1073" s="2" t="n">
        <f aca="false">C1073*(1-D$1059)+C1072*D$1059</f>
        <v>0</v>
      </c>
      <c r="E1073" s="2" t="n">
        <f aca="false">D1073*(1-E$1059)+D1072*E$1059</f>
        <v>0</v>
      </c>
      <c r="F1073" s="2" t="n">
        <f aca="false">E1073*(1-F$1059)+E1072*F$1059</f>
        <v>0</v>
      </c>
      <c r="G1073" s="2" t="n">
        <f aca="false">F1073*(1-G$1059)+F1072*G$1059</f>
        <v>0</v>
      </c>
      <c r="H1073" s="2" t="n">
        <f aca="false">G1073*(1-H$1059)+G1072*H$1059</f>
        <v>0</v>
      </c>
      <c r="I1073" s="2" t="n">
        <f aca="false">H1073*(1-I$1059)+H1072*I$1059</f>
        <v>0</v>
      </c>
      <c r="J1073" s="2" t="n">
        <f aca="false">I1073*(1-J$1059)+I1072*J$1059</f>
        <v>0</v>
      </c>
      <c r="K1073" s="2" t="n">
        <f aca="false">J1073*(1-K$1059)+J1072*K$1059</f>
        <v>0</v>
      </c>
      <c r="L1073" s="2" t="n">
        <f aca="false">K1073*(1-L$1059)+K1072*L$1059</f>
        <v>0</v>
      </c>
      <c r="M1073" s="2" t="n">
        <f aca="false">L1073*(1-M$1059)+L1072*M$1059</f>
        <v>0</v>
      </c>
      <c r="N1073" s="2" t="n">
        <f aca="false">M1073*(1-N$1059)+M1072*N$1059</f>
        <v>0</v>
      </c>
      <c r="O1073" s="2" t="n">
        <f aca="false">N1073*(1-O$1059)+N1072*O$1059</f>
        <v>0</v>
      </c>
    </row>
    <row r="1075" customFormat="false" ht="15" hidden="false" customHeight="false" outlineLevel="0" collapsed="false">
      <c r="A1075" s="1" t="s">
        <v>125</v>
      </c>
      <c r="C1075" s="2" t="n">
        <f aca="false">Schedule!G69</f>
        <v>0.864333939053617</v>
      </c>
      <c r="D1075" s="2" t="n">
        <f aca="false">Schedule!L69</f>
        <v>0.99987203411583</v>
      </c>
      <c r="E1075" s="2" t="n">
        <f aca="false">Schedule!Q69</f>
        <v>0.0915533821396643</v>
      </c>
      <c r="F1075" s="2" t="n">
        <f aca="false">Schedule!V69</f>
        <v>0.841344746068543</v>
      </c>
      <c r="G1075" s="2" t="n">
        <f aca="false">Schedule!AA69</f>
        <v>0.913479927923957</v>
      </c>
      <c r="H1075" s="2" t="n">
        <f aca="false">Schedule!AF69</f>
        <v>0.502493373019601</v>
      </c>
      <c r="I1075" s="2" t="n">
        <f aca="false">Schedule!AK69</f>
        <v>0.605938963847754</v>
      </c>
      <c r="J1075" s="2" t="n">
        <f aca="false">Schedule!AP69</f>
        <v>0.795314204652747</v>
      </c>
      <c r="K1075" s="2" t="n">
        <f aca="false">Schedule!AU69</f>
        <v>0.717354351502799</v>
      </c>
      <c r="L1075" s="2" t="n">
        <f aca="false">Schedule!AZ69</f>
        <v>0.472594309039532</v>
      </c>
      <c r="M1075" s="2" t="n">
        <f aca="false">Schedule!BE69</f>
        <v>0.698032455319819</v>
      </c>
      <c r="N1075" s="2" t="n">
        <f aca="false">Schedule!BJ69</f>
        <v>0.639173324850217</v>
      </c>
      <c r="O1075" s="2" t="n">
        <f aca="false">Schedule!BO69</f>
        <v>0</v>
      </c>
    </row>
    <row r="1076" customFormat="false" ht="15" hidden="false" customHeight="false" outlineLevel="0" collapsed="false">
      <c r="B1076" s="2" t="n">
        <v>0</v>
      </c>
      <c r="C1076" s="2" t="n">
        <f aca="false">1-C$1075</f>
        <v>0.135666060946383</v>
      </c>
      <c r="D1076" s="2" t="n">
        <f aca="false">C1076*(1-D$1075)</f>
        <v>1.73606274408605E-005</v>
      </c>
      <c r="E1076" s="2" t="n">
        <f aca="false">D1076*(1-E$1075)</f>
        <v>1.57712032825831E-005</v>
      </c>
      <c r="F1076" s="2" t="n">
        <f aca="false">E1076*(1-F$1075)</f>
        <v>2.50218426160284E-006</v>
      </c>
      <c r="G1076" s="2" t="n">
        <f aca="false">F1076*(1-G$1075)</f>
        <v>2.1648916266142E-007</v>
      </c>
      <c r="H1076" s="2" t="n">
        <f aca="false">G1076*(1-H$1075)</f>
        <v>1.07704793093494E-007</v>
      </c>
      <c r="I1076" s="2" t="n">
        <f aca="false">H1076*(1-I$1075)</f>
        <v>4.24422623649854E-008</v>
      </c>
      <c r="J1076" s="2" t="n">
        <f aca="false">I1076*(1-J$1075)</f>
        <v>8.68732822851381E-009</v>
      </c>
      <c r="K1076" s="2" t="n">
        <f aca="false">J1076*(1-K$1075)</f>
        <v>2.45543552085632E-009</v>
      </c>
      <c r="L1076" s="2" t="n">
        <f aca="false">K1076*(1-L$1075)</f>
        <v>1.29501066748611E-009</v>
      </c>
      <c r="M1076" s="2" t="n">
        <f aca="false">L1076*(1-M$1075)</f>
        <v>3.91051191595422E-010</v>
      </c>
      <c r="N1076" s="2" t="n">
        <f aca="false">M1076*(1-N$1075)</f>
        <v>1.41101701276737E-010</v>
      </c>
      <c r="O1076" s="2" t="n">
        <f aca="false">N1076*(1-O$1075)</f>
        <v>1.41101701276737E-010</v>
      </c>
    </row>
    <row r="1077" customFormat="false" ht="15" hidden="false" customHeight="false" outlineLevel="0" collapsed="false">
      <c r="B1077" s="2" t="n">
        <v>1</v>
      </c>
      <c r="C1077" s="2" t="n">
        <f aca="false">C$1075</f>
        <v>0.864333939053617</v>
      </c>
      <c r="D1077" s="2" t="n">
        <f aca="false">C1077*(1-D$1075)+C1076*D$1075</f>
        <v>0.135759305575671</v>
      </c>
      <c r="E1077" s="2" t="n">
        <f aca="false">D1077*(1-E$1075)+D1076*E$1075</f>
        <v>0.123331671417444</v>
      </c>
      <c r="F1077" s="2" t="n">
        <f aca="false">E1077*(1-F$1075)+E1076*F$1075</f>
        <v>0.0195804866655466</v>
      </c>
      <c r="G1077" s="2" t="n">
        <f aca="false">F1077*(1-G$1075)+F1076*G$1075</f>
        <v>0.00169639081268604</v>
      </c>
      <c r="H1077" s="2" t="n">
        <f aca="false">G1077*(1-H$1075)+G1076*H$1075</f>
        <v>0.000844074455629539</v>
      </c>
      <c r="I1077" s="2" t="n">
        <f aca="false">H1077*(1-I$1075)+H1076*I$1075</f>
        <v>0.000332682117105747</v>
      </c>
      <c r="J1077" s="2" t="n">
        <f aca="false">I1077*(1-J$1075)+I1076*J$1075</f>
        <v>6.81290586717343E-005</v>
      </c>
      <c r="K1077" s="2" t="n">
        <f aca="false">J1077*(1-K$1075)+J1076*K$1075</f>
        <v>1.92626138624838E-005</v>
      </c>
      <c r="L1077" s="2" t="n">
        <f aca="false">K1077*(1-L$1075)+K1076*L$1075</f>
        <v>1.01603725987013E-005</v>
      </c>
      <c r="M1077" s="2" t="n">
        <f aca="false">L1077*(1-M$1075)+L1076*M$1075</f>
        <v>3.06900672614153E-006</v>
      </c>
      <c r="N1077" s="2" t="n">
        <f aca="false">M1077*(1-N$1075)+M1076*N$1075</f>
        <v>1.10762944249629E-006</v>
      </c>
      <c r="O1077" s="2" t="n">
        <f aca="false">N1077*(1-O$1075)+N1076*O$1075</f>
        <v>1.10762944249629E-006</v>
      </c>
    </row>
    <row r="1078" customFormat="false" ht="15" hidden="false" customHeight="false" outlineLevel="0" collapsed="false">
      <c r="B1078" s="2" t="n">
        <v>2</v>
      </c>
      <c r="C1078" s="2" t="n">
        <f aca="false">0</f>
        <v>0</v>
      </c>
      <c r="D1078" s="2" t="n">
        <f aca="false">C1078*(1-D$1075)+C1077*D$1075</f>
        <v>0.864223333796888</v>
      </c>
      <c r="E1078" s="2" t="n">
        <f aca="false">D1078*(1-E$1075)+D1077*E$1075</f>
        <v>0.797529988246152</v>
      </c>
      <c r="F1078" s="2" t="n">
        <f aca="false">E1078*(1-F$1075)+E1077*F$1075</f>
        <v>0.230296776574064</v>
      </c>
      <c r="G1078" s="2" t="n">
        <f aca="false">F1078*(1-G$1075)+F1077*G$1075</f>
        <v>0.037811675256028</v>
      </c>
      <c r="H1078" s="2" t="n">
        <f aca="false">G1078*(1-H$1075)+G1077*H$1075</f>
        <v>0.0196639841585308</v>
      </c>
      <c r="I1078" s="2" t="n">
        <f aca="false">H1078*(1-I$1075)+H1077*I$1075</f>
        <v>0.0082602675734465</v>
      </c>
      <c r="J1078" s="2" t="n">
        <f aca="false">I1078*(1-J$1075)+I1077*J$1075</f>
        <v>0.00195534625142017</v>
      </c>
      <c r="K1078" s="2" t="n">
        <f aca="false">J1078*(1-K$1075)+J1077*K$1075</f>
        <v>0.000601542785971182</v>
      </c>
      <c r="L1078" s="2" t="n">
        <f aca="false">K1078*(1-L$1075)+K1077*L$1075</f>
        <v>0.000326360490366052</v>
      </c>
      <c r="M1078" s="2" t="n">
        <f aca="false">L1078*(1-M$1075)+L1077*M$1075</f>
        <v>0.000105642545788492</v>
      </c>
      <c r="N1078" s="2" t="n">
        <f aca="false">M1078*(1-N$1075)+M1077*N$1075</f>
        <v>4.0080275784356E-005</v>
      </c>
      <c r="O1078" s="2" t="n">
        <f aca="false">N1078*(1-O$1075)+N1077*O$1075</f>
        <v>4.0080275784356E-005</v>
      </c>
    </row>
    <row r="1079" customFormat="false" ht="15" hidden="false" customHeight="false" outlineLevel="0" collapsed="false">
      <c r="B1079" s="2" t="n">
        <v>3</v>
      </c>
      <c r="C1079" s="2" t="n">
        <f aca="false">0</f>
        <v>0</v>
      </c>
      <c r="D1079" s="2" t="n">
        <f aca="false">C1079*(1-D$1075)+C1078*D$1075</f>
        <v>0</v>
      </c>
      <c r="E1079" s="2" t="n">
        <f aca="false">D1079*(1-E$1075)+D1078*E$1075</f>
        <v>0.0791225691331212</v>
      </c>
      <c r="F1079" s="2" t="n">
        <f aca="false">E1079*(1-F$1075)+E1078*F$1075</f>
        <v>0.683550876740531</v>
      </c>
      <c r="G1079" s="2" t="n">
        <f aca="false">F1079*(1-G$1075)+F1078*G$1075</f>
        <v>0.269512353989229</v>
      </c>
      <c r="H1079" s="2" t="n">
        <f aca="false">G1079*(1-H$1075)+G1078*H$1075</f>
        <v>0.153084298401652</v>
      </c>
      <c r="I1079" s="2" t="n">
        <f aca="false">H1079*(1-I$1075)+H1078*I$1075</f>
        <v>0.0722397314329333</v>
      </c>
      <c r="J1079" s="2" t="n">
        <f aca="false">I1079*(1-J$1075)+I1078*J$1075</f>
        <v>0.0213559550194164</v>
      </c>
      <c r="K1079" s="2" t="n">
        <f aca="false">J1079*(1-K$1075)+J1078*K$1075</f>
        <v>0.00743884389789093</v>
      </c>
      <c r="L1079" s="2" t="n">
        <f aca="false">K1079*(1-L$1075)+K1078*L$1075</f>
        <v>0.00420757430320799</v>
      </c>
      <c r="M1079" s="2" t="n">
        <f aca="false">L1079*(1-M$1075)+L1078*M$1075</f>
        <v>0.00149836109580874</v>
      </c>
      <c r="N1079" s="2" t="n">
        <f aca="false">M1079*(1-N$1075)+M1078*N$1075</f>
        <v>0.000608172549611724</v>
      </c>
      <c r="O1079" s="2" t="n">
        <f aca="false">N1079*(1-O$1075)+N1078*O$1075</f>
        <v>0.000608172549611724</v>
      </c>
    </row>
    <row r="1080" customFormat="false" ht="15" hidden="false" customHeight="false" outlineLevel="0" collapsed="false">
      <c r="B1080" s="2" t="n">
        <v>4</v>
      </c>
      <c r="C1080" s="2" t="n">
        <f aca="false">0</f>
        <v>0</v>
      </c>
      <c r="D1080" s="2" t="n">
        <f aca="false">C1080*(1-D$1075)+C1079*D$1075</f>
        <v>0</v>
      </c>
      <c r="E1080" s="2" t="n">
        <f aca="false">D1080*(1-E$1075)+D1079*E$1075</f>
        <v>0</v>
      </c>
      <c r="F1080" s="2" t="n">
        <f aca="false">E1080*(1-F$1075)+E1079*F$1075</f>
        <v>0.0665693578355966</v>
      </c>
      <c r="G1080" s="2" t="n">
        <f aca="false">F1080*(1-G$1075)+F1079*G$1075</f>
        <v>0.63016959125529</v>
      </c>
      <c r="H1080" s="2" t="n">
        <f aca="false">G1080*(1-H$1075)+G1079*H$1075</f>
        <v>0.448941719597536</v>
      </c>
      <c r="I1080" s="2" t="n">
        <f aca="false">H1080*(1-I$1075)+H1079*I$1075</f>
        <v>0.269670180351433</v>
      </c>
      <c r="J1080" s="2" t="n">
        <f aca="false">I1080*(1-J$1075)+I1079*J$1075</f>
        <v>0.112650939895582</v>
      </c>
      <c r="K1080" s="2" t="n">
        <f aca="false">J1080*(1-K$1075)+J1079*K$1075</f>
        <v>0.0471600852242822</v>
      </c>
      <c r="L1080" s="2" t="n">
        <f aca="false">K1080*(1-L$1075)+K1079*L$1075</f>
        <v>0.0283880526254438</v>
      </c>
      <c r="M1080" s="2" t="n">
        <f aca="false">L1080*(1-M$1075)+L1079*M$1075</f>
        <v>0.0115092939713659</v>
      </c>
      <c r="N1080" s="2" t="n">
        <f aca="false">M1080*(1-N$1075)+M1079*N$1075</f>
        <v>0.00511057272044368</v>
      </c>
      <c r="O1080" s="2" t="n">
        <f aca="false">N1080*(1-O$1075)+N1079*O$1075</f>
        <v>0.00511057272044368</v>
      </c>
    </row>
    <row r="1081" customFormat="false" ht="15" hidden="false" customHeight="false" outlineLevel="0" collapsed="false">
      <c r="B1081" s="2" t="n">
        <v>5</v>
      </c>
      <c r="C1081" s="2" t="n">
        <f aca="false">0</f>
        <v>0</v>
      </c>
      <c r="D1081" s="2" t="n">
        <f aca="false">C1081*(1-D$1075)+C1080*D$1075</f>
        <v>0</v>
      </c>
      <c r="E1081" s="2" t="n">
        <f aca="false">D1081*(1-E$1075)+D1080*E$1075</f>
        <v>0</v>
      </c>
      <c r="F1081" s="2" t="n">
        <f aca="false">E1081*(1-F$1075)+E1080*F$1075</f>
        <v>0</v>
      </c>
      <c r="G1081" s="2" t="n">
        <f aca="false">F1081*(1-G$1075)+F1080*G$1075</f>
        <v>0.0608097721976049</v>
      </c>
      <c r="H1081" s="2" t="n">
        <f aca="false">G1081*(1-H$1075)+G1080*H$1075</f>
        <v>0.346909308137731</v>
      </c>
      <c r="I1081" s="2" t="n">
        <f aca="false">H1081*(1-I$1075)+H1080*I$1075</f>
        <v>0.408734721816573</v>
      </c>
      <c r="J1081" s="2" t="n">
        <f aca="false">I1081*(1-J$1075)+I1080*J$1075</f>
        <v>0.298134716625826</v>
      </c>
      <c r="K1081" s="2" t="n">
        <f aca="false">J1081*(1-K$1075)+J1080*K$1075</f>
        <v>0.165077122255212</v>
      </c>
      <c r="L1081" s="2" t="n">
        <f aca="false">K1081*(1-L$1075)+K1080*L$1075</f>
        <v>0.109350201615591</v>
      </c>
      <c r="M1081" s="2" t="n">
        <f aca="false">L1081*(1-M$1075)+L1080*M$1075</f>
        <v>0.0528359939680294</v>
      </c>
      <c r="N1081" s="2" t="n">
        <f aca="false">M1081*(1-N$1075)+M1080*N$1075</f>
        <v>0.0264210697260746</v>
      </c>
      <c r="O1081" s="2" t="n">
        <f aca="false">N1081*(1-O$1075)+N1080*O$1075</f>
        <v>0.0264210697260746</v>
      </c>
    </row>
    <row r="1082" customFormat="false" ht="15" hidden="false" customHeight="false" outlineLevel="0" collapsed="false">
      <c r="B1082" s="2" t="n">
        <v>6</v>
      </c>
      <c r="C1082" s="2" t="n">
        <f aca="false">0</f>
        <v>0</v>
      </c>
      <c r="D1082" s="2" t="n">
        <f aca="false">C1082*(1-D$1075)+C1081*D$1075</f>
        <v>0</v>
      </c>
      <c r="E1082" s="2" t="n">
        <f aca="false">D1082*(1-E$1075)+D1081*E$1075</f>
        <v>0</v>
      </c>
      <c r="F1082" s="2" t="n">
        <f aca="false">E1082*(1-F$1075)+E1081*F$1075</f>
        <v>0</v>
      </c>
      <c r="G1082" s="2" t="n">
        <f aca="false">F1082*(1-G$1075)+F1081*G$1075</f>
        <v>0</v>
      </c>
      <c r="H1082" s="2" t="n">
        <f aca="false">G1082*(1-H$1075)+G1081*H$1075</f>
        <v>0.030556507544128</v>
      </c>
      <c r="I1082" s="2" t="n">
        <f aca="false">H1082*(1-I$1075)+H1081*I$1075</f>
        <v>0.222246995746151</v>
      </c>
      <c r="J1082" s="2" t="n">
        <f aca="false">I1082*(1-J$1075)+I1081*J$1075</f>
        <v>0.370563333283348</v>
      </c>
      <c r="K1082" s="2" t="n">
        <f aca="false">J1082*(1-K$1075)+J1081*K$1075</f>
        <v>0.318606349950747</v>
      </c>
      <c r="L1082" s="2" t="n">
        <f aca="false">K1082*(1-L$1075)+K1081*L$1075</f>
        <v>0.246049310670602</v>
      </c>
      <c r="M1082" s="2" t="n">
        <f aca="false">L1082*(1-M$1075)+L1081*M$1075</f>
        <v>0.150628895936901</v>
      </c>
      <c r="N1082" s="2" t="n">
        <f aca="false">M1082*(1-N$1075)+M1081*N$1075</f>
        <v>0.088122281638706</v>
      </c>
      <c r="O1082" s="2" t="n">
        <f aca="false">N1082*(1-O$1075)+N1081*O$1075</f>
        <v>0.088122281638706</v>
      </c>
    </row>
    <row r="1083" customFormat="false" ht="15" hidden="false" customHeight="false" outlineLevel="0" collapsed="false">
      <c r="B1083" s="2" t="n">
        <v>7</v>
      </c>
      <c r="C1083" s="2" t="n">
        <f aca="false">0</f>
        <v>0</v>
      </c>
      <c r="D1083" s="2" t="n">
        <f aca="false">C1083*(1-D$1075)+C1082*D$1075</f>
        <v>0</v>
      </c>
      <c r="E1083" s="2" t="n">
        <f aca="false">D1083*(1-E$1075)+D1082*E$1075</f>
        <v>0</v>
      </c>
      <c r="F1083" s="2" t="n">
        <f aca="false">E1083*(1-F$1075)+E1082*F$1075</f>
        <v>0</v>
      </c>
      <c r="G1083" s="2" t="n">
        <f aca="false">F1083*(1-G$1075)+F1082*G$1075</f>
        <v>0</v>
      </c>
      <c r="H1083" s="2" t="n">
        <f aca="false">G1083*(1-H$1075)+G1082*H$1075</f>
        <v>0</v>
      </c>
      <c r="I1083" s="2" t="n">
        <f aca="false">H1083*(1-I$1075)+H1082*I$1075</f>
        <v>0.018515378520095</v>
      </c>
      <c r="J1083" s="2" t="n">
        <f aca="false">I1083*(1-J$1075)+I1082*J$1075</f>
        <v>0.180546027636854</v>
      </c>
      <c r="K1083" s="2" t="n">
        <f aca="false">J1083*(1-K$1075)+J1082*K$1075</f>
        <v>0.316855768703204</v>
      </c>
      <c r="L1083" s="2" t="n">
        <f aca="false">K1083*(1-L$1075)+K1082*L$1075</f>
        <v>0.317683083438304</v>
      </c>
      <c r="M1083" s="2" t="n">
        <f aca="false">L1083*(1-M$1075)+L1082*M$1075</f>
        <v>0.267680385149443</v>
      </c>
      <c r="N1083" s="2" t="n">
        <f aca="false">M1083*(1-N$1075)+M1082*N$1075</f>
        <v>0.192864195610793</v>
      </c>
      <c r="O1083" s="2" t="n">
        <f aca="false">N1083*(1-O$1075)+N1082*O$1075</f>
        <v>0.192864195610793</v>
      </c>
    </row>
    <row r="1084" customFormat="false" ht="15" hidden="false" customHeight="false" outlineLevel="0" collapsed="false">
      <c r="B1084" s="2" t="n">
        <v>8</v>
      </c>
      <c r="C1084" s="2" t="n">
        <f aca="false">0</f>
        <v>0</v>
      </c>
      <c r="D1084" s="2" t="n">
        <f aca="false">C1084*(1-D$1075)+C1083*D$1075</f>
        <v>0</v>
      </c>
      <c r="E1084" s="2" t="n">
        <f aca="false">D1084*(1-E$1075)+D1083*E$1075</f>
        <v>0</v>
      </c>
      <c r="F1084" s="2" t="n">
        <f aca="false">E1084*(1-F$1075)+E1083*F$1075</f>
        <v>0</v>
      </c>
      <c r="G1084" s="2" t="n">
        <f aca="false">F1084*(1-G$1075)+F1083*G$1075</f>
        <v>0</v>
      </c>
      <c r="H1084" s="2" t="n">
        <f aca="false">G1084*(1-H$1075)+G1083*H$1075</f>
        <v>0</v>
      </c>
      <c r="I1084" s="2" t="n">
        <f aca="false">H1084*(1-I$1075)+H1083*I$1075</f>
        <v>0</v>
      </c>
      <c r="J1084" s="2" t="n">
        <f aca="false">I1084*(1-J$1075)+I1083*J$1075</f>
        <v>0.0147255435415539</v>
      </c>
      <c r="K1084" s="2" t="n">
        <f aca="false">J1084*(1-K$1075)+J1083*K$1075</f>
        <v>0.133677589375618</v>
      </c>
      <c r="L1084" s="2" t="n">
        <f aca="false">K1084*(1-L$1075)+K1083*L$1075</f>
        <v>0.220246554466058</v>
      </c>
      <c r="M1084" s="2" t="n">
        <f aca="false">L1084*(1-M$1075)+L1083*M$1075</f>
        <v>0.288260414022395</v>
      </c>
      <c r="N1084" s="2" t="n">
        <f aca="false">M1084*(1-N$1075)+M1083*N$1075</f>
        <v>0.275106208542157</v>
      </c>
      <c r="O1084" s="2" t="n">
        <f aca="false">N1084*(1-O$1075)+N1083*O$1075</f>
        <v>0.275106208542157</v>
      </c>
    </row>
    <row r="1085" customFormat="false" ht="15" hidden="false" customHeight="false" outlineLevel="0" collapsed="false">
      <c r="B1085" s="2" t="n">
        <v>9</v>
      </c>
      <c r="C1085" s="2" t="n">
        <f aca="false">0</f>
        <v>0</v>
      </c>
      <c r="D1085" s="2" t="n">
        <f aca="false">C1085*(1-D$1075)+C1084*D$1075</f>
        <v>0</v>
      </c>
      <c r="E1085" s="2" t="n">
        <f aca="false">D1085*(1-E$1075)+D1084*E$1075</f>
        <v>0</v>
      </c>
      <c r="F1085" s="2" t="n">
        <f aca="false">E1085*(1-F$1075)+E1084*F$1075</f>
        <v>0</v>
      </c>
      <c r="G1085" s="2" t="n">
        <f aca="false">F1085*(1-G$1075)+F1084*G$1075</f>
        <v>0</v>
      </c>
      <c r="H1085" s="2" t="n">
        <f aca="false">G1085*(1-H$1075)+G1084*H$1075</f>
        <v>0</v>
      </c>
      <c r="I1085" s="2" t="n">
        <f aca="false">H1085*(1-I$1075)+H1084*I$1075</f>
        <v>0</v>
      </c>
      <c r="J1085" s="2" t="n">
        <f aca="false">I1085*(1-J$1075)+I1084*J$1075</f>
        <v>0</v>
      </c>
      <c r="K1085" s="2" t="n">
        <f aca="false">J1085*(1-K$1075)+J1084*K$1075</f>
        <v>0.0105634327377777</v>
      </c>
      <c r="L1085" s="2" t="n">
        <f aca="false">K1085*(1-L$1075)+K1084*L$1075</f>
        <v>0.0687464825270224</v>
      </c>
      <c r="M1085" s="2" t="n">
        <f aca="false">L1085*(1-M$1075)+L1084*M$1075</f>
        <v>0.174498449723756</v>
      </c>
      <c r="N1085" s="2" t="n">
        <f aca="false">M1085*(1-N$1075)+M1084*N$1075</f>
        <v>0.247212062686009</v>
      </c>
      <c r="O1085" s="2" t="n">
        <f aca="false">N1085*(1-O$1075)+N1084*O$1075</f>
        <v>0.247212062686009</v>
      </c>
    </row>
    <row r="1086" customFormat="false" ht="15" hidden="false" customHeight="false" outlineLevel="0" collapsed="false">
      <c r="B1086" s="2" t="n">
        <v>10</v>
      </c>
      <c r="C1086" s="2" t="n">
        <f aca="false">0</f>
        <v>0</v>
      </c>
      <c r="D1086" s="2" t="n">
        <f aca="false">C1086*(1-D$1075)+C1085*D$1075</f>
        <v>0</v>
      </c>
      <c r="E1086" s="2" t="n">
        <f aca="false">D1086*(1-E$1075)+D1085*E$1075</f>
        <v>0</v>
      </c>
      <c r="F1086" s="2" t="n">
        <f aca="false">E1086*(1-F$1075)+E1085*F$1075</f>
        <v>0</v>
      </c>
      <c r="G1086" s="2" t="n">
        <f aca="false">F1086*(1-G$1075)+F1085*G$1075</f>
        <v>0</v>
      </c>
      <c r="H1086" s="2" t="n">
        <f aca="false">G1086*(1-H$1075)+G1085*H$1075</f>
        <v>0</v>
      </c>
      <c r="I1086" s="2" t="n">
        <f aca="false">H1086*(1-I$1075)+H1085*I$1075</f>
        <v>0</v>
      </c>
      <c r="J1086" s="2" t="n">
        <f aca="false">I1086*(1-J$1075)+I1085*J$1075</f>
        <v>0</v>
      </c>
      <c r="K1086" s="2" t="n">
        <f aca="false">J1086*(1-K$1075)+J1085*K$1075</f>
        <v>0</v>
      </c>
      <c r="L1086" s="2" t="n">
        <f aca="false">K1086*(1-L$1075)+K1085*L$1075</f>
        <v>0.0049922181957956</v>
      </c>
      <c r="M1086" s="2" t="n">
        <f aca="false">L1086*(1-M$1075)+L1085*M$1075</f>
        <v>0.0494947638640306</v>
      </c>
      <c r="N1086" s="2" t="n">
        <f aca="false">M1086*(1-N$1075)+M1085*N$1075</f>
        <v>0.129393785373524</v>
      </c>
      <c r="O1086" s="2" t="n">
        <f aca="false">N1086*(1-O$1075)+N1085*O$1075</f>
        <v>0.129393785373524</v>
      </c>
    </row>
    <row r="1087" customFormat="false" ht="15" hidden="false" customHeight="false" outlineLevel="0" collapsed="false">
      <c r="B1087" s="2" t="n">
        <v>11</v>
      </c>
      <c r="C1087" s="2" t="n">
        <f aca="false">0</f>
        <v>0</v>
      </c>
      <c r="D1087" s="2" t="n">
        <f aca="false">C1087*(1-D$1075)+C1086*D$1075</f>
        <v>0</v>
      </c>
      <c r="E1087" s="2" t="n">
        <f aca="false">D1087*(1-E$1075)+D1086*E$1075</f>
        <v>0</v>
      </c>
      <c r="F1087" s="2" t="n">
        <f aca="false">E1087*(1-F$1075)+E1086*F$1075</f>
        <v>0</v>
      </c>
      <c r="G1087" s="2" t="n">
        <f aca="false">F1087*(1-G$1075)+F1086*G$1075</f>
        <v>0</v>
      </c>
      <c r="H1087" s="2" t="n">
        <f aca="false">G1087*(1-H$1075)+G1086*H$1075</f>
        <v>0</v>
      </c>
      <c r="I1087" s="2" t="n">
        <f aca="false">H1087*(1-I$1075)+H1086*I$1075</f>
        <v>0</v>
      </c>
      <c r="J1087" s="2" t="n">
        <f aca="false">I1087*(1-J$1075)+I1086*J$1075</f>
        <v>0</v>
      </c>
      <c r="K1087" s="2" t="n">
        <f aca="false">J1087*(1-K$1075)+J1086*K$1075</f>
        <v>0</v>
      </c>
      <c r="L1087" s="2" t="n">
        <f aca="false">K1087*(1-L$1075)+K1086*L$1075</f>
        <v>0</v>
      </c>
      <c r="M1087" s="2" t="n">
        <f aca="false">L1087*(1-M$1075)+L1086*M$1075</f>
        <v>0.00348473032470348</v>
      </c>
      <c r="N1087" s="2" t="n">
        <f aca="false">M1087*(1-N$1075)+M1086*N$1075</f>
        <v>0.0328931164385052</v>
      </c>
      <c r="O1087" s="2" t="n">
        <f aca="false">N1087*(1-O$1075)+N1086*O$1075</f>
        <v>0.0328931164385052</v>
      </c>
    </row>
    <row r="1088" customFormat="false" ht="15" hidden="false" customHeight="false" outlineLevel="0" collapsed="false">
      <c r="B1088" s="2" t="n">
        <v>12</v>
      </c>
      <c r="C1088" s="2" t="n">
        <f aca="false">0</f>
        <v>0</v>
      </c>
      <c r="D1088" s="2" t="n">
        <f aca="false">C1088*(1-D$1075)+C1087*D$1075</f>
        <v>0</v>
      </c>
      <c r="E1088" s="2" t="n">
        <f aca="false">D1088*(1-E$1075)+D1087*E$1075</f>
        <v>0</v>
      </c>
      <c r="F1088" s="2" t="n">
        <f aca="false">E1088*(1-F$1075)+E1087*F$1075</f>
        <v>0</v>
      </c>
      <c r="G1088" s="2" t="n">
        <f aca="false">F1088*(1-G$1075)+F1087*G$1075</f>
        <v>0</v>
      </c>
      <c r="H1088" s="2" t="n">
        <f aca="false">G1088*(1-H$1075)+G1087*H$1075</f>
        <v>0</v>
      </c>
      <c r="I1088" s="2" t="n">
        <f aca="false">H1088*(1-I$1075)+H1087*I$1075</f>
        <v>0</v>
      </c>
      <c r="J1088" s="2" t="n">
        <f aca="false">I1088*(1-J$1075)+I1087*J$1075</f>
        <v>0</v>
      </c>
      <c r="K1088" s="2" t="n">
        <f aca="false">J1088*(1-K$1075)+J1087*K$1075</f>
        <v>0</v>
      </c>
      <c r="L1088" s="2" t="n">
        <f aca="false">K1088*(1-L$1075)+K1087*L$1075</f>
        <v>0</v>
      </c>
      <c r="M1088" s="2" t="n">
        <f aca="false">L1088*(1-M$1075)+L1087*M$1075</f>
        <v>0</v>
      </c>
      <c r="N1088" s="2" t="n">
        <f aca="false">M1088*(1-N$1075)+M1087*N$1075</f>
        <v>0.0022273466678471</v>
      </c>
      <c r="O1088" s="2" t="n">
        <f aca="false">N1088*(1-O$1075)+N1087*O$1075</f>
        <v>0.0022273466678471</v>
      </c>
    </row>
    <row r="1089" customFormat="false" ht="15" hidden="false" customHeight="false" outlineLevel="0" collapsed="false">
      <c r="B1089" s="2" t="n">
        <v>13</v>
      </c>
      <c r="C1089" s="2" t="n">
        <f aca="false">0</f>
        <v>0</v>
      </c>
      <c r="D1089" s="2" t="n">
        <f aca="false">C1089*(1-D$1075)+C1088*D$1075</f>
        <v>0</v>
      </c>
      <c r="E1089" s="2" t="n">
        <f aca="false">D1089*(1-E$1075)+D1088*E$1075</f>
        <v>0</v>
      </c>
      <c r="F1089" s="2" t="n">
        <f aca="false">E1089*(1-F$1075)+E1088*F$1075</f>
        <v>0</v>
      </c>
      <c r="G1089" s="2" t="n">
        <f aca="false">F1089*(1-G$1075)+F1088*G$1075</f>
        <v>0</v>
      </c>
      <c r="H1089" s="2" t="n">
        <f aca="false">G1089*(1-H$1075)+G1088*H$1075</f>
        <v>0</v>
      </c>
      <c r="I1089" s="2" t="n">
        <f aca="false">H1089*(1-I$1075)+H1088*I$1075</f>
        <v>0</v>
      </c>
      <c r="J1089" s="2" t="n">
        <f aca="false">I1089*(1-J$1075)+I1088*J$1075</f>
        <v>0</v>
      </c>
      <c r="K1089" s="2" t="n">
        <f aca="false">J1089*(1-K$1075)+J1088*K$1075</f>
        <v>0</v>
      </c>
      <c r="L1089" s="2" t="n">
        <f aca="false">K1089*(1-L$1075)+K1088*L$1075</f>
        <v>0</v>
      </c>
      <c r="M1089" s="2" t="n">
        <f aca="false">L1089*(1-M$1075)+L1088*M$1075</f>
        <v>0</v>
      </c>
      <c r="N1089" s="2" t="n">
        <f aca="false">M1089*(1-N$1075)+M1088*N$1075</f>
        <v>0</v>
      </c>
      <c r="O1089" s="2" t="n">
        <f aca="false">N1089*(1-O$1075)+N1088*O$1075</f>
        <v>0</v>
      </c>
    </row>
    <row r="1091" customFormat="false" ht="15" hidden="false" customHeight="false" outlineLevel="0" collapsed="false">
      <c r="A1091" s="1" t="s">
        <v>126</v>
      </c>
      <c r="C1091" s="2" t="n">
        <f aca="false">Schedule!G70</f>
        <v>0.994896696941652</v>
      </c>
      <c r="D1091" s="2" t="n">
        <f aca="false">Schedule!L70</f>
        <v>0.137032319304912</v>
      </c>
      <c r="E1091" s="2" t="n">
        <f aca="false">Schedule!Q70</f>
        <v>0.857408832578344</v>
      </c>
      <c r="F1091" s="2" t="n">
        <f aca="false">Schedule!V70</f>
        <v>0.315169414269308</v>
      </c>
      <c r="G1091" s="2" t="n">
        <f aca="false">Schedule!AA70</f>
        <v>0.584141511109092</v>
      </c>
      <c r="H1091" s="2" t="n">
        <f aca="false">Schedule!AF70</f>
        <v>0.132961615077904</v>
      </c>
      <c r="I1091" s="2" t="n">
        <f aca="false">Schedule!AK70</f>
        <v>0.219169829793377</v>
      </c>
      <c r="J1091" s="2" t="n">
        <f aca="false">Schedule!AP70</f>
        <v>0.382088577811047</v>
      </c>
      <c r="K1091" s="2" t="n">
        <f aca="false">Schedule!AU70</f>
        <v>0.337699424942871</v>
      </c>
      <c r="L1091" s="2" t="n">
        <f aca="false">Schedule!AZ70</f>
        <v>0.477571324972222</v>
      </c>
      <c r="M1091" s="2" t="n">
        <f aca="false">Schedule!BE70</f>
        <v>0.386864750968727</v>
      </c>
      <c r="N1091" s="2" t="n">
        <f aca="false">Schedule!BJ70</f>
        <v>0.328611670769279</v>
      </c>
      <c r="O1091" s="2" t="n">
        <f aca="false">Schedule!BO70</f>
        <v>0</v>
      </c>
    </row>
    <row r="1092" customFormat="false" ht="15" hidden="false" customHeight="false" outlineLevel="0" collapsed="false">
      <c r="B1092" s="2" t="n">
        <v>0</v>
      </c>
      <c r="C1092" s="2" t="n">
        <f aca="false">1-C$1091</f>
        <v>0.00510330305834761</v>
      </c>
      <c r="D1092" s="2" t="n">
        <f aca="false">C1092*(1-D$1091)</f>
        <v>0.00440398560414639</v>
      </c>
      <c r="E1092" s="2" t="n">
        <f aca="false">D1092*(1-E$1091)</f>
        <v>0.000627969448603398</v>
      </c>
      <c r="F1092" s="2" t="n">
        <f aca="false">E1092*(1-F$1091)</f>
        <v>0.000430052685308045</v>
      </c>
      <c r="G1092" s="2" t="n">
        <f aca="false">F1092*(1-G$1091)</f>
        <v>0.00017884105985568</v>
      </c>
      <c r="H1092" s="2" t="n">
        <f aca="false">G1092*(1-H$1091)</f>
        <v>0.000155062063695025</v>
      </c>
      <c r="I1092" s="2" t="n">
        <f aca="false">H1092*(1-I$1091)</f>
        <v>0.000121077137587577</v>
      </c>
      <c r="J1092" s="2" t="n">
        <f aca="false">I1092*(1-J$1091)</f>
        <v>7.4814946281307E-005</v>
      </c>
      <c r="K1092" s="2" t="n">
        <f aca="false">J1092*(1-K$1091)</f>
        <v>4.95499819449778E-005</v>
      </c>
      <c r="L1092" s="2" t="n">
        <f aca="false">K1092*(1-L$1091)</f>
        <v>2.58863314151651E-005</v>
      </c>
      <c r="M1092" s="2" t="n">
        <f aca="false">L1092*(1-M$1091)</f>
        <v>1.58718222587433E-005</v>
      </c>
      <c r="N1092" s="2" t="n">
        <f aca="false">M1092*(1-N$1091)</f>
        <v>1.06561562281446E-005</v>
      </c>
      <c r="O1092" s="2" t="n">
        <f aca="false">N1092*(1-O$1091)</f>
        <v>1.06561562281446E-005</v>
      </c>
    </row>
    <row r="1093" customFormat="false" ht="15" hidden="false" customHeight="false" outlineLevel="0" collapsed="false">
      <c r="B1093" s="2" t="n">
        <v>1</v>
      </c>
      <c r="C1093" s="2" t="n">
        <f aca="false">C$1091</f>
        <v>0.994896696941652</v>
      </c>
      <c r="D1093" s="2" t="n">
        <f aca="false">C1093*(1-D$1091)+C1092*D$1091</f>
        <v>0.859263012545143</v>
      </c>
      <c r="E1093" s="2" t="n">
        <f aca="false">D1093*(1-E$1091)+D1092*E$1091</f>
        <v>0.126299332236604</v>
      </c>
      <c r="F1093" s="2" t="n">
        <f aca="false">E1093*(1-F$1091)+E1092*F$1091</f>
        <v>0.0866915624362839</v>
      </c>
      <c r="G1093" s="2" t="n">
        <f aca="false">F1093*(1-G$1091)+F1092*G$1091</f>
        <v>0.0363026337797971</v>
      </c>
      <c r="H1093" s="2" t="n">
        <f aca="false">G1093*(1-H$1091)+G1092*H$1091</f>
        <v>0.0314995559570143</v>
      </c>
      <c r="I1093" s="2" t="n">
        <f aca="false">H1093*(1-I$1091)+H1092*I$1091</f>
        <v>0.024629788565456</v>
      </c>
      <c r="J1093" s="2" t="n">
        <f aca="false">I1093*(1-J$1091)+I1092*J$1091</f>
        <v>0.0152652898720004</v>
      </c>
      <c r="K1093" s="2" t="n">
        <f aca="false">J1093*(1-K$1091)+J1092*K$1091</f>
        <v>0.0101354752249759</v>
      </c>
      <c r="L1093" s="2" t="n">
        <f aca="false">K1093*(1-L$1091)+K1092*L$1091</f>
        <v>0.00531872654309087</v>
      </c>
      <c r="M1093" s="2" t="n">
        <f aca="false">L1093*(1-M$1091)+L1092*M$1091</f>
        <v>0.00327111323268368</v>
      </c>
      <c r="N1093" s="2" t="n">
        <f aca="false">M1093*(1-N$1091)+M1092*N$1091</f>
        <v>0.0022014029140466</v>
      </c>
      <c r="O1093" s="2" t="n">
        <f aca="false">N1093*(1-O$1091)+N1092*O$1091</f>
        <v>0.0022014029140466</v>
      </c>
    </row>
    <row r="1094" customFormat="false" ht="15" hidden="false" customHeight="false" outlineLevel="0" collapsed="false">
      <c r="B1094" s="2" t="n">
        <v>2</v>
      </c>
      <c r="C1094" s="2" t="n">
        <f aca="false">0</f>
        <v>0</v>
      </c>
      <c r="D1094" s="2" t="n">
        <f aca="false">C1094*(1-D$1091)+C1093*D$1091</f>
        <v>0.13633300185071</v>
      </c>
      <c r="E1094" s="2" t="n">
        <f aca="false">D1094*(1-E$1091)+D1093*E$1091</f>
        <v>0.756179578356074</v>
      </c>
      <c r="F1094" s="2" t="n">
        <f aca="false">E1094*(1-F$1091)+E1093*F$1091</f>
        <v>0.557660590126793</v>
      </c>
      <c r="G1094" s="2" t="n">
        <f aca="false">F1094*(1-G$1091)+F1093*G$1091</f>
        <v>0.282548030606079</v>
      </c>
      <c r="H1094" s="2" t="n">
        <f aca="false">G1094*(1-H$1091)+G1093*H$1091</f>
        <v>0.249806844938557</v>
      </c>
      <c r="I1094" s="2" t="n">
        <f aca="false">H1094*(1-I$1091)+H1093*I$1091</f>
        <v>0.201960473569819</v>
      </c>
      <c r="J1094" s="2" t="n">
        <f aca="false">I1094*(1-J$1091)+I1093*J$1091</f>
        <v>0.134204444334243</v>
      </c>
      <c r="K1094" s="2" t="n">
        <f aca="false">J1094*(1-K$1091)+J1093*K$1091</f>
        <v>0.0940387602691523</v>
      </c>
      <c r="L1094" s="2" t="n">
        <f aca="false">K1094*(1-L$1091)+K1093*L$1091</f>
        <v>0.053968957261083</v>
      </c>
      <c r="M1094" s="2" t="n">
        <f aca="false">L1094*(1-M$1091)+L1093*M$1091</f>
        <v>0.0351478978697959</v>
      </c>
      <c r="N1094" s="2" t="n">
        <f aca="false">M1094*(1-N$1091)+M1093*N$1091</f>
        <v>0.0246728144114419</v>
      </c>
      <c r="O1094" s="2" t="n">
        <f aca="false">N1094*(1-O$1091)+N1093*O$1091</f>
        <v>0.0246728144114419</v>
      </c>
    </row>
    <row r="1095" customFormat="false" ht="15" hidden="false" customHeight="false" outlineLevel="0" collapsed="false">
      <c r="B1095" s="2" t="n">
        <v>3</v>
      </c>
      <c r="C1095" s="2" t="n">
        <f aca="false">0</f>
        <v>0</v>
      </c>
      <c r="D1095" s="2" t="n">
        <f aca="false">C1095*(1-D$1091)+C1094*D$1091</f>
        <v>0</v>
      </c>
      <c r="E1095" s="2" t="n">
        <f aca="false">D1095*(1-E$1091)+D1094*E$1091</f>
        <v>0.116893119958719</v>
      </c>
      <c r="F1095" s="2" t="n">
        <f aca="false">E1095*(1-F$1091)+E1094*F$1091</f>
        <v>0.318376658602114</v>
      </c>
      <c r="G1095" s="2" t="n">
        <f aca="false">F1095*(1-G$1091)+F1094*G$1091</f>
        <v>0.458152335947065</v>
      </c>
      <c r="H1095" s="2" t="n">
        <f aca="false">G1095*(1-H$1091)+G1094*H$1091</f>
        <v>0.434803703894294</v>
      </c>
      <c r="I1095" s="2" t="n">
        <f aca="false">H1095*(1-I$1091)+H1094*I$1091</f>
        <v>0.394257973804656</v>
      </c>
      <c r="J1095" s="2" t="n">
        <f aca="false">I1095*(1-J$1091)+I1094*J$1091</f>
        <v>0.320783295423307</v>
      </c>
      <c r="K1095" s="2" t="n">
        <f aca="false">J1095*(1-K$1091)+J1094*K$1091</f>
        <v>0.257775724704029</v>
      </c>
      <c r="L1095" s="2" t="n">
        <f aca="false">K1095*(1-L$1091)+K1094*L$1091</f>
        <v>0.179579645651935</v>
      </c>
      <c r="M1095" s="2" t="n">
        <f aca="false">L1095*(1-M$1091)+L1094*M$1091</f>
        <v>0.130985297968598</v>
      </c>
      <c r="N1095" s="2" t="n">
        <f aca="false">M1095*(1-N$1091)+M1094*N$1091</f>
        <v>0.0994920097999466</v>
      </c>
      <c r="O1095" s="2" t="n">
        <f aca="false">N1095*(1-O$1091)+N1094*O$1091</f>
        <v>0.0994920097999466</v>
      </c>
    </row>
    <row r="1096" customFormat="false" ht="15" hidden="false" customHeight="false" outlineLevel="0" collapsed="false">
      <c r="B1096" s="2" t="n">
        <v>4</v>
      </c>
      <c r="C1096" s="2" t="n">
        <f aca="false">0</f>
        <v>0</v>
      </c>
      <c r="D1096" s="2" t="n">
        <f aca="false">C1096*(1-D$1091)+C1095*D$1091</f>
        <v>0</v>
      </c>
      <c r="E1096" s="2" t="n">
        <f aca="false">D1096*(1-E$1091)+D1095*E$1091</f>
        <v>0</v>
      </c>
      <c r="F1096" s="2" t="n">
        <f aca="false">E1096*(1-F$1091)+E1095*F$1091</f>
        <v>0.0368411361495014</v>
      </c>
      <c r="G1096" s="2" t="n">
        <f aca="false">F1096*(1-G$1091)+F1095*G$1091</f>
        <v>0.201297721665858</v>
      </c>
      <c r="H1096" s="2" t="n">
        <f aca="false">G1096*(1-H$1091)+G1095*H$1091</f>
        <v>0.2354495260209</v>
      </c>
      <c r="I1096" s="2" t="n">
        <f aca="false">H1096*(1-I$1091)+H1095*I$1091</f>
        <v>0.27914194725401</v>
      </c>
      <c r="J1096" s="2" t="n">
        <f aca="false">I1096*(1-J$1091)+I1095*J$1091</f>
        <v>0.323126466122005</v>
      </c>
      <c r="K1096" s="2" t="n">
        <f aca="false">J1096*(1-K$1091)+J1095*K$1091</f>
        <v>0.322335178724512</v>
      </c>
      <c r="L1096" s="2" t="n">
        <f aca="false">K1096*(1-L$1091)+K1095*L$1091</f>
        <v>0.291503434728466</v>
      </c>
      <c r="M1096" s="2" t="n">
        <f aca="false">L1096*(1-M$1091)+L1095*M$1091</f>
        <v>0.248204065939898</v>
      </c>
      <c r="N1096" s="2" t="n">
        <f aca="false">M1096*(1-N$1091)+M1095*N$1091</f>
        <v>0.209684610751332</v>
      </c>
      <c r="O1096" s="2" t="n">
        <f aca="false">N1096*(1-O$1091)+N1095*O$1091</f>
        <v>0.209684610751332</v>
      </c>
    </row>
    <row r="1097" customFormat="false" ht="15" hidden="false" customHeight="false" outlineLevel="0" collapsed="false">
      <c r="B1097" s="2" t="n">
        <v>5</v>
      </c>
      <c r="C1097" s="2" t="n">
        <f aca="false">0</f>
        <v>0</v>
      </c>
      <c r="D1097" s="2" t="n">
        <f aca="false">C1097*(1-D$1091)+C1096*D$1091</f>
        <v>0</v>
      </c>
      <c r="E1097" s="2" t="n">
        <f aca="false">D1097*(1-E$1091)+D1096*E$1091</f>
        <v>0</v>
      </c>
      <c r="F1097" s="2" t="n">
        <f aca="false">E1097*(1-F$1091)+E1096*F$1091</f>
        <v>0</v>
      </c>
      <c r="G1097" s="2" t="n">
        <f aca="false">F1097*(1-G$1091)+F1096*G$1091</f>
        <v>0.0215204369413456</v>
      </c>
      <c r="H1097" s="2" t="n">
        <f aca="false">G1097*(1-H$1091)+G1096*H$1091</f>
        <v>0.045423915072637</v>
      </c>
      <c r="I1097" s="2" t="n">
        <f aca="false">H1097*(1-I$1091)+H1096*I$1091</f>
        <v>0.0870717958805502</v>
      </c>
      <c r="J1097" s="2" t="n">
        <f aca="false">I1097*(1-J$1091)+I1096*J$1091</f>
        <v>0.160459606858788</v>
      </c>
      <c r="K1097" s="2" t="n">
        <f aca="false">J1097*(1-K$1091)+J1096*K$1091</f>
        <v>0.215392111689239</v>
      </c>
      <c r="L1097" s="2" t="n">
        <f aca="false">K1097*(1-L$1091)+K1096*L$1091</f>
        <v>0.266465053909867</v>
      </c>
      <c r="M1097" s="2" t="n">
        <f aca="false">L1097*(1-M$1091)+L1096*M$1091</f>
        <v>0.276151520869915</v>
      </c>
      <c r="N1097" s="2" t="n">
        <f aca="false">M1097*(1-N$1091)+M1096*N$1091</f>
        <v>0.266967661011613</v>
      </c>
      <c r="O1097" s="2" t="n">
        <f aca="false">N1097*(1-O$1091)+N1096*O$1091</f>
        <v>0.266967661011613</v>
      </c>
    </row>
    <row r="1098" customFormat="false" ht="15" hidden="false" customHeight="false" outlineLevel="0" collapsed="false">
      <c r="B1098" s="2" t="n">
        <v>6</v>
      </c>
      <c r="C1098" s="2" t="n">
        <f aca="false">0</f>
        <v>0</v>
      </c>
      <c r="D1098" s="2" t="n">
        <f aca="false">C1098*(1-D$1091)+C1097*D$1091</f>
        <v>0</v>
      </c>
      <c r="E1098" s="2" t="n">
        <f aca="false">D1098*(1-E$1091)+D1097*E$1091</f>
        <v>0</v>
      </c>
      <c r="F1098" s="2" t="n">
        <f aca="false">E1098*(1-F$1091)+E1097*F$1091</f>
        <v>0</v>
      </c>
      <c r="G1098" s="2" t="n">
        <f aca="false">F1098*(1-G$1091)+F1097*G$1091</f>
        <v>0</v>
      </c>
      <c r="H1098" s="2" t="n">
        <f aca="false">G1098*(1-H$1091)+G1097*H$1091</f>
        <v>0.00286139205290349</v>
      </c>
      <c r="I1098" s="2" t="n">
        <f aca="false">H1098*(1-I$1091)+H1097*I$1091</f>
        <v>0.0121898129787152</v>
      </c>
      <c r="J1098" s="2" t="n">
        <f aca="false">I1098*(1-J$1091)+I1097*J$1091</f>
        <v>0.0408013633293485</v>
      </c>
      <c r="K1098" s="2" t="n">
        <f aca="false">J1098*(1-K$1091)+J1097*K$1091</f>
        <v>0.0812098833589143</v>
      </c>
      <c r="L1098" s="2" t="n">
        <f aca="false">K1098*(1-L$1091)+K1097*L$1091</f>
        <v>0.145291467930353</v>
      </c>
      <c r="M1098" s="2" t="n">
        <f aca="false">L1098*(1-M$1091)+L1097*M$1091</f>
        <v>0.192169257094305</v>
      </c>
      <c r="N1098" s="2" t="n">
        <f aca="false">M1098*(1-N$1091)+M1097*N$1091</f>
        <v>0.219766809108595</v>
      </c>
      <c r="O1098" s="2" t="n">
        <f aca="false">N1098*(1-O$1091)+N1097*O$1091</f>
        <v>0.219766809108595</v>
      </c>
    </row>
    <row r="1099" customFormat="false" ht="15" hidden="false" customHeight="false" outlineLevel="0" collapsed="false">
      <c r="B1099" s="2" t="n">
        <v>7</v>
      </c>
      <c r="C1099" s="2" t="n">
        <f aca="false">0</f>
        <v>0</v>
      </c>
      <c r="D1099" s="2" t="n">
        <f aca="false">C1099*(1-D$1091)+C1098*D$1091</f>
        <v>0</v>
      </c>
      <c r="E1099" s="2" t="n">
        <f aca="false">D1099*(1-E$1091)+D1098*E$1091</f>
        <v>0</v>
      </c>
      <c r="F1099" s="2" t="n">
        <f aca="false">E1099*(1-F$1091)+E1098*F$1091</f>
        <v>0</v>
      </c>
      <c r="G1099" s="2" t="n">
        <f aca="false">F1099*(1-G$1091)+F1098*G$1091</f>
        <v>0</v>
      </c>
      <c r="H1099" s="2" t="n">
        <f aca="false">G1099*(1-H$1091)+G1098*H$1091</f>
        <v>0</v>
      </c>
      <c r="I1099" s="2" t="n">
        <f aca="false">H1099*(1-I$1091)+H1098*I$1091</f>
        <v>0.000627130809206981</v>
      </c>
      <c r="J1099" s="2" t="n">
        <f aca="false">I1099*(1-J$1091)+I1098*J$1091</f>
        <v>0.00504509959503553</v>
      </c>
      <c r="K1099" s="2" t="n">
        <f aca="false">J1099*(1-K$1091)+J1098*K$1091</f>
        <v>0.0171199692962187</v>
      </c>
      <c r="L1099" s="2" t="n">
        <f aca="false">K1099*(1-L$1091)+K1098*L$1091</f>
        <v>0.047727474472496</v>
      </c>
      <c r="M1099" s="2" t="n">
        <f aca="false">L1099*(1-M$1091)+L1098*M$1091</f>
        <v>0.0854715445050843</v>
      </c>
      <c r="N1099" s="2" t="n">
        <f aca="false">M1099*(1-N$1091)+M1098*N$1091</f>
        <v>0.120533658106289</v>
      </c>
      <c r="O1099" s="2" t="n">
        <f aca="false">N1099*(1-O$1091)+N1098*O$1091</f>
        <v>0.120533658106289</v>
      </c>
    </row>
    <row r="1100" customFormat="false" ht="15" hidden="false" customHeight="false" outlineLevel="0" collapsed="false">
      <c r="B1100" s="2" t="n">
        <v>8</v>
      </c>
      <c r="C1100" s="2" t="n">
        <f aca="false">0</f>
        <v>0</v>
      </c>
      <c r="D1100" s="2" t="n">
        <f aca="false">C1100*(1-D$1091)+C1099*D$1091</f>
        <v>0</v>
      </c>
      <c r="E1100" s="2" t="n">
        <f aca="false">D1100*(1-E$1091)+D1099*E$1091</f>
        <v>0</v>
      </c>
      <c r="F1100" s="2" t="n">
        <f aca="false">E1100*(1-F$1091)+E1099*F$1091</f>
        <v>0</v>
      </c>
      <c r="G1100" s="2" t="n">
        <f aca="false">F1100*(1-G$1091)+F1099*G$1091</f>
        <v>0</v>
      </c>
      <c r="H1100" s="2" t="n">
        <f aca="false">G1100*(1-H$1091)+G1099*H$1091</f>
        <v>0</v>
      </c>
      <c r="I1100" s="2" t="n">
        <f aca="false">H1100*(1-I$1091)+H1099*I$1091</f>
        <v>0</v>
      </c>
      <c r="J1100" s="2" t="n">
        <f aca="false">I1100*(1-J$1091)+I1099*J$1091</f>
        <v>0.000239619518991387</v>
      </c>
      <c r="K1100" s="2" t="n">
        <f aca="false">J1100*(1-K$1091)+J1099*K$1091</f>
        <v>0.00186242737724592</v>
      </c>
      <c r="L1100" s="2" t="n">
        <f aca="false">K1100*(1-L$1091)+K1099*L$1091</f>
        <v>0.00914899188730894</v>
      </c>
      <c r="M1100" s="2" t="n">
        <f aca="false">L1100*(1-M$1091)+L1099*M$1091</f>
        <v>0.0240736469453787</v>
      </c>
      <c r="N1100" s="2" t="n">
        <f aca="false">M1100*(1-N$1091)+M1099*N$1091</f>
        <v>0.0442497126441946</v>
      </c>
      <c r="O1100" s="2" t="n">
        <f aca="false">N1100*(1-O$1091)+N1099*O$1091</f>
        <v>0.0442497126441946</v>
      </c>
    </row>
    <row r="1101" customFormat="false" ht="15" hidden="false" customHeight="false" outlineLevel="0" collapsed="false">
      <c r="B1101" s="2" t="n">
        <v>9</v>
      </c>
      <c r="C1101" s="2" t="n">
        <f aca="false">0</f>
        <v>0</v>
      </c>
      <c r="D1101" s="2" t="n">
        <f aca="false">C1101*(1-D$1091)+C1100*D$1091</f>
        <v>0</v>
      </c>
      <c r="E1101" s="2" t="n">
        <f aca="false">D1101*(1-E$1091)+D1100*E$1091</f>
        <v>0</v>
      </c>
      <c r="F1101" s="2" t="n">
        <f aca="false">E1101*(1-F$1091)+E1100*F$1091</f>
        <v>0</v>
      </c>
      <c r="G1101" s="2" t="n">
        <f aca="false">F1101*(1-G$1091)+F1100*G$1091</f>
        <v>0</v>
      </c>
      <c r="H1101" s="2" t="n">
        <f aca="false">G1101*(1-H$1091)+G1100*H$1091</f>
        <v>0</v>
      </c>
      <c r="I1101" s="2" t="n">
        <f aca="false">H1101*(1-I$1091)+H1100*I$1091</f>
        <v>0</v>
      </c>
      <c r="J1101" s="2" t="n">
        <f aca="false">I1101*(1-J$1091)+I1100*J$1091</f>
        <v>0</v>
      </c>
      <c r="K1101" s="2" t="n">
        <f aca="false">J1101*(1-K$1091)+J1100*K$1091</f>
        <v>8.09193737684787E-005</v>
      </c>
      <c r="L1101" s="2" t="n">
        <f aca="false">K1101*(1-L$1091)+K1100*L$1091</f>
        <v>0.000931716511437816</v>
      </c>
      <c r="M1101" s="2" t="n">
        <f aca="false">L1101*(1-M$1091)+L1100*M$1091</f>
        <v>0.00411069070336565</v>
      </c>
      <c r="N1101" s="2" t="n">
        <f aca="false">M1101*(1-N$1091)+M1100*N$1091</f>
        <v>0.0106707511075476</v>
      </c>
      <c r="O1101" s="2" t="n">
        <f aca="false">N1101*(1-O$1091)+N1100*O$1091</f>
        <v>0.0106707511075476</v>
      </c>
    </row>
    <row r="1102" customFormat="false" ht="15" hidden="false" customHeight="false" outlineLevel="0" collapsed="false">
      <c r="B1102" s="2" t="n">
        <v>10</v>
      </c>
      <c r="C1102" s="2" t="n">
        <f aca="false">0</f>
        <v>0</v>
      </c>
      <c r="D1102" s="2" t="n">
        <f aca="false">C1102*(1-D$1091)+C1101*D$1091</f>
        <v>0</v>
      </c>
      <c r="E1102" s="2" t="n">
        <f aca="false">D1102*(1-E$1091)+D1101*E$1091</f>
        <v>0</v>
      </c>
      <c r="F1102" s="2" t="n">
        <f aca="false">E1102*(1-F$1091)+E1101*F$1091</f>
        <v>0</v>
      </c>
      <c r="G1102" s="2" t="n">
        <f aca="false">F1102*(1-G$1091)+F1101*G$1091</f>
        <v>0</v>
      </c>
      <c r="H1102" s="2" t="n">
        <f aca="false">G1102*(1-H$1091)+G1101*H$1091</f>
        <v>0</v>
      </c>
      <c r="I1102" s="2" t="n">
        <f aca="false">H1102*(1-I$1091)+H1101*I$1091</f>
        <v>0</v>
      </c>
      <c r="J1102" s="2" t="n">
        <f aca="false">I1102*(1-J$1091)+I1101*J$1091</f>
        <v>0</v>
      </c>
      <c r="K1102" s="2" t="n">
        <f aca="false">J1102*(1-K$1091)+J1101*K$1091</f>
        <v>0</v>
      </c>
      <c r="L1102" s="2" t="n">
        <f aca="false">K1102*(1-L$1091)+K1101*L$1091</f>
        <v>3.86447725465348E-005</v>
      </c>
      <c r="M1102" s="2" t="n">
        <f aca="false">L1102*(1-M$1091)+L1101*M$1091</f>
        <v>0.000384142748409918</v>
      </c>
      <c r="N1102" s="2" t="n">
        <f aca="false">M1102*(1-N$1091)+M1101*N$1091</f>
        <v>0.00160872989808976</v>
      </c>
      <c r="O1102" s="2" t="n">
        <f aca="false">N1102*(1-O$1091)+N1101*O$1091</f>
        <v>0.00160872989808976</v>
      </c>
    </row>
    <row r="1103" customFormat="false" ht="15" hidden="false" customHeight="false" outlineLevel="0" collapsed="false">
      <c r="B1103" s="2" t="n">
        <v>11</v>
      </c>
      <c r="C1103" s="2" t="n">
        <f aca="false">0</f>
        <v>0</v>
      </c>
      <c r="D1103" s="2" t="n">
        <f aca="false">C1103*(1-D$1091)+C1102*D$1091</f>
        <v>0</v>
      </c>
      <c r="E1103" s="2" t="n">
        <f aca="false">D1103*(1-E$1091)+D1102*E$1091</f>
        <v>0</v>
      </c>
      <c r="F1103" s="2" t="n">
        <f aca="false">E1103*(1-F$1091)+E1102*F$1091</f>
        <v>0</v>
      </c>
      <c r="G1103" s="2" t="n">
        <f aca="false">F1103*(1-G$1091)+F1102*G$1091</f>
        <v>0</v>
      </c>
      <c r="H1103" s="2" t="n">
        <f aca="false">G1103*(1-H$1091)+G1102*H$1091</f>
        <v>0</v>
      </c>
      <c r="I1103" s="2" t="n">
        <f aca="false">H1103*(1-I$1091)+H1102*I$1091</f>
        <v>0</v>
      </c>
      <c r="J1103" s="2" t="n">
        <f aca="false">I1103*(1-J$1091)+I1102*J$1091</f>
        <v>0</v>
      </c>
      <c r="K1103" s="2" t="n">
        <f aca="false">J1103*(1-K$1091)+J1102*K$1091</f>
        <v>0</v>
      </c>
      <c r="L1103" s="2" t="n">
        <f aca="false">K1103*(1-L$1091)+K1102*L$1091</f>
        <v>0</v>
      </c>
      <c r="M1103" s="2" t="n">
        <f aca="false">L1103*(1-M$1091)+L1102*M$1091</f>
        <v>1.49503003074583E-005</v>
      </c>
      <c r="N1103" s="2" t="n">
        <f aca="false">M1103*(1-N$1091)+M1102*N$1091</f>
        <v>0.000136271247513808</v>
      </c>
      <c r="O1103" s="2" t="n">
        <f aca="false">N1103*(1-O$1091)+N1102*O$1091</f>
        <v>0.000136271247513808</v>
      </c>
    </row>
    <row r="1104" customFormat="false" ht="15" hidden="false" customHeight="false" outlineLevel="0" collapsed="false">
      <c r="B1104" s="2" t="n">
        <v>12</v>
      </c>
      <c r="C1104" s="2" t="n">
        <f aca="false">0</f>
        <v>0</v>
      </c>
      <c r="D1104" s="2" t="n">
        <f aca="false">C1104*(1-D$1091)+C1103*D$1091</f>
        <v>0</v>
      </c>
      <c r="E1104" s="2" t="n">
        <f aca="false">D1104*(1-E$1091)+D1103*E$1091</f>
        <v>0</v>
      </c>
      <c r="F1104" s="2" t="n">
        <f aca="false">E1104*(1-F$1091)+E1103*F$1091</f>
        <v>0</v>
      </c>
      <c r="G1104" s="2" t="n">
        <f aca="false">F1104*(1-G$1091)+F1103*G$1091</f>
        <v>0</v>
      </c>
      <c r="H1104" s="2" t="n">
        <f aca="false">G1104*(1-H$1091)+G1103*H$1091</f>
        <v>0</v>
      </c>
      <c r="I1104" s="2" t="n">
        <f aca="false">H1104*(1-I$1091)+H1103*I$1091</f>
        <v>0</v>
      </c>
      <c r="J1104" s="2" t="n">
        <f aca="false">I1104*(1-J$1091)+I1103*J$1091</f>
        <v>0</v>
      </c>
      <c r="K1104" s="2" t="n">
        <f aca="false">J1104*(1-K$1091)+J1103*K$1091</f>
        <v>0</v>
      </c>
      <c r="L1104" s="2" t="n">
        <f aca="false">K1104*(1-L$1091)+K1103*L$1091</f>
        <v>0</v>
      </c>
      <c r="M1104" s="2" t="n">
        <f aca="false">L1104*(1-M$1091)+L1103*M$1091</f>
        <v>0</v>
      </c>
      <c r="N1104" s="2" t="n">
        <f aca="false">M1104*(1-N$1091)+M1103*N$1091</f>
        <v>4.91284316253633E-006</v>
      </c>
      <c r="O1104" s="2" t="n">
        <f aca="false">N1104*(1-O$1091)+N1103*O$1091</f>
        <v>4.91284316253633E-006</v>
      </c>
    </row>
    <row r="1105" customFormat="false" ht="15" hidden="false" customHeight="false" outlineLevel="0" collapsed="false">
      <c r="B1105" s="2" t="n">
        <v>13</v>
      </c>
      <c r="C1105" s="2" t="n">
        <f aca="false">0</f>
        <v>0</v>
      </c>
      <c r="D1105" s="2" t="n">
        <f aca="false">C1105*(1-D$1091)+C1104*D$1091</f>
        <v>0</v>
      </c>
      <c r="E1105" s="2" t="n">
        <f aca="false">D1105*(1-E$1091)+D1104*E$1091</f>
        <v>0</v>
      </c>
      <c r="F1105" s="2" t="n">
        <f aca="false">E1105*(1-F$1091)+E1104*F$1091</f>
        <v>0</v>
      </c>
      <c r="G1105" s="2" t="n">
        <f aca="false">F1105*(1-G$1091)+F1104*G$1091</f>
        <v>0</v>
      </c>
      <c r="H1105" s="2" t="n">
        <f aca="false">G1105*(1-H$1091)+G1104*H$1091</f>
        <v>0</v>
      </c>
      <c r="I1105" s="2" t="n">
        <f aca="false">H1105*(1-I$1091)+H1104*I$1091</f>
        <v>0</v>
      </c>
      <c r="J1105" s="2" t="n">
        <f aca="false">I1105*(1-J$1091)+I1104*J$1091</f>
        <v>0</v>
      </c>
      <c r="K1105" s="2" t="n">
        <f aca="false">J1105*(1-K$1091)+J1104*K$1091</f>
        <v>0</v>
      </c>
      <c r="L1105" s="2" t="n">
        <f aca="false">K1105*(1-L$1091)+K1104*L$1091</f>
        <v>0</v>
      </c>
      <c r="M1105" s="2" t="n">
        <f aca="false">L1105*(1-M$1091)+L1104*M$1091</f>
        <v>0</v>
      </c>
      <c r="N1105" s="2" t="n">
        <f aca="false">M1105*(1-N$1091)+M1104*N$1091</f>
        <v>0</v>
      </c>
      <c r="O1105" s="2" t="n">
        <f aca="false">N1105*(1-O$1091)+N1104*O$1091</f>
        <v>0</v>
      </c>
    </row>
    <row r="1107" customFormat="false" ht="15" hidden="false" customHeight="false" outlineLevel="0" collapsed="false">
      <c r="A1107" s="1" t="s">
        <v>127</v>
      </c>
      <c r="C1107" s="2" t="n">
        <f aca="false">Schedule!G71</f>
        <v>0.666856699123512</v>
      </c>
      <c r="D1107" s="2" t="n">
        <f aca="false">Schedule!L71</f>
        <v>0.999217896321951</v>
      </c>
      <c r="E1107" s="2" t="n">
        <f aca="false">Schedule!Q71</f>
        <v>0.398878901347056</v>
      </c>
      <c r="F1107" s="2" t="n">
        <f aca="false">Schedule!V71</f>
        <v>0.586577601141551</v>
      </c>
      <c r="G1107" s="2" t="n">
        <f aca="false">Schedule!AA71</f>
        <v>0.729896500998765</v>
      </c>
      <c r="H1107" s="2" t="n">
        <f aca="false">Schedule!AF71</f>
        <v>0.678138598836346</v>
      </c>
      <c r="I1107" s="2" t="n">
        <f aca="false">Schedule!AK71</f>
        <v>0.973273928296034</v>
      </c>
      <c r="J1107" s="2" t="n">
        <f aca="false">Schedule!AP71</f>
        <v>0.719464013173768</v>
      </c>
      <c r="K1107" s="2" t="n">
        <f aca="false">Schedule!AU71</f>
        <v>0.725746882249927</v>
      </c>
      <c r="L1107" s="2" t="n">
        <f aca="false">Schedule!AZ71</f>
        <v>0.860207038932886</v>
      </c>
      <c r="M1107" s="2" t="n">
        <f aca="false">Schedule!BE71</f>
        <v>0.702377225633592</v>
      </c>
      <c r="N1107" s="2" t="n">
        <f aca="false">Schedule!BJ71</f>
        <v>0.845839165719646</v>
      </c>
      <c r="O1107" s="2" t="n">
        <f aca="false">Schedule!BO71</f>
        <v>0</v>
      </c>
    </row>
    <row r="1108" customFormat="false" ht="15" hidden="false" customHeight="false" outlineLevel="0" collapsed="false">
      <c r="B1108" s="2" t="n">
        <v>0</v>
      </c>
      <c r="C1108" s="2" t="n">
        <f aca="false">1-C$1107</f>
        <v>0.333143300876488</v>
      </c>
      <c r="D1108" s="2" t="n">
        <f aca="false">C1108*(1-D$1107)</f>
        <v>0.000260552600932844</v>
      </c>
      <c r="E1108" s="2" t="n">
        <f aca="false">D1108*(1-E$1107)</f>
        <v>0.000156623665729633</v>
      </c>
      <c r="F1108" s="2" t="n">
        <f aca="false">E1108*(1-F$1107)</f>
        <v>6.47517316039488E-005</v>
      </c>
      <c r="G1108" s="2" t="n">
        <f aca="false">F1108*(1-G$1107)</f>
        <v>1.74896692726154E-005</v>
      </c>
      <c r="H1108" s="2" t="n">
        <f aca="false">G1108*(1-H$1107)</f>
        <v>5.62924945797291E-006</v>
      </c>
      <c r="I1108" s="2" t="n">
        <f aca="false">H1108*(1-I$1107)</f>
        <v>1.50447724653298E-007</v>
      </c>
      <c r="J1108" s="2" t="n">
        <f aca="false">I1108*(1-J$1107)</f>
        <v>4.22060009013741E-008</v>
      </c>
      <c r="K1108" s="2" t="n">
        <f aca="false">J1108*(1-K$1107)</f>
        <v>1.15751273349643E-008</v>
      </c>
      <c r="L1108" s="2" t="n">
        <f aca="false">K1108*(1-L$1107)</f>
        <v>1.61812132488354E-009</v>
      </c>
      <c r="M1108" s="2" t="n">
        <f aca="false">L1108*(1-M$1107)</f>
        <v>4.81589757973287E-010</v>
      </c>
      <c r="N1108" s="2" t="n">
        <f aca="false">M1108*(1-N$1107)</f>
        <v>7.42422788700356E-011</v>
      </c>
      <c r="O1108" s="2" t="n">
        <f aca="false">N1108*(1-O$1107)</f>
        <v>7.42422788700356E-011</v>
      </c>
    </row>
    <row r="1109" customFormat="false" ht="15" hidden="false" customHeight="false" outlineLevel="0" collapsed="false">
      <c r="B1109" s="2" t="n">
        <v>1</v>
      </c>
      <c r="C1109" s="2" t="n">
        <f aca="false">C$1107</f>
        <v>0.666856699123512</v>
      </c>
      <c r="D1109" s="2" t="n">
        <f aca="false">C1109*(1-D$1107)+C1108*D$1107</f>
        <v>0.333404299352671</v>
      </c>
      <c r="E1109" s="2" t="n">
        <f aca="false">D1109*(1-E$1107)+D1108*E$1107</f>
        <v>0.200520287657696</v>
      </c>
      <c r="F1109" s="2" t="n">
        <f aca="false">E1109*(1-F$1107)+E1108*F$1107</f>
        <v>0.0829914502773567</v>
      </c>
      <c r="G1109" s="2" t="n">
        <f aca="false">F1109*(1-G$1107)+F1108*G$1107</f>
        <v>0.0224635431694324</v>
      </c>
      <c r="H1109" s="2" t="n">
        <f aca="false">G1109*(1-H$1107)+G1108*H$1107</f>
        <v>0.00724200789942839</v>
      </c>
      <c r="I1109" s="2" t="n">
        <f aca="false">H1109*(1-I$1107)+H1108*I$1107</f>
        <v>0.000199029224134133</v>
      </c>
      <c r="J1109" s="2" t="n">
        <f aca="false">I1109*(1-J$1107)+I1108*J$1107</f>
        <v>5.59431015234803E-005</v>
      </c>
      <c r="K1109" s="2" t="n">
        <f aca="false">J1109*(1-K$1107)+J1108*K$1107</f>
        <v>1.53732008829898E-005</v>
      </c>
      <c r="L1109" s="2" t="n">
        <f aca="false">K1109*(1-L$1107)+K1108*L$1107</f>
        <v>2.15902227852279E-006</v>
      </c>
      <c r="M1109" s="2" t="n">
        <f aca="false">L1109*(1-M$1107)+L1108*M$1107</f>
        <v>6.43710732019745E-007</v>
      </c>
      <c r="N1109" s="2" t="n">
        <f aca="false">M1109*(1-N$1107)+M1108*N$1107</f>
        <v>9.96423309624844E-008</v>
      </c>
      <c r="O1109" s="2" t="n">
        <f aca="false">N1109*(1-O$1107)+N1108*O$1107</f>
        <v>9.96423309624844E-008</v>
      </c>
    </row>
    <row r="1110" customFormat="false" ht="15" hidden="false" customHeight="false" outlineLevel="0" collapsed="false">
      <c r="B1110" s="2" t="n">
        <v>2</v>
      </c>
      <c r="C1110" s="2" t="n">
        <f aca="false">0</f>
        <v>0</v>
      </c>
      <c r="D1110" s="2" t="n">
        <f aca="false">C1110*(1-D$1107)+C1109*D$1107</f>
        <v>0.666335148046396</v>
      </c>
      <c r="E1110" s="2" t="n">
        <f aca="false">D1110*(1-E$1107)+D1109*E$1107</f>
        <v>0.5335360568949</v>
      </c>
      <c r="F1110" s="2" t="n">
        <f aca="false">E1110*(1-F$1107)+E1109*F$1107</f>
        <v>0.338196465833433</v>
      </c>
      <c r="G1110" s="2" t="n">
        <f aca="false">F1110*(1-G$1107)+F1109*G$1107</f>
        <v>0.151923217941717</v>
      </c>
      <c r="H1110" s="2" t="n">
        <f aca="false">G1110*(1-H$1107)+G1109*H$1107</f>
        <v>0.064131615485831</v>
      </c>
      <c r="I1110" s="2" t="n">
        <f aca="false">H1110*(1-I$1107)+H1109*I$1107</f>
        <v>0.00876244363099309</v>
      </c>
      <c r="J1110" s="2" t="n">
        <f aca="false">I1110*(1-J$1107)+I1109*J$1107</f>
        <v>0.00260137513536428</v>
      </c>
      <c r="K1110" s="2" t="n">
        <f aca="false">J1110*(1-K$1107)+J1109*K$1107</f>
        <v>0.00075403577282523</v>
      </c>
      <c r="L1110" s="2" t="n">
        <f aca="false">K1110*(1-L$1107)+K1109*L$1107</f>
        <v>0.000118633029044245</v>
      </c>
      <c r="M1110" s="2" t="n">
        <f aca="false">L1110*(1-M$1107)+L1109*M$1107</f>
        <v>3.68243393137089E-005</v>
      </c>
      <c r="N1110" s="2" t="n">
        <f aca="false">M1110*(1-N$1107)+M1109*N$1107</f>
        <v>6.22134661896056E-006</v>
      </c>
      <c r="O1110" s="2" t="n">
        <f aca="false">N1110*(1-O$1107)+N1109*O$1107</f>
        <v>6.22134661896056E-006</v>
      </c>
    </row>
    <row r="1111" customFormat="false" ht="15" hidden="false" customHeight="false" outlineLevel="0" collapsed="false">
      <c r="B1111" s="2" t="n">
        <v>3</v>
      </c>
      <c r="C1111" s="2" t="n">
        <f aca="false">0</f>
        <v>0</v>
      </c>
      <c r="D1111" s="2" t="n">
        <f aca="false">C1111*(1-D$1107)+C1110*D$1107</f>
        <v>0</v>
      </c>
      <c r="E1111" s="2" t="n">
        <f aca="false">D1111*(1-E$1107)+D1110*E$1107</f>
        <v>0.265787031781674</v>
      </c>
      <c r="F1111" s="2" t="n">
        <f aca="false">E1111*(1-F$1107)+E1110*F$1107</f>
        <v>0.422842612640579</v>
      </c>
      <c r="G1111" s="2" t="n">
        <f aca="false">F1111*(1-G$1107)+F1110*G$1107</f>
        <v>0.361059686263015</v>
      </c>
      <c r="H1111" s="2" t="n">
        <f aca="false">G1111*(1-H$1107)+G1110*H$1107</f>
        <v>0.219236174670028</v>
      </c>
      <c r="I1111" s="2" t="n">
        <f aca="false">H1111*(1-I$1107)+H1110*I$1107</f>
        <v>0.0682769510562</v>
      </c>
      <c r="J1111" s="2" t="n">
        <f aca="false">I1111*(1-J$1107)+I1110*J$1107</f>
        <v>0.0254584047020006</v>
      </c>
      <c r="K1111" s="2" t="n">
        <f aca="false">J1111*(1-K$1107)+J1110*K$1107</f>
        <v>0.0088699867565199</v>
      </c>
      <c r="L1111" s="2" t="n">
        <f aca="false">K1111*(1-L$1107)+K1110*L$1107</f>
        <v>0.00188858859271146</v>
      </c>
      <c r="M1111" s="2" t="n">
        <f aca="false">L1111*(1-M$1107)+L1110*M$1107</f>
        <v>0.000645412114408142</v>
      </c>
      <c r="N1111" s="2" t="n">
        <f aca="false">M1111*(1-N$1107)+M1110*N$1107</f>
        <v>0.000130644738455091</v>
      </c>
      <c r="O1111" s="2" t="n">
        <f aca="false">N1111*(1-O$1107)+N1110*O$1107</f>
        <v>0.000130644738455091</v>
      </c>
    </row>
    <row r="1112" customFormat="false" ht="15" hidden="false" customHeight="false" outlineLevel="0" collapsed="false">
      <c r="B1112" s="2" t="n">
        <v>4</v>
      </c>
      <c r="C1112" s="2" t="n">
        <f aca="false">0</f>
        <v>0</v>
      </c>
      <c r="D1112" s="2" t="n">
        <f aca="false">C1112*(1-D$1107)+C1111*D$1107</f>
        <v>0</v>
      </c>
      <c r="E1112" s="2" t="n">
        <f aca="false">D1112*(1-E$1107)+D1111*E$1107</f>
        <v>0</v>
      </c>
      <c r="F1112" s="2" t="n">
        <f aca="false">E1112*(1-F$1107)+E1111*F$1107</f>
        <v>0.155904719517028</v>
      </c>
      <c r="G1112" s="2" t="n">
        <f aca="false">F1112*(1-G$1107)+F1111*G$1107</f>
        <v>0.35074175369189</v>
      </c>
      <c r="H1112" s="2" t="n">
        <f aca="false">G1112*(1-H$1107)+G1111*H$1107</f>
        <v>0.357738742028561</v>
      </c>
      <c r="I1112" s="2" t="n">
        <f aca="false">H1112*(1-I$1107)+H1111*I$1107</f>
        <v>0.222937804216436</v>
      </c>
      <c r="J1112" s="2" t="n">
        <f aca="false">I1112*(1-J$1107)+I1111*J$1107</f>
        <v>0.111664886120894</v>
      </c>
      <c r="K1112" s="2" t="n">
        <f aca="false">J1112*(1-K$1107)+J1111*K$1107</f>
        <v>0.0491008010013958</v>
      </c>
      <c r="L1112" s="2" t="n">
        <f aca="false">K1112*(1-L$1107)+K1111*L$1107</f>
        <v>0.0144939714059521</v>
      </c>
      <c r="M1112" s="2" t="n">
        <f aca="false">L1112*(1-M$1107)+L1111*M$1107</f>
        <v>0.00564023759753878</v>
      </c>
      <c r="N1112" s="2" t="n">
        <f aca="false">M1112*(1-N$1107)+M1111*N$1107</f>
        <v>0.00141541857797233</v>
      </c>
      <c r="O1112" s="2" t="n">
        <f aca="false">N1112*(1-O$1107)+N1111*O$1107</f>
        <v>0.00141541857797233</v>
      </c>
    </row>
    <row r="1113" customFormat="false" ht="15" hidden="false" customHeight="false" outlineLevel="0" collapsed="false">
      <c r="B1113" s="2" t="n">
        <v>5</v>
      </c>
      <c r="C1113" s="2" t="n">
        <f aca="false">0</f>
        <v>0</v>
      </c>
      <c r="D1113" s="2" t="n">
        <f aca="false">C1113*(1-D$1107)+C1112*D$1107</f>
        <v>0</v>
      </c>
      <c r="E1113" s="2" t="n">
        <f aca="false">D1113*(1-E$1107)+D1112*E$1107</f>
        <v>0</v>
      </c>
      <c r="F1113" s="2" t="n">
        <f aca="false">E1113*(1-F$1107)+E1112*F$1107</f>
        <v>0</v>
      </c>
      <c r="G1113" s="2" t="n">
        <f aca="false">F1113*(1-G$1107)+F1112*G$1107</f>
        <v>0.113794309264672</v>
      </c>
      <c r="H1113" s="2" t="n">
        <f aca="false">G1113*(1-H$1107)+G1112*H$1107</f>
        <v>0.274477517226399</v>
      </c>
      <c r="I1113" s="2" t="n">
        <f aca="false">H1113*(1-I$1107)+H1112*I$1107</f>
        <v>0.355513496564338</v>
      </c>
      <c r="J1113" s="2" t="n">
        <f aca="false">I1113*(1-J$1107)+I1112*J$1107</f>
        <v>0.260130056898426</v>
      </c>
      <c r="K1113" s="2" t="n">
        <f aca="false">J1113*(1-K$1107)+J1112*K$1107</f>
        <v>0.152381922083929</v>
      </c>
      <c r="L1113" s="2" t="n">
        <f aca="false">K1113*(1-L$1107)+K1112*L$1107</f>
        <v>0.0635387747398542</v>
      </c>
      <c r="M1113" s="2" t="n">
        <f aca="false">L1113*(1-M$1107)+L1112*M$1107</f>
        <v>0.0290908218424429</v>
      </c>
      <c r="N1113" s="2" t="n">
        <f aca="false">M1113*(1-N$1107)+M1112*N$1107</f>
        <v>0.00925539922909493</v>
      </c>
      <c r="O1113" s="2" t="n">
        <f aca="false">N1113*(1-O$1107)+N1112*O$1107</f>
        <v>0.00925539922909493</v>
      </c>
    </row>
    <row r="1114" customFormat="false" ht="15" hidden="false" customHeight="false" outlineLevel="0" collapsed="false">
      <c r="B1114" s="2" t="n">
        <v>6</v>
      </c>
      <c r="C1114" s="2" t="n">
        <f aca="false">0</f>
        <v>0</v>
      </c>
      <c r="D1114" s="2" t="n">
        <f aca="false">C1114*(1-D$1107)+C1113*D$1107</f>
        <v>0</v>
      </c>
      <c r="E1114" s="2" t="n">
        <f aca="false">D1114*(1-E$1107)+D1113*E$1107</f>
        <v>0</v>
      </c>
      <c r="F1114" s="2" t="n">
        <f aca="false">E1114*(1-F$1107)+E1113*F$1107</f>
        <v>0</v>
      </c>
      <c r="G1114" s="2" t="n">
        <f aca="false">F1114*(1-G$1107)+F1113*G$1107</f>
        <v>0</v>
      </c>
      <c r="H1114" s="2" t="n">
        <f aca="false">G1114*(1-H$1107)+G1113*H$1107</f>
        <v>0.0771683134402947</v>
      </c>
      <c r="I1114" s="2" t="n">
        <f aca="false">H1114*(1-I$1107)+H1113*I$1107</f>
        <v>0.269204217298159</v>
      </c>
      <c r="J1114" s="2" t="n">
        <f aca="false">I1114*(1-J$1107)+I1113*J$1107</f>
        <v>0.33130063773314</v>
      </c>
      <c r="K1114" s="2" t="n">
        <f aca="false">J1114*(1-K$1107)+J1113*K$1107</f>
        <v>0.27964881058443</v>
      </c>
      <c r="L1114" s="2" t="n">
        <f aca="false">K1114*(1-L$1107)+K1113*L$1107</f>
        <v>0.170172937273212</v>
      </c>
      <c r="M1114" s="2" t="n">
        <f aca="false">L1114*(1-M$1107)+L1113*M$1107</f>
        <v>0.0952755300352707</v>
      </c>
      <c r="N1114" s="2" t="n">
        <f aca="false">M1114*(1-N$1107)+M1113*N$1107</f>
        <v>0.039293911674051</v>
      </c>
      <c r="O1114" s="2" t="n">
        <f aca="false">N1114*(1-O$1107)+N1113*O$1107</f>
        <v>0.039293911674051</v>
      </c>
    </row>
    <row r="1115" customFormat="false" ht="15" hidden="false" customHeight="false" outlineLevel="0" collapsed="false">
      <c r="B1115" s="2" t="n">
        <v>7</v>
      </c>
      <c r="C1115" s="2" t="n">
        <f aca="false">0</f>
        <v>0</v>
      </c>
      <c r="D1115" s="2" t="n">
        <f aca="false">C1115*(1-D$1107)+C1114*D$1107</f>
        <v>0</v>
      </c>
      <c r="E1115" s="2" t="n">
        <f aca="false">D1115*(1-E$1107)+D1114*E$1107</f>
        <v>0</v>
      </c>
      <c r="F1115" s="2" t="n">
        <f aca="false">E1115*(1-F$1107)+E1114*F$1107</f>
        <v>0</v>
      </c>
      <c r="G1115" s="2" t="n">
        <f aca="false">F1115*(1-G$1107)+F1114*G$1107</f>
        <v>0</v>
      </c>
      <c r="H1115" s="2" t="n">
        <f aca="false">G1115*(1-H$1107)+G1114*H$1107</f>
        <v>0</v>
      </c>
      <c r="I1115" s="2" t="n">
        <f aca="false">H1115*(1-I$1107)+H1114*I$1107</f>
        <v>0.0751059075620153</v>
      </c>
      <c r="J1115" s="2" t="n">
        <f aca="false">I1115*(1-J$1107)+I1114*J$1107</f>
        <v>0.214752656435026</v>
      </c>
      <c r="K1115" s="2" t="n">
        <f aca="false">J1115*(1-K$1107)+J1114*K$1107</f>
        <v>0.299336990494655</v>
      </c>
      <c r="L1115" s="2" t="n">
        <f aca="false">K1115*(1-L$1107)+K1114*L$1107</f>
        <v>0.282401079552102</v>
      </c>
      <c r="M1115" s="2" t="n">
        <f aca="false">L1115*(1-M$1107)+L1114*M$1107</f>
        <v>0.203574588340243</v>
      </c>
      <c r="N1115" s="2" t="n">
        <f aca="false">M1115*(1-N$1107)+M1114*N$1107</f>
        <v>0.111971003215342</v>
      </c>
      <c r="O1115" s="2" t="n">
        <f aca="false">N1115*(1-O$1107)+N1114*O$1107</f>
        <v>0.111971003215342</v>
      </c>
    </row>
    <row r="1116" customFormat="false" ht="15" hidden="false" customHeight="false" outlineLevel="0" collapsed="false">
      <c r="B1116" s="2" t="n">
        <v>8</v>
      </c>
      <c r="C1116" s="2" t="n">
        <f aca="false">0</f>
        <v>0</v>
      </c>
      <c r="D1116" s="2" t="n">
        <f aca="false">C1116*(1-D$1107)+C1115*D$1107</f>
        <v>0</v>
      </c>
      <c r="E1116" s="2" t="n">
        <f aca="false">D1116*(1-E$1107)+D1115*E$1107</f>
        <v>0</v>
      </c>
      <c r="F1116" s="2" t="n">
        <f aca="false">E1116*(1-F$1107)+E1115*F$1107</f>
        <v>0</v>
      </c>
      <c r="G1116" s="2" t="n">
        <f aca="false">F1116*(1-G$1107)+F1115*G$1107</f>
        <v>0</v>
      </c>
      <c r="H1116" s="2" t="n">
        <f aca="false">G1116*(1-H$1107)+G1115*H$1107</f>
        <v>0</v>
      </c>
      <c r="I1116" s="2" t="n">
        <f aca="false">H1116*(1-I$1107)+H1115*I$1107</f>
        <v>0</v>
      </c>
      <c r="J1116" s="2" t="n">
        <f aca="false">I1116*(1-J$1107)+I1115*J$1107</f>
        <v>0.0540359976676256</v>
      </c>
      <c r="K1116" s="2" t="n">
        <f aca="false">J1116*(1-K$1107)+J1115*K$1107</f>
        <v>0.170675611693692</v>
      </c>
      <c r="L1116" s="2" t="n">
        <f aca="false">K1116*(1-L$1107)+K1115*L$1107</f>
        <v>0.281351035377091</v>
      </c>
      <c r="M1116" s="2" t="n">
        <f aca="false">L1116*(1-M$1107)+L1115*M$1107</f>
        <v>0.282088562491528</v>
      </c>
      <c r="N1116" s="2" t="n">
        <f aca="false">M1116*(1-N$1107)+M1115*N$1107</f>
        <v>0.215678368098071</v>
      </c>
      <c r="O1116" s="2" t="n">
        <f aca="false">N1116*(1-O$1107)+N1115*O$1107</f>
        <v>0.215678368098071</v>
      </c>
    </row>
    <row r="1117" customFormat="false" ht="15" hidden="false" customHeight="false" outlineLevel="0" collapsed="false">
      <c r="B1117" s="2" t="n">
        <v>9</v>
      </c>
      <c r="C1117" s="2" t="n">
        <f aca="false">0</f>
        <v>0</v>
      </c>
      <c r="D1117" s="2" t="n">
        <f aca="false">C1117*(1-D$1107)+C1116*D$1107</f>
        <v>0</v>
      </c>
      <c r="E1117" s="2" t="n">
        <f aca="false">D1117*(1-E$1107)+D1116*E$1107</f>
        <v>0</v>
      </c>
      <c r="F1117" s="2" t="n">
        <f aca="false">E1117*(1-F$1107)+E1116*F$1107</f>
        <v>0</v>
      </c>
      <c r="G1117" s="2" t="n">
        <f aca="false">F1117*(1-G$1107)+F1116*G$1107</f>
        <v>0</v>
      </c>
      <c r="H1117" s="2" t="n">
        <f aca="false">G1117*(1-H$1107)+G1116*H$1107</f>
        <v>0</v>
      </c>
      <c r="I1117" s="2" t="n">
        <f aca="false">H1117*(1-I$1107)+H1116*I$1107</f>
        <v>0</v>
      </c>
      <c r="J1117" s="2" t="n">
        <f aca="false">I1117*(1-J$1107)+I1116*J$1107</f>
        <v>0</v>
      </c>
      <c r="K1117" s="2" t="n">
        <f aca="false">J1117*(1-K$1107)+J1116*K$1107</f>
        <v>0.0392164568365436</v>
      </c>
      <c r="L1117" s="2" t="n">
        <f aca="false">K1117*(1-L$1107)+K1116*L$1107</f>
        <v>0.152298547176831</v>
      </c>
      <c r="M1117" s="2" t="n">
        <f aca="false">L1117*(1-M$1107)+L1116*M$1107</f>
        <v>0.242942075800041</v>
      </c>
      <c r="N1117" s="2" t="n">
        <f aca="false">M1117*(1-N$1107)+M1116*N$1107</f>
        <v>0.276053707444023</v>
      </c>
      <c r="O1117" s="2" t="n">
        <f aca="false">N1117*(1-O$1107)+N1116*O$1107</f>
        <v>0.276053707444023</v>
      </c>
    </row>
    <row r="1118" customFormat="false" ht="15" hidden="false" customHeight="false" outlineLevel="0" collapsed="false">
      <c r="B1118" s="2" t="n">
        <v>10</v>
      </c>
      <c r="C1118" s="2" t="n">
        <f aca="false">0</f>
        <v>0</v>
      </c>
      <c r="D1118" s="2" t="n">
        <f aca="false">C1118*(1-D$1107)+C1117*D$1107</f>
        <v>0</v>
      </c>
      <c r="E1118" s="2" t="n">
        <f aca="false">D1118*(1-E$1107)+D1117*E$1107</f>
        <v>0</v>
      </c>
      <c r="F1118" s="2" t="n">
        <f aca="false">E1118*(1-F$1107)+E1117*F$1107</f>
        <v>0</v>
      </c>
      <c r="G1118" s="2" t="n">
        <f aca="false">F1118*(1-G$1107)+F1117*G$1107</f>
        <v>0</v>
      </c>
      <c r="H1118" s="2" t="n">
        <f aca="false">G1118*(1-H$1107)+G1117*H$1107</f>
        <v>0</v>
      </c>
      <c r="I1118" s="2" t="n">
        <f aca="false">H1118*(1-I$1107)+H1117*I$1107</f>
        <v>0</v>
      </c>
      <c r="J1118" s="2" t="n">
        <f aca="false">I1118*(1-J$1107)+I1117*J$1107</f>
        <v>0</v>
      </c>
      <c r="K1118" s="2" t="n">
        <f aca="false">J1118*(1-K$1107)+J1117*K$1107</f>
        <v>0</v>
      </c>
      <c r="L1118" s="2" t="n">
        <f aca="false">K1118*(1-L$1107)+K1117*L$1107</f>
        <v>0.0337342722128025</v>
      </c>
      <c r="M1118" s="2" t="n">
        <f aca="false">L1118*(1-M$1107)+L1117*M$1107</f>
        <v>0.117011118721295</v>
      </c>
      <c r="N1118" s="2" t="n">
        <f aca="false">M1118*(1-N$1107)+M1117*N$1107</f>
        <v>0.223528454395058</v>
      </c>
      <c r="O1118" s="2" t="n">
        <f aca="false">N1118*(1-O$1107)+N1117*O$1107</f>
        <v>0.223528454395058</v>
      </c>
    </row>
    <row r="1119" customFormat="false" ht="15" hidden="false" customHeight="false" outlineLevel="0" collapsed="false">
      <c r="B1119" s="2" t="n">
        <v>11</v>
      </c>
      <c r="C1119" s="2" t="n">
        <f aca="false">0</f>
        <v>0</v>
      </c>
      <c r="D1119" s="2" t="n">
        <f aca="false">C1119*(1-D$1107)+C1118*D$1107</f>
        <v>0</v>
      </c>
      <c r="E1119" s="2" t="n">
        <f aca="false">D1119*(1-E$1107)+D1118*E$1107</f>
        <v>0</v>
      </c>
      <c r="F1119" s="2" t="n">
        <f aca="false">E1119*(1-F$1107)+E1118*F$1107</f>
        <v>0</v>
      </c>
      <c r="G1119" s="2" t="n">
        <f aca="false">F1119*(1-G$1107)+F1118*G$1107</f>
        <v>0</v>
      </c>
      <c r="H1119" s="2" t="n">
        <f aca="false">G1119*(1-H$1107)+G1118*H$1107</f>
        <v>0</v>
      </c>
      <c r="I1119" s="2" t="n">
        <f aca="false">H1119*(1-I$1107)+H1118*I$1107</f>
        <v>0</v>
      </c>
      <c r="J1119" s="2" t="n">
        <f aca="false">I1119*(1-J$1107)+I1118*J$1107</f>
        <v>0</v>
      </c>
      <c r="K1119" s="2" t="n">
        <f aca="false">J1119*(1-K$1107)+J1118*K$1107</f>
        <v>0</v>
      </c>
      <c r="L1119" s="2" t="n">
        <f aca="false">K1119*(1-L$1107)+K1118*L$1107</f>
        <v>0</v>
      </c>
      <c r="M1119" s="2" t="n">
        <f aca="false">L1119*(1-M$1107)+L1118*M$1107</f>
        <v>0.0236941845255966</v>
      </c>
      <c r="N1119" s="2" t="n">
        <f aca="false">M1119*(1-N$1107)+M1118*N$1107</f>
        <v>0.102625302293201</v>
      </c>
      <c r="O1119" s="2" t="n">
        <f aca="false">N1119*(1-O$1107)+N1118*O$1107</f>
        <v>0.102625302293201</v>
      </c>
    </row>
    <row r="1120" customFormat="false" ht="15" hidden="false" customHeight="false" outlineLevel="0" collapsed="false">
      <c r="B1120" s="2" t="n">
        <v>12</v>
      </c>
      <c r="C1120" s="2" t="n">
        <f aca="false">0</f>
        <v>0</v>
      </c>
      <c r="D1120" s="2" t="n">
        <f aca="false">C1120*(1-D$1107)+C1119*D$1107</f>
        <v>0</v>
      </c>
      <c r="E1120" s="2" t="n">
        <f aca="false">D1120*(1-E$1107)+D1119*E$1107</f>
        <v>0</v>
      </c>
      <c r="F1120" s="2" t="n">
        <f aca="false">E1120*(1-F$1107)+E1119*F$1107</f>
        <v>0</v>
      </c>
      <c r="G1120" s="2" t="n">
        <f aca="false">F1120*(1-G$1107)+F1119*G$1107</f>
        <v>0</v>
      </c>
      <c r="H1120" s="2" t="n">
        <f aca="false">G1120*(1-H$1107)+G1119*H$1107</f>
        <v>0</v>
      </c>
      <c r="I1120" s="2" t="n">
        <f aca="false">H1120*(1-I$1107)+H1119*I$1107</f>
        <v>0</v>
      </c>
      <c r="J1120" s="2" t="n">
        <f aca="false">I1120*(1-J$1107)+I1119*J$1107</f>
        <v>0</v>
      </c>
      <c r="K1120" s="2" t="n">
        <f aca="false">J1120*(1-K$1107)+J1119*K$1107</f>
        <v>0</v>
      </c>
      <c r="L1120" s="2" t="n">
        <f aca="false">K1120*(1-L$1107)+K1119*L$1107</f>
        <v>0</v>
      </c>
      <c r="M1120" s="2" t="n">
        <f aca="false">L1120*(1-M$1107)+L1119*M$1107</f>
        <v>0</v>
      </c>
      <c r="N1120" s="2" t="n">
        <f aca="false">M1120*(1-N$1107)+M1119*N$1107</f>
        <v>0.020041469271538</v>
      </c>
      <c r="O1120" s="2" t="n">
        <f aca="false">N1120*(1-O$1107)+N1119*O$1107</f>
        <v>0.020041469271538</v>
      </c>
    </row>
    <row r="1121" customFormat="false" ht="15" hidden="false" customHeight="false" outlineLevel="0" collapsed="false">
      <c r="B1121" s="2" t="n">
        <v>13</v>
      </c>
      <c r="C1121" s="2" t="n">
        <f aca="false">0</f>
        <v>0</v>
      </c>
      <c r="D1121" s="2" t="n">
        <f aca="false">C1121*(1-D$1107)+C1120*D$1107</f>
        <v>0</v>
      </c>
      <c r="E1121" s="2" t="n">
        <f aca="false">D1121*(1-E$1107)+D1120*E$1107</f>
        <v>0</v>
      </c>
      <c r="F1121" s="2" t="n">
        <f aca="false">E1121*(1-F$1107)+E1120*F$1107</f>
        <v>0</v>
      </c>
      <c r="G1121" s="2" t="n">
        <f aca="false">F1121*(1-G$1107)+F1120*G$1107</f>
        <v>0</v>
      </c>
      <c r="H1121" s="2" t="n">
        <f aca="false">G1121*(1-H$1107)+G1120*H$1107</f>
        <v>0</v>
      </c>
      <c r="I1121" s="2" t="n">
        <f aca="false">H1121*(1-I$1107)+H1120*I$1107</f>
        <v>0</v>
      </c>
      <c r="J1121" s="2" t="n">
        <f aca="false">I1121*(1-J$1107)+I1120*J$1107</f>
        <v>0</v>
      </c>
      <c r="K1121" s="2" t="n">
        <f aca="false">J1121*(1-K$1107)+J1120*K$1107</f>
        <v>0</v>
      </c>
      <c r="L1121" s="2" t="n">
        <f aca="false">K1121*(1-L$1107)+K1120*L$1107</f>
        <v>0</v>
      </c>
      <c r="M1121" s="2" t="n">
        <f aca="false">L1121*(1-M$1107)+L1120*M$1107</f>
        <v>0</v>
      </c>
      <c r="N1121" s="2" t="n">
        <f aca="false">M1121*(1-N$1107)+M1120*N$1107</f>
        <v>0</v>
      </c>
      <c r="O1121" s="2" t="n">
        <f aca="false">N1121*(1-O$1107)+N1120*O$1107</f>
        <v>0</v>
      </c>
    </row>
    <row r="1123" customFormat="false" ht="15" hidden="false" customHeight="false" outlineLevel="0" collapsed="false">
      <c r="A1123" s="1" t="s">
        <v>128</v>
      </c>
      <c r="C1123" s="2" t="n">
        <f aca="false">Schedule!G72</f>
        <v>0.994215085535176</v>
      </c>
      <c r="D1123" s="2" t="n">
        <f aca="false">Schedule!L72</f>
        <v>0.462653875444673</v>
      </c>
      <c r="E1123" s="2" t="n">
        <f aca="false">Schedule!Q72</f>
        <v>0.0494714680336481</v>
      </c>
      <c r="F1123" s="2" t="n">
        <f aca="false">Schedule!V72</f>
        <v>0.791747606711891</v>
      </c>
      <c r="G1123" s="2" t="n">
        <f aca="false">Schedule!AA72</f>
        <v>0.767686767612093</v>
      </c>
      <c r="H1123" s="2" t="n">
        <f aca="false">Schedule!AF72</f>
        <v>0.576814180380971</v>
      </c>
      <c r="I1123" s="2" t="n">
        <f aca="false">Schedule!AK72</f>
        <v>0.504986648644038</v>
      </c>
      <c r="J1123" s="2" t="n">
        <f aca="false">Schedule!AP72</f>
        <v>0.51744815844579</v>
      </c>
      <c r="K1123" s="2" t="n">
        <f aca="false">Schedule!AU72</f>
        <v>0.562082016808295</v>
      </c>
      <c r="L1123" s="2" t="n">
        <f aca="false">Schedule!AZ72</f>
        <v>0.791747606711891</v>
      </c>
      <c r="M1123" s="2" t="n">
        <f aca="false">Schedule!BE72</f>
        <v>0.807508056658567</v>
      </c>
      <c r="N1123" s="2" t="n">
        <f aca="false">Schedule!BJ72</f>
        <v>0.680375828482882</v>
      </c>
      <c r="O1123" s="2" t="n">
        <f aca="false">Schedule!BO72</f>
        <v>0</v>
      </c>
    </row>
    <row r="1124" customFormat="false" ht="15" hidden="false" customHeight="false" outlineLevel="0" collapsed="false">
      <c r="B1124" s="2" t="n">
        <v>0</v>
      </c>
      <c r="C1124" s="2" t="n">
        <f aca="false">1-C$1123</f>
        <v>0.00578491446482443</v>
      </c>
      <c r="D1124" s="2" t="n">
        <f aca="false">C1124*(1-D$1123)</f>
        <v>0.00310850136855746</v>
      </c>
      <c r="E1124" s="2" t="n">
        <f aca="false">D1124*(1-E$1123)</f>
        <v>0.00295471924247032</v>
      </c>
      <c r="F1124" s="2" t="n">
        <f aca="false">E1124*(1-F$1123)</f>
        <v>0.000615327353738872</v>
      </c>
      <c r="G1124" s="2" t="n">
        <f aca="false">F1124*(1-G$1123)</f>
        <v>0.000142948686523774</v>
      </c>
      <c r="H1124" s="2" t="n">
        <f aca="false">G1124*(1-H$1123)</f>
        <v>6.04938570700271E-005</v>
      </c>
      <c r="I1124" s="2" t="n">
        <f aca="false">H1124*(1-I$1123)</f>
        <v>2.99452669246827E-005</v>
      </c>
      <c r="J1124" s="2" t="n">
        <f aca="false">I1124*(1-J$1123)</f>
        <v>1.4450143700338E-005</v>
      </c>
      <c r="K1124" s="2" t="n">
        <f aca="false">J1124*(1-K$1123)</f>
        <v>6.32797778608234E-006</v>
      </c>
      <c r="L1124" s="2" t="n">
        <f aca="false">K1124*(1-L$1123)</f>
        <v>1.31781651862564E-006</v>
      </c>
      <c r="M1124" s="2" t="n">
        <f aca="false">L1124*(1-M$1123)</f>
        <v>2.53669062637691E-007</v>
      </c>
      <c r="N1124" s="2" t="n">
        <f aca="false">M1124*(1-N$1123)</f>
        <v>8.10787639850958E-008</v>
      </c>
      <c r="O1124" s="2" t="n">
        <f aca="false">N1124*(1-O$1123)</f>
        <v>8.10787639850958E-008</v>
      </c>
    </row>
    <row r="1125" customFormat="false" ht="15" hidden="false" customHeight="false" outlineLevel="0" collapsed="false">
      <c r="B1125" s="2" t="n">
        <v>1</v>
      </c>
      <c r="C1125" s="2" t="n">
        <f aca="false">C$1123</f>
        <v>0.994215085535176</v>
      </c>
      <c r="D1125" s="2" t="n">
        <f aca="false">C1125*(1-D$1123)+C1124*D$1123</f>
        <v>0.536914036283036</v>
      </c>
      <c r="E1125" s="2" t="n">
        <f aca="false">D1125*(1-E$1123)+D1124*E$1123</f>
        <v>0.51050589282633</v>
      </c>
      <c r="F1125" s="2" t="n">
        <f aca="false">E1125*(1-F$1123)+E1124*F$1123</f>
        <v>0.108653465857498</v>
      </c>
      <c r="G1125" s="2" t="n">
        <f aca="false">F1125*(1-G$1123)+F1124*G$1123</f>
        <v>0.0257140165307194</v>
      </c>
      <c r="H1125" s="2" t="n">
        <f aca="false">G1125*(1-H$1123)+G1124*H$1123</f>
        <v>0.0109642619907035</v>
      </c>
      <c r="I1125" s="2" t="n">
        <f aca="false">H1125*(1-I$1123)+H1124*I$1123</f>
        <v>0.00545800466330828</v>
      </c>
      <c r="J1125" s="2" t="n">
        <f aca="false">I1125*(1-J$1123)+I1124*J$1123</f>
        <v>0.00264926532471522</v>
      </c>
      <c r="K1125" s="2" t="n">
        <f aca="false">J1125*(1-K$1123)+J1124*K$1123</f>
        <v>0.00116828309385326</v>
      </c>
      <c r="L1125" s="2" t="n">
        <f aca="false">K1125*(1-L$1123)+K1124*L$1123</f>
        <v>0.000248307911600435</v>
      </c>
      <c r="M1125" s="2" t="n">
        <f aca="false">L1125*(1-M$1123)+L1124*M$1123</f>
        <v>4.88614199070086E-005</v>
      </c>
      <c r="N1125" s="2" t="n">
        <f aca="false">M1125*(1-N$1123)+M1124*N$1123</f>
        <v>1.57898811555802E-005</v>
      </c>
      <c r="O1125" s="2" t="n">
        <f aca="false">N1125*(1-O$1123)+N1124*O$1123</f>
        <v>1.57898811555802E-005</v>
      </c>
    </row>
    <row r="1126" customFormat="false" ht="15" hidden="false" customHeight="false" outlineLevel="0" collapsed="false">
      <c r="B1126" s="2" t="n">
        <v>2</v>
      </c>
      <c r="C1126" s="2" t="n">
        <f aca="false">0</f>
        <v>0</v>
      </c>
      <c r="D1126" s="2" t="n">
        <f aca="false">C1126*(1-D$1123)+C1125*D$1123</f>
        <v>0.459977462348406</v>
      </c>
      <c r="E1126" s="2" t="n">
        <f aca="false">D1126*(1-E$1123)+D1125*E$1123</f>
        <v>0.463783627606432</v>
      </c>
      <c r="F1126" s="2" t="n">
        <f aca="false">E1126*(1-F$1123)+E1125*F$1123</f>
        <v>0.500775869274445</v>
      </c>
      <c r="G1126" s="2" t="n">
        <f aca="false">F1126*(1-G$1123)+F1125*G$1123</f>
        <v>0.199748688887003</v>
      </c>
      <c r="H1126" s="2" t="n">
        <f aca="false">G1126*(1-H$1123)+G1125*H$1123</f>
        <v>0.0993630219939427</v>
      </c>
      <c r="I1126" s="2" t="n">
        <f aca="false">H1126*(1-I$1123)+H1125*I$1123</f>
        <v>0.0547228284356183</v>
      </c>
      <c r="J1126" s="2" t="n">
        <f aca="false">I1126*(1-J$1123)+I1125*J$1123</f>
        <v>0.0292308360984801</v>
      </c>
      <c r="K1126" s="2" t="n">
        <f aca="false">J1126*(1-K$1123)+J1125*K$1123</f>
        <v>0.0142898131880299</v>
      </c>
      <c r="L1126" s="2" t="n">
        <f aca="false">K1126*(1-L$1123)+K1125*L$1123</f>
        <v>0.00390087313956749</v>
      </c>
      <c r="M1126" s="2" t="n">
        <f aca="false">L1126*(1-M$1123)+L1125*M$1123</f>
        <v>0.00095139729051316</v>
      </c>
      <c r="N1126" s="2" t="n">
        <f aca="false">M1126*(1-N$1123)+M1125*N$1123</f>
        <v>0.00033733369981398</v>
      </c>
      <c r="O1126" s="2" t="n">
        <f aca="false">N1126*(1-O$1123)+N1125*O$1123</f>
        <v>0.00033733369981398</v>
      </c>
    </row>
    <row r="1127" customFormat="false" ht="15" hidden="false" customHeight="false" outlineLevel="0" collapsed="false">
      <c r="B1127" s="2" t="n">
        <v>3</v>
      </c>
      <c r="C1127" s="2" t="n">
        <f aca="false">0</f>
        <v>0</v>
      </c>
      <c r="D1127" s="2" t="n">
        <f aca="false">C1127*(1-D$1123)+C1126*D$1123</f>
        <v>0</v>
      </c>
      <c r="E1127" s="2" t="n">
        <f aca="false">D1127*(1-E$1123)+D1126*E$1123</f>
        <v>0.0227557603247677</v>
      </c>
      <c r="F1127" s="2" t="n">
        <f aca="false">E1127*(1-F$1123)+E1126*F$1123</f>
        <v>0.371938518738275</v>
      </c>
      <c r="G1127" s="2" t="n">
        <f aca="false">F1127*(1-G$1123)+F1126*G$1123</f>
        <v>0.470845247919093</v>
      </c>
      <c r="H1127" s="2" t="n">
        <f aca="false">G1127*(1-H$1123)+G1126*H$1123</f>
        <v>0.314472908416897</v>
      </c>
      <c r="I1127" s="2" t="n">
        <f aca="false">H1127*(1-I$1123)+H1126*I$1123</f>
        <v>0.20584528778197</v>
      </c>
      <c r="J1127" s="2" t="n">
        <f aca="false">I1127*(1-J$1123)+I1126*J$1123</f>
        <v>0.127647249493401</v>
      </c>
      <c r="K1127" s="2" t="n">
        <f aca="false">J1127*(1-K$1123)+J1126*K$1123</f>
        <v>0.0723291533653451</v>
      </c>
      <c r="L1127" s="2" t="n">
        <f aca="false">K1127*(1-L$1123)+K1126*L$1123</f>
        <v>0.0263766446848185</v>
      </c>
      <c r="M1127" s="2" t="n">
        <f aca="false">L1127*(1-M$1123)+L1126*M$1123</f>
        <v>0.00822727808241095</v>
      </c>
      <c r="N1127" s="2" t="n">
        <f aca="false">M1127*(1-N$1123)+M1126*N$1123</f>
        <v>0.0032769446606808</v>
      </c>
      <c r="O1127" s="2" t="n">
        <f aca="false">N1127*(1-O$1123)+N1126*O$1123</f>
        <v>0.0032769446606808</v>
      </c>
    </row>
    <row r="1128" customFormat="false" ht="15" hidden="false" customHeight="false" outlineLevel="0" collapsed="false">
      <c r="B1128" s="2" t="n">
        <v>4</v>
      </c>
      <c r="C1128" s="2" t="n">
        <f aca="false">0</f>
        <v>0</v>
      </c>
      <c r="D1128" s="2" t="n">
        <f aca="false">C1128*(1-D$1123)+C1127*D$1123</f>
        <v>0</v>
      </c>
      <c r="E1128" s="2" t="n">
        <f aca="false">D1128*(1-E$1123)+D1127*E$1123</f>
        <v>0</v>
      </c>
      <c r="F1128" s="2" t="n">
        <f aca="false">E1128*(1-F$1123)+E1127*F$1123</f>
        <v>0.0180168187760443</v>
      </c>
      <c r="G1128" s="2" t="n">
        <f aca="false">F1128*(1-G$1123)+F1127*G$1123</f>
        <v>0.289717824607826</v>
      </c>
      <c r="H1128" s="2" t="n">
        <f aca="false">G1128*(1-H$1123)+G1127*H$1123</f>
        <v>0.394194690829632</v>
      </c>
      <c r="I1128" s="2" t="n">
        <f aca="false">H1128*(1-I$1123)+H1127*I$1123</f>
        <v>0.353936255105095</v>
      </c>
      <c r="J1128" s="2" t="n">
        <f aca="false">I1128*(1-J$1123)+I1127*J$1123</f>
        <v>0.277306856781288</v>
      </c>
      <c r="K1128" s="2" t="n">
        <f aca="false">J1128*(1-K$1123)+J1127*K$1123</f>
        <v>0.193185882882175</v>
      </c>
      <c r="L1128" s="2" t="n">
        <f aca="false">K1128*(1-L$1123)+K1127*L$1123</f>
        <v>0.0974978565321986</v>
      </c>
      <c r="M1128" s="2" t="n">
        <f aca="false">L1128*(1-M$1123)+L1127*M$1123</f>
        <v>0.0400669049661185</v>
      </c>
      <c r="N1128" s="2" t="n">
        <f aca="false">M1128*(1-N$1123)+M1127*N$1123</f>
        <v>0.0184039924465301</v>
      </c>
      <c r="O1128" s="2" t="n">
        <f aca="false">N1128*(1-O$1123)+N1127*O$1123</f>
        <v>0.0184039924465301</v>
      </c>
    </row>
    <row r="1129" customFormat="false" ht="15" hidden="false" customHeight="false" outlineLevel="0" collapsed="false">
      <c r="B1129" s="2" t="n">
        <v>5</v>
      </c>
      <c r="C1129" s="2" t="n">
        <f aca="false">0</f>
        <v>0</v>
      </c>
      <c r="D1129" s="2" t="n">
        <f aca="false">C1129*(1-D$1123)+C1128*D$1123</f>
        <v>0</v>
      </c>
      <c r="E1129" s="2" t="n">
        <f aca="false">D1129*(1-E$1123)+D1128*E$1123</f>
        <v>0</v>
      </c>
      <c r="F1129" s="2" t="n">
        <f aca="false">E1129*(1-F$1123)+E1128*F$1123</f>
        <v>0</v>
      </c>
      <c r="G1129" s="2" t="n">
        <f aca="false">F1129*(1-G$1123)+F1128*G$1123</f>
        <v>0.0138312733688343</v>
      </c>
      <c r="H1129" s="2" t="n">
        <f aca="false">G1129*(1-H$1123)+G1128*H$1123</f>
        <v>0.172966548299886</v>
      </c>
      <c r="I1129" s="2" t="n">
        <f aca="false">H1129*(1-I$1123)+H1128*I$1123</f>
        <v>0.284683806581728</v>
      </c>
      <c r="J1129" s="2" t="n">
        <f aca="false">I1129*(1-J$1123)+I1128*J$1123</f>
        <v>0.320518358538006</v>
      </c>
      <c r="K1129" s="2" t="n">
        <f aca="false">J1129*(1-K$1123)+J1128*K$1123</f>
        <v>0.296229950481275</v>
      </c>
      <c r="L1129" s="2" t="n">
        <f aca="false">K1129*(1-L$1123)+K1128*L$1123</f>
        <v>0.21464505657383</v>
      </c>
      <c r="M1129" s="2" t="n">
        <f aca="false">L1129*(1-M$1123)+L1128*M$1123</f>
        <v>0.12004774872522</v>
      </c>
      <c r="N1129" s="2" t="n">
        <f aca="false">M1129*(1-N$1123)+M1128*N$1123</f>
        <v>0.0656307158898613</v>
      </c>
      <c r="O1129" s="2" t="n">
        <f aca="false">N1129*(1-O$1123)+N1128*O$1123</f>
        <v>0.0656307158898613</v>
      </c>
    </row>
    <row r="1130" customFormat="false" ht="15" hidden="false" customHeight="false" outlineLevel="0" collapsed="false">
      <c r="B1130" s="2" t="n">
        <v>6</v>
      </c>
      <c r="C1130" s="2" t="n">
        <f aca="false">0</f>
        <v>0</v>
      </c>
      <c r="D1130" s="2" t="n">
        <f aca="false">C1130*(1-D$1123)+C1129*D$1123</f>
        <v>0</v>
      </c>
      <c r="E1130" s="2" t="n">
        <f aca="false">D1130*(1-E$1123)+D1129*E$1123</f>
        <v>0</v>
      </c>
      <c r="F1130" s="2" t="n">
        <f aca="false">E1130*(1-F$1123)+E1129*F$1123</f>
        <v>0</v>
      </c>
      <c r="G1130" s="2" t="n">
        <f aca="false">F1130*(1-G$1123)+F1129*G$1123</f>
        <v>0</v>
      </c>
      <c r="H1130" s="2" t="n">
        <f aca="false">G1130*(1-H$1123)+G1129*H$1123</f>
        <v>0.0079780746118693</v>
      </c>
      <c r="I1130" s="2" t="n">
        <f aca="false">H1130*(1-I$1123)+H1129*I$1123</f>
        <v>0.0912950510044759</v>
      </c>
      <c r="J1130" s="2" t="n">
        <f aca="false">I1130*(1-J$1123)+I1129*J$1123</f>
        <v>0.191363706442048</v>
      </c>
      <c r="K1130" s="2" t="n">
        <f aca="false">J1130*(1-K$1123)+J1129*K$1123</f>
        <v>0.263959213772318</v>
      </c>
      <c r="L1130" s="2" t="n">
        <f aca="false">K1130*(1-L$1123)+K1129*L$1123</f>
        <v>0.289509492328464</v>
      </c>
      <c r="M1130" s="2" t="n">
        <f aca="false">L1130*(1-M$1123)+L1129*M$1123</f>
        <v>0.229055857299399</v>
      </c>
      <c r="N1130" s="2" t="n">
        <f aca="false">M1130*(1-N$1123)+M1129*N$1123</f>
        <v>0.15488937511689</v>
      </c>
      <c r="O1130" s="2" t="n">
        <f aca="false">N1130*(1-O$1123)+N1129*O$1123</f>
        <v>0.15488937511689</v>
      </c>
    </row>
    <row r="1131" customFormat="false" ht="15" hidden="false" customHeight="false" outlineLevel="0" collapsed="false">
      <c r="B1131" s="2" t="n">
        <v>7</v>
      </c>
      <c r="C1131" s="2" t="n">
        <f aca="false">0</f>
        <v>0</v>
      </c>
      <c r="D1131" s="2" t="n">
        <f aca="false">C1131*(1-D$1123)+C1130*D$1123</f>
        <v>0</v>
      </c>
      <c r="E1131" s="2" t="n">
        <f aca="false">D1131*(1-E$1123)+D1130*E$1123</f>
        <v>0</v>
      </c>
      <c r="F1131" s="2" t="n">
        <f aca="false">E1131*(1-F$1123)+E1130*F$1123</f>
        <v>0</v>
      </c>
      <c r="G1131" s="2" t="n">
        <f aca="false">F1131*(1-G$1123)+F1130*G$1123</f>
        <v>0</v>
      </c>
      <c r="H1131" s="2" t="n">
        <f aca="false">G1131*(1-H$1123)+G1130*H$1123</f>
        <v>0</v>
      </c>
      <c r="I1131" s="2" t="n">
        <f aca="false">H1131*(1-I$1123)+H1130*I$1123</f>
        <v>0.00402882116087996</v>
      </c>
      <c r="J1131" s="2" t="n">
        <f aca="false">I1131*(1-J$1123)+I1130*J$1123</f>
        <v>0.0491845710879557</v>
      </c>
      <c r="K1131" s="2" t="n">
        <f aca="false">J1131*(1-K$1123)+J1130*K$1123</f>
        <v>0.129100906235843</v>
      </c>
      <c r="L1131" s="2" t="n">
        <f aca="false">K1131*(1-L$1123)+K1130*L$1123</f>
        <v>0.235874648473063</v>
      </c>
      <c r="M1131" s="2" t="n">
        <f aca="false">L1131*(1-M$1123)+L1130*M$1123</f>
        <v>0.279185217003924</v>
      </c>
      <c r="N1131" s="2" t="n">
        <f aca="false">M1131*(1-N$1123)+M1130*N$1123</f>
        <v>0.245078412363641</v>
      </c>
      <c r="O1131" s="2" t="n">
        <f aca="false">N1131*(1-O$1123)+N1130*O$1123</f>
        <v>0.245078412363641</v>
      </c>
    </row>
    <row r="1132" customFormat="false" ht="15" hidden="false" customHeight="false" outlineLevel="0" collapsed="false">
      <c r="B1132" s="2" t="n">
        <v>8</v>
      </c>
      <c r="C1132" s="2" t="n">
        <f aca="false">0</f>
        <v>0</v>
      </c>
      <c r="D1132" s="2" t="n">
        <f aca="false">C1132*(1-D$1123)+C1131*D$1123</f>
        <v>0</v>
      </c>
      <c r="E1132" s="2" t="n">
        <f aca="false">D1132*(1-E$1123)+D1131*E$1123</f>
        <v>0</v>
      </c>
      <c r="F1132" s="2" t="n">
        <f aca="false">E1132*(1-F$1123)+E1131*F$1123</f>
        <v>0</v>
      </c>
      <c r="G1132" s="2" t="n">
        <f aca="false">F1132*(1-G$1123)+F1131*G$1123</f>
        <v>0</v>
      </c>
      <c r="H1132" s="2" t="n">
        <f aca="false">G1132*(1-H$1123)+G1131*H$1123</f>
        <v>0</v>
      </c>
      <c r="I1132" s="2" t="n">
        <f aca="false">H1132*(1-I$1123)+H1131*I$1123</f>
        <v>0</v>
      </c>
      <c r="J1132" s="2" t="n">
        <f aca="false">I1132*(1-J$1123)+I1131*J$1123</f>
        <v>0.00208470609040477</v>
      </c>
      <c r="K1132" s="2" t="n">
        <f aca="false">J1132*(1-K$1123)+J1131*K$1123</f>
        <v>0.0285586931996266</v>
      </c>
      <c r="L1132" s="2" t="n">
        <f aca="false">K1132*(1-L$1123)+K1131*L$1123</f>
        <v>0.108162749744568</v>
      </c>
      <c r="M1132" s="2" t="n">
        <f aca="false">L1132*(1-M$1123)+L1131*M$1123</f>
        <v>0.211291136898991</v>
      </c>
      <c r="N1132" s="2" t="n">
        <f aca="false">M1132*(1-N$1123)+M1131*N$1123</f>
        <v>0.257484627899468</v>
      </c>
      <c r="O1132" s="2" t="n">
        <f aca="false">N1132*(1-O$1123)+N1131*O$1123</f>
        <v>0.257484627899468</v>
      </c>
    </row>
    <row r="1133" customFormat="false" ht="15" hidden="false" customHeight="false" outlineLevel="0" collapsed="false">
      <c r="B1133" s="2" t="n">
        <v>9</v>
      </c>
      <c r="C1133" s="2" t="n">
        <f aca="false">0</f>
        <v>0</v>
      </c>
      <c r="D1133" s="2" t="n">
        <f aca="false">C1133*(1-D$1123)+C1132*D$1123</f>
        <v>0</v>
      </c>
      <c r="E1133" s="2" t="n">
        <f aca="false">D1133*(1-E$1123)+D1132*E$1123</f>
        <v>0</v>
      </c>
      <c r="F1133" s="2" t="n">
        <f aca="false">E1133*(1-F$1123)+E1132*F$1123</f>
        <v>0</v>
      </c>
      <c r="G1133" s="2" t="n">
        <f aca="false">F1133*(1-G$1123)+F1132*G$1123</f>
        <v>0</v>
      </c>
      <c r="H1133" s="2" t="n">
        <f aca="false">G1133*(1-H$1123)+G1132*H$1123</f>
        <v>0</v>
      </c>
      <c r="I1133" s="2" t="n">
        <f aca="false">H1133*(1-I$1123)+H1132*I$1123</f>
        <v>0</v>
      </c>
      <c r="J1133" s="2" t="n">
        <f aca="false">I1133*(1-J$1123)+I1132*J$1123</f>
        <v>0</v>
      </c>
      <c r="K1133" s="2" t="n">
        <f aca="false">J1133*(1-K$1123)+J1132*K$1123</f>
        <v>0.00117177580374725</v>
      </c>
      <c r="L1133" s="2" t="n">
        <f aca="false">K1133*(1-L$1123)+K1132*L$1123</f>
        <v>0.022855302107151</v>
      </c>
      <c r="M1133" s="2" t="n">
        <f aca="false">L1133*(1-M$1123)+L1132*M$1123</f>
        <v>0.0917417533673443</v>
      </c>
      <c r="N1133" s="2" t="n">
        <f aca="false">M1133*(1-N$1123)+M1132*N$1123</f>
        <v>0.173080264232306</v>
      </c>
      <c r="O1133" s="2" t="n">
        <f aca="false">N1133*(1-O$1123)+N1132*O$1123</f>
        <v>0.173080264232306</v>
      </c>
    </row>
    <row r="1134" customFormat="false" ht="15" hidden="false" customHeight="false" outlineLevel="0" collapsed="false">
      <c r="B1134" s="2" t="n">
        <v>10</v>
      </c>
      <c r="C1134" s="2" t="n">
        <f aca="false">0</f>
        <v>0</v>
      </c>
      <c r="D1134" s="2" t="n">
        <f aca="false">C1134*(1-D$1123)+C1133*D$1123</f>
        <v>0</v>
      </c>
      <c r="E1134" s="2" t="n">
        <f aca="false">D1134*(1-E$1123)+D1133*E$1123</f>
        <v>0</v>
      </c>
      <c r="F1134" s="2" t="n">
        <f aca="false">E1134*(1-F$1123)+E1133*F$1123</f>
        <v>0</v>
      </c>
      <c r="G1134" s="2" t="n">
        <f aca="false">F1134*(1-G$1123)+F1133*G$1123</f>
        <v>0</v>
      </c>
      <c r="H1134" s="2" t="n">
        <f aca="false">G1134*(1-H$1123)+G1133*H$1123</f>
        <v>0</v>
      </c>
      <c r="I1134" s="2" t="n">
        <f aca="false">H1134*(1-I$1123)+H1133*I$1123</f>
        <v>0</v>
      </c>
      <c r="J1134" s="2" t="n">
        <f aca="false">I1134*(1-J$1123)+I1133*J$1123</f>
        <v>0</v>
      </c>
      <c r="K1134" s="2" t="n">
        <f aca="false">J1134*(1-K$1123)+J1133*K$1123</f>
        <v>0</v>
      </c>
      <c r="L1134" s="2" t="n">
        <f aca="false">K1134*(1-L$1123)+K1133*L$1123</f>
        <v>0.000927750688219785</v>
      </c>
      <c r="M1134" s="2" t="n">
        <f aca="false">L1134*(1-M$1123)+L1133*M$1123</f>
        <v>0.0186344251218017</v>
      </c>
      <c r="N1134" s="2" t="n">
        <f aca="false">M1134*(1-N$1123)+M1133*N$1123</f>
        <v>0.0683748841450328</v>
      </c>
      <c r="O1134" s="2" t="n">
        <f aca="false">N1134*(1-O$1123)+N1133*O$1123</f>
        <v>0.0683748841450328</v>
      </c>
    </row>
    <row r="1135" customFormat="false" ht="15" hidden="false" customHeight="false" outlineLevel="0" collapsed="false">
      <c r="B1135" s="2" t="n">
        <v>11</v>
      </c>
      <c r="C1135" s="2" t="n">
        <f aca="false">0</f>
        <v>0</v>
      </c>
      <c r="D1135" s="2" t="n">
        <f aca="false">C1135*(1-D$1123)+C1134*D$1123</f>
        <v>0</v>
      </c>
      <c r="E1135" s="2" t="n">
        <f aca="false">D1135*(1-E$1123)+D1134*E$1123</f>
        <v>0</v>
      </c>
      <c r="F1135" s="2" t="n">
        <f aca="false">E1135*(1-F$1123)+E1134*F$1123</f>
        <v>0</v>
      </c>
      <c r="G1135" s="2" t="n">
        <f aca="false">F1135*(1-G$1123)+F1134*G$1123</f>
        <v>0</v>
      </c>
      <c r="H1135" s="2" t="n">
        <f aca="false">G1135*(1-H$1123)+G1134*H$1123</f>
        <v>0</v>
      </c>
      <c r="I1135" s="2" t="n">
        <f aca="false">H1135*(1-I$1123)+H1134*I$1123</f>
        <v>0</v>
      </c>
      <c r="J1135" s="2" t="n">
        <f aca="false">I1135*(1-J$1123)+I1134*J$1123</f>
        <v>0</v>
      </c>
      <c r="K1135" s="2" t="n">
        <f aca="false">J1135*(1-K$1123)+J1134*K$1123</f>
        <v>0</v>
      </c>
      <c r="L1135" s="2" t="n">
        <f aca="false">K1135*(1-L$1123)+K1134*L$1123</f>
        <v>0</v>
      </c>
      <c r="M1135" s="2" t="n">
        <f aca="false">L1135*(1-M$1123)+L1134*M$1123</f>
        <v>0.000749166155308006</v>
      </c>
      <c r="N1135" s="2" t="n">
        <f aca="false">M1135*(1-N$1123)+M1134*N$1123</f>
        <v>0.0129178640422671</v>
      </c>
      <c r="O1135" s="2" t="n">
        <f aca="false">N1135*(1-O$1123)+N1134*O$1123</f>
        <v>0.0129178640422671</v>
      </c>
    </row>
    <row r="1136" customFormat="false" ht="15" hidden="false" customHeight="false" outlineLevel="0" collapsed="false">
      <c r="B1136" s="2" t="n">
        <v>12</v>
      </c>
      <c r="C1136" s="2" t="n">
        <f aca="false">0</f>
        <v>0</v>
      </c>
      <c r="D1136" s="2" t="n">
        <f aca="false">C1136*(1-D$1123)+C1135*D$1123</f>
        <v>0</v>
      </c>
      <c r="E1136" s="2" t="n">
        <f aca="false">D1136*(1-E$1123)+D1135*E$1123</f>
        <v>0</v>
      </c>
      <c r="F1136" s="2" t="n">
        <f aca="false">E1136*(1-F$1123)+E1135*F$1123</f>
        <v>0</v>
      </c>
      <c r="G1136" s="2" t="n">
        <f aca="false">F1136*(1-G$1123)+F1135*G$1123</f>
        <v>0</v>
      </c>
      <c r="H1136" s="2" t="n">
        <f aca="false">G1136*(1-H$1123)+G1135*H$1123</f>
        <v>0</v>
      </c>
      <c r="I1136" s="2" t="n">
        <f aca="false">H1136*(1-I$1123)+H1135*I$1123</f>
        <v>0</v>
      </c>
      <c r="J1136" s="2" t="n">
        <f aca="false">I1136*(1-J$1123)+I1135*J$1123</f>
        <v>0</v>
      </c>
      <c r="K1136" s="2" t="n">
        <f aca="false">J1136*(1-K$1123)+J1135*K$1123</f>
        <v>0</v>
      </c>
      <c r="L1136" s="2" t="n">
        <f aca="false">K1136*(1-L$1123)+K1135*L$1123</f>
        <v>0</v>
      </c>
      <c r="M1136" s="2" t="n">
        <f aca="false">L1136*(1-M$1123)+L1135*M$1123</f>
        <v>0</v>
      </c>
      <c r="N1136" s="2" t="n">
        <f aca="false">M1136*(1-N$1123)+M1135*N$1123</f>
        <v>0.000509714543589021</v>
      </c>
      <c r="O1136" s="2" t="n">
        <f aca="false">N1136*(1-O$1123)+N1135*O$1123</f>
        <v>0.000509714543589021</v>
      </c>
    </row>
    <row r="1137" customFormat="false" ht="15" hidden="false" customHeight="false" outlineLevel="0" collapsed="false">
      <c r="B1137" s="2" t="n">
        <v>13</v>
      </c>
      <c r="C1137" s="2" t="n">
        <f aca="false">0</f>
        <v>0</v>
      </c>
      <c r="D1137" s="2" t="n">
        <f aca="false">C1137*(1-D$1123)+C1136*D$1123</f>
        <v>0</v>
      </c>
      <c r="E1137" s="2" t="n">
        <f aca="false">D1137*(1-E$1123)+D1136*E$1123</f>
        <v>0</v>
      </c>
      <c r="F1137" s="2" t="n">
        <f aca="false">E1137*(1-F$1123)+E1136*F$1123</f>
        <v>0</v>
      </c>
      <c r="G1137" s="2" t="n">
        <f aca="false">F1137*(1-G$1123)+F1136*G$1123</f>
        <v>0</v>
      </c>
      <c r="H1137" s="2" t="n">
        <f aca="false">G1137*(1-H$1123)+G1136*H$1123</f>
        <v>0</v>
      </c>
      <c r="I1137" s="2" t="n">
        <f aca="false">H1137*(1-I$1123)+H1136*I$1123</f>
        <v>0</v>
      </c>
      <c r="J1137" s="2" t="n">
        <f aca="false">I1137*(1-J$1123)+I1136*J$1123</f>
        <v>0</v>
      </c>
      <c r="K1137" s="2" t="n">
        <f aca="false">J1137*(1-K$1123)+J1136*K$1123</f>
        <v>0</v>
      </c>
      <c r="L1137" s="2" t="n">
        <f aca="false">K1137*(1-L$1123)+K1136*L$1123</f>
        <v>0</v>
      </c>
      <c r="M1137" s="2" t="n">
        <f aca="false">L1137*(1-M$1123)+L1136*M$1123</f>
        <v>0</v>
      </c>
      <c r="N1137" s="2" t="n">
        <f aca="false">M1137*(1-N$1123)+M1136*N$1123</f>
        <v>0</v>
      </c>
      <c r="O1137" s="2" t="n">
        <f aca="false">N1137*(1-O$1123)+N1136*O$1123</f>
        <v>0</v>
      </c>
    </row>
    <row r="1139" customFormat="false" ht="15" hidden="false" customHeight="false" outlineLevel="0" collapsed="false">
      <c r="A1139" s="1" t="s">
        <v>129</v>
      </c>
      <c r="C1139" s="2" t="n">
        <f aca="false">Schedule!G73</f>
        <v>0.839827703080392</v>
      </c>
      <c r="D1139" s="2" t="n">
        <f aca="false">Schedule!L73</f>
        <v>0.986096552486501</v>
      </c>
      <c r="E1139" s="2" t="n">
        <f aca="false">Schedule!Q73</f>
        <v>0.278433975231589</v>
      </c>
      <c r="F1139" s="2" t="n">
        <f aca="false">Schedule!V73</f>
        <v>0.360826675149783</v>
      </c>
      <c r="G1139" s="2" t="n">
        <f aca="false">Schedule!AA73</f>
        <v>0.415858488890908</v>
      </c>
      <c r="H1139" s="2" t="n">
        <f aca="false">Schedule!AF73</f>
        <v>0.301967544680181</v>
      </c>
      <c r="I1139" s="2" t="n">
        <f aca="false">Schedule!AK73</f>
        <v>0.455213484871745</v>
      </c>
      <c r="J1139" s="2" t="n">
        <f aca="false">Schedule!AP73</f>
        <v>0.204685795347253</v>
      </c>
      <c r="K1139" s="2" t="n">
        <f aca="false">Schedule!AU73</f>
        <v>0.054799291699558</v>
      </c>
      <c r="L1139" s="2" t="n">
        <f aca="false">Schedule!AZ73</f>
        <v>0.447788771872615</v>
      </c>
      <c r="M1139" s="2" t="n">
        <f aca="false">Schedule!BE73</f>
        <v>0.349193042462858</v>
      </c>
      <c r="N1139" s="2" t="n">
        <f aca="false">Schedule!BJ73</f>
        <v>0.197662543122692</v>
      </c>
      <c r="O1139" s="2" t="n">
        <f aca="false">Schedule!BO73</f>
        <v>0</v>
      </c>
    </row>
    <row r="1140" customFormat="false" ht="15" hidden="false" customHeight="false" outlineLevel="0" collapsed="false">
      <c r="B1140" s="2" t="n">
        <v>0</v>
      </c>
      <c r="C1140" s="2" t="n">
        <f aca="false">1-C$1139</f>
        <v>0.160172296919608</v>
      </c>
      <c r="D1140" s="2" t="n">
        <f aca="false">C1140*(1-D$1139)</f>
        <v>0.00222694712333829</v>
      </c>
      <c r="E1140" s="2" t="n">
        <f aca="false">D1140*(1-E$1139)</f>
        <v>0.00160688938315666</v>
      </c>
      <c r="F1140" s="2" t="n">
        <f aca="false">E1140*(1-F$1139)</f>
        <v>0.00102708082969875</v>
      </c>
      <c r="G1140" s="2" t="n">
        <f aca="false">F1140*(1-G$1139)</f>
        <v>0.000599960547891411</v>
      </c>
      <c r="H1140" s="2" t="n">
        <f aca="false">G1140*(1-H$1139)</f>
        <v>0.000418791934339665</v>
      </c>
      <c r="I1140" s="2" t="n">
        <f aca="false">H1140*(1-I$1139)</f>
        <v>0.000228152198472727</v>
      </c>
      <c r="J1140" s="2" t="n">
        <f aca="false">I1140*(1-J$1139)</f>
        <v>0.000181452684268113</v>
      </c>
      <c r="K1140" s="2" t="n">
        <f aca="false">J1140*(1-K$1139)</f>
        <v>0.000171509205693237</v>
      </c>
      <c r="L1140" s="2" t="n">
        <f aca="false">K1140*(1-L$1139)</f>
        <v>9.47093091110144E-005</v>
      </c>
      <c r="M1140" s="2" t="n">
        <f aca="false">L1140*(1-M$1139)</f>
        <v>6.16374773129841E-005</v>
      </c>
      <c r="N1140" s="2" t="n">
        <f aca="false">M1140*(1-N$1139)</f>
        <v>4.94540567956324E-005</v>
      </c>
      <c r="O1140" s="2" t="n">
        <f aca="false">N1140*(1-O$1139)</f>
        <v>4.94540567956324E-005</v>
      </c>
    </row>
    <row r="1141" customFormat="false" ht="15" hidden="false" customHeight="false" outlineLevel="0" collapsed="false">
      <c r="B1141" s="2" t="n">
        <v>1</v>
      </c>
      <c r="C1141" s="2" t="n">
        <f aca="false">C$1139</f>
        <v>0.839827703080392</v>
      </c>
      <c r="D1141" s="2" t="n">
        <f aca="false">C1141*(1-D$1139)+C1140*D$1139</f>
        <v>0.16962185018643</v>
      </c>
      <c r="E1141" s="2" t="n">
        <f aca="false">D1141*(1-E$1139)+D1140*E$1139</f>
        <v>0.123013421893067</v>
      </c>
      <c r="F1141" s="2" t="n">
        <f aca="false">E1141*(1-F$1139)+E1140*F$1139</f>
        <v>0.0792067064260521</v>
      </c>
      <c r="G1141" s="2" t="n">
        <f aca="false">F1141*(1-G$1139)+F1140*G$1139</f>
        <v>0.0466950454634957</v>
      </c>
      <c r="H1141" s="2" t="n">
        <f aca="false">G1141*(1-H$1139)+G1140*H$1139</f>
        <v>0.0327758258497062</v>
      </c>
      <c r="I1141" s="2" t="n">
        <f aca="false">H1141*(1-I$1139)+H1140*I$1139</f>
        <v>0.018046467680979</v>
      </c>
      <c r="J1141" s="2" t="n">
        <f aca="false">I1141*(1-J$1139)+I1140*J$1139</f>
        <v>0.0143993116046939</v>
      </c>
      <c r="K1141" s="2" t="n">
        <f aca="false">J1141*(1-K$1139)+J1140*K$1139</f>
        <v>0.0136201830063703</v>
      </c>
      <c r="L1141" s="2" t="n">
        <f aca="false">K1141*(1-L$1139)+K1140*L$1139</f>
        <v>0.00759801788184972</v>
      </c>
      <c r="M1141" s="2" t="n">
        <f aca="false">L1141*(1-M$1139)+L1140*M$1139</f>
        <v>0.00497791473279745</v>
      </c>
      <c r="N1141" s="2" t="n">
        <f aca="false">M1141*(1-N$1139)+M1140*N$1139</f>
        <v>0.00400615086778214</v>
      </c>
      <c r="O1141" s="2" t="n">
        <f aca="false">N1141*(1-O$1139)+N1140*O$1139</f>
        <v>0.00400615086778214</v>
      </c>
    </row>
    <row r="1142" customFormat="false" ht="15" hidden="false" customHeight="false" outlineLevel="0" collapsed="false">
      <c r="B1142" s="2" t="n">
        <v>2</v>
      </c>
      <c r="C1142" s="2" t="n">
        <f aca="false">0</f>
        <v>0</v>
      </c>
      <c r="D1142" s="2" t="n">
        <f aca="false">C1142*(1-D$1139)+C1141*D$1139</f>
        <v>0.828151202690231</v>
      </c>
      <c r="E1142" s="2" t="n">
        <f aca="false">D1142*(1-E$1139)+D1141*E$1139</f>
        <v>0.644794257265914</v>
      </c>
      <c r="F1142" s="2" t="n">
        <f aca="false">E1142*(1-F$1139)+E1141*F$1139</f>
        <v>0.456521813281453</v>
      </c>
      <c r="G1142" s="2" t="n">
        <f aca="false">F1142*(1-G$1139)+F1141*G$1139</f>
        <v>0.299612123108855</v>
      </c>
      <c r="H1142" s="2" t="n">
        <f aca="false">G1142*(1-H$1139)+G1141*H$1139</f>
        <v>0.223239374164599</v>
      </c>
      <c r="I1142" s="2" t="n">
        <f aca="false">H1142*(1-I$1139)+H1141*I$1139</f>
        <v>0.136537798595139</v>
      </c>
      <c r="J1142" s="2" t="n">
        <f aca="false">I1142*(1-J$1139)+I1141*J$1139</f>
        <v>0.112284306285219</v>
      </c>
      <c r="K1142" s="2" t="n">
        <f aca="false">J1142*(1-K$1139)+J1141*K$1139</f>
        <v>0.106920277908712</v>
      </c>
      <c r="L1142" s="2" t="n">
        <f aca="false">K1142*(1-L$1139)+K1141*L$1139</f>
        <v>0.0651415429967937</v>
      </c>
      <c r="M1142" s="2" t="n">
        <f aca="false">L1142*(1-M$1139)+L1141*M$1139</f>
        <v>0.0450477443878686</v>
      </c>
      <c r="N1142" s="2" t="n">
        <f aca="false">M1142*(1-N$1139)+M1141*N$1139</f>
        <v>0.0371274399557541</v>
      </c>
      <c r="O1142" s="2" t="n">
        <f aca="false">N1142*(1-O$1139)+N1141*O$1139</f>
        <v>0.0371274399557541</v>
      </c>
    </row>
    <row r="1143" customFormat="false" ht="15" hidden="false" customHeight="false" outlineLevel="0" collapsed="false">
      <c r="B1143" s="2" t="n">
        <v>3</v>
      </c>
      <c r="C1143" s="2" t="n">
        <f aca="false">0</f>
        <v>0</v>
      </c>
      <c r="D1143" s="2" t="n">
        <f aca="false">C1143*(1-D$1139)+C1142*D$1139</f>
        <v>0</v>
      </c>
      <c r="E1143" s="2" t="n">
        <f aca="false">D1143*(1-E$1139)+D1142*E$1139</f>
        <v>0.230585431457863</v>
      </c>
      <c r="F1143" s="2" t="n">
        <f aca="false">E1143*(1-F$1139)+E1142*F$1139</f>
        <v>0.380043024891877</v>
      </c>
      <c r="G1143" s="2" t="n">
        <f aca="false">F1143*(1-G$1139)+F1142*G$1139</f>
        <v>0.411847378263774</v>
      </c>
      <c r="H1143" s="2" t="n">
        <f aca="false">G1143*(1-H$1139)+G1142*H$1139</f>
        <v>0.377955973838089</v>
      </c>
      <c r="I1143" s="2" t="n">
        <f aca="false">H1143*(1-I$1139)+H1142*I$1139</f>
        <v>0.307526891333213</v>
      </c>
      <c r="J1143" s="2" t="n">
        <f aca="false">I1143*(1-J$1139)+I1142*J$1139</f>
        <v>0.272527852890415</v>
      </c>
      <c r="K1143" s="2" t="n">
        <f aca="false">J1143*(1-K$1139)+J1142*K$1139</f>
        <v>0.263746620037025</v>
      </c>
      <c r="L1143" s="2" t="n">
        <f aca="false">K1143*(1-L$1139)+K1142*L$1139</f>
        <v>0.193521544898113</v>
      </c>
      <c r="M1143" s="2" t="n">
        <f aca="false">L1143*(1-M$1139)+L1142*M$1139</f>
        <v>0.148692141442804</v>
      </c>
      <c r="N1143" s="2" t="n">
        <f aca="false">M1143*(1-N$1139)+M1142*N$1139</f>
        <v>0.128205526340507</v>
      </c>
      <c r="O1143" s="2" t="n">
        <f aca="false">N1143*(1-O$1139)+N1142*O$1139</f>
        <v>0.128205526340507</v>
      </c>
    </row>
    <row r="1144" customFormat="false" ht="15" hidden="false" customHeight="false" outlineLevel="0" collapsed="false">
      <c r="B1144" s="2" t="n">
        <v>4</v>
      </c>
      <c r="C1144" s="2" t="n">
        <f aca="false">0</f>
        <v>0</v>
      </c>
      <c r="D1144" s="2" t="n">
        <f aca="false">C1144*(1-D$1139)+C1143*D$1139</f>
        <v>0</v>
      </c>
      <c r="E1144" s="2" t="n">
        <f aca="false">D1144*(1-E$1139)+D1143*E$1139</f>
        <v>0</v>
      </c>
      <c r="F1144" s="2" t="n">
        <f aca="false">E1144*(1-F$1139)+E1143*F$1139</f>
        <v>0.0832013745709188</v>
      </c>
      <c r="G1144" s="2" t="n">
        <f aca="false">F1144*(1-G$1139)+F1143*G$1139</f>
        <v>0.206645494713276</v>
      </c>
      <c r="H1144" s="2" t="n">
        <f aca="false">G1144*(1-H$1139)+G1143*H$1139</f>
        <v>0.268609803652768</v>
      </c>
      <c r="I1144" s="2" t="n">
        <f aca="false">H1144*(1-I$1139)+H1143*I$1139</f>
        <v>0.318385654840207</v>
      </c>
      <c r="J1144" s="2" t="n">
        <f aca="false">I1144*(1-J$1139)+I1143*J$1139</f>
        <v>0.31616302019529</v>
      </c>
      <c r="K1144" s="2" t="n">
        <f aca="false">J1144*(1-K$1139)+J1143*K$1139</f>
        <v>0.313771843933791</v>
      </c>
      <c r="L1144" s="2" t="n">
        <f aca="false">K1144*(1-L$1139)+K1143*L$1139</f>
        <v>0.291371110362406</v>
      </c>
      <c r="M1144" s="2" t="n">
        <f aca="false">L1144*(1-M$1139)+L1143*M$1139</f>
        <v>0.257202722894261</v>
      </c>
      <c r="N1144" s="2" t="n">
        <f aca="false">M1144*(1-N$1139)+M1143*N$1139</f>
        <v>0.235754245408844</v>
      </c>
      <c r="O1144" s="2" t="n">
        <f aca="false">N1144*(1-O$1139)+N1143*O$1139</f>
        <v>0.235754245408844</v>
      </c>
    </row>
    <row r="1145" customFormat="false" ht="15" hidden="false" customHeight="false" outlineLevel="0" collapsed="false">
      <c r="B1145" s="2" t="n">
        <v>5</v>
      </c>
      <c r="C1145" s="2" t="n">
        <f aca="false">0</f>
        <v>0</v>
      </c>
      <c r="D1145" s="2" t="n">
        <f aca="false">C1145*(1-D$1139)+C1144*D$1139</f>
        <v>0</v>
      </c>
      <c r="E1145" s="2" t="n">
        <f aca="false">D1145*(1-E$1139)+D1144*E$1139</f>
        <v>0</v>
      </c>
      <c r="F1145" s="2" t="n">
        <f aca="false">E1145*(1-F$1139)+E1144*F$1139</f>
        <v>0</v>
      </c>
      <c r="G1145" s="2" t="n">
        <f aca="false">F1145*(1-G$1139)+F1144*G$1139</f>
        <v>0.0345999979027087</v>
      </c>
      <c r="H1145" s="2" t="n">
        <f aca="false">G1145*(1-H$1139)+G1144*H$1139</f>
        <v>0.0865521541478775</v>
      </c>
      <c r="I1145" s="2" t="n">
        <f aca="false">H1145*(1-I$1139)+H1144*I$1139</f>
        <v>0.169427251226557</v>
      </c>
      <c r="J1145" s="2" t="n">
        <f aca="false">I1145*(1-J$1139)+I1144*J$1139</f>
        <v>0.199916920543874</v>
      </c>
      <c r="K1145" s="2" t="n">
        <f aca="false">J1145*(1-K$1139)+J1144*K$1139</f>
        <v>0.206287124467608</v>
      </c>
      <c r="L1145" s="2" t="n">
        <f aca="false">K1145*(1-L$1139)+K1144*L$1139</f>
        <v>0.254417574992443</v>
      </c>
      <c r="M1145" s="2" t="n">
        <f aca="false">L1145*(1-M$1139)+L1144*M$1139</f>
        <v>0.267321492438039</v>
      </c>
      <c r="N1145" s="2" t="n">
        <f aca="false">M1145*(1-N$1139)+M1144*N$1139</f>
        <v>0.265321390716744</v>
      </c>
      <c r="O1145" s="2" t="n">
        <f aca="false">N1145*(1-O$1139)+N1144*O$1139</f>
        <v>0.265321390716744</v>
      </c>
    </row>
    <row r="1146" customFormat="false" ht="15" hidden="false" customHeight="false" outlineLevel="0" collapsed="false">
      <c r="B1146" s="2" t="n">
        <v>6</v>
      </c>
      <c r="C1146" s="2" t="n">
        <f aca="false">0</f>
        <v>0</v>
      </c>
      <c r="D1146" s="2" t="n">
        <f aca="false">C1146*(1-D$1139)+C1145*D$1139</f>
        <v>0</v>
      </c>
      <c r="E1146" s="2" t="n">
        <f aca="false">D1146*(1-E$1139)+D1145*E$1139</f>
        <v>0</v>
      </c>
      <c r="F1146" s="2" t="n">
        <f aca="false">E1146*(1-F$1139)+E1145*F$1139</f>
        <v>0</v>
      </c>
      <c r="G1146" s="2" t="n">
        <f aca="false">F1146*(1-G$1139)+F1145*G$1139</f>
        <v>0</v>
      </c>
      <c r="H1146" s="2" t="n">
        <f aca="false">G1146*(1-H$1139)+G1145*H$1139</f>
        <v>0.0104480764126203</v>
      </c>
      <c r="I1146" s="2" t="n">
        <f aca="false">H1146*(1-I$1139)+H1145*I$1139</f>
        <v>0.0450916788514369</v>
      </c>
      <c r="J1146" s="2" t="n">
        <f aca="false">I1146*(1-J$1139)+I1145*J$1139</f>
        <v>0.0705414043729944</v>
      </c>
      <c r="K1146" s="2" t="n">
        <f aca="false">J1146*(1-K$1139)+J1145*K$1139</f>
        <v>0.0776310910224233</v>
      </c>
      <c r="L1146" s="2" t="n">
        <f aca="false">K1146*(1-L$1139)+K1145*L$1139</f>
        <v>0.135241818232845</v>
      </c>
      <c r="M1146" s="2" t="n">
        <f aca="false">L1146*(1-M$1139)+L1145*M$1139</f>
        <v>0.176857163323542</v>
      </c>
      <c r="N1146" s="2" t="n">
        <f aca="false">M1146*(1-N$1139)+M1145*N$1139</f>
        <v>0.194738572678202</v>
      </c>
      <c r="O1146" s="2" t="n">
        <f aca="false">N1146*(1-O$1139)+N1145*O$1139</f>
        <v>0.194738572678202</v>
      </c>
    </row>
    <row r="1147" customFormat="false" ht="15" hidden="false" customHeight="false" outlineLevel="0" collapsed="false">
      <c r="B1147" s="2" t="n">
        <v>7</v>
      </c>
      <c r="C1147" s="2" t="n">
        <f aca="false">0</f>
        <v>0</v>
      </c>
      <c r="D1147" s="2" t="n">
        <f aca="false">C1147*(1-D$1139)+C1146*D$1139</f>
        <v>0</v>
      </c>
      <c r="E1147" s="2" t="n">
        <f aca="false">D1147*(1-E$1139)+D1146*E$1139</f>
        <v>0</v>
      </c>
      <c r="F1147" s="2" t="n">
        <f aca="false">E1147*(1-F$1139)+E1146*F$1139</f>
        <v>0</v>
      </c>
      <c r="G1147" s="2" t="n">
        <f aca="false">F1147*(1-G$1139)+F1146*G$1139</f>
        <v>0</v>
      </c>
      <c r="H1147" s="2" t="n">
        <f aca="false">G1147*(1-H$1139)+G1146*H$1139</f>
        <v>0</v>
      </c>
      <c r="I1147" s="2" t="n">
        <f aca="false">H1147*(1-I$1139)+H1146*I$1139</f>
        <v>0.00475610527399519</v>
      </c>
      <c r="J1147" s="2" t="n">
        <f aca="false">I1147*(1-J$1139)+I1146*J$1139</f>
        <v>0.0130122242324815</v>
      </c>
      <c r="K1147" s="2" t="n">
        <f aca="false">J1147*(1-K$1139)+J1146*K$1139</f>
        <v>0.0161647825562379</v>
      </c>
      <c r="L1147" s="2" t="n">
        <f aca="false">K1147*(1-L$1139)+K1146*L$1139</f>
        <v>0.0436887053358544</v>
      </c>
      <c r="M1147" s="2" t="n">
        <f aca="false">L1147*(1-M$1139)+L1146*M$1139</f>
        <v>0.0756584153753</v>
      </c>
      <c r="N1147" s="2" t="n">
        <f aca="false">M1147*(1-N$1139)+M1146*N$1139</f>
        <v>0.0956616172555819</v>
      </c>
      <c r="O1147" s="2" t="n">
        <f aca="false">N1147*(1-O$1139)+N1146*O$1139</f>
        <v>0.0956616172555819</v>
      </c>
    </row>
    <row r="1148" customFormat="false" ht="15" hidden="false" customHeight="false" outlineLevel="0" collapsed="false">
      <c r="B1148" s="2" t="n">
        <v>8</v>
      </c>
      <c r="C1148" s="2" t="n">
        <f aca="false">0</f>
        <v>0</v>
      </c>
      <c r="D1148" s="2" t="n">
        <f aca="false">C1148*(1-D$1139)+C1147*D$1139</f>
        <v>0</v>
      </c>
      <c r="E1148" s="2" t="n">
        <f aca="false">D1148*(1-E$1139)+D1147*E$1139</f>
        <v>0</v>
      </c>
      <c r="F1148" s="2" t="n">
        <f aca="false">E1148*(1-F$1139)+E1147*F$1139</f>
        <v>0</v>
      </c>
      <c r="G1148" s="2" t="n">
        <f aca="false">F1148*(1-G$1139)+F1147*G$1139</f>
        <v>0</v>
      </c>
      <c r="H1148" s="2" t="n">
        <f aca="false">G1148*(1-H$1139)+G1147*H$1139</f>
        <v>0</v>
      </c>
      <c r="I1148" s="2" t="n">
        <f aca="false">H1148*(1-I$1139)+H1147*I$1139</f>
        <v>0</v>
      </c>
      <c r="J1148" s="2" t="n">
        <f aca="false">I1148*(1-J$1139)+I1147*J$1139</f>
        <v>0.000973507190762968</v>
      </c>
      <c r="K1148" s="2" t="n">
        <f aca="false">J1148*(1-K$1139)+J1147*K$1139</f>
        <v>0.00163322035762054</v>
      </c>
      <c r="L1148" s="2" t="n">
        <f aca="false">K1148*(1-L$1139)+K1147*L$1139</f>
        <v>0.00814029074792992</v>
      </c>
      <c r="M1148" s="2" t="n">
        <f aca="false">L1148*(1-M$1139)+L1147*M$1139</f>
        <v>0.0205535497926183</v>
      </c>
      <c r="N1148" s="2" t="n">
        <f aca="false">M1148*(1-N$1139)+M1147*N$1139</f>
        <v>0.0314457176621253</v>
      </c>
      <c r="O1148" s="2" t="n">
        <f aca="false">N1148*(1-O$1139)+N1147*O$1139</f>
        <v>0.0314457176621253</v>
      </c>
    </row>
    <row r="1149" customFormat="false" ht="15" hidden="false" customHeight="false" outlineLevel="0" collapsed="false">
      <c r="B1149" s="2" t="n">
        <v>9</v>
      </c>
      <c r="C1149" s="2" t="n">
        <f aca="false">0</f>
        <v>0</v>
      </c>
      <c r="D1149" s="2" t="n">
        <f aca="false">C1149*(1-D$1139)+C1148*D$1139</f>
        <v>0</v>
      </c>
      <c r="E1149" s="2" t="n">
        <f aca="false">D1149*(1-E$1139)+D1148*E$1139</f>
        <v>0</v>
      </c>
      <c r="F1149" s="2" t="n">
        <f aca="false">E1149*(1-F$1139)+E1148*F$1139</f>
        <v>0</v>
      </c>
      <c r="G1149" s="2" t="n">
        <f aca="false">F1149*(1-G$1139)+F1148*G$1139</f>
        <v>0</v>
      </c>
      <c r="H1149" s="2" t="n">
        <f aca="false">G1149*(1-H$1139)+G1148*H$1139</f>
        <v>0</v>
      </c>
      <c r="I1149" s="2" t="n">
        <f aca="false">H1149*(1-I$1139)+H1148*I$1139</f>
        <v>0</v>
      </c>
      <c r="J1149" s="2" t="n">
        <f aca="false">I1149*(1-J$1139)+I1148*J$1139</f>
        <v>0</v>
      </c>
      <c r="K1149" s="2" t="n">
        <f aca="false">J1149*(1-K$1139)+J1148*K$1139</f>
        <v>5.33475045182371E-005</v>
      </c>
      <c r="L1149" s="2" t="n">
        <f aca="false">K1149*(1-L$1139)+K1148*L$1139</f>
        <v>0.000760796829123802</v>
      </c>
      <c r="M1149" s="2" t="n">
        <f aca="false">L1149*(1-M$1139)+L1148*M$1139</f>
        <v>0.00333766476246787</v>
      </c>
      <c r="N1149" s="2" t="n">
        <f aca="false">M1149*(1-N$1139)+M1148*N$1139</f>
        <v>0.00674060037963529</v>
      </c>
      <c r="O1149" s="2" t="n">
        <f aca="false">N1149*(1-O$1139)+N1148*O$1139</f>
        <v>0.00674060037963529</v>
      </c>
    </row>
    <row r="1150" customFormat="false" ht="15" hidden="false" customHeight="false" outlineLevel="0" collapsed="false">
      <c r="B1150" s="2" t="n">
        <v>10</v>
      </c>
      <c r="C1150" s="2" t="n">
        <f aca="false">0</f>
        <v>0</v>
      </c>
      <c r="D1150" s="2" t="n">
        <f aca="false">C1150*(1-D$1139)+C1149*D$1139</f>
        <v>0</v>
      </c>
      <c r="E1150" s="2" t="n">
        <f aca="false">D1150*(1-E$1139)+D1149*E$1139</f>
        <v>0</v>
      </c>
      <c r="F1150" s="2" t="n">
        <f aca="false">E1150*(1-F$1139)+E1149*F$1139</f>
        <v>0</v>
      </c>
      <c r="G1150" s="2" t="n">
        <f aca="false">F1150*(1-G$1139)+F1149*G$1139</f>
        <v>0</v>
      </c>
      <c r="H1150" s="2" t="n">
        <f aca="false">G1150*(1-H$1139)+G1149*H$1139</f>
        <v>0</v>
      </c>
      <c r="I1150" s="2" t="n">
        <f aca="false">H1150*(1-I$1139)+H1149*I$1139</f>
        <v>0</v>
      </c>
      <c r="J1150" s="2" t="n">
        <f aca="false">I1150*(1-J$1139)+I1149*J$1139</f>
        <v>0</v>
      </c>
      <c r="K1150" s="2" t="n">
        <f aca="false">J1150*(1-K$1139)+J1149*K$1139</f>
        <v>0</v>
      </c>
      <c r="L1150" s="2" t="n">
        <f aca="false">K1150*(1-L$1139)+K1149*L$1139</f>
        <v>2.38884135306902E-005</v>
      </c>
      <c r="M1150" s="2" t="n">
        <f aca="false">L1150*(1-M$1139)+L1149*M$1139</f>
        <v>0.000281211705188133</v>
      </c>
      <c r="N1150" s="2" t="n">
        <f aca="false">M1150*(1-N$1139)+M1149*N$1139</f>
        <v>0.000885357989425173</v>
      </c>
      <c r="O1150" s="2" t="n">
        <f aca="false">N1150*(1-O$1139)+N1149*O$1139</f>
        <v>0.000885357989425173</v>
      </c>
    </row>
    <row r="1151" customFormat="false" ht="15" hidden="false" customHeight="false" outlineLevel="0" collapsed="false">
      <c r="B1151" s="2" t="n">
        <v>11</v>
      </c>
      <c r="C1151" s="2" t="n">
        <f aca="false">0</f>
        <v>0</v>
      </c>
      <c r="D1151" s="2" t="n">
        <f aca="false">C1151*(1-D$1139)+C1150*D$1139</f>
        <v>0</v>
      </c>
      <c r="E1151" s="2" t="n">
        <f aca="false">D1151*(1-E$1139)+D1150*E$1139</f>
        <v>0</v>
      </c>
      <c r="F1151" s="2" t="n">
        <f aca="false">E1151*(1-F$1139)+E1150*F$1139</f>
        <v>0</v>
      </c>
      <c r="G1151" s="2" t="n">
        <f aca="false">F1151*(1-G$1139)+F1150*G$1139</f>
        <v>0</v>
      </c>
      <c r="H1151" s="2" t="n">
        <f aca="false">G1151*(1-H$1139)+G1150*H$1139</f>
        <v>0</v>
      </c>
      <c r="I1151" s="2" t="n">
        <f aca="false">H1151*(1-I$1139)+H1150*I$1139</f>
        <v>0</v>
      </c>
      <c r="J1151" s="2" t="n">
        <f aca="false">I1151*(1-J$1139)+I1150*J$1139</f>
        <v>0</v>
      </c>
      <c r="K1151" s="2" t="n">
        <f aca="false">J1151*(1-K$1139)+J1150*K$1139</f>
        <v>0</v>
      </c>
      <c r="L1151" s="2" t="n">
        <f aca="false">K1151*(1-L$1139)+K1150*L$1139</f>
        <v>0</v>
      </c>
      <c r="M1151" s="2" t="n">
        <f aca="false">L1151*(1-M$1139)+L1150*M$1139</f>
        <v>8.34166780039261E-006</v>
      </c>
      <c r="N1151" s="2" t="n">
        <f aca="false">M1151*(1-N$1139)+M1150*N$1139</f>
        <v>6.22778533324375E-005</v>
      </c>
      <c r="O1151" s="2" t="n">
        <f aca="false">N1151*(1-O$1139)+N1150*O$1139</f>
        <v>6.22778533324375E-005</v>
      </c>
    </row>
    <row r="1152" customFormat="false" ht="15" hidden="false" customHeight="false" outlineLevel="0" collapsed="false">
      <c r="B1152" s="2" t="n">
        <v>12</v>
      </c>
      <c r="C1152" s="2" t="n">
        <f aca="false">0</f>
        <v>0</v>
      </c>
      <c r="D1152" s="2" t="n">
        <f aca="false">C1152*(1-D$1139)+C1151*D$1139</f>
        <v>0</v>
      </c>
      <c r="E1152" s="2" t="n">
        <f aca="false">D1152*(1-E$1139)+D1151*E$1139</f>
        <v>0</v>
      </c>
      <c r="F1152" s="2" t="n">
        <f aca="false">E1152*(1-F$1139)+E1151*F$1139</f>
        <v>0</v>
      </c>
      <c r="G1152" s="2" t="n">
        <f aca="false">F1152*(1-G$1139)+F1151*G$1139</f>
        <v>0</v>
      </c>
      <c r="H1152" s="2" t="n">
        <f aca="false">G1152*(1-H$1139)+G1151*H$1139</f>
        <v>0</v>
      </c>
      <c r="I1152" s="2" t="n">
        <f aca="false">H1152*(1-I$1139)+H1151*I$1139</f>
        <v>0</v>
      </c>
      <c r="J1152" s="2" t="n">
        <f aca="false">I1152*(1-J$1139)+I1151*J$1139</f>
        <v>0</v>
      </c>
      <c r="K1152" s="2" t="n">
        <f aca="false">J1152*(1-K$1139)+J1151*K$1139</f>
        <v>0</v>
      </c>
      <c r="L1152" s="2" t="n">
        <f aca="false">K1152*(1-L$1139)+K1151*L$1139</f>
        <v>0</v>
      </c>
      <c r="M1152" s="2" t="n">
        <f aca="false">L1152*(1-M$1139)+L1151*M$1139</f>
        <v>0</v>
      </c>
      <c r="N1152" s="2" t="n">
        <f aca="false">M1152*(1-N$1139)+M1151*N$1139</f>
        <v>1.64883527131028E-006</v>
      </c>
      <c r="O1152" s="2" t="n">
        <f aca="false">N1152*(1-O$1139)+N1151*O$1139</f>
        <v>1.64883527131028E-006</v>
      </c>
    </row>
    <row r="1153" customFormat="false" ht="15" hidden="false" customHeight="false" outlineLevel="0" collapsed="false">
      <c r="B1153" s="2" t="n">
        <v>13</v>
      </c>
      <c r="C1153" s="2" t="n">
        <f aca="false">0</f>
        <v>0</v>
      </c>
      <c r="D1153" s="2" t="n">
        <f aca="false">C1153*(1-D$1139)+C1152*D$1139</f>
        <v>0</v>
      </c>
      <c r="E1153" s="2" t="n">
        <f aca="false">D1153*(1-E$1139)+D1152*E$1139</f>
        <v>0</v>
      </c>
      <c r="F1153" s="2" t="n">
        <f aca="false">E1153*(1-F$1139)+E1152*F$1139</f>
        <v>0</v>
      </c>
      <c r="G1153" s="2" t="n">
        <f aca="false">F1153*(1-G$1139)+F1152*G$1139</f>
        <v>0</v>
      </c>
      <c r="H1153" s="2" t="n">
        <f aca="false">G1153*(1-H$1139)+G1152*H$1139</f>
        <v>0</v>
      </c>
      <c r="I1153" s="2" t="n">
        <f aca="false">H1153*(1-I$1139)+H1152*I$1139</f>
        <v>0</v>
      </c>
      <c r="J1153" s="2" t="n">
        <f aca="false">I1153*(1-J$1139)+I1152*J$1139</f>
        <v>0</v>
      </c>
      <c r="K1153" s="2" t="n">
        <f aca="false">J1153*(1-K$1139)+J1152*K$1139</f>
        <v>0</v>
      </c>
      <c r="L1153" s="2" t="n">
        <f aca="false">K1153*(1-L$1139)+K1152*L$1139</f>
        <v>0</v>
      </c>
      <c r="M1153" s="2" t="n">
        <f aca="false">L1153*(1-M$1139)+L1152*M$1139</f>
        <v>0</v>
      </c>
      <c r="N1153" s="2" t="n">
        <f aca="false">M1153*(1-N$1139)+M1152*N$1139</f>
        <v>0</v>
      </c>
      <c r="O1153" s="2" t="n">
        <f aca="false">N1153*(1-O$1139)+N1152*O$1139</f>
        <v>0</v>
      </c>
    </row>
    <row r="1155" customFormat="false" ht="15" hidden="false" customHeight="false" outlineLevel="0" collapsed="false">
      <c r="A1155" s="1" t="s">
        <v>130</v>
      </c>
      <c r="C1155" s="2" t="n">
        <f aca="false">Schedule!G74</f>
        <v>0.088507991437402</v>
      </c>
      <c r="D1155" s="2" t="n">
        <f aca="false">Schedule!L74</f>
        <v>0.937146191141748</v>
      </c>
      <c r="E1155" s="2" t="n">
        <f aca="false">Schedule!Q74</f>
        <v>0.769590828396427</v>
      </c>
      <c r="F1155" s="2" t="n">
        <f aca="false">Schedule!V74</f>
        <v>0.84731840616689</v>
      </c>
      <c r="G1155" s="2" t="n">
        <f aca="false">Schedule!AA74</f>
        <v>0.509972518195238</v>
      </c>
      <c r="H1155" s="2" t="n">
        <f aca="false">Schedule!AF74</f>
        <v>0.401293674317076</v>
      </c>
      <c r="I1155" s="2" t="n">
        <f aca="false">Schedule!AK74</f>
        <v>0.386864750968727</v>
      </c>
      <c r="J1155" s="2" t="n">
        <f aca="false">Schedule!AP74</f>
        <v>0.662300575057129</v>
      </c>
      <c r="K1155" s="2" t="n">
        <f aca="false">Schedule!AU74</f>
        <v>0.598706325682924</v>
      </c>
      <c r="L1155" s="2" t="n">
        <f aca="false">Schedule!AZ74</f>
        <v>0.455213484871745</v>
      </c>
      <c r="M1155" s="2" t="n">
        <f aca="false">Schedule!BE74</f>
        <v>0.786329507059644</v>
      </c>
      <c r="N1155" s="2" t="n">
        <f aca="false">Schedule!BJ74</f>
        <v>0.509972518195238</v>
      </c>
      <c r="O1155" s="2" t="n">
        <f aca="false">Schedule!BO74</f>
        <v>0</v>
      </c>
    </row>
    <row r="1156" customFormat="false" ht="15" hidden="false" customHeight="false" outlineLevel="0" collapsed="false">
      <c r="B1156" s="2" t="n">
        <v>0</v>
      </c>
      <c r="C1156" s="2" t="n">
        <f aca="false">1-C$1155</f>
        <v>0.911492008562598</v>
      </c>
      <c r="D1156" s="2" t="n">
        <f aca="false">C1156*(1-D$1155)</f>
        <v>0.0572907444820176</v>
      </c>
      <c r="E1156" s="2" t="n">
        <f aca="false">D1156*(1-E$1155)</f>
        <v>0.0132003129766537</v>
      </c>
      <c r="F1156" s="2" t="n">
        <f aca="false">E1156*(1-F$1155)</f>
        <v>0.00201544482437137</v>
      </c>
      <c r="G1156" s="2" t="n">
        <f aca="false">F1156*(1-G$1155)</f>
        <v>0.000987623352003144</v>
      </c>
      <c r="H1156" s="2" t="n">
        <f aca="false">G1156*(1-H$1155)</f>
        <v>0.000591296348236455</v>
      </c>
      <c r="I1156" s="2" t="n">
        <f aca="false">H1156*(1-I$1155)</f>
        <v>0.000362544633727241</v>
      </c>
      <c r="J1156" s="2" t="n">
        <f aca="false">I1156*(1-J$1155)</f>
        <v>0.000122431114325813</v>
      </c>
      <c r="K1156" s="2" t="n">
        <f aca="false">J1156*(1-K$1155)</f>
        <v>4.91308317185396E-005</v>
      </c>
      <c r="L1156" s="2" t="n">
        <f aca="false">K1156*(1-L$1155)</f>
        <v>2.67658145972959E-005</v>
      </c>
      <c r="M1156" s="2" t="n">
        <f aca="false">L1156*(1-M$1155)</f>
        <v>5.7190647989544E-006</v>
      </c>
      <c r="N1156" s="2" t="n">
        <f aca="false">M1156*(1-N$1155)</f>
        <v>2.80249892170988E-006</v>
      </c>
      <c r="O1156" s="2" t="n">
        <f aca="false">N1156*(1-O$1155)</f>
        <v>2.80249892170988E-006</v>
      </c>
    </row>
    <row r="1157" customFormat="false" ht="15" hidden="false" customHeight="false" outlineLevel="0" collapsed="false">
      <c r="B1157" s="2" t="n">
        <v>1</v>
      </c>
      <c r="C1157" s="2" t="n">
        <f aca="false">C$1155</f>
        <v>0.088507991437402</v>
      </c>
      <c r="D1157" s="2" t="n">
        <f aca="false">C1157*(1-D$1155)+C1156*D$1155</f>
        <v>0.859764328456815</v>
      </c>
      <c r="E1157" s="2" t="n">
        <f aca="false">D1157*(1-E$1155)+D1156*E$1155</f>
        <v>0.242188018199401</v>
      </c>
      <c r="F1157" s="2" t="n">
        <f aca="false">E1157*(1-F$1155)+E1156*F$1155</f>
        <v>0.0481625207782492</v>
      </c>
      <c r="G1157" s="2" t="n">
        <f aca="false">F1157*(1-G$1155)+F1156*G$1155</f>
        <v>0.0246287802467032</v>
      </c>
      <c r="H1157" s="2" t="n">
        <f aca="false">G1157*(1-H$1155)+G1156*H$1155</f>
        <v>0.0151417335313225</v>
      </c>
      <c r="I1157" s="2" t="n">
        <f aca="false">H1157*(1-I$1155)+H1156*I$1155</f>
        <v>0.00951268227400183</v>
      </c>
      <c r="J1157" s="2" t="n">
        <f aca="false">I1157*(1-J$1155)+I1156*J$1155</f>
        <v>0.00345254085299609</v>
      </c>
      <c r="K1157" s="2" t="n">
        <f aca="false">J1157*(1-K$1155)+J1156*K$1155</f>
        <v>0.00145878308723589</v>
      </c>
      <c r="L1157" s="2" t="n">
        <f aca="false">K1157*(1-L$1155)+K1156*L$1155</f>
        <v>0.00081709037154452</v>
      </c>
      <c r="M1157" s="2" t="n">
        <f aca="false">L1157*(1-M$1155)+L1156*M$1155</f>
        <v>0.000195634852263078</v>
      </c>
      <c r="N1157" s="2" t="n">
        <f aca="false">M1157*(1-N$1155)+M1156*N$1155</f>
        <v>9.87830198849672E-005</v>
      </c>
      <c r="O1157" s="2" t="n">
        <f aca="false">N1157*(1-O$1155)+N1156*O$1155</f>
        <v>9.87830198849672E-005</v>
      </c>
    </row>
    <row r="1158" customFormat="false" ht="15" hidden="false" customHeight="false" outlineLevel="0" collapsed="false">
      <c r="B1158" s="2" t="n">
        <v>2</v>
      </c>
      <c r="C1158" s="2" t="n">
        <f aca="false">0</f>
        <v>0</v>
      </c>
      <c r="D1158" s="2" t="n">
        <f aca="false">C1158*(1-D$1155)+C1157*D$1155</f>
        <v>0.0829449270611678</v>
      </c>
      <c r="E1158" s="2" t="n">
        <f aca="false">D1158*(1-E$1155)+D1157*E$1155</f>
        <v>0.68077801369566</v>
      </c>
      <c r="F1158" s="2" t="n">
        <f aca="false">E1158*(1-F$1155)+E1157*F$1155</f>
        <v>0.309152637751027</v>
      </c>
      <c r="G1158" s="2" t="n">
        <f aca="false">F1158*(1-G$1155)+F1157*G$1155</f>
        <v>0.17605485057435</v>
      </c>
      <c r="H1158" s="2" t="n">
        <f aca="false">G1158*(1-H$1155)+G1157*H$1155</f>
        <v>0.115288526425172</v>
      </c>
      <c r="I1158" s="2" t="n">
        <f aca="false">H1158*(1-I$1155)+H1157*I$1155</f>
        <v>0.0765452623319765</v>
      </c>
      <c r="J1158" s="2" t="n">
        <f aca="false">I1158*(1-J$1155)+I1157*J$1155</f>
        <v>0.0321495460120168</v>
      </c>
      <c r="K1158" s="2" t="n">
        <f aca="false">J1158*(1-K$1155)+J1157*K$1155</f>
        <v>0.0149684674951556</v>
      </c>
      <c r="L1158" s="2" t="n">
        <f aca="false">K1158*(1-L$1155)+K1157*L$1155</f>
        <v>0.008818676976309</v>
      </c>
      <c r="M1158" s="2" t="n">
        <f aca="false">L1158*(1-M$1155)+L1157*M$1155</f>
        <v>0.0025267933256895</v>
      </c>
      <c r="N1158" s="2" t="n">
        <f aca="false">M1158*(1-N$1155)+M1157*N$1155</f>
        <v>0.00133796656868406</v>
      </c>
      <c r="O1158" s="2" t="n">
        <f aca="false">N1158*(1-O$1155)+N1157*O$1155</f>
        <v>0.00133796656868406</v>
      </c>
    </row>
    <row r="1159" customFormat="false" ht="15" hidden="false" customHeight="false" outlineLevel="0" collapsed="false">
      <c r="B1159" s="2" t="n">
        <v>3</v>
      </c>
      <c r="C1159" s="2" t="n">
        <f aca="false">0</f>
        <v>0</v>
      </c>
      <c r="D1159" s="2" t="n">
        <f aca="false">C1159*(1-D$1155)+C1158*D$1155</f>
        <v>0</v>
      </c>
      <c r="E1159" s="2" t="n">
        <f aca="false">D1159*(1-E$1155)+D1158*E$1155</f>
        <v>0.0638336551282853</v>
      </c>
      <c r="F1159" s="2" t="n">
        <f aca="false">E1159*(1-F$1155)+E1158*F$1155</f>
        <v>0.586581965723247</v>
      </c>
      <c r="G1159" s="2" t="n">
        <f aca="false">F1159*(1-G$1155)+F1158*G$1155</f>
        <v>0.445100632716041</v>
      </c>
      <c r="H1159" s="2" t="n">
        <f aca="false">G1159*(1-H$1155)+G1158*H$1155</f>
        <v>0.33713426224089</v>
      </c>
      <c r="I1159" s="2" t="n">
        <f aca="false">H1159*(1-I$1155)+H1158*I$1155</f>
        <v>0.251309966901069</v>
      </c>
      <c r="J1159" s="2" t="n">
        <f aca="false">I1159*(1-J$1155)+I1158*J$1155</f>
        <v>0.13556320256527</v>
      </c>
      <c r="K1159" s="2" t="n">
        <f aca="false">J1159*(1-K$1155)+J1158*K$1155</f>
        <v>0.0736487922248358</v>
      </c>
      <c r="L1159" s="2" t="n">
        <f aca="false">K1159*(1-L$1155)+K1158*L$1155</f>
        <v>0.0469367171112325</v>
      </c>
      <c r="M1159" s="2" t="n">
        <f aca="false">L1159*(1-M$1155)+L1158*M$1155</f>
        <v>0.0169633774018584</v>
      </c>
      <c r="N1159" s="2" t="n">
        <f aca="false">M1159*(1-N$1155)+M1158*N$1155</f>
        <v>0.00960111626639726</v>
      </c>
      <c r="O1159" s="2" t="n">
        <f aca="false">N1159*(1-O$1155)+N1158*O$1155</f>
        <v>0.00960111626639726</v>
      </c>
    </row>
    <row r="1160" customFormat="false" ht="15" hidden="false" customHeight="false" outlineLevel="0" collapsed="false">
      <c r="B1160" s="2" t="n">
        <v>4</v>
      </c>
      <c r="C1160" s="2" t="n">
        <f aca="false">0</f>
        <v>0</v>
      </c>
      <c r="D1160" s="2" t="n">
        <f aca="false">C1160*(1-D$1155)+C1159*D$1155</f>
        <v>0</v>
      </c>
      <c r="E1160" s="2" t="n">
        <f aca="false">D1160*(1-E$1155)+D1159*E$1155</f>
        <v>0</v>
      </c>
      <c r="F1160" s="2" t="n">
        <f aca="false">E1160*(1-F$1155)+E1159*F$1155</f>
        <v>0.0540874309231056</v>
      </c>
      <c r="G1160" s="2" t="n">
        <f aca="false">F1160*(1-G$1155)+F1159*G$1155</f>
        <v>0.325645009760336</v>
      </c>
      <c r="H1160" s="2" t="n">
        <f aca="false">G1160*(1-H$1155)+G1159*H$1155</f>
        <v>0.373581795614066</v>
      </c>
      <c r="I1160" s="2" t="n">
        <f aca="false">H1160*(1-I$1155)+H1159*I$1155</f>
        <v>0.359481529692228</v>
      </c>
      <c r="J1160" s="2" t="n">
        <f aca="false">I1160*(1-J$1155)+I1159*J$1155</f>
        <v>0.287839441450815</v>
      </c>
      <c r="K1160" s="2" t="n">
        <f aca="false">J1160*(1-K$1155)+J1159*K$1155</f>
        <v>0.196670693978835</v>
      </c>
      <c r="L1160" s="2" t="n">
        <f aca="false">K1160*(1-L$1155)+K1159*L$1155</f>
        <v>0.140669465365848</v>
      </c>
      <c r="M1160" s="2" t="n">
        <f aca="false">L1160*(1-M$1155)+L1159*M$1155</f>
        <v>0.0669646396354504</v>
      </c>
      <c r="N1160" s="2" t="n">
        <f aca="false">M1160*(1-N$1155)+M1159*N$1155</f>
        <v>0.041465370021245</v>
      </c>
      <c r="O1160" s="2" t="n">
        <f aca="false">N1160*(1-O$1155)+N1159*O$1155</f>
        <v>0.041465370021245</v>
      </c>
    </row>
    <row r="1161" customFormat="false" ht="15" hidden="false" customHeight="false" outlineLevel="0" collapsed="false">
      <c r="B1161" s="2" t="n">
        <v>5</v>
      </c>
      <c r="C1161" s="2" t="n">
        <f aca="false">0</f>
        <v>0</v>
      </c>
      <c r="D1161" s="2" t="n">
        <f aca="false">C1161*(1-D$1155)+C1160*D$1155</f>
        <v>0</v>
      </c>
      <c r="E1161" s="2" t="n">
        <f aca="false">D1161*(1-E$1155)+D1160*E$1155</f>
        <v>0</v>
      </c>
      <c r="F1161" s="2" t="n">
        <f aca="false">E1161*(1-F$1155)+E1160*F$1155</f>
        <v>0</v>
      </c>
      <c r="G1161" s="2" t="n">
        <f aca="false">F1161*(1-G$1155)+F1160*G$1155</f>
        <v>0.0275831033505672</v>
      </c>
      <c r="H1161" s="2" t="n">
        <f aca="false">G1161*(1-H$1155)+G1160*H$1155</f>
        <v>0.147193460947696</v>
      </c>
      <c r="I1161" s="2" t="n">
        <f aca="false">H1161*(1-I$1155)+H1160*I$1155</f>
        <v>0.234775127660626</v>
      </c>
      <c r="J1161" s="2" t="n">
        <f aca="false">I1161*(1-J$1155)+I1160*J$1155</f>
        <v>0.317368249439461</v>
      </c>
      <c r="K1161" s="2" t="n">
        <f aca="false">J1161*(1-K$1155)+J1160*K$1155</f>
        <v>0.299689165306782</v>
      </c>
      <c r="L1161" s="2" t="n">
        <f aca="false">K1161*(1-L$1155)+K1160*L$1155</f>
        <v>0.252793767967427</v>
      </c>
      <c r="M1161" s="2" t="n">
        <f aca="false">L1161*(1-M$1155)+L1160*M$1155</f>
        <v>0.164627120373321</v>
      </c>
      <c r="N1161" s="2" t="n">
        <f aca="false">M1161*(1-N$1155)+M1160*N$1155</f>
        <v>0.114821939138235</v>
      </c>
      <c r="O1161" s="2" t="n">
        <f aca="false">N1161*(1-O$1155)+N1160*O$1155</f>
        <v>0.114821939138235</v>
      </c>
    </row>
    <row r="1162" customFormat="false" ht="15" hidden="false" customHeight="false" outlineLevel="0" collapsed="false">
      <c r="B1162" s="2" t="n">
        <v>6</v>
      </c>
      <c r="C1162" s="2" t="n">
        <f aca="false">0</f>
        <v>0</v>
      </c>
      <c r="D1162" s="2" t="n">
        <f aca="false">C1162*(1-D$1155)+C1161*D$1155</f>
        <v>0</v>
      </c>
      <c r="E1162" s="2" t="n">
        <f aca="false">D1162*(1-E$1155)+D1161*E$1155</f>
        <v>0</v>
      </c>
      <c r="F1162" s="2" t="n">
        <f aca="false">E1162*(1-F$1155)+E1161*F$1155</f>
        <v>0</v>
      </c>
      <c r="G1162" s="2" t="n">
        <f aca="false">F1162*(1-G$1155)+F1161*G$1155</f>
        <v>0</v>
      </c>
      <c r="H1162" s="2" t="n">
        <f aca="false">G1162*(1-H$1155)+G1161*H$1155</f>
        <v>0.0110689248926168</v>
      </c>
      <c r="I1162" s="2" t="n">
        <f aca="false">H1162*(1-I$1155)+H1161*I$1155</f>
        <v>0.0637307096342984</v>
      </c>
      <c r="J1162" s="2" t="n">
        <f aca="false">I1162*(1-J$1155)+I1161*J$1155</f>
        <v>0.177013526053447</v>
      </c>
      <c r="K1162" s="2" t="n">
        <f aca="false">J1162*(1-K$1155)+J1161*K$1155</f>
        <v>0.261044786784131</v>
      </c>
      <c r="L1162" s="2" t="n">
        <f aca="false">K1162*(1-L$1155)+K1161*L$1155</f>
        <v>0.27863622900213</v>
      </c>
      <c r="M1162" s="2" t="n">
        <f aca="false">L1162*(1-M$1155)+L1161*M$1155</f>
        <v>0.258315539355504</v>
      </c>
      <c r="N1162" s="2" t="n">
        <f aca="false">M1162*(1-N$1155)+M1161*N$1155</f>
        <v>0.21053702040143</v>
      </c>
      <c r="O1162" s="2" t="n">
        <f aca="false">N1162*(1-O$1155)+N1161*O$1155</f>
        <v>0.21053702040143</v>
      </c>
    </row>
    <row r="1163" customFormat="false" ht="15" hidden="false" customHeight="false" outlineLevel="0" collapsed="false">
      <c r="B1163" s="2" t="n">
        <v>7</v>
      </c>
      <c r="C1163" s="2" t="n">
        <f aca="false">0</f>
        <v>0</v>
      </c>
      <c r="D1163" s="2" t="n">
        <f aca="false">C1163*(1-D$1155)+C1162*D$1155</f>
        <v>0</v>
      </c>
      <c r="E1163" s="2" t="n">
        <f aca="false">D1163*(1-E$1155)+D1162*E$1155</f>
        <v>0</v>
      </c>
      <c r="F1163" s="2" t="n">
        <f aca="false">E1163*(1-F$1155)+E1162*F$1155</f>
        <v>0</v>
      </c>
      <c r="G1163" s="2" t="n">
        <f aca="false">F1163*(1-G$1155)+F1162*G$1155</f>
        <v>0</v>
      </c>
      <c r="H1163" s="2" t="n">
        <f aca="false">G1163*(1-H$1155)+G1162*H$1155</f>
        <v>0</v>
      </c>
      <c r="I1163" s="2" t="n">
        <f aca="false">H1163*(1-I$1155)+H1162*I$1155</f>
        <v>0.00428217687207372</v>
      </c>
      <c r="J1163" s="2" t="n">
        <f aca="false">I1163*(1-J$1155)+I1162*J$1155</f>
        <v>0.0436549743067977</v>
      </c>
      <c r="K1163" s="2" t="n">
        <f aca="false">J1163*(1-K$1155)+J1162*K$1155</f>
        <v>0.12349758282143</v>
      </c>
      <c r="L1163" s="2" t="n">
        <f aca="false">K1163*(1-L$1155)+K1162*L$1155</f>
        <v>0.186110924871656</v>
      </c>
      <c r="M1163" s="2" t="n">
        <f aca="false">L1163*(1-M$1155)+L1162*M$1155</f>
        <v>0.258866301659115</v>
      </c>
      <c r="N1163" s="2" t="n">
        <f aca="false">M1163*(1-N$1155)+M1162*N$1155</f>
        <v>0.258585428020216</v>
      </c>
      <c r="O1163" s="2" t="n">
        <f aca="false">N1163*(1-O$1155)+N1162*O$1155</f>
        <v>0.258585428020216</v>
      </c>
    </row>
    <row r="1164" customFormat="false" ht="15" hidden="false" customHeight="false" outlineLevel="0" collapsed="false">
      <c r="B1164" s="2" t="n">
        <v>8</v>
      </c>
      <c r="C1164" s="2" t="n">
        <f aca="false">0</f>
        <v>0</v>
      </c>
      <c r="D1164" s="2" t="n">
        <f aca="false">C1164*(1-D$1155)+C1163*D$1155</f>
        <v>0</v>
      </c>
      <c r="E1164" s="2" t="n">
        <f aca="false">D1164*(1-E$1155)+D1163*E$1155</f>
        <v>0</v>
      </c>
      <c r="F1164" s="2" t="n">
        <f aca="false">E1164*(1-F$1155)+E1163*F$1155</f>
        <v>0</v>
      </c>
      <c r="G1164" s="2" t="n">
        <f aca="false">F1164*(1-G$1155)+F1163*G$1155</f>
        <v>0</v>
      </c>
      <c r="H1164" s="2" t="n">
        <f aca="false">G1164*(1-H$1155)+G1163*H$1155</f>
        <v>0</v>
      </c>
      <c r="I1164" s="2" t="n">
        <f aca="false">H1164*(1-I$1155)+H1163*I$1155</f>
        <v>0</v>
      </c>
      <c r="J1164" s="2" t="n">
        <f aca="false">I1164*(1-J$1155)+I1163*J$1155</f>
        <v>0.00283608820487076</v>
      </c>
      <c r="K1164" s="2" t="n">
        <f aca="false">J1164*(1-K$1155)+J1163*K$1155</f>
        <v>0.0272746135214252</v>
      </c>
      <c r="L1164" s="2" t="n">
        <f aca="false">K1164*(1-L$1155)+K1163*L$1155</f>
        <v>0.0710766067011874</v>
      </c>
      <c r="M1164" s="2" t="n">
        <f aca="false">L1164*(1-M$1155)+L1163*M$1155</f>
        <v>0.161531485403114</v>
      </c>
      <c r="N1164" s="2" t="n">
        <f aca="false">M1164*(1-N$1155)+M1163*N$1155</f>
        <v>0.211169566757258</v>
      </c>
      <c r="O1164" s="2" t="n">
        <f aca="false">N1164*(1-O$1155)+N1163*O$1155</f>
        <v>0.211169566757258</v>
      </c>
    </row>
    <row r="1165" customFormat="false" ht="15" hidden="false" customHeight="false" outlineLevel="0" collapsed="false">
      <c r="B1165" s="2" t="n">
        <v>9</v>
      </c>
      <c r="C1165" s="2" t="n">
        <f aca="false">0</f>
        <v>0</v>
      </c>
      <c r="D1165" s="2" t="n">
        <f aca="false">C1165*(1-D$1155)+C1164*D$1155</f>
        <v>0</v>
      </c>
      <c r="E1165" s="2" t="n">
        <f aca="false">D1165*(1-E$1155)+D1164*E$1155</f>
        <v>0</v>
      </c>
      <c r="F1165" s="2" t="n">
        <f aca="false">E1165*(1-F$1155)+E1164*F$1155</f>
        <v>0</v>
      </c>
      <c r="G1165" s="2" t="n">
        <f aca="false">F1165*(1-G$1155)+F1164*G$1155</f>
        <v>0</v>
      </c>
      <c r="H1165" s="2" t="n">
        <f aca="false">G1165*(1-H$1155)+G1164*H$1155</f>
        <v>0</v>
      </c>
      <c r="I1165" s="2" t="n">
        <f aca="false">H1165*(1-I$1155)+H1164*I$1155</f>
        <v>0</v>
      </c>
      <c r="J1165" s="2" t="n">
        <f aca="false">I1165*(1-J$1155)+I1164*J$1155</f>
        <v>0</v>
      </c>
      <c r="K1165" s="2" t="n">
        <f aca="false">J1165*(1-K$1155)+J1164*K$1155</f>
        <v>0.00169798394845085</v>
      </c>
      <c r="L1165" s="2" t="n">
        <f aca="false">K1165*(1-L$1155)+K1164*L$1155</f>
        <v>0.0133408106276382</v>
      </c>
      <c r="M1165" s="2" t="n">
        <f aca="false">L1165*(1-M$1155)+L1164*M$1155</f>
        <v>0.0587401706938482</v>
      </c>
      <c r="N1165" s="2" t="n">
        <f aca="false">M1165*(1-N$1155)+M1164*N$1155</f>
        <v>0.111160916304732</v>
      </c>
      <c r="O1165" s="2" t="n">
        <f aca="false">N1165*(1-O$1155)+N1164*O$1155</f>
        <v>0.111160916304732</v>
      </c>
    </row>
    <row r="1166" customFormat="false" ht="15" hidden="false" customHeight="false" outlineLevel="0" collapsed="false">
      <c r="B1166" s="2" t="n">
        <v>10</v>
      </c>
      <c r="C1166" s="2" t="n">
        <f aca="false">0</f>
        <v>0</v>
      </c>
      <c r="D1166" s="2" t="n">
        <f aca="false">C1166*(1-D$1155)+C1165*D$1155</f>
        <v>0</v>
      </c>
      <c r="E1166" s="2" t="n">
        <f aca="false">D1166*(1-E$1155)+D1165*E$1155</f>
        <v>0</v>
      </c>
      <c r="F1166" s="2" t="n">
        <f aca="false">E1166*(1-F$1155)+E1165*F$1155</f>
        <v>0</v>
      </c>
      <c r="G1166" s="2" t="n">
        <f aca="false">F1166*(1-G$1155)+F1165*G$1155</f>
        <v>0</v>
      </c>
      <c r="H1166" s="2" t="n">
        <f aca="false">G1166*(1-H$1155)+G1165*H$1155</f>
        <v>0</v>
      </c>
      <c r="I1166" s="2" t="n">
        <f aca="false">H1166*(1-I$1155)+H1165*I$1155</f>
        <v>0</v>
      </c>
      <c r="J1166" s="2" t="n">
        <f aca="false">I1166*(1-J$1155)+I1165*J$1155</f>
        <v>0</v>
      </c>
      <c r="K1166" s="2" t="n">
        <f aca="false">J1166*(1-K$1155)+J1165*K$1155</f>
        <v>0</v>
      </c>
      <c r="L1166" s="2" t="n">
        <f aca="false">K1166*(1-L$1155)+K1165*L$1155</f>
        <v>0.000772945190430599</v>
      </c>
      <c r="M1166" s="2" t="n">
        <f aca="false">L1166*(1-M$1155)+L1165*M$1155</f>
        <v>0.010655428624462</v>
      </c>
      <c r="N1166" s="2" t="n">
        <f aca="false">M1166*(1-N$1155)+M1165*N$1155</f>
        <v>0.0351773256243554</v>
      </c>
      <c r="O1166" s="2" t="n">
        <f aca="false">N1166*(1-O$1155)+N1165*O$1155</f>
        <v>0.0351773256243554</v>
      </c>
    </row>
    <row r="1167" customFormat="false" ht="15" hidden="false" customHeight="false" outlineLevel="0" collapsed="false">
      <c r="B1167" s="2" t="n">
        <v>11</v>
      </c>
      <c r="C1167" s="2" t="n">
        <f aca="false">0</f>
        <v>0</v>
      </c>
      <c r="D1167" s="2" t="n">
        <f aca="false">C1167*(1-D$1155)+C1166*D$1155</f>
        <v>0</v>
      </c>
      <c r="E1167" s="2" t="n">
        <f aca="false">D1167*(1-E$1155)+D1166*E$1155</f>
        <v>0</v>
      </c>
      <c r="F1167" s="2" t="n">
        <f aca="false">E1167*(1-F$1155)+E1166*F$1155</f>
        <v>0</v>
      </c>
      <c r="G1167" s="2" t="n">
        <f aca="false">F1167*(1-G$1155)+F1166*G$1155</f>
        <v>0</v>
      </c>
      <c r="H1167" s="2" t="n">
        <f aca="false">G1167*(1-H$1155)+G1166*H$1155</f>
        <v>0</v>
      </c>
      <c r="I1167" s="2" t="n">
        <f aca="false">H1167*(1-I$1155)+H1166*I$1155</f>
        <v>0</v>
      </c>
      <c r="J1167" s="2" t="n">
        <f aca="false">I1167*(1-J$1155)+I1166*J$1155</f>
        <v>0</v>
      </c>
      <c r="K1167" s="2" t="n">
        <f aca="false">J1167*(1-K$1155)+J1166*K$1155</f>
        <v>0</v>
      </c>
      <c r="L1167" s="2" t="n">
        <f aca="false">K1167*(1-L$1155)+K1166*L$1155</f>
        <v>0</v>
      </c>
      <c r="M1167" s="2" t="n">
        <f aca="false">L1167*(1-M$1155)+L1166*M$1155</f>
        <v>0.000607789610575415</v>
      </c>
      <c r="N1167" s="2" t="n">
        <f aca="false">M1167*(1-N$1155)+M1166*N$1155</f>
        <v>0.00573180938040388</v>
      </c>
      <c r="O1167" s="2" t="n">
        <f aca="false">N1167*(1-O$1155)+N1166*O$1155</f>
        <v>0.00573180938040388</v>
      </c>
    </row>
    <row r="1168" customFormat="false" ht="15" hidden="false" customHeight="false" outlineLevel="0" collapsed="false">
      <c r="B1168" s="2" t="n">
        <v>12</v>
      </c>
      <c r="C1168" s="2" t="n">
        <f aca="false">0</f>
        <v>0</v>
      </c>
      <c r="D1168" s="2" t="n">
        <f aca="false">C1168*(1-D$1155)+C1167*D$1155</f>
        <v>0</v>
      </c>
      <c r="E1168" s="2" t="n">
        <f aca="false">D1168*(1-E$1155)+D1167*E$1155</f>
        <v>0</v>
      </c>
      <c r="F1168" s="2" t="n">
        <f aca="false">E1168*(1-F$1155)+E1167*F$1155</f>
        <v>0</v>
      </c>
      <c r="G1168" s="2" t="n">
        <f aca="false">F1168*(1-G$1155)+F1167*G$1155</f>
        <v>0</v>
      </c>
      <c r="H1168" s="2" t="n">
        <f aca="false">G1168*(1-H$1155)+G1167*H$1155</f>
        <v>0</v>
      </c>
      <c r="I1168" s="2" t="n">
        <f aca="false">H1168*(1-I$1155)+H1167*I$1155</f>
        <v>0</v>
      </c>
      <c r="J1168" s="2" t="n">
        <f aca="false">I1168*(1-J$1155)+I1167*J$1155</f>
        <v>0</v>
      </c>
      <c r="K1168" s="2" t="n">
        <f aca="false">J1168*(1-K$1155)+J1167*K$1155</f>
        <v>0</v>
      </c>
      <c r="L1168" s="2" t="n">
        <f aca="false">K1168*(1-L$1155)+K1167*L$1155</f>
        <v>0</v>
      </c>
      <c r="M1168" s="2" t="n">
        <f aca="false">L1168*(1-M$1155)+L1167*M$1155</f>
        <v>0</v>
      </c>
      <c r="N1168" s="2" t="n">
        <f aca="false">M1168*(1-N$1155)+M1167*N$1155</f>
        <v>0.000309955998238048</v>
      </c>
      <c r="O1168" s="2" t="n">
        <f aca="false">N1168*(1-O$1155)+N1167*O$1155</f>
        <v>0.000309955998238048</v>
      </c>
    </row>
    <row r="1169" customFormat="false" ht="15" hidden="false" customHeight="false" outlineLevel="0" collapsed="false">
      <c r="B1169" s="2" t="n">
        <v>13</v>
      </c>
      <c r="C1169" s="2" t="n">
        <f aca="false">0</f>
        <v>0</v>
      </c>
      <c r="D1169" s="2" t="n">
        <f aca="false">C1169*(1-D$1155)+C1168*D$1155</f>
        <v>0</v>
      </c>
      <c r="E1169" s="2" t="n">
        <f aca="false">D1169*(1-E$1155)+D1168*E$1155</f>
        <v>0</v>
      </c>
      <c r="F1169" s="2" t="n">
        <f aca="false">E1169*(1-F$1155)+E1168*F$1155</f>
        <v>0</v>
      </c>
      <c r="G1169" s="2" t="n">
        <f aca="false">F1169*(1-G$1155)+F1168*G$1155</f>
        <v>0</v>
      </c>
      <c r="H1169" s="2" t="n">
        <f aca="false">G1169*(1-H$1155)+G1168*H$1155</f>
        <v>0</v>
      </c>
      <c r="I1169" s="2" t="n">
        <f aca="false">H1169*(1-I$1155)+H1168*I$1155</f>
        <v>0</v>
      </c>
      <c r="J1169" s="2" t="n">
        <f aca="false">I1169*(1-J$1155)+I1168*J$1155</f>
        <v>0</v>
      </c>
      <c r="K1169" s="2" t="n">
        <f aca="false">J1169*(1-K$1155)+J1168*K$1155</f>
        <v>0</v>
      </c>
      <c r="L1169" s="2" t="n">
        <f aca="false">K1169*(1-L$1155)+K1168*L$1155</f>
        <v>0</v>
      </c>
      <c r="M1169" s="2" t="n">
        <f aca="false">L1169*(1-M$1155)+L1168*M$1155</f>
        <v>0</v>
      </c>
      <c r="N1169" s="2" t="n">
        <f aca="false">M1169*(1-N$1155)+M1168*N$1155</f>
        <v>0</v>
      </c>
      <c r="O1169" s="2" t="n">
        <f aca="false">N1169*(1-O$1155)+N1168*O$1155</f>
        <v>0</v>
      </c>
    </row>
    <row r="1171" customFormat="false" ht="15" hidden="false" customHeight="false" outlineLevel="0" collapsed="false">
      <c r="A1171" s="1" t="s">
        <v>131</v>
      </c>
      <c r="C1171" s="2" t="n">
        <f aca="false">Schedule!G75</f>
        <v>0.83052702783228</v>
      </c>
      <c r="D1171" s="2" t="n">
        <f aca="false">Schedule!L75</f>
        <v>0.455213484871745</v>
      </c>
      <c r="E1171" s="2" t="n">
        <f aca="false">Schedule!Q75</f>
        <v>0.997444869669572</v>
      </c>
      <c r="F1171" s="2" t="n">
        <f aca="false">Schedule!V75</f>
        <v>0.750162117528223</v>
      </c>
      <c r="G1171" s="2" t="n">
        <f aca="false">Schedule!AA75</f>
        <v>0.731959467197592</v>
      </c>
      <c r="H1171" s="2" t="n">
        <f aca="false">Schedule!AF75</f>
        <v>0.423185819619029</v>
      </c>
      <c r="I1171" s="2" t="n">
        <f aca="false">Schedule!AK75</f>
        <v>0.926470740390352</v>
      </c>
      <c r="J1171" s="2" t="n">
        <f aca="false">Schedule!AP75</f>
        <v>0.873636334484589</v>
      </c>
      <c r="K1171" s="2" t="n">
        <f aca="false">Schedule!AU75</f>
        <v>0.452736711249588</v>
      </c>
      <c r="L1171" s="2" t="n">
        <f aca="false">Schedule!AZ75</f>
        <v>0.512464917434377</v>
      </c>
      <c r="M1171" s="2" t="n">
        <f aca="false">Schedule!BE75</f>
        <v>0.547263288750412</v>
      </c>
      <c r="N1171" s="2" t="n">
        <f aca="false">Schedule!BJ75</f>
        <v>0.625041951918781</v>
      </c>
      <c r="O1171" s="2" t="n">
        <f aca="false">Schedule!BO75</f>
        <v>0</v>
      </c>
    </row>
    <row r="1172" customFormat="false" ht="15" hidden="false" customHeight="false" outlineLevel="0" collapsed="false">
      <c r="B1172" s="2" t="n">
        <v>0</v>
      </c>
      <c r="C1172" s="2" t="n">
        <f aca="false">1-C$1171</f>
        <v>0.16947297216772</v>
      </c>
      <c r="D1172" s="2" t="n">
        <f aca="false">C1172*(1-D$1171)</f>
        <v>0.0923265899156798</v>
      </c>
      <c r="E1172" s="2" t="n">
        <f aca="false">D1172*(1-E$1171)</f>
        <v>0.000235906470198539</v>
      </c>
      <c r="F1172" s="2" t="n">
        <f aca="false">E1172*(1-F$1171)</f>
        <v>5.89383729757944E-005</v>
      </c>
      <c r="G1172" s="2" t="n">
        <f aca="false">F1172*(1-G$1171)</f>
        <v>1.5797872894939E-005</v>
      </c>
      <c r="H1172" s="2" t="n">
        <f aca="false">G1172*(1-H$1171)</f>
        <v>9.11243710565698E-006</v>
      </c>
      <c r="I1172" s="2" t="n">
        <f aca="false">H1172*(1-I$1171)</f>
        <v>6.70030753618445E-007</v>
      </c>
      <c r="J1172" s="2" t="n">
        <f aca="false">I1172*(1-J$1171)</f>
        <v>8.46675420352801E-008</v>
      </c>
      <c r="K1172" s="2" t="n">
        <f aca="false">J1172*(1-K$1171)</f>
        <v>4.63354375046411E-008</v>
      </c>
      <c r="L1172" s="2" t="n">
        <f aca="false">K1172*(1-L$1171)</f>
        <v>2.25901513495395E-008</v>
      </c>
      <c r="M1172" s="2" t="n">
        <f aca="false">L1172*(1-M$1171)</f>
        <v>1.02273908286209E-008</v>
      </c>
      <c r="N1172" s="2" t="n">
        <f aca="false">M1172*(1-N$1171)</f>
        <v>3.83484250206347E-009</v>
      </c>
      <c r="O1172" s="2" t="n">
        <f aca="false">N1172*(1-O$1171)</f>
        <v>3.83484250206347E-009</v>
      </c>
    </row>
    <row r="1173" customFormat="false" ht="15" hidden="false" customHeight="false" outlineLevel="0" collapsed="false">
      <c r="B1173" s="2" t="n">
        <v>1</v>
      </c>
      <c r="C1173" s="2" t="n">
        <f aca="false">C$1171</f>
        <v>0.83052702783228</v>
      </c>
      <c r="D1173" s="2" t="n">
        <f aca="false">C1173*(1-D$1171)+C1172*D$1171</f>
        <v>0.529606307464615</v>
      </c>
      <c r="E1173" s="2" t="n">
        <f aca="false">D1173*(1-E$1171)+D1172*E$1171</f>
        <v>0.09344389658487</v>
      </c>
      <c r="F1173" s="2" t="n">
        <f aca="false">E1173*(1-F$1171)+E1172*F$1171</f>
        <v>0.0235227933498984</v>
      </c>
      <c r="G1173" s="2" t="n">
        <f aca="false">F1173*(1-G$1171)+F1172*G$1171</f>
        <v>0.00634820256258855</v>
      </c>
      <c r="H1173" s="2" t="n">
        <f aca="false">G1173*(1-H$1171)+G1172*H$1171</f>
        <v>0.00366841869382118</v>
      </c>
      <c r="I1173" s="2" t="n">
        <f aca="false">H1173*(1-I$1171)+H1172*I$1171</f>
        <v>0.000278178516846903</v>
      </c>
      <c r="J1173" s="2" t="n">
        <f aca="false">I1173*(1-J$1171)+I1172*J$1171</f>
        <v>3.57370202679984E-005</v>
      </c>
      <c r="K1173" s="2" t="n">
        <f aca="false">J1173*(1-K$1171)+J1172*K$1171</f>
        <v>1.95958913465356E-005</v>
      </c>
      <c r="L1173" s="2" t="n">
        <f aca="false">K1173*(1-L$1171)+K1172*L$1171</f>
        <v>9.5774297917353E-006</v>
      </c>
      <c r="M1173" s="2" t="n">
        <f aca="false">L1173*(1-M$1171)+L1172*M$1171</f>
        <v>4.34841682665498E-006</v>
      </c>
      <c r="N1173" s="2" t="n">
        <f aca="false">M1173*(1-N$1171)+M1172*N$1171</f>
        <v>1.63686643389264E-006</v>
      </c>
      <c r="O1173" s="2" t="n">
        <f aca="false">N1173*(1-O$1171)+N1172*O$1171</f>
        <v>1.63686643389264E-006</v>
      </c>
    </row>
    <row r="1174" customFormat="false" ht="15" hidden="false" customHeight="false" outlineLevel="0" collapsed="false">
      <c r="B1174" s="2" t="n">
        <v>2</v>
      </c>
      <c r="C1174" s="2" t="n">
        <f aca="false">0</f>
        <v>0</v>
      </c>
      <c r="D1174" s="2" t="n">
        <f aca="false">C1174*(1-D$1171)+C1173*D$1171</f>
        <v>0.378067102619705</v>
      </c>
      <c r="E1174" s="2" t="n">
        <f aca="false">D1174*(1-E$1171)+D1173*E$1171</f>
        <v>0.529219105046067</v>
      </c>
      <c r="F1174" s="2" t="n">
        <f aca="false">E1174*(1-F$1171)+E1173*F$1171</f>
        <v>0.202317051900513</v>
      </c>
      <c r="G1174" s="2" t="n">
        <f aca="false">F1174*(1-G$1171)+F1173*G$1171</f>
        <v>0.0714469016738165</v>
      </c>
      <c r="H1174" s="2" t="n">
        <f aca="false">G1174*(1-H$1171)+G1173*H$1171</f>
        <v>0.0438980553342989</v>
      </c>
      <c r="I1174" s="2" t="n">
        <f aca="false">H1174*(1-I$1171)+H1173*I$1171</f>
        <v>0.00662647409036069</v>
      </c>
      <c r="J1174" s="2" t="n">
        <f aca="false">I1174*(1-J$1171)+I1173*J$1171</f>
        <v>0.00108037241529136</v>
      </c>
      <c r="K1174" s="2" t="n">
        <f aca="false">J1174*(1-K$1171)+J1173*K$1171</f>
        <v>0.000607427622093572</v>
      </c>
      <c r="L1174" s="2" t="n">
        <f aca="false">K1174*(1-L$1171)+K1173*L$1171</f>
        <v>0.000306184482730985</v>
      </c>
      <c r="M1174" s="2" t="n">
        <f aca="false">L1174*(1-M$1171)+L1173*M$1171</f>
        <v>0.000143862331472884</v>
      </c>
      <c r="N1174" s="2" t="n">
        <f aca="false">M1174*(1-N$1171)+M1173*N$1171</f>
        <v>5.66602819425746E-005</v>
      </c>
      <c r="O1174" s="2" t="n">
        <f aca="false">N1174*(1-O$1171)+N1173*O$1171</f>
        <v>5.66602819425746E-005</v>
      </c>
    </row>
    <row r="1175" customFormat="false" ht="15" hidden="false" customHeight="false" outlineLevel="0" collapsed="false">
      <c r="B1175" s="2" t="n">
        <v>3</v>
      </c>
      <c r="C1175" s="2" t="n">
        <f aca="false">0</f>
        <v>0</v>
      </c>
      <c r="D1175" s="2" t="n">
        <f aca="false">C1175*(1-D$1171)+C1174*D$1171</f>
        <v>0</v>
      </c>
      <c r="E1175" s="2" t="n">
        <f aca="false">D1175*(1-E$1171)+D1174*E$1171</f>
        <v>0.377101091898864</v>
      </c>
      <c r="F1175" s="2" t="n">
        <f aca="false">E1175*(1-F$1171)+E1174*F$1171</f>
        <v>0.491214262755556</v>
      </c>
      <c r="G1175" s="2" t="n">
        <f aca="false">F1175*(1-G$1171)+F1174*G$1171</f>
        <v>0.279753214223228</v>
      </c>
      <c r="H1175" s="2" t="n">
        <f aca="false">G1175*(1-H$1171)+G1174*H$1171</f>
        <v>0.191600936615188</v>
      </c>
      <c r="I1175" s="2" t="n">
        <f aca="false">H1175*(1-I$1171)+H1174*I$1171</f>
        <v>0.0547585388370945</v>
      </c>
      <c r="J1175" s="2" t="n">
        <f aca="false">I1175*(1-J$1171)+I1174*J$1171</f>
        <v>0.0127086182205831</v>
      </c>
      <c r="K1175" s="2" t="n">
        <f aca="false">J1175*(1-K$1171)+J1174*K$1171</f>
        <v>0.00744408445709349</v>
      </c>
      <c r="L1175" s="2" t="n">
        <f aca="false">K1175*(1-L$1171)+K1174*L$1171</f>
        <v>0.00394053767661809</v>
      </c>
      <c r="M1175" s="2" t="n">
        <f aca="false">L1175*(1-M$1171)+L1174*M$1171</f>
        <v>0.00195158959525087</v>
      </c>
      <c r="N1175" s="2" t="n">
        <f aca="false">M1175*(1-N$1171)+M1174*N$1171</f>
        <v>0.000821684217762279</v>
      </c>
      <c r="O1175" s="2" t="n">
        <f aca="false">N1175*(1-O$1171)+N1174*O$1171</f>
        <v>0.000821684217762279</v>
      </c>
    </row>
    <row r="1176" customFormat="false" ht="15" hidden="false" customHeight="false" outlineLevel="0" collapsed="false">
      <c r="B1176" s="2" t="n">
        <v>4</v>
      </c>
      <c r="C1176" s="2" t="n">
        <f aca="false">0</f>
        <v>0</v>
      </c>
      <c r="D1176" s="2" t="n">
        <f aca="false">C1176*(1-D$1171)+C1175*D$1171</f>
        <v>0</v>
      </c>
      <c r="E1176" s="2" t="n">
        <f aca="false">D1176*(1-E$1171)+D1175*E$1171</f>
        <v>0</v>
      </c>
      <c r="F1176" s="2" t="n">
        <f aca="false">E1176*(1-F$1171)+E1175*F$1171</f>
        <v>0.282886953621057</v>
      </c>
      <c r="G1176" s="2" t="n">
        <f aca="false">F1176*(1-G$1171)+F1175*G$1171</f>
        <v>0.435374099817853</v>
      </c>
      <c r="H1176" s="2" t="n">
        <f aca="false">G1176*(1-H$1171)+G1175*H$1171</f>
        <v>0.369517547797652</v>
      </c>
      <c r="I1176" s="2" t="n">
        <f aca="false">H1176*(1-I$1171)+H1175*I$1171</f>
        <v>0.204683013307692</v>
      </c>
      <c r="J1176" s="2" t="n">
        <f aca="false">I1176*(1-J$1171)+I1175*J$1171</f>
        <v>0.0737035449816709</v>
      </c>
      <c r="K1176" s="2" t="n">
        <f aca="false">J1176*(1-K$1171)+J1175*K$1171</f>
        <v>0.0460889024369465</v>
      </c>
      <c r="L1176" s="2" t="n">
        <f aca="false">K1176*(1-L$1171)+K1175*L$1171</f>
        <v>0.0262847889816346</v>
      </c>
      <c r="M1176" s="2" t="n">
        <f aca="false">L1176*(1-M$1171)+L1175*M$1171</f>
        <v>0.0140566005277856</v>
      </c>
      <c r="N1176" s="2" t="n">
        <f aca="false">M1176*(1-N$1171)+M1175*N$1171</f>
        <v>0.00649046086651589</v>
      </c>
      <c r="O1176" s="2" t="n">
        <f aca="false">N1176*(1-O$1171)+N1175*O$1171</f>
        <v>0.00649046086651589</v>
      </c>
    </row>
    <row r="1177" customFormat="false" ht="15" hidden="false" customHeight="false" outlineLevel="0" collapsed="false">
      <c r="B1177" s="2" t="n">
        <v>5</v>
      </c>
      <c r="C1177" s="2" t="n">
        <f aca="false">0</f>
        <v>0</v>
      </c>
      <c r="D1177" s="2" t="n">
        <f aca="false">C1177*(1-D$1171)+C1176*D$1171</f>
        <v>0</v>
      </c>
      <c r="E1177" s="2" t="n">
        <f aca="false">D1177*(1-E$1171)+D1176*E$1171</f>
        <v>0</v>
      </c>
      <c r="F1177" s="2" t="n">
        <f aca="false">E1177*(1-F$1171)+E1176*F$1171</f>
        <v>0</v>
      </c>
      <c r="G1177" s="2" t="n">
        <f aca="false">F1177*(1-G$1171)+F1176*G$1171</f>
        <v>0.207061783849619</v>
      </c>
      <c r="H1177" s="2" t="n">
        <f aca="false">G1177*(1-H$1171)+G1176*H$1171</f>
        <v>0.303680318411755</v>
      </c>
      <c r="I1177" s="2" t="n">
        <f aca="false">H1177*(1-I$1171)+H1176*I$1171</f>
        <v>0.364676585066157</v>
      </c>
      <c r="J1177" s="2" t="n">
        <f aca="false">I1177*(1-J$1171)+I1176*J$1171</f>
        <v>0.224900387493995</v>
      </c>
      <c r="K1177" s="2" t="n">
        <f aca="false">J1177*(1-K$1171)+J1176*K$1171</f>
        <v>0.156448026263643</v>
      </c>
      <c r="L1177" s="2" t="n">
        <f aca="false">K1177*(1-L$1171)+K1176*L$1171</f>
        <v>0.0998928469836649</v>
      </c>
      <c r="M1177" s="2" t="n">
        <f aca="false">L1177*(1-M$1171)+L1176*M$1171</f>
        <v>0.0596098590829427</v>
      </c>
      <c r="N1177" s="2" t="n">
        <f aca="false">M1177*(1-N$1171)+M1176*N$1171</f>
        <v>0.0311371614393664</v>
      </c>
      <c r="O1177" s="2" t="n">
        <f aca="false">N1177*(1-O$1171)+N1176*O$1171</f>
        <v>0.0311371614393664</v>
      </c>
    </row>
    <row r="1178" customFormat="false" ht="15" hidden="false" customHeight="false" outlineLevel="0" collapsed="false">
      <c r="B1178" s="2" t="n">
        <v>6</v>
      </c>
      <c r="C1178" s="2" t="n">
        <f aca="false">0</f>
        <v>0</v>
      </c>
      <c r="D1178" s="2" t="n">
        <f aca="false">C1178*(1-D$1171)+C1177*D$1171</f>
        <v>0</v>
      </c>
      <c r="E1178" s="2" t="n">
        <f aca="false">D1178*(1-E$1171)+D1177*E$1171</f>
        <v>0</v>
      </c>
      <c r="F1178" s="2" t="n">
        <f aca="false">E1178*(1-F$1171)+E1177*F$1171</f>
        <v>0</v>
      </c>
      <c r="G1178" s="2" t="n">
        <f aca="false">F1178*(1-G$1171)+F1177*G$1171</f>
        <v>0</v>
      </c>
      <c r="H1178" s="2" t="n">
        <f aca="false">G1178*(1-H$1171)+G1177*H$1171</f>
        <v>0.0876256107101793</v>
      </c>
      <c r="I1178" s="2" t="n">
        <f aca="false">H1178*(1-I$1171)+H1177*I$1171</f>
        <v>0.287793975719279</v>
      </c>
      <c r="J1178" s="2" t="n">
        <f aca="false">I1178*(1-J$1171)+I1177*J$1171</f>
        <v>0.354961416734696</v>
      </c>
      <c r="K1178" s="2" t="n">
        <f aca="false">J1178*(1-K$1171)+J1177*K$1171</f>
        <v>0.296078014094524</v>
      </c>
      <c r="L1178" s="2" t="n">
        <f aca="false">K1178*(1-L$1171)+K1177*L$1171</f>
        <v>0.224522543909409</v>
      </c>
      <c r="M1178" s="2" t="n">
        <f aca="false">L1178*(1-M$1171)+L1177*M$1171</f>
        <v>0.156317286093859</v>
      </c>
      <c r="N1178" s="2" t="n">
        <f aca="false">M1178*(1-N$1171)+M1177*N$1171</f>
        <v>0.0958710871499128</v>
      </c>
      <c r="O1178" s="2" t="n">
        <f aca="false">N1178*(1-O$1171)+N1177*O$1171</f>
        <v>0.0958710871499128</v>
      </c>
    </row>
    <row r="1179" customFormat="false" ht="15" hidden="false" customHeight="false" outlineLevel="0" collapsed="false">
      <c r="B1179" s="2" t="n">
        <v>7</v>
      </c>
      <c r="C1179" s="2" t="n">
        <f aca="false">0</f>
        <v>0</v>
      </c>
      <c r="D1179" s="2" t="n">
        <f aca="false">C1179*(1-D$1171)+C1178*D$1171</f>
        <v>0</v>
      </c>
      <c r="E1179" s="2" t="n">
        <f aca="false">D1179*(1-E$1171)+D1178*E$1171</f>
        <v>0</v>
      </c>
      <c r="F1179" s="2" t="n">
        <f aca="false">E1179*(1-F$1171)+E1178*F$1171</f>
        <v>0</v>
      </c>
      <c r="G1179" s="2" t="n">
        <f aca="false">F1179*(1-G$1171)+F1178*G$1171</f>
        <v>0</v>
      </c>
      <c r="H1179" s="2" t="n">
        <f aca="false">G1179*(1-H$1171)+G1178*H$1171</f>
        <v>0</v>
      </c>
      <c r="I1179" s="2" t="n">
        <f aca="false">H1179*(1-I$1171)+H1178*I$1171</f>
        <v>0.0811825644318165</v>
      </c>
      <c r="J1179" s="2" t="n">
        <f aca="false">I1179*(1-J$1171)+I1178*J$1171</f>
        <v>0.261685800451683</v>
      </c>
      <c r="K1179" s="2" t="n">
        <f aca="false">J1179*(1-K$1171)+J1178*K$1171</f>
        <v>0.303915096207433</v>
      </c>
      <c r="L1179" s="2" t="n">
        <f aca="false">K1179*(1-L$1171)+K1178*L$1171</f>
        <v>0.299898866569515</v>
      </c>
      <c r="M1179" s="2" t="n">
        <f aca="false">L1179*(1-M$1171)+L1178*M$1171</f>
        <v>0.258648172336633</v>
      </c>
      <c r="N1179" s="2" t="n">
        <f aca="false">M1179*(1-N$1171)+M1178*N$1171</f>
        <v>0.194687075457871</v>
      </c>
      <c r="O1179" s="2" t="n">
        <f aca="false">N1179*(1-O$1171)+N1178*O$1171</f>
        <v>0.194687075457871</v>
      </c>
    </row>
    <row r="1180" customFormat="false" ht="15" hidden="false" customHeight="false" outlineLevel="0" collapsed="false">
      <c r="B1180" s="2" t="n">
        <v>8</v>
      </c>
      <c r="C1180" s="2" t="n">
        <f aca="false">0</f>
        <v>0</v>
      </c>
      <c r="D1180" s="2" t="n">
        <f aca="false">C1180*(1-D$1171)+C1179*D$1171</f>
        <v>0</v>
      </c>
      <c r="E1180" s="2" t="n">
        <f aca="false">D1180*(1-E$1171)+D1179*E$1171</f>
        <v>0</v>
      </c>
      <c r="F1180" s="2" t="n">
        <f aca="false">E1180*(1-F$1171)+E1179*F$1171</f>
        <v>0</v>
      </c>
      <c r="G1180" s="2" t="n">
        <f aca="false">F1180*(1-G$1171)+F1179*G$1171</f>
        <v>0</v>
      </c>
      <c r="H1180" s="2" t="n">
        <f aca="false">G1180*(1-H$1171)+G1179*H$1171</f>
        <v>0</v>
      </c>
      <c r="I1180" s="2" t="n">
        <f aca="false">H1180*(1-I$1171)+H1179*I$1171</f>
        <v>0</v>
      </c>
      <c r="J1180" s="2" t="n">
        <f aca="false">I1180*(1-J$1171)+I1179*J$1171</f>
        <v>0.0709240380142712</v>
      </c>
      <c r="K1180" s="2" t="n">
        <f aca="false">J1180*(1-K$1171)+J1179*K$1171</f>
        <v>0.15728889097236</v>
      </c>
      <c r="L1180" s="2" t="n">
        <f aca="false">K1180*(1-L$1171)+K1179*L$1171</f>
        <v>0.232429677131868</v>
      </c>
      <c r="M1180" s="2" t="n">
        <f aca="false">L1180*(1-M$1171)+L1179*M$1171</f>
        <v>0.269353087632839</v>
      </c>
      <c r="N1180" s="2" t="n">
        <f aca="false">M1180*(1-N$1171)+M1179*N$1171</f>
        <v>0.262662066480973</v>
      </c>
      <c r="O1180" s="2" t="n">
        <f aca="false">N1180*(1-O$1171)+N1179*O$1171</f>
        <v>0.262662066480973</v>
      </c>
    </row>
    <row r="1181" customFormat="false" ht="15" hidden="false" customHeight="false" outlineLevel="0" collapsed="false">
      <c r="B1181" s="2" t="n">
        <v>9</v>
      </c>
      <c r="C1181" s="2" t="n">
        <f aca="false">0</f>
        <v>0</v>
      </c>
      <c r="D1181" s="2" t="n">
        <f aca="false">C1181*(1-D$1171)+C1180*D$1171</f>
        <v>0</v>
      </c>
      <c r="E1181" s="2" t="n">
        <f aca="false">D1181*(1-E$1171)+D1180*E$1171</f>
        <v>0</v>
      </c>
      <c r="F1181" s="2" t="n">
        <f aca="false">E1181*(1-F$1171)+E1180*F$1171</f>
        <v>0</v>
      </c>
      <c r="G1181" s="2" t="n">
        <f aca="false">F1181*(1-G$1171)+F1180*G$1171</f>
        <v>0</v>
      </c>
      <c r="H1181" s="2" t="n">
        <f aca="false">G1181*(1-H$1171)+G1180*H$1171</f>
        <v>0</v>
      </c>
      <c r="I1181" s="2" t="n">
        <f aca="false">H1181*(1-I$1171)+H1180*I$1171</f>
        <v>0</v>
      </c>
      <c r="J1181" s="2" t="n">
        <f aca="false">I1181*(1-J$1171)+I1180*J$1171</f>
        <v>0</v>
      </c>
      <c r="K1181" s="2" t="n">
        <f aca="false">J1181*(1-K$1171)+J1180*K$1171</f>
        <v>0.0321099157191219</v>
      </c>
      <c r="L1181" s="2" t="n">
        <f aca="false">K1181*(1-L$1171)+K1180*L$1171</f>
        <v>0.0962597489367926</v>
      </c>
      <c r="M1181" s="2" t="n">
        <f aca="false">L1181*(1-M$1171)+L1180*M$1171</f>
        <v>0.170780551669737</v>
      </c>
      <c r="N1181" s="2" t="n">
        <f aca="false">M1181*(1-N$1171)+M1180*N$1171</f>
        <v>0.232392521953698</v>
      </c>
      <c r="O1181" s="2" t="n">
        <f aca="false">N1181*(1-O$1171)+N1180*O$1171</f>
        <v>0.232392521953698</v>
      </c>
    </row>
    <row r="1182" customFormat="false" ht="15" hidden="false" customHeight="false" outlineLevel="0" collapsed="false">
      <c r="B1182" s="2" t="n">
        <v>10</v>
      </c>
      <c r="C1182" s="2" t="n">
        <f aca="false">0</f>
        <v>0</v>
      </c>
      <c r="D1182" s="2" t="n">
        <f aca="false">C1182*(1-D$1171)+C1181*D$1171</f>
        <v>0</v>
      </c>
      <c r="E1182" s="2" t="n">
        <f aca="false">D1182*(1-E$1171)+D1181*E$1171</f>
        <v>0</v>
      </c>
      <c r="F1182" s="2" t="n">
        <f aca="false">E1182*(1-F$1171)+E1181*F$1171</f>
        <v>0</v>
      </c>
      <c r="G1182" s="2" t="n">
        <f aca="false">F1182*(1-G$1171)+F1181*G$1171</f>
        <v>0</v>
      </c>
      <c r="H1182" s="2" t="n">
        <f aca="false">G1182*(1-H$1171)+G1181*H$1171</f>
        <v>0</v>
      </c>
      <c r="I1182" s="2" t="n">
        <f aca="false">H1182*(1-I$1171)+H1181*I$1171</f>
        <v>0</v>
      </c>
      <c r="J1182" s="2" t="n">
        <f aca="false">I1182*(1-J$1171)+I1181*J$1171</f>
        <v>0</v>
      </c>
      <c r="K1182" s="2" t="n">
        <f aca="false">J1182*(1-K$1171)+J1181*K$1171</f>
        <v>0</v>
      </c>
      <c r="L1182" s="2" t="n">
        <f aca="false">K1182*(1-L$1171)+K1181*L$1171</f>
        <v>0.0164552053078246</v>
      </c>
      <c r="M1182" s="2" t="n">
        <f aca="false">L1182*(1-M$1171)+L1181*M$1171</f>
        <v>0.0601293023114394</v>
      </c>
      <c r="N1182" s="2" t="n">
        <f aca="false">M1182*(1-N$1171)+M1181*N$1171</f>
        <v>0.129290975192601</v>
      </c>
      <c r="O1182" s="2" t="n">
        <f aca="false">N1182*(1-O$1171)+N1181*O$1171</f>
        <v>0.129290975192601</v>
      </c>
    </row>
    <row r="1183" customFormat="false" ht="15" hidden="false" customHeight="false" outlineLevel="0" collapsed="false">
      <c r="B1183" s="2" t="n">
        <v>11</v>
      </c>
      <c r="C1183" s="2" t="n">
        <f aca="false">0</f>
        <v>0</v>
      </c>
      <c r="D1183" s="2" t="n">
        <f aca="false">C1183*(1-D$1171)+C1182*D$1171</f>
        <v>0</v>
      </c>
      <c r="E1183" s="2" t="n">
        <f aca="false">D1183*(1-E$1171)+D1182*E$1171</f>
        <v>0</v>
      </c>
      <c r="F1183" s="2" t="n">
        <f aca="false">E1183*(1-F$1171)+E1182*F$1171</f>
        <v>0</v>
      </c>
      <c r="G1183" s="2" t="n">
        <f aca="false">F1183*(1-G$1171)+F1182*G$1171</f>
        <v>0</v>
      </c>
      <c r="H1183" s="2" t="n">
        <f aca="false">G1183*(1-H$1171)+G1182*H$1171</f>
        <v>0</v>
      </c>
      <c r="I1183" s="2" t="n">
        <f aca="false">H1183*(1-I$1171)+H1182*I$1171</f>
        <v>0</v>
      </c>
      <c r="J1183" s="2" t="n">
        <f aca="false">I1183*(1-J$1171)+I1182*J$1171</f>
        <v>0</v>
      </c>
      <c r="K1183" s="2" t="n">
        <f aca="false">J1183*(1-K$1171)+J1182*K$1171</f>
        <v>0</v>
      </c>
      <c r="L1183" s="2" t="n">
        <f aca="false">K1183*(1-L$1171)+K1182*L$1171</f>
        <v>0</v>
      </c>
      <c r="M1183" s="2" t="n">
        <f aca="false">L1183*(1-M$1171)+L1182*M$1171</f>
        <v>0.00900532977382333</v>
      </c>
      <c r="N1183" s="2" t="n">
        <f aca="false">M1183*(1-N$1171)+M1182*N$1171</f>
        <v>0.040959957358577</v>
      </c>
      <c r="O1183" s="2" t="n">
        <f aca="false">N1183*(1-O$1171)+N1182*O$1171</f>
        <v>0.040959957358577</v>
      </c>
    </row>
    <row r="1184" customFormat="false" ht="15" hidden="false" customHeight="false" outlineLevel="0" collapsed="false">
      <c r="B1184" s="2" t="n">
        <v>12</v>
      </c>
      <c r="C1184" s="2" t="n">
        <f aca="false">0</f>
        <v>0</v>
      </c>
      <c r="D1184" s="2" t="n">
        <f aca="false">C1184*(1-D$1171)+C1183*D$1171</f>
        <v>0</v>
      </c>
      <c r="E1184" s="2" t="n">
        <f aca="false">D1184*(1-E$1171)+D1183*E$1171</f>
        <v>0</v>
      </c>
      <c r="F1184" s="2" t="n">
        <f aca="false">E1184*(1-F$1171)+E1183*F$1171</f>
        <v>0</v>
      </c>
      <c r="G1184" s="2" t="n">
        <f aca="false">F1184*(1-G$1171)+F1183*G$1171</f>
        <v>0</v>
      </c>
      <c r="H1184" s="2" t="n">
        <f aca="false">G1184*(1-H$1171)+G1183*H$1171</f>
        <v>0</v>
      </c>
      <c r="I1184" s="2" t="n">
        <f aca="false">H1184*(1-I$1171)+H1183*I$1171</f>
        <v>0</v>
      </c>
      <c r="J1184" s="2" t="n">
        <f aca="false">I1184*(1-J$1171)+I1183*J$1171</f>
        <v>0</v>
      </c>
      <c r="K1184" s="2" t="n">
        <f aca="false">J1184*(1-K$1171)+J1183*K$1171</f>
        <v>0</v>
      </c>
      <c r="L1184" s="2" t="n">
        <f aca="false">K1184*(1-L$1171)+K1183*L$1171</f>
        <v>0</v>
      </c>
      <c r="M1184" s="2" t="n">
        <f aca="false">L1184*(1-M$1171)+L1183*M$1171</f>
        <v>0</v>
      </c>
      <c r="N1184" s="2" t="n">
        <f aca="false">M1184*(1-N$1171)+M1183*N$1171</f>
        <v>0.00562870889950285</v>
      </c>
      <c r="O1184" s="2" t="n">
        <f aca="false">N1184*(1-O$1171)+N1183*O$1171</f>
        <v>0.00562870889950285</v>
      </c>
    </row>
    <row r="1185" customFormat="false" ht="15" hidden="false" customHeight="false" outlineLevel="0" collapsed="false">
      <c r="B1185" s="2" t="n">
        <v>13</v>
      </c>
      <c r="C1185" s="2" t="n">
        <f aca="false">0</f>
        <v>0</v>
      </c>
      <c r="D1185" s="2" t="n">
        <f aca="false">C1185*(1-D$1171)+C1184*D$1171</f>
        <v>0</v>
      </c>
      <c r="E1185" s="2" t="n">
        <f aca="false">D1185*(1-E$1171)+D1184*E$1171</f>
        <v>0</v>
      </c>
      <c r="F1185" s="2" t="n">
        <f aca="false">E1185*(1-F$1171)+E1184*F$1171</f>
        <v>0</v>
      </c>
      <c r="G1185" s="2" t="n">
        <f aca="false">F1185*(1-G$1171)+F1184*G$1171</f>
        <v>0</v>
      </c>
      <c r="H1185" s="2" t="n">
        <f aca="false">G1185*(1-H$1171)+G1184*H$1171</f>
        <v>0</v>
      </c>
      <c r="I1185" s="2" t="n">
        <f aca="false">H1185*(1-I$1171)+H1184*I$1171</f>
        <v>0</v>
      </c>
      <c r="J1185" s="2" t="n">
        <f aca="false">I1185*(1-J$1171)+I1184*J$1171</f>
        <v>0</v>
      </c>
      <c r="K1185" s="2" t="n">
        <f aca="false">J1185*(1-K$1171)+J1184*K$1171</f>
        <v>0</v>
      </c>
      <c r="L1185" s="2" t="n">
        <f aca="false">K1185*(1-L$1171)+K1184*L$1171</f>
        <v>0</v>
      </c>
      <c r="M1185" s="2" t="n">
        <f aca="false">L1185*(1-M$1171)+L1184*M$1171</f>
        <v>0</v>
      </c>
      <c r="N1185" s="2" t="n">
        <f aca="false">M1185*(1-N$1171)+M1184*N$1171</f>
        <v>0</v>
      </c>
      <c r="O1185" s="2" t="n">
        <f aca="false">N1185*(1-O$1171)+N1184*O$1171</f>
        <v>0</v>
      </c>
    </row>
    <row r="1187" customFormat="false" ht="15" hidden="false" customHeight="false" outlineLevel="0" collapsed="false">
      <c r="A1187" s="1" t="s">
        <v>132</v>
      </c>
      <c r="C1187" s="2" t="n">
        <f aca="false">Schedule!G76</f>
        <v>0.702377225633592</v>
      </c>
      <c r="D1187" s="2" t="n">
        <f aca="false">Schedule!L76</f>
        <v>0.997394963011058</v>
      </c>
      <c r="E1187" s="2" t="n">
        <f aca="false">Schedule!Q76</f>
        <v>0.472594309039532</v>
      </c>
      <c r="F1187" s="2" t="n">
        <f aca="false">Schedule!V76</f>
        <v>0.883712112245511</v>
      </c>
      <c r="G1187" s="2" t="n">
        <f aca="false">Schedule!AA76</f>
        <v>0.763852515027146</v>
      </c>
      <c r="H1187" s="2" t="n">
        <f aca="false">Schedule!AF76</f>
        <v>0.310741374381306</v>
      </c>
      <c r="I1187" s="2" t="n">
        <f aca="false">Schedule!AK76</f>
        <v>0.780830170206623</v>
      </c>
      <c r="J1187" s="2" t="n">
        <f aca="false">Schedule!AP76</f>
        <v>0.394061036152246</v>
      </c>
      <c r="K1187" s="2" t="n">
        <f aca="false">Schedule!AU76</f>
        <v>0.894350226333145</v>
      </c>
      <c r="L1187" s="2" t="n">
        <f aca="false">Schedule!AZ76</f>
        <v>0.457692000582065</v>
      </c>
      <c r="M1187" s="2" t="n">
        <f aca="false">Schedule!BE76</f>
        <v>0.868376596070694</v>
      </c>
      <c r="N1187" s="2" t="n">
        <f aca="false">Schedule!BJ76</f>
        <v>0.761922394276321</v>
      </c>
      <c r="O1187" s="2" t="n">
        <f aca="false">Schedule!BO76</f>
        <v>0</v>
      </c>
    </row>
    <row r="1188" customFormat="false" ht="15" hidden="false" customHeight="false" outlineLevel="0" collapsed="false">
      <c r="B1188" s="2" t="n">
        <v>0</v>
      </c>
      <c r="C1188" s="2" t="n">
        <f aca="false">1-C$1187</f>
        <v>0.297622774366408</v>
      </c>
      <c r="D1188" s="2" t="n">
        <f aca="false">C1188*(1-D$1187)</f>
        <v>0.000775318335976028</v>
      </c>
      <c r="E1188" s="2" t="n">
        <f aca="false">D1188*(1-E$1187)</f>
        <v>0.000408907302699758</v>
      </c>
      <c r="F1188" s="2" t="n">
        <f aca="false">E1188*(1-F$1187)</f>
        <v>4.75509665183401E-005</v>
      </c>
      <c r="G1188" s="2" t="n">
        <f aca="false">F1188*(1-G$1187)</f>
        <v>1.12290411513344E-005</v>
      </c>
      <c r="H1188" s="2" t="n">
        <f aca="false">G1188*(1-H$1187)</f>
        <v>7.73971347098453E-006</v>
      </c>
      <c r="I1188" s="2" t="n">
        <f aca="false">H1188*(1-I$1187)</f>
        <v>1.69631168408519E-006</v>
      </c>
      <c r="J1188" s="2" t="n">
        <f aca="false">I1188*(1-J$1187)</f>
        <v>1.02786134421742E-006</v>
      </c>
      <c r="K1188" s="2" t="n">
        <f aca="false">J1188*(1-K$1187)</f>
        <v>1.0859331837748E-007</v>
      </c>
      <c r="L1188" s="2" t="n">
        <f aca="false">K1188*(1-L$1187)</f>
        <v>5.8891025239446E-008</v>
      </c>
      <c r="M1188" s="2" t="n">
        <f aca="false">L1188*(1-M$1187)</f>
        <v>7.75143720290256E-009</v>
      </c>
      <c r="N1188" s="2" t="n">
        <f aca="false">M1188*(1-N$1187)</f>
        <v>1.8454436101845E-009</v>
      </c>
      <c r="O1188" s="2" t="n">
        <f aca="false">N1188*(1-O$1187)</f>
        <v>1.8454436101845E-009</v>
      </c>
    </row>
    <row r="1189" customFormat="false" ht="15" hidden="false" customHeight="false" outlineLevel="0" collapsed="false">
      <c r="B1189" s="2" t="n">
        <v>1</v>
      </c>
      <c r="C1189" s="2" t="n">
        <f aca="false">C$1187</f>
        <v>0.702377225633592</v>
      </c>
      <c r="D1189" s="2" t="n">
        <f aca="false">C1189*(1-D$1187)+C1188*D$1187</f>
        <v>0.298677174683398</v>
      </c>
      <c r="E1189" s="2" t="n">
        <f aca="false">D1189*(1-E$1187)+D1188*E$1187</f>
        <v>0.157890452721294</v>
      </c>
      <c r="F1189" s="2" t="n">
        <f aca="false">E1189*(1-F$1187)+E1188*F$1187</f>
        <v>0.0187221035797407</v>
      </c>
      <c r="G1189" s="2" t="n">
        <f aca="false">F1189*(1-G$1187)+F1188*G$1187</f>
        <v>0.00445749959912404</v>
      </c>
      <c r="H1189" s="2" t="n">
        <f aca="false">G1189*(1-H$1187)+G1188*H$1187</f>
        <v>0.00307585937506847</v>
      </c>
      <c r="I1189" s="2" t="n">
        <f aca="false">H1189*(1-I$1187)+H1188*I$1187</f>
        <v>0.000680178977489019</v>
      </c>
      <c r="J1189" s="2" t="n">
        <f aca="false">I1189*(1-J$1187)+I1188*J$1187</f>
        <v>0.000412815395190589</v>
      </c>
      <c r="K1189" s="2" t="n">
        <f aca="false">J1189*(1-K$1187)+J1188*K$1187</f>
        <v>4.45331210939191E-005</v>
      </c>
      <c r="L1189" s="2" t="n">
        <f aca="false">K1189*(1-L$1187)+K1188*L$1187</f>
        <v>2.42003701014179E-005</v>
      </c>
      <c r="M1189" s="2" t="n">
        <f aca="false">L1189*(1-M$1187)+L1188*M$1187</f>
        <v>3.23647467713418E-006</v>
      </c>
      <c r="N1189" s="2" t="n">
        <f aca="false">M1189*(1-N$1187)+M1188*N$1187</f>
        <v>7.76438135710142E-007</v>
      </c>
      <c r="O1189" s="2" t="n">
        <f aca="false">N1189*(1-O$1187)+N1188*O$1187</f>
        <v>7.76438135710142E-007</v>
      </c>
    </row>
    <row r="1190" customFormat="false" ht="15" hidden="false" customHeight="false" outlineLevel="0" collapsed="false">
      <c r="B1190" s="2" t="n">
        <v>2</v>
      </c>
      <c r="C1190" s="2" t="n">
        <f aca="false">0</f>
        <v>0</v>
      </c>
      <c r="D1190" s="2" t="n">
        <f aca="false">C1190*(1-D$1187)+C1189*D$1187</f>
        <v>0.700547506980626</v>
      </c>
      <c r="E1190" s="2" t="n">
        <f aca="false">D1190*(1-E$1187)+D1189*E$1187</f>
        <v>0.510625874965131</v>
      </c>
      <c r="F1190" s="2" t="n">
        <f aca="false">E1190*(1-F$1187)+E1189*F$1187</f>
        <v>0.198909309910218</v>
      </c>
      <c r="G1190" s="2" t="n">
        <f aca="false">F1190*(1-G$1187)+F1189*G$1187</f>
        <v>0.0612728591789676</v>
      </c>
      <c r="H1190" s="2" t="n">
        <f aca="false">G1190*(1-H$1187)+G1189*H$1187</f>
        <v>0.0436179762571589</v>
      </c>
      <c r="I1190" s="2" t="n">
        <f aca="false">H1190*(1-I$1187)+H1189*I$1187</f>
        <v>0.0119614682315794</v>
      </c>
      <c r="J1190" s="2" t="n">
        <f aca="false">I1190*(1-J$1187)+I1189*J$1187</f>
        <v>0.00751595169897938</v>
      </c>
      <c r="K1190" s="2" t="n">
        <f aca="false">J1190*(1-K$1187)+J1189*K$1187</f>
        <v>0.0011632601380107</v>
      </c>
      <c r="L1190" s="2" t="n">
        <f aca="false">K1190*(1-L$1187)+K1189*L$1187</f>
        <v>0.000651227731532851</v>
      </c>
      <c r="M1190" s="2" t="n">
        <f aca="false">L1190*(1-M$1187)+L1189*M$1187</f>
        <v>0.000106731845769834</v>
      </c>
      <c r="N1190" s="2" t="n">
        <f aca="false">M1190*(1-N$1187)+M1189*N$1187</f>
        <v>2.7876404830368E-005</v>
      </c>
      <c r="O1190" s="2" t="n">
        <f aca="false">N1190*(1-O$1187)+N1189*O$1187</f>
        <v>2.7876404830368E-005</v>
      </c>
    </row>
    <row r="1191" customFormat="false" ht="15" hidden="false" customHeight="false" outlineLevel="0" collapsed="false">
      <c r="B1191" s="2" t="n">
        <v>3</v>
      </c>
      <c r="C1191" s="2" t="n">
        <f aca="false">0</f>
        <v>0</v>
      </c>
      <c r="D1191" s="2" t="n">
        <f aca="false">C1191*(1-D$1187)+C1190*D$1187</f>
        <v>0</v>
      </c>
      <c r="E1191" s="2" t="n">
        <f aca="false">D1191*(1-E$1187)+D1190*E$1187</f>
        <v>0.331074765010876</v>
      </c>
      <c r="F1191" s="2" t="n">
        <f aca="false">E1191*(1-F$1187)+E1190*F$1187</f>
        <v>0.489746255644576</v>
      </c>
      <c r="G1191" s="2" t="n">
        <f aca="false">F1191*(1-G$1187)+F1190*G$1187</f>
        <v>0.267589723182573</v>
      </c>
      <c r="H1191" s="2" t="n">
        <f aca="false">G1191*(1-H$1187)+G1190*H$1187</f>
        <v>0.203478537304052</v>
      </c>
      <c r="I1191" s="2" t="n">
        <f aca="false">H1191*(1-I$1187)+H1190*I$1187</f>
        <v>0.0786545882124802</v>
      </c>
      <c r="J1191" s="2" t="n">
        <f aca="false">I1191*(1-J$1187)+I1190*J$1187</f>
        <v>0.0523734282485804</v>
      </c>
      <c r="K1191" s="2" t="n">
        <f aca="false">J1191*(1-K$1187)+J1190*K$1187</f>
        <v>0.012255133943711</v>
      </c>
      <c r="L1191" s="2" t="n">
        <f aca="false">K1191*(1-L$1187)+K1190*L$1187</f>
        <v>0.00717847203137622</v>
      </c>
      <c r="M1191" s="2" t="n">
        <f aca="false">L1191*(1-M$1187)+L1190*M$1187</f>
        <v>0.0015103658445564</v>
      </c>
      <c r="N1191" s="2" t="n">
        <f aca="false">M1191*(1-N$1187)+M1190*N$1187</f>
        <v>0.000440905667513293</v>
      </c>
      <c r="O1191" s="2" t="n">
        <f aca="false">N1191*(1-O$1187)+N1190*O$1187</f>
        <v>0.000440905667513293</v>
      </c>
    </row>
    <row r="1192" customFormat="false" ht="15" hidden="false" customHeight="false" outlineLevel="0" collapsed="false">
      <c r="B1192" s="2" t="n">
        <v>4</v>
      </c>
      <c r="C1192" s="2" t="n">
        <f aca="false">0</f>
        <v>0</v>
      </c>
      <c r="D1192" s="2" t="n">
        <f aca="false">C1192*(1-D$1187)+C1191*D$1187</f>
        <v>0</v>
      </c>
      <c r="E1192" s="2" t="n">
        <f aca="false">D1192*(1-E$1187)+D1191*E$1187</f>
        <v>0</v>
      </c>
      <c r="F1192" s="2" t="n">
        <f aca="false">E1192*(1-F$1187)+E1191*F$1187</f>
        <v>0.292574779898947</v>
      </c>
      <c r="G1192" s="2" t="n">
        <f aca="false">F1192*(1-G$1187)+F1191*G$1187</f>
        <v>0.44318470753886</v>
      </c>
      <c r="H1192" s="2" t="n">
        <f aca="false">G1192*(1-H$1187)+G1191*H$1187</f>
        <v>0.388620080765523</v>
      </c>
      <c r="I1192" s="2" t="n">
        <f aca="false">H1192*(1-I$1187)+H1191*I$1187</f>
        <v>0.244055977872186</v>
      </c>
      <c r="J1192" s="2" t="n">
        <f aca="false">I1192*(1-J$1187)+I1191*J$1187</f>
        <v>0.178877734881861</v>
      </c>
      <c r="K1192" s="2" t="n">
        <f aca="false">J1192*(1-K$1187)+J1191*K$1187</f>
        <v>0.065738579612269</v>
      </c>
      <c r="L1192" s="2" t="n">
        <f aca="false">K1192*(1-L$1187)+K1191*L$1187</f>
        <v>0.0412596343662045</v>
      </c>
      <c r="M1192" s="2" t="n">
        <f aca="false">L1192*(1-M$1187)+L1191*M$1187</f>
        <v>0.0116643506277536</v>
      </c>
      <c r="N1192" s="2" t="n">
        <f aca="false">M1192*(1-N$1187)+M1191*N$1187</f>
        <v>0.00392780223029465</v>
      </c>
      <c r="O1192" s="2" t="n">
        <f aca="false">N1192*(1-O$1187)+N1191*O$1187</f>
        <v>0.00392780223029465</v>
      </c>
    </row>
    <row r="1193" customFormat="false" ht="15" hidden="false" customHeight="false" outlineLevel="0" collapsed="false">
      <c r="B1193" s="2" t="n">
        <v>5</v>
      </c>
      <c r="C1193" s="2" t="n">
        <f aca="false">0</f>
        <v>0</v>
      </c>
      <c r="D1193" s="2" t="n">
        <f aca="false">C1193*(1-D$1187)+C1192*D$1187</f>
        <v>0</v>
      </c>
      <c r="E1193" s="2" t="n">
        <f aca="false">D1193*(1-E$1187)+D1192*E$1187</f>
        <v>0</v>
      </c>
      <c r="F1193" s="2" t="n">
        <f aca="false">E1193*(1-F$1187)+E1192*F$1187</f>
        <v>0</v>
      </c>
      <c r="G1193" s="2" t="n">
        <f aca="false">F1193*(1-G$1187)+F1192*G$1187</f>
        <v>0.223483981459324</v>
      </c>
      <c r="H1193" s="2" t="n">
        <f aca="false">G1193*(1-H$1187)+G1192*H$1187</f>
        <v>0.29175408703385</v>
      </c>
      <c r="I1193" s="2" t="n">
        <f aca="false">H1193*(1-I$1187)+H1192*I$1187</f>
        <v>0.367389977406586</v>
      </c>
      <c r="J1193" s="2" t="n">
        <f aca="false">I1193*(1-J$1187)+I1192*J$1187</f>
        <v>0.31878885375726</v>
      </c>
      <c r="K1193" s="2" t="n">
        <f aca="false">J1193*(1-K$1187)+J1192*K$1187</f>
        <v>0.193659312924523</v>
      </c>
      <c r="L1193" s="2" t="n">
        <f aca="false">K1193*(1-L$1187)+K1192*L$1187</f>
        <v>0.135111016578913</v>
      </c>
      <c r="M1193" s="2" t="n">
        <f aca="false">L1193*(1-M$1187)+L1192*M$1187</f>
        <v>0.0536126727565115</v>
      </c>
      <c r="N1193" s="2" t="n">
        <f aca="false">M1193*(1-N$1187)+M1192*N$1187</f>
        <v>0.0216513067242939</v>
      </c>
      <c r="O1193" s="2" t="n">
        <f aca="false">N1193*(1-O$1187)+N1192*O$1187</f>
        <v>0.0216513067242939</v>
      </c>
    </row>
    <row r="1194" customFormat="false" ht="15" hidden="false" customHeight="false" outlineLevel="0" collapsed="false">
      <c r="B1194" s="2" t="n">
        <v>6</v>
      </c>
      <c r="C1194" s="2" t="n">
        <f aca="false">0</f>
        <v>0</v>
      </c>
      <c r="D1194" s="2" t="n">
        <f aca="false">C1194*(1-D$1187)+C1193*D$1187</f>
        <v>0</v>
      </c>
      <c r="E1194" s="2" t="n">
        <f aca="false">D1194*(1-E$1187)+D1193*E$1187</f>
        <v>0</v>
      </c>
      <c r="F1194" s="2" t="n">
        <f aca="false">E1194*(1-F$1187)+E1193*F$1187</f>
        <v>0</v>
      </c>
      <c r="G1194" s="2" t="n">
        <f aca="false">F1194*(1-G$1187)+F1193*G$1187</f>
        <v>0</v>
      </c>
      <c r="H1194" s="2" t="n">
        <f aca="false">G1194*(1-H$1187)+G1193*H$1187</f>
        <v>0.0694457195508767</v>
      </c>
      <c r="I1194" s="2" t="n">
        <f aca="false">H1194*(1-I$1187)+H1193*I$1187</f>
        <v>0.243030799970963</v>
      </c>
      <c r="J1194" s="2" t="n">
        <f aca="false">I1194*(1-J$1187)+I1193*J$1187</f>
        <v>0.292035906286286</v>
      </c>
      <c r="K1194" s="2" t="n">
        <f aca="false">J1194*(1-K$1187)+J1193*K$1187</f>
        <v>0.31596241091203</v>
      </c>
      <c r="L1194" s="2" t="n">
        <f aca="false">K1194*(1-L$1187)+K1193*L$1187</f>
        <v>0.259985261316744</v>
      </c>
      <c r="M1194" s="2" t="n">
        <f aca="false">L1194*(1-M$1187)+L1193*M$1187</f>
        <v>0.151547389734407</v>
      </c>
      <c r="N1194" s="2" t="n">
        <f aca="false">M1194*(1-N$1187)+M1193*N$1187</f>
        <v>0.0769287356918351</v>
      </c>
      <c r="O1194" s="2" t="n">
        <f aca="false">N1194*(1-O$1187)+N1193*O$1187</f>
        <v>0.0769287356918351</v>
      </c>
    </row>
    <row r="1195" customFormat="false" ht="15" hidden="false" customHeight="false" outlineLevel="0" collapsed="false">
      <c r="B1195" s="2" t="n">
        <v>7</v>
      </c>
      <c r="C1195" s="2" t="n">
        <f aca="false">0</f>
        <v>0</v>
      </c>
      <c r="D1195" s="2" t="n">
        <f aca="false">C1195*(1-D$1187)+C1194*D$1187</f>
        <v>0</v>
      </c>
      <c r="E1195" s="2" t="n">
        <f aca="false">D1195*(1-E$1187)+D1194*E$1187</f>
        <v>0</v>
      </c>
      <c r="F1195" s="2" t="n">
        <f aca="false">E1195*(1-F$1187)+E1194*F$1187</f>
        <v>0</v>
      </c>
      <c r="G1195" s="2" t="n">
        <f aca="false">F1195*(1-G$1187)+F1194*G$1187</f>
        <v>0</v>
      </c>
      <c r="H1195" s="2" t="n">
        <f aca="false">G1195*(1-H$1187)+G1194*H$1187</f>
        <v>0</v>
      </c>
      <c r="I1195" s="2" t="n">
        <f aca="false">H1195*(1-I$1187)+H1194*I$1187</f>
        <v>0.0542253130170324</v>
      </c>
      <c r="J1195" s="2" t="n">
        <f aca="false">I1195*(1-J$1187)+I1194*J$1187</f>
        <v>0.128626198837328</v>
      </c>
      <c r="K1195" s="2" t="n">
        <f aca="false">J1195*(1-K$1187)+J1194*K$1187</f>
        <v>0.274771707679336</v>
      </c>
      <c r="L1195" s="2" t="n">
        <f aca="false">K1195*(1-L$1187)+K1194*L$1187</f>
        <v>0.29362436304729</v>
      </c>
      <c r="M1195" s="2" t="n">
        <f aca="false">L1195*(1-M$1187)+L1194*M$1187</f>
        <v>0.264412954391642</v>
      </c>
      <c r="N1195" s="2" t="n">
        <f aca="false">M1195*(1-N$1187)+M1194*N$1187</f>
        <v>0.178418153136653</v>
      </c>
      <c r="O1195" s="2" t="n">
        <f aca="false">N1195*(1-O$1187)+N1194*O$1187</f>
        <v>0.178418153136653</v>
      </c>
    </row>
    <row r="1196" customFormat="false" ht="15" hidden="false" customHeight="false" outlineLevel="0" collapsed="false">
      <c r="B1196" s="2" t="n">
        <v>8</v>
      </c>
      <c r="C1196" s="2" t="n">
        <f aca="false">0</f>
        <v>0</v>
      </c>
      <c r="D1196" s="2" t="n">
        <f aca="false">C1196*(1-D$1187)+C1195*D$1187</f>
        <v>0</v>
      </c>
      <c r="E1196" s="2" t="n">
        <f aca="false">D1196*(1-E$1187)+D1195*E$1187</f>
        <v>0</v>
      </c>
      <c r="F1196" s="2" t="n">
        <f aca="false">E1196*(1-F$1187)+E1195*F$1187</f>
        <v>0</v>
      </c>
      <c r="G1196" s="2" t="n">
        <f aca="false">F1196*(1-G$1187)+F1195*G$1187</f>
        <v>0</v>
      </c>
      <c r="H1196" s="2" t="n">
        <f aca="false">G1196*(1-H$1187)+G1195*H$1187</f>
        <v>0</v>
      </c>
      <c r="I1196" s="2" t="n">
        <f aca="false">H1196*(1-I$1187)+H1195*I$1187</f>
        <v>0</v>
      </c>
      <c r="J1196" s="2" t="n">
        <f aca="false">I1196*(1-J$1187)+I1195*J$1187</f>
        <v>0.0213680830331716</v>
      </c>
      <c r="K1196" s="2" t="n">
        <f aca="false">J1196*(1-K$1187)+J1195*K$1187</f>
        <v>0.117294403178685</v>
      </c>
      <c r="L1196" s="2" t="n">
        <f aca="false">K1196*(1-L$1187)+K1195*L$1187</f>
        <v>0.189370505721859</v>
      </c>
      <c r="M1196" s="2" t="n">
        <f aca="false">L1196*(1-M$1187)+L1195*M$1187</f>
        <v>0.279902115473357</v>
      </c>
      <c r="N1196" s="2" t="n">
        <f aca="false">M1196*(1-N$1187)+M1195*N$1187</f>
        <v>0.268100576776645</v>
      </c>
      <c r="O1196" s="2" t="n">
        <f aca="false">N1196*(1-O$1187)+N1195*O$1187</f>
        <v>0.268100576776645</v>
      </c>
    </row>
    <row r="1197" customFormat="false" ht="15" hidden="false" customHeight="false" outlineLevel="0" collapsed="false">
      <c r="B1197" s="2" t="n">
        <v>9</v>
      </c>
      <c r="C1197" s="2" t="n">
        <f aca="false">0</f>
        <v>0</v>
      </c>
      <c r="D1197" s="2" t="n">
        <f aca="false">C1197*(1-D$1187)+C1196*D$1187</f>
        <v>0</v>
      </c>
      <c r="E1197" s="2" t="n">
        <f aca="false">D1197*(1-E$1187)+D1196*E$1187</f>
        <v>0</v>
      </c>
      <c r="F1197" s="2" t="n">
        <f aca="false">E1197*(1-F$1187)+E1196*F$1187</f>
        <v>0</v>
      </c>
      <c r="G1197" s="2" t="n">
        <f aca="false">F1197*(1-G$1187)+F1196*G$1187</f>
        <v>0</v>
      </c>
      <c r="H1197" s="2" t="n">
        <f aca="false">G1197*(1-H$1187)+G1196*H$1187</f>
        <v>0</v>
      </c>
      <c r="I1197" s="2" t="n">
        <f aca="false">H1197*(1-I$1187)+H1196*I$1187</f>
        <v>0</v>
      </c>
      <c r="J1197" s="2" t="n">
        <f aca="false">I1197*(1-J$1187)+I1196*J$1187</f>
        <v>0</v>
      </c>
      <c r="K1197" s="2" t="n">
        <f aca="false">J1197*(1-K$1187)+J1196*K$1187</f>
        <v>0.0191105498970225</v>
      </c>
      <c r="L1197" s="2" t="n">
        <f aca="false">K1197*(1-L$1187)+K1196*L$1187</f>
        <v>0.0640485141303627</v>
      </c>
      <c r="M1197" s="2" t="n">
        <f aca="false">L1197*(1-M$1187)+L1196*M$1187</f>
        <v>0.172875198601387</v>
      </c>
      <c r="N1197" s="2" t="n">
        <f aca="false">M1197*(1-N$1187)+M1196*N$1187</f>
        <v>0.254421403356491</v>
      </c>
      <c r="O1197" s="2" t="n">
        <f aca="false">N1197*(1-O$1187)+N1196*O$1187</f>
        <v>0.254421403356491</v>
      </c>
    </row>
    <row r="1198" customFormat="false" ht="15" hidden="false" customHeight="false" outlineLevel="0" collapsed="false">
      <c r="B1198" s="2" t="n">
        <v>10</v>
      </c>
      <c r="C1198" s="2" t="n">
        <f aca="false">0</f>
        <v>0</v>
      </c>
      <c r="D1198" s="2" t="n">
        <f aca="false">C1198*(1-D$1187)+C1197*D$1187</f>
        <v>0</v>
      </c>
      <c r="E1198" s="2" t="n">
        <f aca="false">D1198*(1-E$1187)+D1197*E$1187</f>
        <v>0</v>
      </c>
      <c r="F1198" s="2" t="n">
        <f aca="false">E1198*(1-F$1187)+E1197*F$1187</f>
        <v>0</v>
      </c>
      <c r="G1198" s="2" t="n">
        <f aca="false">F1198*(1-G$1187)+F1197*G$1187</f>
        <v>0</v>
      </c>
      <c r="H1198" s="2" t="n">
        <f aca="false">G1198*(1-H$1187)+G1197*H$1187</f>
        <v>0</v>
      </c>
      <c r="I1198" s="2" t="n">
        <f aca="false">H1198*(1-I$1187)+H1197*I$1187</f>
        <v>0</v>
      </c>
      <c r="J1198" s="2" t="n">
        <f aca="false">I1198*(1-J$1187)+I1197*J$1187</f>
        <v>0</v>
      </c>
      <c r="K1198" s="2" t="n">
        <f aca="false">J1198*(1-K$1187)+J1197*K$1187</f>
        <v>0</v>
      </c>
      <c r="L1198" s="2" t="n">
        <f aca="false">K1198*(1-L$1187)+K1197*L$1187</f>
        <v>0.00874674581459161</v>
      </c>
      <c r="M1198" s="2" t="n">
        <f aca="false">L1198*(1-M$1187)+L1197*M$1187</f>
        <v>0.056769507141331</v>
      </c>
      <c r="N1198" s="2" t="n">
        <f aca="false">M1198*(1-N$1187)+M1197*N$1187</f>
        <v>0.145233033567684</v>
      </c>
      <c r="O1198" s="2" t="n">
        <f aca="false">N1198*(1-O$1187)+N1197*O$1187</f>
        <v>0.145233033567684</v>
      </c>
    </row>
    <row r="1199" customFormat="false" ht="15" hidden="false" customHeight="false" outlineLevel="0" collapsed="false">
      <c r="B1199" s="2" t="n">
        <v>11</v>
      </c>
      <c r="C1199" s="2" t="n">
        <f aca="false">0</f>
        <v>0</v>
      </c>
      <c r="D1199" s="2" t="n">
        <f aca="false">C1199*(1-D$1187)+C1198*D$1187</f>
        <v>0</v>
      </c>
      <c r="E1199" s="2" t="n">
        <f aca="false">D1199*(1-E$1187)+D1198*E$1187</f>
        <v>0</v>
      </c>
      <c r="F1199" s="2" t="n">
        <f aca="false">E1199*(1-F$1187)+E1198*F$1187</f>
        <v>0</v>
      </c>
      <c r="G1199" s="2" t="n">
        <f aca="false">F1199*(1-G$1187)+F1198*G$1187</f>
        <v>0</v>
      </c>
      <c r="H1199" s="2" t="n">
        <f aca="false">G1199*(1-H$1187)+G1198*H$1187</f>
        <v>0</v>
      </c>
      <c r="I1199" s="2" t="n">
        <f aca="false">H1199*(1-I$1187)+H1198*I$1187</f>
        <v>0</v>
      </c>
      <c r="J1199" s="2" t="n">
        <f aca="false">I1199*(1-J$1187)+I1198*J$1187</f>
        <v>0</v>
      </c>
      <c r="K1199" s="2" t="n">
        <f aca="false">J1199*(1-K$1187)+J1198*K$1187</f>
        <v>0</v>
      </c>
      <c r="L1199" s="2" t="n">
        <f aca="false">K1199*(1-L$1187)+K1198*L$1187</f>
        <v>0</v>
      </c>
      <c r="M1199" s="2" t="n">
        <f aca="false">L1199*(1-M$1187)+L1198*M$1187</f>
        <v>0.00759546935717065</v>
      </c>
      <c r="N1199" s="2" t="n">
        <f aca="false">M1199*(1-N$1187)+M1198*N$1187</f>
        <v>0.0450622699619124</v>
      </c>
      <c r="O1199" s="2" t="n">
        <f aca="false">N1199*(1-O$1187)+N1198*O$1187</f>
        <v>0.0450622699619124</v>
      </c>
    </row>
    <row r="1200" customFormat="false" ht="15" hidden="false" customHeight="false" outlineLevel="0" collapsed="false">
      <c r="B1200" s="2" t="n">
        <v>12</v>
      </c>
      <c r="C1200" s="2" t="n">
        <f aca="false">0</f>
        <v>0</v>
      </c>
      <c r="D1200" s="2" t="n">
        <f aca="false">C1200*(1-D$1187)+C1199*D$1187</f>
        <v>0</v>
      </c>
      <c r="E1200" s="2" t="n">
        <f aca="false">D1200*(1-E$1187)+D1199*E$1187</f>
        <v>0</v>
      </c>
      <c r="F1200" s="2" t="n">
        <f aca="false">E1200*(1-F$1187)+E1199*F$1187</f>
        <v>0</v>
      </c>
      <c r="G1200" s="2" t="n">
        <f aca="false">F1200*(1-G$1187)+F1199*G$1187</f>
        <v>0</v>
      </c>
      <c r="H1200" s="2" t="n">
        <f aca="false">G1200*(1-H$1187)+G1199*H$1187</f>
        <v>0</v>
      </c>
      <c r="I1200" s="2" t="n">
        <f aca="false">H1200*(1-I$1187)+H1199*I$1187</f>
        <v>0</v>
      </c>
      <c r="J1200" s="2" t="n">
        <f aca="false">I1200*(1-J$1187)+I1199*J$1187</f>
        <v>0</v>
      </c>
      <c r="K1200" s="2" t="n">
        <f aca="false">J1200*(1-K$1187)+J1199*K$1187</f>
        <v>0</v>
      </c>
      <c r="L1200" s="2" t="n">
        <f aca="false">K1200*(1-L$1187)+K1199*L$1187</f>
        <v>0</v>
      </c>
      <c r="M1200" s="2" t="n">
        <f aca="false">L1200*(1-M$1187)+L1199*M$1187</f>
        <v>0</v>
      </c>
      <c r="N1200" s="2" t="n">
        <f aca="false">M1200*(1-N$1187)+M1199*N$1187</f>
        <v>0.00578715819826788</v>
      </c>
      <c r="O1200" s="2" t="n">
        <f aca="false">N1200*(1-O$1187)+N1199*O$1187</f>
        <v>0.00578715819826788</v>
      </c>
    </row>
    <row r="1201" customFormat="false" ht="15" hidden="false" customHeight="false" outlineLevel="0" collapsed="false">
      <c r="B1201" s="2" t="n">
        <v>13</v>
      </c>
      <c r="C1201" s="2" t="n">
        <f aca="false">0</f>
        <v>0</v>
      </c>
      <c r="D1201" s="2" t="n">
        <f aca="false">C1201*(1-D$1187)+C1200*D$1187</f>
        <v>0</v>
      </c>
      <c r="E1201" s="2" t="n">
        <f aca="false">D1201*(1-E$1187)+D1200*E$1187</f>
        <v>0</v>
      </c>
      <c r="F1201" s="2" t="n">
        <f aca="false">E1201*(1-F$1187)+E1200*F$1187</f>
        <v>0</v>
      </c>
      <c r="G1201" s="2" t="n">
        <f aca="false">F1201*(1-G$1187)+F1200*G$1187</f>
        <v>0</v>
      </c>
      <c r="H1201" s="2" t="n">
        <f aca="false">G1201*(1-H$1187)+G1200*H$1187</f>
        <v>0</v>
      </c>
      <c r="I1201" s="2" t="n">
        <f aca="false">H1201*(1-I$1187)+H1200*I$1187</f>
        <v>0</v>
      </c>
      <c r="J1201" s="2" t="n">
        <f aca="false">I1201*(1-J$1187)+I1200*J$1187</f>
        <v>0</v>
      </c>
      <c r="K1201" s="2" t="n">
        <f aca="false">J1201*(1-K$1187)+J1200*K$1187</f>
        <v>0</v>
      </c>
      <c r="L1201" s="2" t="n">
        <f aca="false">K1201*(1-L$1187)+K1200*L$1187</f>
        <v>0</v>
      </c>
      <c r="M1201" s="2" t="n">
        <f aca="false">L1201*(1-M$1187)+L1200*M$1187</f>
        <v>0</v>
      </c>
      <c r="N1201" s="2" t="n">
        <f aca="false">M1201*(1-N$1187)+M1200*N$1187</f>
        <v>0</v>
      </c>
      <c r="O1201" s="2" t="n">
        <f aca="false">N1201*(1-O$1187)+N1200*O$1187</f>
        <v>0</v>
      </c>
    </row>
    <row r="1203" customFormat="false" ht="15" hidden="false" customHeight="false" outlineLevel="0" collapsed="false">
      <c r="A1203" s="1" t="s">
        <v>133</v>
      </c>
      <c r="C1203" s="2" t="n">
        <f aca="false">Schedule!G77</f>
        <v>0.951793718322495</v>
      </c>
      <c r="D1203" s="2" t="n">
        <f aca="false">Schedule!L77</f>
        <v>0.440382307629758</v>
      </c>
      <c r="E1203" s="2" t="n">
        <f aca="false">Schedule!Q77</f>
        <v>0.253825417414222</v>
      </c>
      <c r="F1203" s="2" t="n">
        <f aca="false">Schedule!V77</f>
        <v>0.680375828482882</v>
      </c>
      <c r="G1203" s="2" t="n">
        <f aca="false">Schedule!AA77</f>
        <v>0.217327735678086</v>
      </c>
      <c r="H1203" s="2" t="n">
        <f aca="false">Schedule!AF77</f>
        <v>0.255831641347934</v>
      </c>
      <c r="I1203" s="2" t="n">
        <f aca="false">Schedule!AK77</f>
        <v>0.310741374381306</v>
      </c>
      <c r="J1203" s="2" t="n">
        <f aca="false">Schedule!AP77</f>
        <v>0.236147484972854</v>
      </c>
      <c r="K1203" s="2" t="n">
        <f aca="false">Schedule!AU77</f>
        <v>0.217327735678086</v>
      </c>
      <c r="L1203" s="2" t="n">
        <f aca="false">Schedule!AZ77</f>
        <v>0.263938536969338</v>
      </c>
      <c r="M1203" s="2" t="n">
        <f aca="false">Schedule!BE77</f>
        <v>0.452736711249588</v>
      </c>
      <c r="N1203" s="2" t="n">
        <f aca="false">Schedule!BJ77</f>
        <v>0.0527505320407448</v>
      </c>
      <c r="O1203" s="2" t="n">
        <f aca="false">Schedule!BO77</f>
        <v>0</v>
      </c>
    </row>
    <row r="1204" customFormat="false" ht="15" hidden="false" customHeight="false" outlineLevel="0" collapsed="false">
      <c r="B1204" s="2" t="n">
        <v>0</v>
      </c>
      <c r="C1204" s="2" t="n">
        <f aca="false">1-C$1203</f>
        <v>0.0482062816775055</v>
      </c>
      <c r="D1204" s="2" t="n">
        <f aca="false">C1204*(1-D$1203)</f>
        <v>0.0269770881101155</v>
      </c>
      <c r="E1204" s="2" t="n">
        <f aca="false">D1204*(1-E$1203)</f>
        <v>0.0201296174599452</v>
      </c>
      <c r="F1204" s="2" t="n">
        <f aca="false">E1204*(1-F$1203)</f>
        <v>0.00643391230359149</v>
      </c>
      <c r="G1204" s="2" t="n">
        <f aca="false">F1204*(1-G$1203)</f>
        <v>0.00503564471110058</v>
      </c>
      <c r="H1204" s="2" t="n">
        <f aca="false">G1204*(1-H$1203)</f>
        <v>0.00374736745941467</v>
      </c>
      <c r="I1204" s="2" t="n">
        <f aca="false">H1204*(1-I$1203)</f>
        <v>0.00258290534476438</v>
      </c>
      <c r="J1204" s="2" t="n">
        <f aca="false">I1204*(1-J$1203)</f>
        <v>0.00197295874367533</v>
      </c>
      <c r="K1204" s="2" t="n">
        <f aca="false">J1204*(1-K$1203)</f>
        <v>0.00154418008732609</v>
      </c>
      <c r="L1204" s="2" t="n">
        <f aca="false">K1204*(1-L$1203)</f>
        <v>0.00113661145426006</v>
      </c>
      <c r="M1204" s="2" t="n">
        <f aca="false">L1204*(1-M$1203)</f>
        <v>0.000622025722489747</v>
      </c>
      <c r="N1204" s="2" t="n">
        <f aca="false">M1204*(1-N$1203)</f>
        <v>0.000589213534685384</v>
      </c>
      <c r="O1204" s="2" t="n">
        <f aca="false">N1204*(1-O$1203)</f>
        <v>0.000589213534685384</v>
      </c>
    </row>
    <row r="1205" customFormat="false" ht="15" hidden="false" customHeight="false" outlineLevel="0" collapsed="false">
      <c r="B1205" s="2" t="n">
        <v>1</v>
      </c>
      <c r="C1205" s="2" t="n">
        <f aca="false">C$1203</f>
        <v>0.951793718322495</v>
      </c>
      <c r="D1205" s="2" t="n">
        <f aca="false">C1205*(1-D$1203)+C1204*D$1203</f>
        <v>0.553869797827517</v>
      </c>
      <c r="E1205" s="2" t="n">
        <f aca="false">D1205*(1-E$1203)+D1204*E$1203</f>
        <v>0.420131035850987</v>
      </c>
      <c r="F1205" s="2" t="n">
        <f aca="false">E1205*(1-F$1203)+E1204*F$1203</f>
        <v>0.147979739418854</v>
      </c>
      <c r="G1205" s="2" t="n">
        <f aca="false">F1205*(1-G$1203)+F1204*G$1203</f>
        <v>0.117217905317212</v>
      </c>
      <c r="H1205" s="2" t="n">
        <f aca="false">G1205*(1-H$1203)+G1204*H$1203</f>
        <v>0.0885181334562289</v>
      </c>
      <c r="I1205" s="2" t="n">
        <f aca="false">H1205*(1-I$1203)+H1204*I$1203</f>
        <v>0.0621763491230228</v>
      </c>
      <c r="J1205" s="2" t="n">
        <f aca="false">I1205*(1-J$1203)+I1204*J$1203</f>
        <v>0.0481035072539159</v>
      </c>
      <c r="K1205" s="2" t="n">
        <f aca="false">J1205*(1-K$1203)+J1204*K$1203</f>
        <v>0.0380780596005972</v>
      </c>
      <c r="L1205" s="2" t="n">
        <f aca="false">K1205*(1-L$1203)+K1204*L$1203</f>
        <v>0.0284353608920504</v>
      </c>
      <c r="M1205" s="2" t="n">
        <f aca="false">L1205*(1-M$1203)+L1204*M$1203</f>
        <v>0.0160762148503586</v>
      </c>
      <c r="N1205" s="2" t="n">
        <f aca="false">M1205*(1-N$1203)+M1204*N$1203</f>
        <v>0.0152609981516053</v>
      </c>
      <c r="O1205" s="2" t="n">
        <f aca="false">N1205*(1-O$1203)+N1204*O$1203</f>
        <v>0.0152609981516053</v>
      </c>
    </row>
    <row r="1206" customFormat="false" ht="15" hidden="false" customHeight="false" outlineLevel="0" collapsed="false">
      <c r="B1206" s="2" t="n">
        <v>2</v>
      </c>
      <c r="C1206" s="2" t="n">
        <f aca="false">0</f>
        <v>0</v>
      </c>
      <c r="D1206" s="2" t="n">
        <f aca="false">C1206*(1-D$1203)+C1205*D$1203</f>
        <v>0.419153114062368</v>
      </c>
      <c r="E1206" s="2" t="n">
        <f aca="false">D1206*(1-E$1203)+D1205*E$1203</f>
        <v>0.453347632551716</v>
      </c>
      <c r="F1206" s="2" t="n">
        <f aca="false">E1206*(1-F$1203)+E1205*F$1203</f>
        <v>0.430747863052076</v>
      </c>
      <c r="G1206" s="2" t="n">
        <f aca="false">F1206*(1-G$1203)+F1205*G$1203</f>
        <v>0.369294507020927</v>
      </c>
      <c r="H1206" s="2" t="n">
        <f aca="false">G1206*(1-H$1203)+G1205*H$1203</f>
        <v>0.304805336261656</v>
      </c>
      <c r="I1206" s="2" t="n">
        <f aca="false">H1206*(1-I$1203)+H1205*I$1203</f>
        <v>0.237595953600809</v>
      </c>
      <c r="J1206" s="2" t="n">
        <f aca="false">I1206*(1-J$1203)+I1205*J$1203</f>
        <v>0.196171055188447</v>
      </c>
      <c r="K1206" s="2" t="n">
        <f aca="false">J1206*(1-K$1203)+J1205*K$1203</f>
        <v>0.163991870268429</v>
      </c>
      <c r="L1206" s="2" t="n">
        <f aca="false">K1206*(1-L$1203)+K1205*L$1203</f>
        <v>0.130758363296527</v>
      </c>
      <c r="M1206" s="2" t="n">
        <f aca="false">L1206*(1-M$1203)+L1205*M$1203</f>
        <v>0.0844329837027408</v>
      </c>
      <c r="N1206" s="2" t="n">
        <f aca="false">M1206*(1-N$1203)+M1205*N$1203</f>
        <v>0.0808271277771914</v>
      </c>
      <c r="O1206" s="2" t="n">
        <f aca="false">N1206*(1-O$1203)+N1205*O$1203</f>
        <v>0.0808271277771914</v>
      </c>
    </row>
    <row r="1207" customFormat="false" ht="15" hidden="false" customHeight="false" outlineLevel="0" collapsed="false">
      <c r="B1207" s="2" t="n">
        <v>3</v>
      </c>
      <c r="C1207" s="2" t="n">
        <f aca="false">0</f>
        <v>0</v>
      </c>
      <c r="D1207" s="2" t="n">
        <f aca="false">C1207*(1-D$1203)+C1206*D$1203</f>
        <v>0</v>
      </c>
      <c r="E1207" s="2" t="n">
        <f aca="false">D1207*(1-E$1203)+D1206*E$1203</f>
        <v>0.106391714137352</v>
      </c>
      <c r="F1207" s="2" t="n">
        <f aca="false">E1207*(1-F$1203)+E1206*F$1203</f>
        <v>0.342452134575564</v>
      </c>
      <c r="G1207" s="2" t="n">
        <f aca="false">F1207*(1-G$1203)+F1206*G$1203</f>
        <v>0.361641245315412</v>
      </c>
      <c r="H1207" s="2" t="n">
        <f aca="false">G1207*(1-H$1203)+G1206*H$1203</f>
        <v>0.363599191819199</v>
      </c>
      <c r="I1207" s="2" t="n">
        <f aca="false">H1207*(1-I$1203)+H1206*I$1203</f>
        <v>0.345329508338072</v>
      </c>
      <c r="J1207" s="2" t="n">
        <f aca="false">I1207*(1-J$1203)+I1206*J$1203</f>
        <v>0.319888500339682</v>
      </c>
      <c r="K1207" s="2" t="n">
        <f aca="false">J1207*(1-K$1203)+J1206*K$1203</f>
        <v>0.293001268121086</v>
      </c>
      <c r="L1207" s="2" t="n">
        <f aca="false">K1207*(1-L$1203)+K1206*L$1203</f>
        <v>0.258950716396561</v>
      </c>
      <c r="M1207" s="2" t="n">
        <f aca="false">L1207*(1-M$1203)+L1206*M$1203</f>
        <v>0.200913332046706</v>
      </c>
      <c r="N1207" s="2" t="n">
        <f aca="false">M1207*(1-N$1203)+M1206*N$1203</f>
        <v>0.19476893169927</v>
      </c>
      <c r="O1207" s="2" t="n">
        <f aca="false">N1207*(1-O$1203)+N1206*O$1203</f>
        <v>0.19476893169927</v>
      </c>
    </row>
    <row r="1208" customFormat="false" ht="15" hidden="false" customHeight="false" outlineLevel="0" collapsed="false">
      <c r="B1208" s="2" t="n">
        <v>4</v>
      </c>
      <c r="C1208" s="2" t="n">
        <f aca="false">0</f>
        <v>0</v>
      </c>
      <c r="D1208" s="2" t="n">
        <f aca="false">C1208*(1-D$1203)+C1207*D$1203</f>
        <v>0</v>
      </c>
      <c r="E1208" s="2" t="n">
        <f aca="false">D1208*(1-E$1203)+D1207*E$1203</f>
        <v>0</v>
      </c>
      <c r="F1208" s="2" t="n">
        <f aca="false">E1208*(1-F$1203)+E1207*F$1203</f>
        <v>0.0723863506499146</v>
      </c>
      <c r="G1208" s="2" t="n">
        <f aca="false">F1208*(1-G$1203)+F1207*G$1203</f>
        <v>0.131079135954603</v>
      </c>
      <c r="H1208" s="2" t="n">
        <f aca="false">G1208*(1-H$1203)+G1207*H$1203</f>
        <v>0.190064218825021</v>
      </c>
      <c r="I1208" s="2" t="n">
        <f aca="false">H1208*(1-I$1203)+H1207*I$1203</f>
        <v>0.243988714836454</v>
      </c>
      <c r="J1208" s="2" t="n">
        <f aca="false">I1208*(1-J$1203)+I1207*J$1203</f>
        <v>0.267920088347015</v>
      </c>
      <c r="K1208" s="2" t="n">
        <f aca="false">J1208*(1-K$1203)+J1207*K$1203</f>
        <v>0.279214265652167</v>
      </c>
      <c r="L1208" s="2" t="n">
        <f aca="false">K1208*(1-L$1203)+K1207*L$1203</f>
        <v>0.282853186913006</v>
      </c>
      <c r="M1208" s="2" t="n">
        <f aca="false">L1208*(1-M$1203)+L1207*M$1203</f>
        <v>0.27203166102065</v>
      </c>
      <c r="N1208" s="2" t="n">
        <f aca="false">M1208*(1-N$1203)+M1207*N$1203</f>
        <v>0.268280131329426</v>
      </c>
      <c r="O1208" s="2" t="n">
        <f aca="false">N1208*(1-O$1203)+N1207*O$1203</f>
        <v>0.268280131329426</v>
      </c>
    </row>
    <row r="1209" customFormat="false" ht="15" hidden="false" customHeight="false" outlineLevel="0" collapsed="false">
      <c r="B1209" s="2" t="n">
        <v>5</v>
      </c>
      <c r="C1209" s="2" t="n">
        <f aca="false">0</f>
        <v>0</v>
      </c>
      <c r="D1209" s="2" t="n">
        <f aca="false">C1209*(1-D$1203)+C1208*D$1203</f>
        <v>0</v>
      </c>
      <c r="E1209" s="2" t="n">
        <f aca="false">D1209*(1-E$1203)+D1208*E$1203</f>
        <v>0</v>
      </c>
      <c r="F1209" s="2" t="n">
        <f aca="false">E1209*(1-F$1203)+E1208*F$1203</f>
        <v>0</v>
      </c>
      <c r="G1209" s="2" t="n">
        <f aca="false">F1209*(1-G$1203)+F1208*G$1203</f>
        <v>0.0157315616807459</v>
      </c>
      <c r="H1209" s="2" t="n">
        <f aca="false">G1209*(1-H$1203)+G1208*H$1203</f>
        <v>0.0452411209327295</v>
      </c>
      <c r="I1209" s="2" t="n">
        <f aca="false">H1209*(1-I$1203)+H1208*I$1203</f>
        <v>0.0902436494139384</v>
      </c>
      <c r="J1209" s="2" t="n">
        <f aca="false">I1209*(1-J$1203)+I1208*J$1203</f>
        <v>0.126550159940453</v>
      </c>
      <c r="K1209" s="2" t="n">
        <f aca="false">J1209*(1-K$1203)+J1208*K$1203</f>
        <v>0.157273766374024</v>
      </c>
      <c r="L1209" s="2" t="n">
        <f aca="false">K1209*(1-L$1203)+K1208*L$1203</f>
        <v>0.189458563350807</v>
      </c>
      <c r="M1209" s="2" t="n">
        <f aca="false">L1209*(1-M$1203)+L1208*M$1203</f>
        <v>0.231741738070751</v>
      </c>
      <c r="N1209" s="2" t="n">
        <f aca="false">M1209*(1-N$1203)+M1208*N$1203</f>
        <v>0.233867052942238</v>
      </c>
      <c r="O1209" s="2" t="n">
        <f aca="false">N1209*(1-O$1203)+N1208*O$1203</f>
        <v>0.233867052942238</v>
      </c>
    </row>
    <row r="1210" customFormat="false" ht="15" hidden="false" customHeight="false" outlineLevel="0" collapsed="false">
      <c r="B1210" s="2" t="n">
        <v>6</v>
      </c>
      <c r="C1210" s="2" t="n">
        <f aca="false">0</f>
        <v>0</v>
      </c>
      <c r="D1210" s="2" t="n">
        <f aca="false">C1210*(1-D$1203)+C1209*D$1203</f>
        <v>0</v>
      </c>
      <c r="E1210" s="2" t="n">
        <f aca="false">D1210*(1-E$1203)+D1209*E$1203</f>
        <v>0</v>
      </c>
      <c r="F1210" s="2" t="n">
        <f aca="false">E1210*(1-F$1203)+E1209*F$1203</f>
        <v>0</v>
      </c>
      <c r="G1210" s="2" t="n">
        <f aca="false">F1210*(1-G$1203)+F1209*G$1203</f>
        <v>0</v>
      </c>
      <c r="H1210" s="2" t="n">
        <f aca="false">G1210*(1-H$1203)+G1209*H$1203</f>
        <v>0.00402463124575148</v>
      </c>
      <c r="I1210" s="2" t="n">
        <f aca="false">H1210*(1-I$1203)+H1209*I$1203</f>
        <v>0.0168322998982559</v>
      </c>
      <c r="J1210" s="2" t="n">
        <f aca="false">I1210*(1-J$1203)+I1209*J$1203</f>
        <v>0.0341682054548475</v>
      </c>
      <c r="K1210" s="2" t="n">
        <f aca="false">J1210*(1-K$1203)+J1209*K$1203</f>
        <v>0.05424536644072</v>
      </c>
      <c r="L1210" s="2" t="n">
        <f aca="false">K1210*(1-L$1203)+K1209*L$1203</f>
        <v>0.081438531585408</v>
      </c>
      <c r="M1210" s="2" t="n">
        <f aca="false">L1210*(1-M$1203)+L1209*M$1203</f>
        <v>0.130343165515951</v>
      </c>
      <c r="N1210" s="2" t="n">
        <f aca="false">M1210*(1-N$1203)+M1209*N$1203</f>
        <v>0.135691994166389</v>
      </c>
      <c r="O1210" s="2" t="n">
        <f aca="false">N1210*(1-O$1203)+N1209*O$1203</f>
        <v>0.135691994166389</v>
      </c>
    </row>
    <row r="1211" customFormat="false" ht="15" hidden="false" customHeight="false" outlineLevel="0" collapsed="false">
      <c r="B1211" s="2" t="n">
        <v>7</v>
      </c>
      <c r="C1211" s="2" t="n">
        <f aca="false">0</f>
        <v>0</v>
      </c>
      <c r="D1211" s="2" t="n">
        <f aca="false">C1211*(1-D$1203)+C1210*D$1203</f>
        <v>0</v>
      </c>
      <c r="E1211" s="2" t="n">
        <f aca="false">D1211*(1-E$1203)+D1210*E$1203</f>
        <v>0</v>
      </c>
      <c r="F1211" s="2" t="n">
        <f aca="false">E1211*(1-F$1203)+E1210*F$1203</f>
        <v>0</v>
      </c>
      <c r="G1211" s="2" t="n">
        <f aca="false">F1211*(1-G$1203)+F1210*G$1203</f>
        <v>0</v>
      </c>
      <c r="H1211" s="2" t="n">
        <f aca="false">G1211*(1-H$1203)+G1210*H$1203</f>
        <v>0</v>
      </c>
      <c r="I1211" s="2" t="n">
        <f aca="false">H1211*(1-I$1203)+H1210*I$1203</f>
        <v>0.00125061944468276</v>
      </c>
      <c r="J1211" s="2" t="n">
        <f aca="false">I1211*(1-J$1203)+I1210*J$1203</f>
        <v>0.00493019409544475</v>
      </c>
      <c r="K1211" s="2" t="n">
        <f aca="false">J1211*(1-K$1203)+J1210*K$1203</f>
        <v>0.0112844248999139</v>
      </c>
      <c r="L1211" s="2" t="n">
        <f aca="false">K1211*(1-L$1203)+K1210*L$1203</f>
        <v>0.0226234729570195</v>
      </c>
      <c r="M1211" s="2" t="n">
        <f aca="false">L1211*(1-M$1203)+L1210*M$1203</f>
        <v>0.0492512091723878</v>
      </c>
      <c r="N1211" s="2" t="n">
        <f aca="false">M1211*(1-N$1203)+M1210*N$1203</f>
        <v>0.0535288530137356</v>
      </c>
      <c r="O1211" s="2" t="n">
        <f aca="false">N1211*(1-O$1203)+N1210*O$1203</f>
        <v>0.0535288530137356</v>
      </c>
    </row>
    <row r="1212" customFormat="false" ht="15" hidden="false" customHeight="false" outlineLevel="0" collapsed="false">
      <c r="B1212" s="2" t="n">
        <v>8</v>
      </c>
      <c r="C1212" s="2" t="n">
        <f aca="false">0</f>
        <v>0</v>
      </c>
      <c r="D1212" s="2" t="n">
        <f aca="false">C1212*(1-D$1203)+C1211*D$1203</f>
        <v>0</v>
      </c>
      <c r="E1212" s="2" t="n">
        <f aca="false">D1212*(1-E$1203)+D1211*E$1203</f>
        <v>0</v>
      </c>
      <c r="F1212" s="2" t="n">
        <f aca="false">E1212*(1-F$1203)+E1211*F$1203</f>
        <v>0</v>
      </c>
      <c r="G1212" s="2" t="n">
        <f aca="false">F1212*(1-G$1203)+F1211*G$1203</f>
        <v>0</v>
      </c>
      <c r="H1212" s="2" t="n">
        <f aca="false">G1212*(1-H$1203)+G1211*H$1203</f>
        <v>0</v>
      </c>
      <c r="I1212" s="2" t="n">
        <f aca="false">H1212*(1-I$1203)+H1211*I$1203</f>
        <v>0</v>
      </c>
      <c r="J1212" s="2" t="n">
        <f aca="false">I1212*(1-J$1203)+I1211*J$1203</f>
        <v>0.000295330636519982</v>
      </c>
      <c r="K1212" s="2" t="n">
        <f aca="false">J1212*(1-K$1203)+J1211*K$1203</f>
        <v>0.0013026150172252</v>
      </c>
      <c r="L1212" s="2" t="n">
        <f aca="false">K1212*(1-L$1203)+K1211*L$1203</f>
        <v>0.00393719931396813</v>
      </c>
      <c r="M1212" s="2" t="n">
        <f aca="false">L1212*(1-M$1203)+L1211*M$1203</f>
        <v>0.0123971613886331</v>
      </c>
      <c r="N1212" s="2" t="n">
        <f aca="false">M1212*(1-N$1203)+M1211*N$1203</f>
        <v>0.0143412320170812</v>
      </c>
      <c r="O1212" s="2" t="n">
        <f aca="false">N1212*(1-O$1203)+N1211*O$1203</f>
        <v>0.0143412320170812</v>
      </c>
    </row>
    <row r="1213" customFormat="false" ht="15" hidden="false" customHeight="false" outlineLevel="0" collapsed="false">
      <c r="B1213" s="2" t="n">
        <v>9</v>
      </c>
      <c r="C1213" s="2" t="n">
        <f aca="false">0</f>
        <v>0</v>
      </c>
      <c r="D1213" s="2" t="n">
        <f aca="false">C1213*(1-D$1203)+C1212*D$1203</f>
        <v>0</v>
      </c>
      <c r="E1213" s="2" t="n">
        <f aca="false">D1213*(1-E$1203)+D1212*E$1203</f>
        <v>0</v>
      </c>
      <c r="F1213" s="2" t="n">
        <f aca="false">E1213*(1-F$1203)+E1212*F$1203</f>
        <v>0</v>
      </c>
      <c r="G1213" s="2" t="n">
        <f aca="false">F1213*(1-G$1203)+F1212*G$1203</f>
        <v>0</v>
      </c>
      <c r="H1213" s="2" t="n">
        <f aca="false">G1213*(1-H$1203)+G1212*H$1203</f>
        <v>0</v>
      </c>
      <c r="I1213" s="2" t="n">
        <f aca="false">H1213*(1-I$1203)+H1212*I$1203</f>
        <v>0</v>
      </c>
      <c r="J1213" s="2" t="n">
        <f aca="false">I1213*(1-J$1203)+I1212*J$1203</f>
        <v>0</v>
      </c>
      <c r="K1213" s="2" t="n">
        <f aca="false">J1213*(1-K$1203)+J1212*K$1203</f>
        <v>6.41835385112553E-005</v>
      </c>
      <c r="L1213" s="2" t="n">
        <f aca="false">K1213*(1-L$1203)+K1212*L$1203</f>
        <v>0.000391053331139788</v>
      </c>
      <c r="M1213" s="2" t="n">
        <f aca="false">L1213*(1-M$1203)+L1212*M$1203</f>
        <v>0.00199652380101643</v>
      </c>
      <c r="N1213" s="2" t="n">
        <f aca="false">M1213*(1-N$1203)+M1212*N$1203</f>
        <v>0.00254516296732618</v>
      </c>
      <c r="O1213" s="2" t="n">
        <f aca="false">N1213*(1-O$1203)+N1212*O$1203</f>
        <v>0.00254516296732618</v>
      </c>
    </row>
    <row r="1214" customFormat="false" ht="15" hidden="false" customHeight="false" outlineLevel="0" collapsed="false">
      <c r="B1214" s="2" t="n">
        <v>10</v>
      </c>
      <c r="C1214" s="2" t="n">
        <f aca="false">0</f>
        <v>0</v>
      </c>
      <c r="D1214" s="2" t="n">
        <f aca="false">C1214*(1-D$1203)+C1213*D$1203</f>
        <v>0</v>
      </c>
      <c r="E1214" s="2" t="n">
        <f aca="false">D1214*(1-E$1203)+D1213*E$1203</f>
        <v>0</v>
      </c>
      <c r="F1214" s="2" t="n">
        <f aca="false">E1214*(1-F$1203)+E1213*F$1203</f>
        <v>0</v>
      </c>
      <c r="G1214" s="2" t="n">
        <f aca="false">F1214*(1-G$1203)+F1213*G$1203</f>
        <v>0</v>
      </c>
      <c r="H1214" s="2" t="n">
        <f aca="false">G1214*(1-H$1203)+G1213*H$1203</f>
        <v>0</v>
      </c>
      <c r="I1214" s="2" t="n">
        <f aca="false">H1214*(1-I$1203)+H1213*I$1203</f>
        <v>0</v>
      </c>
      <c r="J1214" s="2" t="n">
        <f aca="false">I1214*(1-J$1203)+I1213*J$1203</f>
        <v>0</v>
      </c>
      <c r="K1214" s="2" t="n">
        <f aca="false">J1214*(1-K$1203)+J1213*K$1203</f>
        <v>0</v>
      </c>
      <c r="L1214" s="2" t="n">
        <f aca="false">K1214*(1-L$1203)+K1213*L$1203</f>
        <v>1.69405092521759E-005</v>
      </c>
      <c r="M1214" s="2" t="n">
        <f aca="false">L1214*(1-M$1203)+L1213*M$1203</f>
        <v>0.000186315117869876</v>
      </c>
      <c r="N1214" s="2" t="n">
        <f aca="false">M1214*(1-N$1203)+M1213*N$1203</f>
        <v>0.000281804589010633</v>
      </c>
      <c r="O1214" s="2" t="n">
        <f aca="false">N1214*(1-O$1203)+N1213*O$1203</f>
        <v>0.000281804589010633</v>
      </c>
    </row>
    <row r="1215" customFormat="false" ht="15" hidden="false" customHeight="false" outlineLevel="0" collapsed="false">
      <c r="B1215" s="2" t="n">
        <v>11</v>
      </c>
      <c r="C1215" s="2" t="n">
        <f aca="false">0</f>
        <v>0</v>
      </c>
      <c r="D1215" s="2" t="n">
        <f aca="false">C1215*(1-D$1203)+C1214*D$1203</f>
        <v>0</v>
      </c>
      <c r="E1215" s="2" t="n">
        <f aca="false">D1215*(1-E$1203)+D1214*E$1203</f>
        <v>0</v>
      </c>
      <c r="F1215" s="2" t="n">
        <f aca="false">E1215*(1-F$1203)+E1214*F$1203</f>
        <v>0</v>
      </c>
      <c r="G1215" s="2" t="n">
        <f aca="false">F1215*(1-G$1203)+F1214*G$1203</f>
        <v>0</v>
      </c>
      <c r="H1215" s="2" t="n">
        <f aca="false">G1215*(1-H$1203)+G1214*H$1203</f>
        <v>0</v>
      </c>
      <c r="I1215" s="2" t="n">
        <f aca="false">H1215*(1-I$1203)+H1214*I$1203</f>
        <v>0</v>
      </c>
      <c r="J1215" s="2" t="n">
        <f aca="false">I1215*(1-J$1203)+I1214*J$1203</f>
        <v>0</v>
      </c>
      <c r="K1215" s="2" t="n">
        <f aca="false">J1215*(1-K$1203)+J1214*K$1203</f>
        <v>0</v>
      </c>
      <c r="L1215" s="2" t="n">
        <f aca="false">K1215*(1-L$1203)+K1214*L$1203</f>
        <v>0</v>
      </c>
      <c r="M1215" s="2" t="n">
        <f aca="false">L1215*(1-M$1203)+L1214*M$1203</f>
        <v>7.66959044572332E-006</v>
      </c>
      <c r="N1215" s="2" t="n">
        <f aca="false">M1215*(1-N$1203)+M1214*N$1203</f>
        <v>1.70932370640469E-005</v>
      </c>
      <c r="O1215" s="2" t="n">
        <f aca="false">N1215*(1-O$1203)+N1214*O$1203</f>
        <v>1.70932370640469E-005</v>
      </c>
    </row>
    <row r="1216" customFormat="false" ht="15" hidden="false" customHeight="false" outlineLevel="0" collapsed="false">
      <c r="B1216" s="2" t="n">
        <v>12</v>
      </c>
      <c r="C1216" s="2" t="n">
        <f aca="false">0</f>
        <v>0</v>
      </c>
      <c r="D1216" s="2" t="n">
        <f aca="false">C1216*(1-D$1203)+C1215*D$1203</f>
        <v>0</v>
      </c>
      <c r="E1216" s="2" t="n">
        <f aca="false">D1216*(1-E$1203)+D1215*E$1203</f>
        <v>0</v>
      </c>
      <c r="F1216" s="2" t="n">
        <f aca="false">E1216*(1-F$1203)+E1215*F$1203</f>
        <v>0</v>
      </c>
      <c r="G1216" s="2" t="n">
        <f aca="false">F1216*(1-G$1203)+F1215*G$1203</f>
        <v>0</v>
      </c>
      <c r="H1216" s="2" t="n">
        <f aca="false">G1216*(1-H$1203)+G1215*H$1203</f>
        <v>0</v>
      </c>
      <c r="I1216" s="2" t="n">
        <f aca="false">H1216*(1-I$1203)+H1215*I$1203</f>
        <v>0</v>
      </c>
      <c r="J1216" s="2" t="n">
        <f aca="false">I1216*(1-J$1203)+I1215*J$1203</f>
        <v>0</v>
      </c>
      <c r="K1216" s="2" t="n">
        <f aca="false">J1216*(1-K$1203)+J1215*K$1203</f>
        <v>0</v>
      </c>
      <c r="L1216" s="2" t="n">
        <f aca="false">K1216*(1-L$1203)+K1215*L$1203</f>
        <v>0</v>
      </c>
      <c r="M1216" s="2" t="n">
        <f aca="false">L1216*(1-M$1203)+L1215*M$1203</f>
        <v>0</v>
      </c>
      <c r="N1216" s="2" t="n">
        <f aca="false">M1216*(1-N$1203)+M1215*N$1203</f>
        <v>4.04574976546518E-007</v>
      </c>
      <c r="O1216" s="2" t="n">
        <f aca="false">N1216*(1-O$1203)+N1215*O$1203</f>
        <v>4.04574976546518E-007</v>
      </c>
    </row>
    <row r="1217" customFormat="false" ht="15" hidden="false" customHeight="false" outlineLevel="0" collapsed="false">
      <c r="B1217" s="2" t="n">
        <v>13</v>
      </c>
      <c r="C1217" s="2" t="n">
        <f aca="false">0</f>
        <v>0</v>
      </c>
      <c r="D1217" s="2" t="n">
        <f aca="false">C1217*(1-D$1203)+C1216*D$1203</f>
        <v>0</v>
      </c>
      <c r="E1217" s="2" t="n">
        <f aca="false">D1217*(1-E$1203)+D1216*E$1203</f>
        <v>0</v>
      </c>
      <c r="F1217" s="2" t="n">
        <f aca="false">E1217*(1-F$1203)+E1216*F$1203</f>
        <v>0</v>
      </c>
      <c r="G1217" s="2" t="n">
        <f aca="false">F1217*(1-G$1203)+F1216*G$1203</f>
        <v>0</v>
      </c>
      <c r="H1217" s="2" t="n">
        <f aca="false">G1217*(1-H$1203)+G1216*H$1203</f>
        <v>0</v>
      </c>
      <c r="I1217" s="2" t="n">
        <f aca="false">H1217*(1-I$1203)+H1216*I$1203</f>
        <v>0</v>
      </c>
      <c r="J1217" s="2" t="n">
        <f aca="false">I1217*(1-J$1203)+I1216*J$1203</f>
        <v>0</v>
      </c>
      <c r="K1217" s="2" t="n">
        <f aca="false">J1217*(1-K$1203)+J1216*K$1203</f>
        <v>0</v>
      </c>
      <c r="L1217" s="2" t="n">
        <f aca="false">K1217*(1-L$1203)+K1216*L$1203</f>
        <v>0</v>
      </c>
      <c r="M1217" s="2" t="n">
        <f aca="false">L1217*(1-M$1203)+L1216*M$1203</f>
        <v>0</v>
      </c>
      <c r="N1217" s="2" t="n">
        <f aca="false">M1217*(1-N$1203)+M1216*N$1203</f>
        <v>0</v>
      </c>
      <c r="O1217" s="2" t="n">
        <f aca="false">N1217*(1-O$1203)+N1216*O$1203</f>
        <v>0</v>
      </c>
    </row>
    <row r="1219" customFormat="false" ht="15" hidden="false" customHeight="false" outlineLevel="0" collapsed="false">
      <c r="A1219" s="1" t="s">
        <v>134</v>
      </c>
      <c r="C1219" s="2" t="n">
        <f aca="false">Schedule!G78</f>
        <v>0.0434022823057326</v>
      </c>
      <c r="D1219" s="2" t="n">
        <f aca="false">Schedule!L78</f>
        <v>0.537346124555327</v>
      </c>
      <c r="E1219" s="2" t="n">
        <f aca="false">Schedule!Q78</f>
        <v>0.773372647623132</v>
      </c>
      <c r="F1219" s="2" t="n">
        <f aca="false">Schedule!V78</f>
        <v>0.971283440183998</v>
      </c>
      <c r="G1219" s="2" t="n">
        <f aca="false">Schedule!AA78</f>
        <v>0.370227827724972</v>
      </c>
      <c r="H1219" s="2" t="n">
        <f aca="false">Schedule!AF78</f>
        <v>0.773372647623132</v>
      </c>
      <c r="I1219" s="2" t="n">
        <f aca="false">Schedule!AK78</f>
        <v>0.698032455319819</v>
      </c>
      <c r="J1219" s="2" t="n">
        <f aca="false">Schedule!AP78</f>
        <v>0.272174377601955</v>
      </c>
      <c r="K1219" s="2" t="n">
        <f aca="false">Schedule!AU78</f>
        <v>0.524917669029247</v>
      </c>
      <c r="L1219" s="2" t="n">
        <f aca="false">Schedule!AZ78</f>
        <v>0.544786515128255</v>
      </c>
      <c r="M1219" s="2" t="n">
        <f aca="false">Schedule!BE78</f>
        <v>0.615525527791213</v>
      </c>
      <c r="N1219" s="2" t="n">
        <f aca="false">Schedule!BJ78</f>
        <v>0.669125611959121</v>
      </c>
      <c r="O1219" s="2" t="n">
        <f aca="false">Schedule!BO78</f>
        <v>0</v>
      </c>
    </row>
    <row r="1220" customFormat="false" ht="15" hidden="false" customHeight="false" outlineLevel="0" collapsed="false">
      <c r="B1220" s="2" t="n">
        <v>0</v>
      </c>
      <c r="C1220" s="2" t="n">
        <f aca="false">1-C$1219</f>
        <v>0.956597717694268</v>
      </c>
      <c r="D1220" s="2" t="n">
        <f aca="false">C1220*(1-D$1219)</f>
        <v>0.442573641332782</v>
      </c>
      <c r="E1220" s="2" t="n">
        <f aca="false">D1220*(1-E$1219)</f>
        <v>0.100299292567038</v>
      </c>
      <c r="F1220" s="2" t="n">
        <f aca="false">E1220*(1-F$1219)</f>
        <v>0.00288025063450401</v>
      </c>
      <c r="G1220" s="2" t="n">
        <f aca="false">F1220*(1-G$1219)</f>
        <v>0.00181390169878812</v>
      </c>
      <c r="H1220" s="2" t="n">
        <f aca="false">G1220*(1-H$1219)</f>
        <v>0.000411079739468254</v>
      </c>
      <c r="I1220" s="2" t="n">
        <f aca="false">H1220*(1-I$1219)</f>
        <v>0.000124132739594997</v>
      </c>
      <c r="J1220" s="2" t="n">
        <f aca="false">I1220*(1-J$1219)</f>
        <v>9.03469884557033E-005</v>
      </c>
      <c r="K1220" s="2" t="n">
        <f aca="false">J1220*(1-K$1219)</f>
        <v>4.29222578717232E-005</v>
      </c>
      <c r="L1220" s="2" t="n">
        <f aca="false">K1220*(1-L$1219)</f>
        <v>1.95387905843508E-005</v>
      </c>
      <c r="M1220" s="2" t="n">
        <f aca="false">L1220*(1-M$1219)</f>
        <v>7.5121661975163E-006</v>
      </c>
      <c r="N1220" s="2" t="n">
        <f aca="false">M1220*(1-N$1219)</f>
        <v>2.48558339346458E-006</v>
      </c>
      <c r="O1220" s="2" t="n">
        <f aca="false">N1220*(1-O$1219)</f>
        <v>2.48558339346458E-006</v>
      </c>
    </row>
    <row r="1221" customFormat="false" ht="15" hidden="false" customHeight="false" outlineLevel="0" collapsed="false">
      <c r="B1221" s="2" t="n">
        <v>1</v>
      </c>
      <c r="C1221" s="2" t="n">
        <f aca="false">C$1219</f>
        <v>0.0434022823057326</v>
      </c>
      <c r="D1221" s="2" t="n">
        <f aca="false">C1221*(1-D$1219)+C1220*D$1219</f>
        <v>0.534104310473376</v>
      </c>
      <c r="E1221" s="2" t="n">
        <f aca="false">D1221*(1-E$1219)+D1220*E$1219</f>
        <v>0.463316994541398</v>
      </c>
      <c r="F1221" s="2" t="n">
        <f aca="false">E1221*(1-F$1219)+E1220*F$1219</f>
        <v>0.110723912120052</v>
      </c>
      <c r="G1221" s="2" t="n">
        <f aca="false">F1221*(1-G$1219)+F1220*G$1219</f>
        <v>0.0707971875943505</v>
      </c>
      <c r="H1221" s="2" t="n">
        <f aca="false">G1221*(1-H$1219)+G1220*H$1219</f>
        <v>0.017447401139556</v>
      </c>
      <c r="I1221" s="2" t="n">
        <f aca="false">H1221*(1-I$1219)+H1220*I$1219</f>
        <v>0.00555549588303517</v>
      </c>
      <c r="J1221" s="2" t="n">
        <f aca="false">I1221*(1-J$1219)+I1220*J$1219</f>
        <v>0.00407721799993914</v>
      </c>
      <c r="K1221" s="2" t="n">
        <f aca="false">J1221*(1-K$1219)+J1220*K$1219</f>
        <v>0.00198443896187098</v>
      </c>
      <c r="L1221" s="2" t="n">
        <f aca="false">K1221*(1-L$1219)+K1220*L$1219</f>
        <v>0.000926726842635927</v>
      </c>
      <c r="M1221" s="2" t="n">
        <f aca="false">L1221*(1-M$1219)+L1220*M$1219</f>
        <v>0.000368329438090999</v>
      </c>
      <c r="N1221" s="2" t="n">
        <f aca="false">M1221*(1-N$1219)+M1220*N$1219</f>
        <v>0.000126897360229852</v>
      </c>
      <c r="O1221" s="2" t="n">
        <f aca="false">N1221*(1-O$1219)+N1220*O$1219</f>
        <v>0.000126897360229852</v>
      </c>
    </row>
    <row r="1222" customFormat="false" ht="15" hidden="false" customHeight="false" outlineLevel="0" collapsed="false">
      <c r="B1222" s="2" t="n">
        <v>2</v>
      </c>
      <c r="C1222" s="2" t="n">
        <f aca="false">0</f>
        <v>0</v>
      </c>
      <c r="D1222" s="2" t="n">
        <f aca="false">C1222*(1-D$1219)+C1221*D$1219</f>
        <v>0.0233220481938416</v>
      </c>
      <c r="E1222" s="2" t="n">
        <f aca="false">D1222*(1-E$1219)+D1221*E$1219</f>
        <v>0.418347078731898</v>
      </c>
      <c r="F1222" s="2" t="n">
        <f aca="false">E1222*(1-F$1219)+E1221*F$1219</f>
        <v>0.462025613264134</v>
      </c>
      <c r="G1222" s="2" t="n">
        <f aca="false">F1222*(1-G$1219)+F1221*G$1219</f>
        <v>0.331963947573473</v>
      </c>
      <c r="H1222" s="2" t="n">
        <f aca="false">G1222*(1-H$1219)+G1221*H$1219</f>
        <v>0.129984718937264</v>
      </c>
      <c r="I1222" s="2" t="n">
        <f aca="false">H1222*(1-I$1219)+H1221*I$1219</f>
        <v>0.0514300186798231</v>
      </c>
      <c r="J1222" s="2" t="n">
        <f aca="false">I1222*(1-J$1219)+I1221*J$1219</f>
        <v>0.0389441489898207</v>
      </c>
      <c r="K1222" s="2" t="n">
        <f aca="false">J1222*(1-K$1219)+J1221*K$1219</f>
        <v>0.0206418808484084</v>
      </c>
      <c r="L1222" s="2" t="n">
        <f aca="false">K1222*(1-L$1219)+K1221*L$1219</f>
        <v>0.0104775581018338</v>
      </c>
      <c r="M1222" s="2" t="n">
        <f aca="false">L1222*(1-M$1219)+L1221*M$1219</f>
        <v>0.0045987776501712</v>
      </c>
      <c r="N1222" s="2" t="n">
        <f aca="false">M1222*(1-N$1219)+M1221*N$1219</f>
        <v>0.00176807640140167</v>
      </c>
      <c r="O1222" s="2" t="n">
        <f aca="false">N1222*(1-O$1219)+N1221*O$1219</f>
        <v>0.00176807640140167</v>
      </c>
    </row>
    <row r="1223" customFormat="false" ht="15" hidden="false" customHeight="false" outlineLevel="0" collapsed="false">
      <c r="B1223" s="2" t="n">
        <v>3</v>
      </c>
      <c r="C1223" s="2" t="n">
        <f aca="false">0</f>
        <v>0</v>
      </c>
      <c r="D1223" s="2" t="n">
        <f aca="false">C1223*(1-D$1219)+C1222*D$1219</f>
        <v>0</v>
      </c>
      <c r="E1223" s="2" t="n">
        <f aca="false">D1223*(1-E$1219)+D1222*E$1219</f>
        <v>0.0180366341596656</v>
      </c>
      <c r="F1223" s="2" t="n">
        <f aca="false">E1223*(1-F$1219)+E1222*F$1219</f>
        <v>0.406851539905369</v>
      </c>
      <c r="G1223" s="2" t="n">
        <f aca="false">F1223*(1-G$1219)+F1222*G$1219</f>
        <v>0.427278517231723</v>
      </c>
      <c r="H1223" s="2" t="n">
        <f aca="false">G1223*(1-H$1219)+G1222*H$1219</f>
        <v>0.353564836138063</v>
      </c>
      <c r="I1223" s="2" t="n">
        <f aca="false">H1223*(1-I$1219)+H1222*I$1219</f>
        <v>0.197498657967696</v>
      </c>
      <c r="J1223" s="2" t="n">
        <f aca="false">I1223*(1-J$1219)+I1222*J$1219</f>
        <v>0.157742516982355</v>
      </c>
      <c r="K1223" s="2" t="n">
        <f aca="false">J1223*(1-K$1219)+J1222*K$1219</f>
        <v>0.0953831545712352</v>
      </c>
      <c r="L1223" s="2" t="n">
        <f aca="false">K1223*(1-L$1219)+K1222*L$1219</f>
        <v>0.0546651165235294</v>
      </c>
      <c r="M1223" s="2" t="n">
        <f aca="false">L1223*(1-M$1219)+L1222*M$1219</f>
        <v>0.0274665463042101</v>
      </c>
      <c r="N1223" s="2" t="n">
        <f aca="false">M1223*(1-N$1219)+M1222*N$1219</f>
        <v>0.0121651366094367</v>
      </c>
      <c r="O1223" s="2" t="n">
        <f aca="false">N1223*(1-O$1219)+N1222*O$1219</f>
        <v>0.0121651366094367</v>
      </c>
    </row>
    <row r="1224" customFormat="false" ht="15" hidden="false" customHeight="false" outlineLevel="0" collapsed="false">
      <c r="B1224" s="2" t="n">
        <v>4</v>
      </c>
      <c r="C1224" s="2" t="n">
        <f aca="false">0</f>
        <v>0</v>
      </c>
      <c r="D1224" s="2" t="n">
        <f aca="false">C1224*(1-D$1219)+C1223*D$1219</f>
        <v>0</v>
      </c>
      <c r="E1224" s="2" t="n">
        <f aca="false">D1224*(1-E$1219)+D1223*E$1219</f>
        <v>0</v>
      </c>
      <c r="F1224" s="2" t="n">
        <f aca="false">E1224*(1-F$1219)+E1223*F$1219</f>
        <v>0.0175186840759402</v>
      </c>
      <c r="G1224" s="2" t="n">
        <f aca="false">F1224*(1-G$1219)+F1223*G$1219</f>
        <v>0.16166054155163</v>
      </c>
      <c r="H1224" s="2" t="n">
        <f aca="false">G1224*(1-H$1219)+G1223*H$1219</f>
        <v>0.36708221865964</v>
      </c>
      <c r="I1224" s="2" t="n">
        <f aca="false">H1224*(1-I$1219)+H1223*I$1219</f>
        <v>0.357646646948607</v>
      </c>
      <c r="J1224" s="2" t="n">
        <f aca="false">I1224*(1-J$1219)+I1223*J$1219</f>
        <v>0.314058467723522</v>
      </c>
      <c r="K1224" s="2" t="n">
        <f aca="false">J1224*(1-K$1219)+J1223*K$1219</f>
        <v>0.232005463228378</v>
      </c>
      <c r="L1224" s="2" t="n">
        <f aca="false">K1224*(1-L$1219)+K1223*L$1219</f>
        <v>0.157575471806276</v>
      </c>
      <c r="M1224" s="2" t="n">
        <f aca="false">L1224*(1-M$1219)+L1223*M$1219</f>
        <v>0.0942315210556823</v>
      </c>
      <c r="N1224" s="2" t="n">
        <f aca="false">M1224*(1-N$1219)+M1223*N$1219</f>
        <v>0.0495573664676682</v>
      </c>
      <c r="O1224" s="2" t="n">
        <f aca="false">N1224*(1-O$1219)+N1223*O$1219</f>
        <v>0.0495573664676682</v>
      </c>
    </row>
    <row r="1225" customFormat="false" ht="15" hidden="false" customHeight="false" outlineLevel="0" collapsed="false">
      <c r="B1225" s="2" t="n">
        <v>5</v>
      </c>
      <c r="C1225" s="2" t="n">
        <f aca="false">0</f>
        <v>0</v>
      </c>
      <c r="D1225" s="2" t="n">
        <f aca="false">C1225*(1-D$1219)+C1224*D$1219</f>
        <v>0</v>
      </c>
      <c r="E1225" s="2" t="n">
        <f aca="false">D1225*(1-E$1219)+D1224*E$1219</f>
        <v>0</v>
      </c>
      <c r="F1225" s="2" t="n">
        <f aca="false">E1225*(1-F$1219)+E1224*F$1219</f>
        <v>0</v>
      </c>
      <c r="G1225" s="2" t="n">
        <f aca="false">F1225*(1-G$1219)+F1224*G$1219</f>
        <v>0.0064859043500354</v>
      </c>
      <c r="H1225" s="2" t="n">
        <f aca="false">G1225*(1-H$1219)+G1224*H$1219</f>
        <v>0.126493724366591</v>
      </c>
      <c r="I1225" s="2" t="n">
        <f aca="false">H1225*(1-I$1219)+H1224*I$1219</f>
        <v>0.294432301759666</v>
      </c>
      <c r="J1225" s="2" t="n">
        <f aca="false">I1225*(1-J$1219)+I1224*J$1219</f>
        <v>0.311637626816981</v>
      </c>
      <c r="K1225" s="2" t="n">
        <f aca="false">J1225*(1-K$1219)+J1224*K$1219</f>
        <v>0.312908368982734</v>
      </c>
      <c r="L1225" s="2" t="n">
        <f aca="false">K1225*(1-L$1219)+K1224*L$1219</f>
        <v>0.268833556893069</v>
      </c>
      <c r="M1225" s="2" t="n">
        <f aca="false">L1225*(1-M$1219)+L1224*M$1219</f>
        <v>0.200351365348981</v>
      </c>
      <c r="N1225" s="2" t="n">
        <f aca="false">M1225*(1-N$1219)+M1224*N$1219</f>
        <v>0.129343859595221</v>
      </c>
      <c r="O1225" s="2" t="n">
        <f aca="false">N1225*(1-O$1219)+N1224*O$1219</f>
        <v>0.129343859595221</v>
      </c>
    </row>
    <row r="1226" customFormat="false" ht="15" hidden="false" customHeight="false" outlineLevel="0" collapsed="false">
      <c r="B1226" s="2" t="n">
        <v>6</v>
      </c>
      <c r="C1226" s="2" t="n">
        <f aca="false">0</f>
        <v>0</v>
      </c>
      <c r="D1226" s="2" t="n">
        <f aca="false">C1226*(1-D$1219)+C1225*D$1219</f>
        <v>0</v>
      </c>
      <c r="E1226" s="2" t="n">
        <f aca="false">D1226*(1-E$1219)+D1225*E$1219</f>
        <v>0</v>
      </c>
      <c r="F1226" s="2" t="n">
        <f aca="false">E1226*(1-F$1219)+E1225*F$1219</f>
        <v>0</v>
      </c>
      <c r="G1226" s="2" t="n">
        <f aca="false">F1226*(1-G$1219)+F1225*G$1219</f>
        <v>0</v>
      </c>
      <c r="H1226" s="2" t="n">
        <f aca="false">G1226*(1-H$1219)+G1225*H$1219</f>
        <v>0.00501602101941727</v>
      </c>
      <c r="I1226" s="2" t="n">
        <f aca="false">H1226*(1-I$1219)+H1225*I$1219</f>
        <v>0.0898114005534577</v>
      </c>
      <c r="J1226" s="2" t="n">
        <f aca="false">I1226*(1-J$1219)+I1225*J$1219</f>
        <v>0.145503966983609</v>
      </c>
      <c r="K1226" s="2" t="n">
        <f aca="false">J1226*(1-K$1219)+J1225*K$1219</f>
        <v>0.232710460450641</v>
      </c>
      <c r="L1226" s="2" t="n">
        <f aca="false">K1226*(1-L$1219)+K1225*L$1219</f>
        <v>0.276401199560414</v>
      </c>
      <c r="M1226" s="2" t="n">
        <f aca="false">L1226*(1-M$1219)+L1225*M$1219</f>
        <v>0.271743122313461</v>
      </c>
      <c r="N1226" s="2" t="n">
        <f aca="false">M1226*(1-N$1219)+M1225*N$1219</f>
        <v>0.223973069245767</v>
      </c>
      <c r="O1226" s="2" t="n">
        <f aca="false">N1226*(1-O$1219)+N1225*O$1219</f>
        <v>0.223973069245767</v>
      </c>
    </row>
    <row r="1227" customFormat="false" ht="15" hidden="false" customHeight="false" outlineLevel="0" collapsed="false">
      <c r="B1227" s="2" t="n">
        <v>7</v>
      </c>
      <c r="C1227" s="2" t="n">
        <f aca="false">0</f>
        <v>0</v>
      </c>
      <c r="D1227" s="2" t="n">
        <f aca="false">C1227*(1-D$1219)+C1226*D$1219</f>
        <v>0</v>
      </c>
      <c r="E1227" s="2" t="n">
        <f aca="false">D1227*(1-E$1219)+D1226*E$1219</f>
        <v>0</v>
      </c>
      <c r="F1227" s="2" t="n">
        <f aca="false">E1227*(1-F$1219)+E1226*F$1219</f>
        <v>0</v>
      </c>
      <c r="G1227" s="2" t="n">
        <f aca="false">F1227*(1-G$1219)+F1226*G$1219</f>
        <v>0</v>
      </c>
      <c r="H1227" s="2" t="n">
        <f aca="false">G1227*(1-H$1219)+G1226*H$1219</f>
        <v>0</v>
      </c>
      <c r="I1227" s="2" t="n">
        <f aca="false">H1227*(1-I$1219)+H1226*I$1219</f>
        <v>0.00350134546811966</v>
      </c>
      <c r="J1227" s="2" t="n">
        <f aca="false">I1227*(1-J$1219)+I1226*J$1219</f>
        <v>0.026992730991762</v>
      </c>
      <c r="K1227" s="2" t="n">
        <f aca="false">J1227*(1-K$1219)+J1226*K$1219</f>
        <v>0.0892013727423772</v>
      </c>
      <c r="L1227" s="2" t="n">
        <f aca="false">K1227*(1-L$1219)+K1226*L$1219</f>
        <v>0.167383188524197</v>
      </c>
      <c r="M1227" s="2" t="n">
        <f aca="false">L1227*(1-M$1219)+L1226*M$1219</f>
        <v>0.234486557306013</v>
      </c>
      <c r="N1227" s="2" t="n">
        <f aca="false">M1227*(1-N$1219)+M1226*N$1219</f>
        <v>0.259415879166116</v>
      </c>
      <c r="O1227" s="2" t="n">
        <f aca="false">N1227*(1-O$1219)+N1226*O$1219</f>
        <v>0.259415879166116</v>
      </c>
    </row>
    <row r="1228" customFormat="false" ht="15" hidden="false" customHeight="false" outlineLevel="0" collapsed="false">
      <c r="B1228" s="2" t="n">
        <v>8</v>
      </c>
      <c r="C1228" s="2" t="n">
        <f aca="false">0</f>
        <v>0</v>
      </c>
      <c r="D1228" s="2" t="n">
        <f aca="false">C1228*(1-D$1219)+C1227*D$1219</f>
        <v>0</v>
      </c>
      <c r="E1228" s="2" t="n">
        <f aca="false">D1228*(1-E$1219)+D1227*E$1219</f>
        <v>0</v>
      </c>
      <c r="F1228" s="2" t="n">
        <f aca="false">E1228*(1-F$1219)+E1227*F$1219</f>
        <v>0</v>
      </c>
      <c r="G1228" s="2" t="n">
        <f aca="false">F1228*(1-G$1219)+F1227*G$1219</f>
        <v>0</v>
      </c>
      <c r="H1228" s="2" t="n">
        <f aca="false">G1228*(1-H$1219)+G1227*H$1219</f>
        <v>0</v>
      </c>
      <c r="I1228" s="2" t="n">
        <f aca="false">H1228*(1-I$1219)+H1227*I$1219</f>
        <v>0</v>
      </c>
      <c r="J1228" s="2" t="n">
        <f aca="false">I1228*(1-J$1219)+I1227*J$1219</f>
        <v>0.000952976523554894</v>
      </c>
      <c r="K1228" s="2" t="n">
        <f aca="false">J1228*(1-K$1219)+J1227*K$1219</f>
        <v>0.0146217037411001</v>
      </c>
      <c r="L1228" s="2" t="n">
        <f aca="false">K1228*(1-L$1219)+K1227*L$1219</f>
        <v>0.0552517017157246</v>
      </c>
      <c r="M1228" s="2" t="n">
        <f aca="false">L1228*(1-M$1219)+L1227*M$1219</f>
        <v>0.124271494315523</v>
      </c>
      <c r="N1228" s="2" t="n">
        <f aca="false">M1228*(1-N$1219)+M1227*N$1219</f>
        <v>0.198019215786148</v>
      </c>
      <c r="O1228" s="2" t="n">
        <f aca="false">N1228*(1-O$1219)+N1227*O$1219</f>
        <v>0.198019215786148</v>
      </c>
    </row>
    <row r="1229" customFormat="false" ht="15" hidden="false" customHeight="false" outlineLevel="0" collapsed="false">
      <c r="B1229" s="2" t="n">
        <v>9</v>
      </c>
      <c r="C1229" s="2" t="n">
        <f aca="false">0</f>
        <v>0</v>
      </c>
      <c r="D1229" s="2" t="n">
        <f aca="false">C1229*(1-D$1219)+C1228*D$1219</f>
        <v>0</v>
      </c>
      <c r="E1229" s="2" t="n">
        <f aca="false">D1229*(1-E$1219)+D1228*E$1219</f>
        <v>0</v>
      </c>
      <c r="F1229" s="2" t="n">
        <f aca="false">E1229*(1-F$1219)+E1228*F$1219</f>
        <v>0</v>
      </c>
      <c r="G1229" s="2" t="n">
        <f aca="false">F1229*(1-G$1219)+F1228*G$1219</f>
        <v>0</v>
      </c>
      <c r="H1229" s="2" t="n">
        <f aca="false">G1229*(1-H$1219)+G1228*H$1219</f>
        <v>0</v>
      </c>
      <c r="I1229" s="2" t="n">
        <f aca="false">H1229*(1-I$1219)+H1228*I$1219</f>
        <v>0</v>
      </c>
      <c r="J1229" s="2" t="n">
        <f aca="false">I1229*(1-J$1219)+I1228*J$1219</f>
        <v>0</v>
      </c>
      <c r="K1229" s="2" t="n">
        <f aca="false">J1229*(1-K$1219)+J1228*K$1219</f>
        <v>0.000500234215384031</v>
      </c>
      <c r="L1229" s="2" t="n">
        <f aca="false">K1229*(1-L$1219)+K1228*L$1219</f>
        <v>0.00819342038678874</v>
      </c>
      <c r="M1229" s="2" t="n">
        <f aca="false">L1229*(1-M$1219)+L1228*M$1219</f>
        <v>0.0371589938387294</v>
      </c>
      <c r="N1229" s="2" t="n">
        <f aca="false">M1229*(1-N$1219)+M1228*N$1219</f>
        <v>0.0954481990295531</v>
      </c>
      <c r="O1229" s="2" t="n">
        <f aca="false">N1229*(1-O$1219)+N1228*O$1219</f>
        <v>0.0954481990295531</v>
      </c>
    </row>
    <row r="1230" customFormat="false" ht="15" hidden="false" customHeight="false" outlineLevel="0" collapsed="false">
      <c r="B1230" s="2" t="n">
        <v>10</v>
      </c>
      <c r="C1230" s="2" t="n">
        <f aca="false">0</f>
        <v>0</v>
      </c>
      <c r="D1230" s="2" t="n">
        <f aca="false">C1230*(1-D$1219)+C1229*D$1219</f>
        <v>0</v>
      </c>
      <c r="E1230" s="2" t="n">
        <f aca="false">D1230*(1-E$1219)+D1229*E$1219</f>
        <v>0</v>
      </c>
      <c r="F1230" s="2" t="n">
        <f aca="false">E1230*(1-F$1219)+E1229*F$1219</f>
        <v>0</v>
      </c>
      <c r="G1230" s="2" t="n">
        <f aca="false">F1230*(1-G$1219)+F1229*G$1219</f>
        <v>0</v>
      </c>
      <c r="H1230" s="2" t="n">
        <f aca="false">G1230*(1-H$1219)+G1229*H$1219</f>
        <v>0</v>
      </c>
      <c r="I1230" s="2" t="n">
        <f aca="false">H1230*(1-I$1219)+H1229*I$1219</f>
        <v>0</v>
      </c>
      <c r="J1230" s="2" t="n">
        <f aca="false">I1230*(1-J$1219)+I1229*J$1219</f>
        <v>0</v>
      </c>
      <c r="K1230" s="2" t="n">
        <f aca="false">J1230*(1-K$1219)+J1229*K$1219</f>
        <v>0</v>
      </c>
      <c r="L1230" s="2" t="n">
        <f aca="false">K1230*(1-L$1219)+K1229*L$1219</f>
        <v>0.000272520854946983</v>
      </c>
      <c r="M1230" s="2" t="n">
        <f aca="false">L1230*(1-M$1219)+L1229*M$1219</f>
        <v>0.00514803671986505</v>
      </c>
      <c r="N1230" s="2" t="n">
        <f aca="false">M1230*(1-N$1219)+M1229*N$1219</f>
        <v>0.0265673879914223</v>
      </c>
      <c r="O1230" s="2" t="n">
        <f aca="false">N1230*(1-O$1219)+N1229*O$1219</f>
        <v>0.0265673879914223</v>
      </c>
    </row>
    <row r="1231" customFormat="false" ht="15" hidden="false" customHeight="false" outlineLevel="0" collapsed="false">
      <c r="B1231" s="2" t="n">
        <v>11</v>
      </c>
      <c r="C1231" s="2" t="n">
        <f aca="false">0</f>
        <v>0</v>
      </c>
      <c r="D1231" s="2" t="n">
        <f aca="false">C1231*(1-D$1219)+C1230*D$1219</f>
        <v>0</v>
      </c>
      <c r="E1231" s="2" t="n">
        <f aca="false">D1231*(1-E$1219)+D1230*E$1219</f>
        <v>0</v>
      </c>
      <c r="F1231" s="2" t="n">
        <f aca="false">E1231*(1-F$1219)+E1230*F$1219</f>
        <v>0</v>
      </c>
      <c r="G1231" s="2" t="n">
        <f aca="false">F1231*(1-G$1219)+F1230*G$1219</f>
        <v>0</v>
      </c>
      <c r="H1231" s="2" t="n">
        <f aca="false">G1231*(1-H$1219)+G1230*H$1219</f>
        <v>0</v>
      </c>
      <c r="I1231" s="2" t="n">
        <f aca="false">H1231*(1-I$1219)+H1230*I$1219</f>
        <v>0</v>
      </c>
      <c r="J1231" s="2" t="n">
        <f aca="false">I1231*(1-J$1219)+I1230*J$1219</f>
        <v>0</v>
      </c>
      <c r="K1231" s="2" t="n">
        <f aca="false">J1231*(1-K$1219)+J1230*K$1219</f>
        <v>0</v>
      </c>
      <c r="L1231" s="2" t="n">
        <f aca="false">K1231*(1-L$1219)+K1230*L$1219</f>
        <v>0</v>
      </c>
      <c r="M1231" s="2" t="n">
        <f aca="false">L1231*(1-M$1219)+L1230*M$1219</f>
        <v>0.000167743543075354</v>
      </c>
      <c r="N1231" s="2" t="n">
        <f aca="false">M1231*(1-N$1219)+M1230*N$1219</f>
        <v>0.00350018526273059</v>
      </c>
      <c r="O1231" s="2" t="n">
        <f aca="false">N1231*(1-O$1219)+N1230*O$1219</f>
        <v>0.00350018526273059</v>
      </c>
    </row>
    <row r="1232" customFormat="false" ht="15" hidden="false" customHeight="false" outlineLevel="0" collapsed="false">
      <c r="B1232" s="2" t="n">
        <v>12</v>
      </c>
      <c r="C1232" s="2" t="n">
        <f aca="false">0</f>
        <v>0</v>
      </c>
      <c r="D1232" s="2" t="n">
        <f aca="false">C1232*(1-D$1219)+C1231*D$1219</f>
        <v>0</v>
      </c>
      <c r="E1232" s="2" t="n">
        <f aca="false">D1232*(1-E$1219)+D1231*E$1219</f>
        <v>0</v>
      </c>
      <c r="F1232" s="2" t="n">
        <f aca="false">E1232*(1-F$1219)+E1231*F$1219</f>
        <v>0</v>
      </c>
      <c r="G1232" s="2" t="n">
        <f aca="false">F1232*(1-G$1219)+F1231*G$1219</f>
        <v>0</v>
      </c>
      <c r="H1232" s="2" t="n">
        <f aca="false">G1232*(1-H$1219)+G1231*H$1219</f>
        <v>0</v>
      </c>
      <c r="I1232" s="2" t="n">
        <f aca="false">H1232*(1-I$1219)+H1231*I$1219</f>
        <v>0</v>
      </c>
      <c r="J1232" s="2" t="n">
        <f aca="false">I1232*(1-J$1219)+I1231*J$1219</f>
        <v>0</v>
      </c>
      <c r="K1232" s="2" t="n">
        <f aca="false">J1232*(1-K$1219)+J1231*K$1219</f>
        <v>0</v>
      </c>
      <c r="L1232" s="2" t="n">
        <f aca="false">K1232*(1-L$1219)+K1231*L$1219</f>
        <v>0</v>
      </c>
      <c r="M1232" s="2" t="n">
        <f aca="false">L1232*(1-M$1219)+L1231*M$1219</f>
        <v>0</v>
      </c>
      <c r="N1232" s="2" t="n">
        <f aca="false">M1232*(1-N$1219)+M1231*N$1219</f>
        <v>0.000112241500912488</v>
      </c>
      <c r="O1232" s="2" t="n">
        <f aca="false">N1232*(1-O$1219)+N1231*O$1219</f>
        <v>0.000112241500912488</v>
      </c>
    </row>
    <row r="1233" customFormat="false" ht="15" hidden="false" customHeight="false" outlineLevel="0" collapsed="false">
      <c r="B1233" s="2" t="n">
        <v>13</v>
      </c>
      <c r="C1233" s="2" t="n">
        <f aca="false">0</f>
        <v>0</v>
      </c>
      <c r="D1233" s="2" t="n">
        <f aca="false">C1233*(1-D$1219)+C1232*D$1219</f>
        <v>0</v>
      </c>
      <c r="E1233" s="2" t="n">
        <f aca="false">D1233*(1-E$1219)+D1232*E$1219</f>
        <v>0</v>
      </c>
      <c r="F1233" s="2" t="n">
        <f aca="false">E1233*(1-F$1219)+E1232*F$1219</f>
        <v>0</v>
      </c>
      <c r="G1233" s="2" t="n">
        <f aca="false">F1233*(1-G$1219)+F1232*G$1219</f>
        <v>0</v>
      </c>
      <c r="H1233" s="2" t="n">
        <f aca="false">G1233*(1-H$1219)+G1232*H$1219</f>
        <v>0</v>
      </c>
      <c r="I1233" s="2" t="n">
        <f aca="false">H1233*(1-I$1219)+H1232*I$1219</f>
        <v>0</v>
      </c>
      <c r="J1233" s="2" t="n">
        <f aca="false">I1233*(1-J$1219)+I1232*J$1219</f>
        <v>0</v>
      </c>
      <c r="K1233" s="2" t="n">
        <f aca="false">J1233*(1-K$1219)+J1232*K$1219</f>
        <v>0</v>
      </c>
      <c r="L1233" s="2" t="n">
        <f aca="false">K1233*(1-L$1219)+K1232*L$1219</f>
        <v>0</v>
      </c>
      <c r="M1233" s="2" t="n">
        <f aca="false">L1233*(1-M$1219)+L1232*M$1219</f>
        <v>0</v>
      </c>
      <c r="N1233" s="2" t="n">
        <f aca="false">M1233*(1-N$1219)+M1232*N$1219</f>
        <v>0</v>
      </c>
      <c r="O1233" s="2" t="n">
        <f aca="false">N1233*(1-O$1219)+N1232*O$1219</f>
        <v>0</v>
      </c>
    </row>
    <row r="1235" customFormat="false" ht="15" hidden="false" customHeight="false" outlineLevel="0" collapsed="false">
      <c r="A1235" s="1" t="s">
        <v>135</v>
      </c>
      <c r="C1235" s="2" t="n">
        <f aca="false">Schedule!G79</f>
        <v>0.886139444885968</v>
      </c>
      <c r="D1235" s="2" t="n">
        <f aca="false">Schedule!L79</f>
        <v>0.423185819619029</v>
      </c>
      <c r="E1235" s="2" t="n">
        <f aca="false">Schedule!Q79</f>
        <v>0.263938536969338</v>
      </c>
      <c r="F1235" s="2" t="n">
        <f aca="false">Schedule!V79</f>
        <v>0.0507630194703814</v>
      </c>
      <c r="G1235" s="2" t="n">
        <f aca="false">Schedule!AA79</f>
        <v>0.172648708357671</v>
      </c>
      <c r="H1235" s="2" t="n">
        <f aca="false">Schedule!AF79</f>
        <v>0.356157038183677</v>
      </c>
      <c r="I1235" s="2" t="n">
        <f aca="false">Schedule!AK79</f>
        <v>0.166334969492118</v>
      </c>
      <c r="J1235" s="2" t="n">
        <f aca="false">Schedule!AP79</f>
        <v>0.0957337772110986</v>
      </c>
      <c r="K1235" s="2" t="n">
        <f aca="false">Schedule!AU79</f>
        <v>0.379707152759433</v>
      </c>
      <c r="L1235" s="2" t="n">
        <f aca="false">Schedule!AZ79</f>
        <v>0.113860555114032</v>
      </c>
      <c r="M1235" s="2" t="n">
        <f aca="false">Schedule!BE79</f>
        <v>0.413422398858449</v>
      </c>
      <c r="N1235" s="2" t="n">
        <f aca="false">Schedule!BJ79</f>
        <v>0.0283088889719244</v>
      </c>
      <c r="O1235" s="2" t="n">
        <f aca="false">Schedule!BO79</f>
        <v>0</v>
      </c>
    </row>
    <row r="1236" customFormat="false" ht="15" hidden="false" customHeight="false" outlineLevel="0" collapsed="false">
      <c r="B1236" s="2" t="n">
        <v>0</v>
      </c>
      <c r="C1236" s="2" t="n">
        <f aca="false">1-C$1235</f>
        <v>0.113860555114032</v>
      </c>
      <c r="D1236" s="2" t="n">
        <f aca="false">C1236*(1-D$1235)</f>
        <v>0.0656763827758226</v>
      </c>
      <c r="E1236" s="2" t="n">
        <f aca="false">D1236*(1-E$1235)</f>
        <v>0.0483418543925338</v>
      </c>
      <c r="F1236" s="2" t="n">
        <f aca="false">E1236*(1-F$1235)</f>
        <v>0.0458878758967712</v>
      </c>
      <c r="G1236" s="2" t="n">
        <f aca="false">F1236*(1-G$1235)</f>
        <v>0.0379653933939166</v>
      </c>
      <c r="H1236" s="2" t="n">
        <f aca="false">G1236*(1-H$1235)</f>
        <v>0.0244437513292611</v>
      </c>
      <c r="I1236" s="2" t="n">
        <f aca="false">H1236*(1-I$1235)</f>
        <v>0.0203779006976356</v>
      </c>
      <c r="J1236" s="2" t="n">
        <f aca="false">I1236*(1-J$1235)</f>
        <v>0.0184270472922182</v>
      </c>
      <c r="K1236" s="2" t="n">
        <f aca="false">J1236*(1-K$1235)</f>
        <v>0.0114301656311266</v>
      </c>
      <c r="L1236" s="2" t="n">
        <f aca="false">K1236*(1-L$1235)</f>
        <v>0.0101287206273212</v>
      </c>
      <c r="M1236" s="2" t="n">
        <f aca="false">L1236*(1-M$1235)</f>
        <v>0.00594128064820703</v>
      </c>
      <c r="N1236" s="2" t="n">
        <f aca="false">M1236*(1-N$1235)</f>
        <v>0.00577308959398589</v>
      </c>
      <c r="O1236" s="2" t="n">
        <f aca="false">N1236*(1-O$1235)</f>
        <v>0.00577308959398589</v>
      </c>
    </row>
    <row r="1237" customFormat="false" ht="15" hidden="false" customHeight="false" outlineLevel="0" collapsed="false">
      <c r="B1237" s="2" t="n">
        <v>1</v>
      </c>
      <c r="C1237" s="2" t="n">
        <f aca="false">C$1235</f>
        <v>0.886139444885968</v>
      </c>
      <c r="D1237" s="2" t="n">
        <f aca="false">C1237*(1-D$1235)+C1236*D$1235</f>
        <v>0.559321969943357</v>
      </c>
      <c r="E1237" s="2" t="n">
        <f aca="false">D1237*(1-E$1235)+D1236*E$1235</f>
        <v>0.429029875884989</v>
      </c>
      <c r="F1237" s="2" t="n">
        <f aca="false">E1237*(1-F$1235)+E1236*F$1235</f>
        <v>0.409705002437826</v>
      </c>
      <c r="G1237" s="2" t="n">
        <f aca="false">F1237*(1-G$1235)+F1236*G$1235</f>
        <v>0.346892445462114</v>
      </c>
      <c r="H1237" s="2" t="n">
        <f aca="false">G1237*(1-H$1235)+G1236*H$1235</f>
        <v>0.23686590158269</v>
      </c>
      <c r="I1237" s="2" t="n">
        <f aca="false">H1237*(1-I$1235)+H1236*I$1235</f>
        <v>0.201532669700836</v>
      </c>
      <c r="J1237" s="2" t="n">
        <f aca="false">I1237*(1-J$1235)+I1236*J$1235</f>
        <v>0.184190039404356</v>
      </c>
      <c r="K1237" s="2" t="n">
        <f aca="false">J1237*(1-K$1235)+J1236*K$1235</f>
        <v>0.121248645636572</v>
      </c>
      <c r="L1237" s="2" t="n">
        <f aca="false">K1237*(1-L$1235)+K1236*L$1235</f>
        <v>0.108744652541372</v>
      </c>
      <c r="M1237" s="2" t="n">
        <f aca="false">L1237*(1-M$1235)+L1236*M$1235</f>
        <v>0.0679746174038038</v>
      </c>
      <c r="N1237" s="2" t="n">
        <f aca="false">M1237*(1-N$1235)+M1236*N$1235</f>
        <v>0.0662185225610317</v>
      </c>
      <c r="O1237" s="2" t="n">
        <f aca="false">N1237*(1-O$1235)+N1236*O$1235</f>
        <v>0.0662185225610317</v>
      </c>
    </row>
    <row r="1238" customFormat="false" ht="15" hidden="false" customHeight="false" outlineLevel="0" collapsed="false">
      <c r="B1238" s="2" t="n">
        <v>2</v>
      </c>
      <c r="C1238" s="2" t="n">
        <f aca="false">0</f>
        <v>0</v>
      </c>
      <c r="D1238" s="2" t="n">
        <f aca="false">C1238*(1-D$1235)+C1237*D$1235</f>
        <v>0.37500164728082</v>
      </c>
      <c r="E1238" s="2" t="n">
        <f aca="false">D1238*(1-E$1235)+D1237*E$1235</f>
        <v>0.423650883578086</v>
      </c>
      <c r="F1238" s="2" t="n">
        <f aca="false">E1238*(1-F$1235)+E1237*F$1235</f>
        <v>0.423923937469293</v>
      </c>
      <c r="G1238" s="2" t="n">
        <f aca="false">F1238*(1-G$1235)+F1237*G$1235</f>
        <v>0.421469056701888</v>
      </c>
      <c r="H1238" s="2" t="n">
        <f aca="false">G1238*(1-H$1235)+G1237*H$1235</f>
        <v>0.394908071724955</v>
      </c>
      <c r="I1238" s="2" t="n">
        <f aca="false">H1238*(1-I$1235)+H1237*I$1235</f>
        <v>0.368620132175873</v>
      </c>
      <c r="J1238" s="2" t="n">
        <f aca="false">I1238*(1-J$1235)+I1237*J$1235</f>
        <v>0.35262421826852</v>
      </c>
      <c r="K1238" s="2" t="n">
        <f aca="false">J1238*(1-K$1235)+J1237*K$1235</f>
        <v>0.288668555784635</v>
      </c>
      <c r="L1238" s="2" t="n">
        <f aca="false">K1238*(1-L$1235)+K1237*L$1235</f>
        <v>0.269606031878035</v>
      </c>
      <c r="M1238" s="2" t="n">
        <f aca="false">L1238*(1-M$1235)+L1237*M$1235</f>
        <v>0.203102334548993</v>
      </c>
      <c r="N1238" s="2" t="n">
        <f aca="false">M1238*(1-N$1235)+M1237*N$1235</f>
        <v>0.1992770190073</v>
      </c>
      <c r="O1238" s="2" t="n">
        <f aca="false">N1238*(1-O$1235)+N1237*O$1235</f>
        <v>0.1992770190073</v>
      </c>
    </row>
    <row r="1239" customFormat="false" ht="15" hidden="false" customHeight="false" outlineLevel="0" collapsed="false">
      <c r="B1239" s="2" t="n">
        <v>3</v>
      </c>
      <c r="C1239" s="2" t="n">
        <f aca="false">0</f>
        <v>0</v>
      </c>
      <c r="D1239" s="2" t="n">
        <f aca="false">C1239*(1-D$1235)+C1238*D$1235</f>
        <v>0</v>
      </c>
      <c r="E1239" s="2" t="n">
        <f aca="false">D1239*(1-E$1235)+D1238*E$1235</f>
        <v>0.0989773861443913</v>
      </c>
      <c r="F1239" s="2" t="n">
        <f aca="false">E1239*(1-F$1235)+E1238*F$1235</f>
        <v>0.115458793216135</v>
      </c>
      <c r="G1239" s="2" t="n">
        <f aca="false">F1239*(1-G$1235)+F1238*G$1235</f>
        <v>0.168714901944805</v>
      </c>
      <c r="H1239" s="2" t="n">
        <f aca="false">G1239*(1-H$1235)+G1238*H$1235</f>
        <v>0.258735073091706</v>
      </c>
      <c r="I1239" s="2" t="n">
        <f aca="false">H1239*(1-I$1235)+H1238*I$1235</f>
        <v>0.281385404665018</v>
      </c>
      <c r="J1239" s="2" t="n">
        <f aca="false">I1239*(1-J$1235)+I1238*J$1235</f>
        <v>0.289736714633613</v>
      </c>
      <c r="K1239" s="2" t="n">
        <f aca="false">J1239*(1-K$1235)+J1238*K$1235</f>
        <v>0.313615549582972</v>
      </c>
      <c r="L1239" s="2" t="n">
        <f aca="false">K1239*(1-L$1235)+K1238*L$1235</f>
        <v>0.310775071020667</v>
      </c>
      <c r="M1239" s="2" t="n">
        <f aca="false">L1239*(1-M$1235)+L1238*M$1235</f>
        <v>0.293754868099623</v>
      </c>
      <c r="N1239" s="2" t="n">
        <f aca="false">M1239*(1-N$1235)+M1238*N$1235</f>
        <v>0.291188595592314</v>
      </c>
      <c r="O1239" s="2" t="n">
        <f aca="false">N1239*(1-O$1235)+N1238*O$1235</f>
        <v>0.291188595592314</v>
      </c>
    </row>
    <row r="1240" customFormat="false" ht="15" hidden="false" customHeight="false" outlineLevel="0" collapsed="false">
      <c r="B1240" s="2" t="n">
        <v>4</v>
      </c>
      <c r="C1240" s="2" t="n">
        <f aca="false">0</f>
        <v>0</v>
      </c>
      <c r="D1240" s="2" t="n">
        <f aca="false">C1240*(1-D$1235)+C1239*D$1235</f>
        <v>0</v>
      </c>
      <c r="E1240" s="2" t="n">
        <f aca="false">D1240*(1-E$1235)+D1239*E$1235</f>
        <v>0</v>
      </c>
      <c r="F1240" s="2" t="n">
        <f aca="false">E1240*(1-F$1235)+E1239*F$1235</f>
        <v>0.00502439097997519</v>
      </c>
      <c r="G1240" s="2" t="n">
        <f aca="false">F1240*(1-G$1235)+F1239*G$1235</f>
        <v>0.0240907478842996</v>
      </c>
      <c r="H1240" s="2" t="n">
        <f aca="false">G1240*(1-H$1235)+G1239*H$1235</f>
        <v>0.0755996582443089</v>
      </c>
      <c r="I1240" s="2" t="n">
        <f aca="false">H1240*(1-I$1235)+H1239*I$1235</f>
        <v>0.106061481885877</v>
      </c>
      <c r="J1240" s="2" t="n">
        <f aca="false">I1240*(1-J$1235)+I1239*J$1235</f>
        <v>0.122845903248991</v>
      </c>
      <c r="K1240" s="2" t="n">
        <f aca="false">J1240*(1-K$1235)+J1239*K$1235</f>
        <v>0.186215538061558</v>
      </c>
      <c r="L1240" s="2" t="n">
        <f aca="false">K1240*(1-L$1235)+K1239*L$1235</f>
        <v>0.20072137409492</v>
      </c>
      <c r="M1240" s="2" t="n">
        <f aca="false">L1240*(1-M$1235)+L1239*M$1235</f>
        <v>0.246220037481203</v>
      </c>
      <c r="N1240" s="2" t="n">
        <f aca="false">M1240*(1-N$1235)+M1239*N$1235</f>
        <v>0.247565695723479</v>
      </c>
      <c r="O1240" s="2" t="n">
        <f aca="false">N1240*(1-O$1235)+N1239*O$1235</f>
        <v>0.247565695723479</v>
      </c>
    </row>
    <row r="1241" customFormat="false" ht="15" hidden="false" customHeight="false" outlineLevel="0" collapsed="false">
      <c r="B1241" s="2" t="n">
        <v>5</v>
      </c>
      <c r="C1241" s="2" t="n">
        <f aca="false">0</f>
        <v>0</v>
      </c>
      <c r="D1241" s="2" t="n">
        <f aca="false">C1241*(1-D$1235)+C1240*D$1235</f>
        <v>0</v>
      </c>
      <c r="E1241" s="2" t="n">
        <f aca="false">D1241*(1-E$1235)+D1240*E$1235</f>
        <v>0</v>
      </c>
      <c r="F1241" s="2" t="n">
        <f aca="false">E1241*(1-F$1235)+E1240*F$1235</f>
        <v>0</v>
      </c>
      <c r="G1241" s="2" t="n">
        <f aca="false">F1241*(1-G$1235)+F1240*G$1235</f>
        <v>0.000867454612976646</v>
      </c>
      <c r="H1241" s="2" t="n">
        <f aca="false">G1241*(1-H$1235)+G1240*H$1235</f>
        <v>0.00913859396136193</v>
      </c>
      <c r="I1241" s="2" t="n">
        <f aca="false">H1241*(1-I$1235)+H1240*I$1235</f>
        <v>0.0201933930612796</v>
      </c>
      <c r="J1241" s="2" t="n">
        <f aca="false">I1241*(1-J$1235)+I1240*J$1235</f>
        <v>0.0284138695463565</v>
      </c>
      <c r="K1241" s="2" t="n">
        <f aca="false">J1241*(1-K$1235)+J1240*K$1235</f>
        <v>0.0642703881928668</v>
      </c>
      <c r="L1241" s="2" t="n">
        <f aca="false">K1241*(1-L$1235)+K1240*L$1235</f>
        <v>0.0781551306503798</v>
      </c>
      <c r="M1241" s="2" t="n">
        <f aca="false">L1241*(1-M$1235)+L1240*M$1235</f>
        <v>0.12882676103429</v>
      </c>
      <c r="N1241" s="2" t="n">
        <f aca="false">M1241*(1-N$1235)+M1240*N$1235</f>
        <v>0.132150034263276</v>
      </c>
      <c r="O1241" s="2" t="n">
        <f aca="false">N1241*(1-O$1235)+N1240*O$1235</f>
        <v>0.132150034263276</v>
      </c>
    </row>
    <row r="1242" customFormat="false" ht="15" hidden="false" customHeight="false" outlineLevel="0" collapsed="false">
      <c r="B1242" s="2" t="n">
        <v>6</v>
      </c>
      <c r="C1242" s="2" t="n">
        <f aca="false">0</f>
        <v>0</v>
      </c>
      <c r="D1242" s="2" t="n">
        <f aca="false">C1242*(1-D$1235)+C1241*D$1235</f>
        <v>0</v>
      </c>
      <c r="E1242" s="2" t="n">
        <f aca="false">D1242*(1-E$1235)+D1241*E$1235</f>
        <v>0</v>
      </c>
      <c r="F1242" s="2" t="n">
        <f aca="false">E1242*(1-F$1235)+E1241*F$1235</f>
        <v>0</v>
      </c>
      <c r="G1242" s="2" t="n">
        <f aca="false">F1242*(1-G$1235)+F1241*G$1235</f>
        <v>0</v>
      </c>
      <c r="H1242" s="2" t="n">
        <f aca="false">G1242*(1-H$1235)+G1241*H$1235</f>
        <v>0.00030895006571653</v>
      </c>
      <c r="I1242" s="2" t="n">
        <f aca="false">H1242*(1-I$1235)+H1241*I$1235</f>
        <v>0.00177762861372498</v>
      </c>
      <c r="J1242" s="2" t="n">
        <f aca="false">I1242*(1-J$1235)+I1241*J$1235</f>
        <v>0.00354063930451925</v>
      </c>
      <c r="K1242" s="2" t="n">
        <f aca="false">J1242*(1-K$1235)+J1241*K$1235</f>
        <v>0.0129851827395771</v>
      </c>
      <c r="L1242" s="2" t="n">
        <f aca="false">K1242*(1-L$1235)+K1241*L$1235</f>
        <v>0.0188245447016258</v>
      </c>
      <c r="M1242" s="2" t="n">
        <f aca="false">L1242*(1-M$1235)+L1241*M$1235</f>
        <v>0.0433531378702371</v>
      </c>
      <c r="N1242" s="2" t="n">
        <f aca="false">M1242*(1-N$1235)+M1241*N$1235</f>
        <v>0.0457728011784164</v>
      </c>
      <c r="O1242" s="2" t="n">
        <f aca="false">N1242*(1-O$1235)+N1241*O$1235</f>
        <v>0.0457728011784164</v>
      </c>
    </row>
    <row r="1243" customFormat="false" ht="15" hidden="false" customHeight="false" outlineLevel="0" collapsed="false">
      <c r="B1243" s="2" t="n">
        <v>7</v>
      </c>
      <c r="C1243" s="2" t="n">
        <f aca="false">0</f>
        <v>0</v>
      </c>
      <c r="D1243" s="2" t="n">
        <f aca="false">C1243*(1-D$1235)+C1242*D$1235</f>
        <v>0</v>
      </c>
      <c r="E1243" s="2" t="n">
        <f aca="false">D1243*(1-E$1235)+D1242*E$1235</f>
        <v>0</v>
      </c>
      <c r="F1243" s="2" t="n">
        <f aca="false">E1243*(1-F$1235)+E1242*F$1235</f>
        <v>0</v>
      </c>
      <c r="G1243" s="2" t="n">
        <f aca="false">F1243*(1-G$1235)+F1242*G$1235</f>
        <v>0</v>
      </c>
      <c r="H1243" s="2" t="n">
        <f aca="false">G1243*(1-H$1235)+G1242*H$1235</f>
        <v>0</v>
      </c>
      <c r="I1243" s="2" t="n">
        <f aca="false">H1243*(1-I$1235)+H1242*I$1235</f>
        <v>5.1389199755547E-005</v>
      </c>
      <c r="J1243" s="2" t="n">
        <f aca="false">I1243*(1-J$1235)+I1242*J$1235</f>
        <v>0.000216648619225514</v>
      </c>
      <c r="K1243" s="2" t="n">
        <f aca="false">J1243*(1-K$1235)+J1242*K$1235</f>
        <v>0.00147879165813727</v>
      </c>
      <c r="L1243" s="2" t="n">
        <f aca="false">K1243*(1-L$1235)+K1242*L$1235</f>
        <v>0.00278891573402916</v>
      </c>
      <c r="M1243" s="2" t="n">
        <f aca="false">L1243*(1-M$1235)+L1242*M$1235</f>
        <v>0.00941840392901701</v>
      </c>
      <c r="N1243" s="2" t="n">
        <f aca="false">M1243*(1-N$1235)+M1242*N$1235</f>
        <v>0.0103790585444508</v>
      </c>
      <c r="O1243" s="2" t="n">
        <f aca="false">N1243*(1-O$1235)+N1242*O$1235</f>
        <v>0.0103790585444508</v>
      </c>
    </row>
    <row r="1244" customFormat="false" ht="15" hidden="false" customHeight="false" outlineLevel="0" collapsed="false">
      <c r="B1244" s="2" t="n">
        <v>8</v>
      </c>
      <c r="C1244" s="2" t="n">
        <f aca="false">0</f>
        <v>0</v>
      </c>
      <c r="D1244" s="2" t="n">
        <f aca="false">C1244*(1-D$1235)+C1243*D$1235</f>
        <v>0</v>
      </c>
      <c r="E1244" s="2" t="n">
        <f aca="false">D1244*(1-E$1235)+D1243*E$1235</f>
        <v>0</v>
      </c>
      <c r="F1244" s="2" t="n">
        <f aca="false">E1244*(1-F$1235)+E1243*F$1235</f>
        <v>0</v>
      </c>
      <c r="G1244" s="2" t="n">
        <f aca="false">F1244*(1-G$1235)+F1243*G$1235</f>
        <v>0</v>
      </c>
      <c r="H1244" s="2" t="n">
        <f aca="false">G1244*(1-H$1235)+G1243*H$1235</f>
        <v>0</v>
      </c>
      <c r="I1244" s="2" t="n">
        <f aca="false">H1244*(1-I$1235)+H1243*I$1235</f>
        <v>0</v>
      </c>
      <c r="J1244" s="2" t="n">
        <f aca="false">I1244*(1-J$1235)+I1243*J$1235</f>
        <v>4.91968220045418E-006</v>
      </c>
      <c r="K1244" s="2" t="n">
        <f aca="false">J1244*(1-K$1235)+J1243*K$1235</f>
        <v>8.53146740350209E-005</v>
      </c>
      <c r="L1244" s="2" t="n">
        <f aca="false">K1244*(1-L$1235)+K1243*L$1235</f>
        <v>0.00024397673698353</v>
      </c>
      <c r="M1244" s="2" t="n">
        <f aca="false">L1244*(1-M$1235)+L1243*M$1235</f>
        <v>0.00129611152209055</v>
      </c>
      <c r="N1244" s="2" t="n">
        <f aca="false">M1244*(1-N$1235)+M1243*N$1235</f>
        <v>0.00152604459603573</v>
      </c>
      <c r="O1244" s="2" t="n">
        <f aca="false">N1244*(1-O$1235)+N1243*O$1235</f>
        <v>0.00152604459603573</v>
      </c>
    </row>
    <row r="1245" customFormat="false" ht="15" hidden="false" customHeight="false" outlineLevel="0" collapsed="false">
      <c r="B1245" s="2" t="n">
        <v>9</v>
      </c>
      <c r="C1245" s="2" t="n">
        <f aca="false">0</f>
        <v>0</v>
      </c>
      <c r="D1245" s="2" t="n">
        <f aca="false">C1245*(1-D$1235)+C1244*D$1235</f>
        <v>0</v>
      </c>
      <c r="E1245" s="2" t="n">
        <f aca="false">D1245*(1-E$1235)+D1244*E$1235</f>
        <v>0</v>
      </c>
      <c r="F1245" s="2" t="n">
        <f aca="false">E1245*(1-F$1235)+E1244*F$1235</f>
        <v>0</v>
      </c>
      <c r="G1245" s="2" t="n">
        <f aca="false">F1245*(1-G$1235)+F1244*G$1235</f>
        <v>0</v>
      </c>
      <c r="H1245" s="2" t="n">
        <f aca="false">G1245*(1-H$1235)+G1244*H$1235</f>
        <v>0</v>
      </c>
      <c r="I1245" s="2" t="n">
        <f aca="false">H1245*(1-I$1235)+H1244*I$1235</f>
        <v>0</v>
      </c>
      <c r="J1245" s="2" t="n">
        <f aca="false">I1245*(1-J$1235)+I1244*J$1235</f>
        <v>0</v>
      </c>
      <c r="K1245" s="2" t="n">
        <f aca="false">J1245*(1-K$1235)+J1244*K$1235</f>
        <v>1.86803852081572E-006</v>
      </c>
      <c r="L1245" s="2" t="n">
        <f aca="false">K1245*(1-L$1235)+K1244*L$1235</f>
        <v>1.13693187628614E-005</v>
      </c>
      <c r="M1245" s="2" t="n">
        <f aca="false">L1245*(1-M$1235)+L1244*M$1235</f>
        <v>0.000107534435595921</v>
      </c>
      <c r="N1245" s="2" t="n">
        <f aca="false">M1245*(1-N$1235)+M1244*N$1235</f>
        <v>0.000141181732372071</v>
      </c>
      <c r="O1245" s="2" t="n">
        <f aca="false">N1245*(1-O$1235)+N1244*O$1235</f>
        <v>0.000141181732372071</v>
      </c>
    </row>
    <row r="1246" customFormat="false" ht="15" hidden="false" customHeight="false" outlineLevel="0" collapsed="false">
      <c r="B1246" s="2" t="n">
        <v>10</v>
      </c>
      <c r="C1246" s="2" t="n">
        <f aca="false">0</f>
        <v>0</v>
      </c>
      <c r="D1246" s="2" t="n">
        <f aca="false">C1246*(1-D$1235)+C1245*D$1235</f>
        <v>0</v>
      </c>
      <c r="E1246" s="2" t="n">
        <f aca="false">D1246*(1-E$1235)+D1245*E$1235</f>
        <v>0</v>
      </c>
      <c r="F1246" s="2" t="n">
        <f aca="false">E1246*(1-F$1235)+E1245*F$1235</f>
        <v>0</v>
      </c>
      <c r="G1246" s="2" t="n">
        <f aca="false">F1246*(1-G$1235)+F1245*G$1235</f>
        <v>0</v>
      </c>
      <c r="H1246" s="2" t="n">
        <f aca="false">G1246*(1-H$1235)+G1245*H$1235</f>
        <v>0</v>
      </c>
      <c r="I1246" s="2" t="n">
        <f aca="false">H1246*(1-I$1235)+H1245*I$1235</f>
        <v>0</v>
      </c>
      <c r="J1246" s="2" t="n">
        <f aca="false">I1246*(1-J$1235)+I1245*J$1235</f>
        <v>0</v>
      </c>
      <c r="K1246" s="2" t="n">
        <f aca="false">J1246*(1-K$1235)+J1245*K$1235</f>
        <v>0</v>
      </c>
      <c r="L1246" s="2" t="n">
        <f aca="false">K1246*(1-L$1235)+K1245*L$1235</f>
        <v>2.12695902954473E-007</v>
      </c>
      <c r="M1246" s="2" t="n">
        <f aca="false">L1246*(1-M$1235)+L1245*M$1235</f>
        <v>4.82509368885621E-006</v>
      </c>
      <c r="N1246" s="2" t="n">
        <f aca="false">M1246*(1-N$1235)+M1245*N$1235</f>
        <v>7.73268104528272E-006</v>
      </c>
      <c r="O1246" s="2" t="n">
        <f aca="false">N1246*(1-O$1235)+N1245*O$1235</f>
        <v>7.73268104528272E-006</v>
      </c>
    </row>
    <row r="1247" customFormat="false" ht="15" hidden="false" customHeight="false" outlineLevel="0" collapsed="false">
      <c r="B1247" s="2" t="n">
        <v>11</v>
      </c>
      <c r="C1247" s="2" t="n">
        <f aca="false">0</f>
        <v>0</v>
      </c>
      <c r="D1247" s="2" t="n">
        <f aca="false">C1247*(1-D$1235)+C1246*D$1235</f>
        <v>0</v>
      </c>
      <c r="E1247" s="2" t="n">
        <f aca="false">D1247*(1-E$1235)+D1246*E$1235</f>
        <v>0</v>
      </c>
      <c r="F1247" s="2" t="n">
        <f aca="false">E1247*(1-F$1235)+E1246*F$1235</f>
        <v>0</v>
      </c>
      <c r="G1247" s="2" t="n">
        <f aca="false">F1247*(1-G$1235)+F1246*G$1235</f>
        <v>0</v>
      </c>
      <c r="H1247" s="2" t="n">
        <f aca="false">G1247*(1-H$1235)+G1246*H$1235</f>
        <v>0</v>
      </c>
      <c r="I1247" s="2" t="n">
        <f aca="false">H1247*(1-I$1235)+H1246*I$1235</f>
        <v>0</v>
      </c>
      <c r="J1247" s="2" t="n">
        <f aca="false">I1247*(1-J$1235)+I1246*J$1235</f>
        <v>0</v>
      </c>
      <c r="K1247" s="2" t="n">
        <f aca="false">J1247*(1-K$1235)+J1246*K$1235</f>
        <v>0</v>
      </c>
      <c r="L1247" s="2" t="n">
        <f aca="false">K1247*(1-L$1235)+K1246*L$1235</f>
        <v>0</v>
      </c>
      <c r="M1247" s="2" t="n">
        <f aca="false">L1247*(1-M$1235)+L1246*M$1235</f>
        <v>8.79332504268019E-008</v>
      </c>
      <c r="N1247" s="2" t="n">
        <f aca="false">M1247*(1-N$1235)+M1246*N$1235</f>
        <v>2.22036999320492E-007</v>
      </c>
      <c r="O1247" s="2" t="n">
        <f aca="false">N1247*(1-O$1235)+N1246*O$1235</f>
        <v>2.22036999320492E-007</v>
      </c>
    </row>
    <row r="1248" customFormat="false" ht="15" hidden="false" customHeight="false" outlineLevel="0" collapsed="false">
      <c r="B1248" s="2" t="n">
        <v>12</v>
      </c>
      <c r="C1248" s="2" t="n">
        <f aca="false">0</f>
        <v>0</v>
      </c>
      <c r="D1248" s="2" t="n">
        <f aca="false">C1248*(1-D$1235)+C1247*D$1235</f>
        <v>0</v>
      </c>
      <c r="E1248" s="2" t="n">
        <f aca="false">D1248*(1-E$1235)+D1247*E$1235</f>
        <v>0</v>
      </c>
      <c r="F1248" s="2" t="n">
        <f aca="false">E1248*(1-F$1235)+E1247*F$1235</f>
        <v>0</v>
      </c>
      <c r="G1248" s="2" t="n">
        <f aca="false">F1248*(1-G$1235)+F1247*G$1235</f>
        <v>0</v>
      </c>
      <c r="H1248" s="2" t="n">
        <f aca="false">G1248*(1-H$1235)+G1247*H$1235</f>
        <v>0</v>
      </c>
      <c r="I1248" s="2" t="n">
        <f aca="false">H1248*(1-I$1235)+H1247*I$1235</f>
        <v>0</v>
      </c>
      <c r="J1248" s="2" t="n">
        <f aca="false">I1248*(1-J$1235)+I1247*J$1235</f>
        <v>0</v>
      </c>
      <c r="K1248" s="2" t="n">
        <f aca="false">J1248*(1-K$1235)+J1247*K$1235</f>
        <v>0</v>
      </c>
      <c r="L1248" s="2" t="n">
        <f aca="false">K1248*(1-L$1235)+K1247*L$1235</f>
        <v>0</v>
      </c>
      <c r="M1248" s="2" t="n">
        <f aca="false">L1248*(1-M$1235)+L1247*M$1235</f>
        <v>0</v>
      </c>
      <c r="N1248" s="2" t="n">
        <f aca="false">M1248*(1-N$1235)+M1247*N$1235</f>
        <v>2.48929262327276E-009</v>
      </c>
      <c r="O1248" s="2" t="n">
        <f aca="false">N1248*(1-O$1235)+N1247*O$1235</f>
        <v>2.48929262327276E-009</v>
      </c>
    </row>
    <row r="1249" customFormat="false" ht="15" hidden="false" customHeight="false" outlineLevel="0" collapsed="false">
      <c r="B1249" s="2" t="n">
        <v>13</v>
      </c>
      <c r="C1249" s="2" t="n">
        <f aca="false">0</f>
        <v>0</v>
      </c>
      <c r="D1249" s="2" t="n">
        <f aca="false">C1249*(1-D$1235)+C1248*D$1235</f>
        <v>0</v>
      </c>
      <c r="E1249" s="2" t="n">
        <f aca="false">D1249*(1-E$1235)+D1248*E$1235</f>
        <v>0</v>
      </c>
      <c r="F1249" s="2" t="n">
        <f aca="false">E1249*(1-F$1235)+E1248*F$1235</f>
        <v>0</v>
      </c>
      <c r="G1249" s="2" t="n">
        <f aca="false">F1249*(1-G$1235)+F1248*G$1235</f>
        <v>0</v>
      </c>
      <c r="H1249" s="2" t="n">
        <f aca="false">G1249*(1-H$1235)+G1248*H$1235</f>
        <v>0</v>
      </c>
      <c r="I1249" s="2" t="n">
        <f aca="false">H1249*(1-I$1235)+H1248*I$1235</f>
        <v>0</v>
      </c>
      <c r="J1249" s="2" t="n">
        <f aca="false">I1249*(1-J$1235)+I1248*J$1235</f>
        <v>0</v>
      </c>
      <c r="K1249" s="2" t="n">
        <f aca="false">J1249*(1-K$1235)+J1248*K$1235</f>
        <v>0</v>
      </c>
      <c r="L1249" s="2" t="n">
        <f aca="false">K1249*(1-L$1235)+K1248*L$1235</f>
        <v>0</v>
      </c>
      <c r="M1249" s="2" t="n">
        <f aca="false">L1249*(1-M$1235)+L1248*M$1235</f>
        <v>0</v>
      </c>
      <c r="N1249" s="2" t="n">
        <f aca="false">M1249*(1-N$1235)+M1248*N$1235</f>
        <v>0</v>
      </c>
      <c r="O1249" s="2" t="n">
        <f aca="false">N1249*(1-O$1235)+N1248*O$1235</f>
        <v>0</v>
      </c>
    </row>
    <row r="1251" customFormat="false" ht="15" hidden="false" customHeight="false" outlineLevel="0" collapsed="false">
      <c r="A1251" s="1" t="s">
        <v>136</v>
      </c>
      <c r="C1251" s="2" t="n">
        <f aca="false">Schedule!G80</f>
        <v>0.569460183207674</v>
      </c>
      <c r="D1251" s="2" t="n">
        <f aca="false">Schedule!L80</f>
        <v>0.0865200720760435</v>
      </c>
      <c r="E1251" s="2" t="n">
        <f aca="false">Schedule!Q80</f>
        <v>0.257846110805865</v>
      </c>
      <c r="F1251" s="2" t="n">
        <f aca="false">Schedule!V80</f>
        <v>0.360826675149783</v>
      </c>
      <c r="G1251" s="2" t="n">
        <f aca="false">Schedule!AA80</f>
        <v>0.30415056015288</v>
      </c>
      <c r="H1251" s="2" t="n">
        <f aca="false">Schedule!AF80</f>
        <v>0.0252178555390899</v>
      </c>
      <c r="I1251" s="2" t="n">
        <f aca="false">Schedule!AK80</f>
        <v>0.949236980529619</v>
      </c>
      <c r="J1251" s="2" t="n">
        <f aca="false">Schedule!AP80</f>
        <v>0.365517152690043</v>
      </c>
      <c r="K1251" s="2" t="n">
        <f aca="false">Schedule!AU80</f>
        <v>0.160172296919609</v>
      </c>
      <c r="L1251" s="2" t="n">
        <f aca="false">Schedule!AZ80</f>
        <v>0.201155788474242</v>
      </c>
      <c r="M1251" s="2" t="n">
        <f aca="false">Schedule!BE80</f>
        <v>0.312952021417887</v>
      </c>
      <c r="N1251" s="2" t="n">
        <f aca="false">Schedule!BJ80</f>
        <v>0.228513867124863</v>
      </c>
      <c r="O1251" s="2" t="n">
        <f aca="false">Schedule!BO80</f>
        <v>0</v>
      </c>
    </row>
    <row r="1252" customFormat="false" ht="15" hidden="false" customHeight="false" outlineLevel="0" collapsed="false">
      <c r="B1252" s="2" t="n">
        <v>0</v>
      </c>
      <c r="C1252" s="2" t="n">
        <f aca="false">1-C$1251</f>
        <v>0.430539816792326</v>
      </c>
      <c r="D1252" s="2" t="n">
        <f aca="false">C1252*(1-D$1251)</f>
        <v>0.393289480811848</v>
      </c>
      <c r="E1252" s="2" t="n">
        <f aca="false">D1252*(1-E$1251)</f>
        <v>0.291881317763655</v>
      </c>
      <c r="F1252" s="2" t="n">
        <f aca="false">E1252*(1-F$1251)</f>
        <v>0.186562752336658</v>
      </c>
      <c r="G1252" s="2" t="n">
        <f aca="false">F1252*(1-G$1251)</f>
        <v>0.1298195867098</v>
      </c>
      <c r="H1252" s="2" t="n">
        <f aca="false">G1252*(1-H$1251)</f>
        <v>0.126545815126008</v>
      </c>
      <c r="I1252" s="2" t="n">
        <f aca="false">H1252*(1-I$1251)</f>
        <v>0.00642384767713685</v>
      </c>
      <c r="J1252" s="2" t="n">
        <f aca="false">I1252*(1-J$1251)</f>
        <v>0.00407582116487524</v>
      </c>
      <c r="K1252" s="2" t="n">
        <f aca="false">J1252*(1-K$1251)</f>
        <v>0.00342298752706362</v>
      </c>
      <c r="L1252" s="2" t="n">
        <f aca="false">K1252*(1-L$1251)</f>
        <v>0.00273443377211964</v>
      </c>
      <c r="M1252" s="2" t="n">
        <f aca="false">L1252*(1-M$1251)</f>
        <v>0.00187868719570146</v>
      </c>
      <c r="N1252" s="2" t="n">
        <f aca="false">M1252*(1-N$1251)</f>
        <v>0.00144938111949376</v>
      </c>
      <c r="O1252" s="2" t="n">
        <f aca="false">N1252*(1-O$1251)</f>
        <v>0.00144938111949376</v>
      </c>
    </row>
    <row r="1253" customFormat="false" ht="15" hidden="false" customHeight="false" outlineLevel="0" collapsed="false">
      <c r="B1253" s="2" t="n">
        <v>1</v>
      </c>
      <c r="C1253" s="2" t="n">
        <f aca="false">C$1251</f>
        <v>0.569460183207674</v>
      </c>
      <c r="D1253" s="2" t="n">
        <f aca="false">C1253*(1-D$1251)+C1252*D$1251</f>
        <v>0.557440783092588</v>
      </c>
      <c r="E1253" s="2" t="n">
        <f aca="false">D1253*(1-E$1251)+D1252*E$1251</f>
        <v>0.515115008215781</v>
      </c>
      <c r="F1253" s="2" t="n">
        <f aca="false">E1253*(1-F$1251)+E1252*F$1251</f>
        <v>0.434566337908524</v>
      </c>
      <c r="G1253" s="2" t="n">
        <f aca="false">F1253*(1-G$1251)+F1252*G$1251</f>
        <v>0.359135908436918</v>
      </c>
      <c r="H1253" s="2" t="n">
        <f aca="false">G1253*(1-H$1251)+G1252*H$1251</f>
        <v>0.353353042562849</v>
      </c>
      <c r="I1253" s="2" t="n">
        <f aca="false">H1253*(1-I$1251)+H1252*I$1251</f>
        <v>0.138059234828408</v>
      </c>
      <c r="J1253" s="2" t="n">
        <f aca="false">I1253*(1-J$1251)+I1252*J$1251</f>
        <v>0.0899442429236239</v>
      </c>
      <c r="K1253" s="2" t="n">
        <f aca="false">J1253*(1-K$1251)+J1252*K$1251</f>
        <v>0.0761905005776634</v>
      </c>
      <c r="L1253" s="2" t="n">
        <f aca="false">K1253*(1-L$1251)+K1252*L$1251</f>
        <v>0.0615528941146603</v>
      </c>
      <c r="M1253" s="2" t="n">
        <f aca="false">L1253*(1-M$1251)+L1252*M$1251</f>
        <v>0.0431455380537744</v>
      </c>
      <c r="N1253" s="2" t="n">
        <f aca="false">M1253*(1-N$1251)+M1252*N$1251</f>
        <v>0.0337154903801312</v>
      </c>
      <c r="O1253" s="2" t="n">
        <f aca="false">N1253*(1-O$1251)+N1252*O$1251</f>
        <v>0.0337154903801312</v>
      </c>
    </row>
    <row r="1254" customFormat="false" ht="15" hidden="false" customHeight="false" outlineLevel="0" collapsed="false">
      <c r="B1254" s="2" t="n">
        <v>2</v>
      </c>
      <c r="C1254" s="2" t="n">
        <f aca="false">0</f>
        <v>0</v>
      </c>
      <c r="D1254" s="2" t="n">
        <f aca="false">C1254*(1-D$1251)+C1253*D$1251</f>
        <v>0.0492697360955648</v>
      </c>
      <c r="E1254" s="2" t="n">
        <f aca="false">D1254*(1-E$1251)+D1253*E$1251</f>
        <v>0.180299664187891</v>
      </c>
      <c r="F1254" s="2" t="n">
        <f aca="false">E1254*(1-F$1251)+E1253*F$1251</f>
        <v>0.301109971562606</v>
      </c>
      <c r="G1254" s="2" t="n">
        <f aca="false">F1254*(1-G$1251)+F1253*G$1251</f>
        <v>0.341700800142685</v>
      </c>
      <c r="H1254" s="2" t="n">
        <f aca="false">G1254*(1-H$1251)+G1253*H$1251</f>
        <v>0.342140476184957</v>
      </c>
      <c r="I1254" s="2" t="n">
        <f aca="false">H1254*(1-I$1251)+H1253*I$1251</f>
        <v>0.352783858837495</v>
      </c>
      <c r="J1254" s="2" t="n">
        <f aca="false">I1254*(1-J$1251)+I1253*J$1251</f>
        <v>0.274298325657253</v>
      </c>
      <c r="K1254" s="2" t="n">
        <f aca="false">J1254*(1-K$1251)+J1253*K$1251</f>
        <v>0.2447699087793</v>
      </c>
      <c r="L1254" s="2" t="n">
        <f aca="false">K1254*(1-L$1251)+K1253*L$1251</f>
        <v>0.210859185001979</v>
      </c>
      <c r="M1254" s="2" t="n">
        <f aca="false">L1254*(1-M$1251)+L1253*M$1251</f>
        <v>0.164133479458385</v>
      </c>
      <c r="N1254" s="2" t="n">
        <f aca="false">M1254*(1-N$1251)+M1253*N$1251</f>
        <v>0.136486057092541</v>
      </c>
      <c r="O1254" s="2" t="n">
        <f aca="false">N1254*(1-O$1251)+N1253*O$1251</f>
        <v>0.136486057092541</v>
      </c>
    </row>
    <row r="1255" customFormat="false" ht="15" hidden="false" customHeight="false" outlineLevel="0" collapsed="false">
      <c r="B1255" s="2" t="n">
        <v>3</v>
      </c>
      <c r="C1255" s="2" t="n">
        <f aca="false">0</f>
        <v>0</v>
      </c>
      <c r="D1255" s="2" t="n">
        <f aca="false">C1255*(1-D$1251)+C1254*D$1251</f>
        <v>0</v>
      </c>
      <c r="E1255" s="2" t="n">
        <f aca="false">D1255*(1-E$1251)+D1254*E$1251</f>
        <v>0.0127040098326727</v>
      </c>
      <c r="F1255" s="2" t="n">
        <f aca="false">E1255*(1-F$1251)+E1254*F$1251</f>
        <v>0.0731769925632186</v>
      </c>
      <c r="G1255" s="2" t="n">
        <f aca="false">F1255*(1-G$1251)+F1254*G$1251</f>
        <v>0.142502935803197</v>
      </c>
      <c r="H1255" s="2" t="n">
        <f aca="false">G1255*(1-H$1251)+G1254*H$1251</f>
        <v>0.147526278769805</v>
      </c>
      <c r="I1255" s="2" t="n">
        <f aca="false">H1255*(1-I$1251)+H1254*I$1251</f>
        <v>0.332261271892359</v>
      </c>
      <c r="J1255" s="2" t="n">
        <f aca="false">I1255*(1-J$1251)+I1254*J$1251</f>
        <v>0.339762629438379</v>
      </c>
      <c r="K1255" s="2" t="n">
        <f aca="false">J1255*(1-K$1251)+J1254*K$1251</f>
        <v>0.329277061535513</v>
      </c>
      <c r="L1255" s="2" t="n">
        <f aca="false">K1255*(1-L$1251)+K1254*L$1251</f>
        <v>0.312277958591124</v>
      </c>
      <c r="M1255" s="2" t="n">
        <f aca="false">L1255*(1-M$1251)+L1254*M$1251</f>
        <v>0.280538748386678</v>
      </c>
      <c r="N1255" s="2" t="n">
        <f aca="false">M1255*(1-N$1251)+M1254*N$1251</f>
        <v>0.253938530230164</v>
      </c>
      <c r="O1255" s="2" t="n">
        <f aca="false">N1255*(1-O$1251)+N1254*O$1251</f>
        <v>0.253938530230164</v>
      </c>
    </row>
    <row r="1256" customFormat="false" ht="15" hidden="false" customHeight="false" outlineLevel="0" collapsed="false">
      <c r="B1256" s="2" t="n">
        <v>4</v>
      </c>
      <c r="C1256" s="2" t="n">
        <f aca="false">0</f>
        <v>0</v>
      </c>
      <c r="D1256" s="2" t="n">
        <f aca="false">C1256*(1-D$1251)+C1255*D$1251</f>
        <v>0</v>
      </c>
      <c r="E1256" s="2" t="n">
        <f aca="false">D1256*(1-E$1251)+D1255*E$1251</f>
        <v>0</v>
      </c>
      <c r="F1256" s="2" t="n">
        <f aca="false">E1256*(1-F$1251)+E1255*F$1251</f>
        <v>0.00458394562899345</v>
      </c>
      <c r="G1256" s="2" t="n">
        <f aca="false">F1256*(1-G$1251)+F1255*G$1251</f>
        <v>0.0254465592766308</v>
      </c>
      <c r="H1256" s="2" t="n">
        <f aca="false">G1256*(1-H$1251)+G1255*H$1251</f>
        <v>0.0283984700698071</v>
      </c>
      <c r="I1256" s="2" t="n">
        <f aca="false">H1256*(1-I$1251)+H1255*I$1251</f>
        <v>0.141478991497303</v>
      </c>
      <c r="J1256" s="2" t="n">
        <f aca="false">I1256*(1-J$1251)+I1255*J$1251</f>
        <v>0.211213187411017</v>
      </c>
      <c r="K1256" s="2" t="n">
        <f aca="false">J1256*(1-K$1251)+J1255*K$1251</f>
        <v>0.231803246808274</v>
      </c>
      <c r="L1256" s="2" t="n">
        <f aca="false">K1256*(1-L$1251)+K1255*L$1251</f>
        <v>0.251410668865324</v>
      </c>
      <c r="M1256" s="2" t="n">
        <f aca="false">L1256*(1-M$1251)+L1255*M$1251</f>
        <v>0.270459210223241</v>
      </c>
      <c r="N1256" s="2" t="n">
        <f aca="false">M1256*(1-N$1251)+M1255*N$1251</f>
        <v>0.272762524467801</v>
      </c>
      <c r="O1256" s="2" t="n">
        <f aca="false">N1256*(1-O$1251)+N1255*O$1251</f>
        <v>0.272762524467801</v>
      </c>
    </row>
    <row r="1257" customFormat="false" ht="15" hidden="false" customHeight="false" outlineLevel="0" collapsed="false">
      <c r="B1257" s="2" t="n">
        <v>5</v>
      </c>
      <c r="C1257" s="2" t="n">
        <f aca="false">0</f>
        <v>0</v>
      </c>
      <c r="D1257" s="2" t="n">
        <f aca="false">C1257*(1-D$1251)+C1256*D$1251</f>
        <v>0</v>
      </c>
      <c r="E1257" s="2" t="n">
        <f aca="false">D1257*(1-E$1251)+D1256*E$1251</f>
        <v>0</v>
      </c>
      <c r="F1257" s="2" t="n">
        <f aca="false">E1257*(1-F$1251)+E1256*F$1251</f>
        <v>0</v>
      </c>
      <c r="G1257" s="2" t="n">
        <f aca="false">F1257*(1-G$1251)+F1256*G$1251</f>
        <v>0.0013942096307687</v>
      </c>
      <c r="H1257" s="2" t="n">
        <f aca="false">G1257*(1-H$1251)+G1256*H$1251</f>
        <v>0.00200075830951374</v>
      </c>
      <c r="I1257" s="2" t="n">
        <f aca="false">H1257*(1-I$1251)+H1256*I$1251</f>
        <v>0.0270584425137458</v>
      </c>
      <c r="J1257" s="2" t="n">
        <f aca="false">I1257*(1-J$1251)+I1256*J$1251</f>
        <v>0.0688811157874473</v>
      </c>
      <c r="K1257" s="2" t="n">
        <f aca="false">J1257*(1-K$1251)+J1256*K$1251</f>
        <v>0.0916787706247207</v>
      </c>
      <c r="L1257" s="2" t="n">
        <f aca="false">K1257*(1-L$1251)+K1256*L$1251</f>
        <v>0.119865620115964</v>
      </c>
      <c r="M1257" s="2" t="n">
        <f aca="false">L1257*(1-M$1251)+L1256*M$1251</f>
        <v>0.16103290902959</v>
      </c>
      <c r="N1257" s="2" t="n">
        <f aca="false">M1257*(1-N$1251)+M1256*N$1251</f>
        <v>0.186038336280522</v>
      </c>
      <c r="O1257" s="2" t="n">
        <f aca="false">N1257*(1-O$1251)+N1256*O$1251</f>
        <v>0.186038336280522</v>
      </c>
    </row>
    <row r="1258" customFormat="false" ht="15" hidden="false" customHeight="false" outlineLevel="0" collapsed="false">
      <c r="B1258" s="2" t="n">
        <v>6</v>
      </c>
      <c r="C1258" s="2" t="n">
        <f aca="false">0</f>
        <v>0</v>
      </c>
      <c r="D1258" s="2" t="n">
        <f aca="false">C1258*(1-D$1251)+C1257*D$1251</f>
        <v>0</v>
      </c>
      <c r="E1258" s="2" t="n">
        <f aca="false">D1258*(1-E$1251)+D1257*E$1251</f>
        <v>0</v>
      </c>
      <c r="F1258" s="2" t="n">
        <f aca="false">E1258*(1-F$1251)+E1257*F$1251</f>
        <v>0</v>
      </c>
      <c r="G1258" s="2" t="n">
        <f aca="false">F1258*(1-G$1251)+F1257*G$1251</f>
        <v>0</v>
      </c>
      <c r="H1258" s="2" t="n">
        <f aca="false">G1258*(1-H$1251)+G1257*H$1251</f>
        <v>3.51589770599331E-005</v>
      </c>
      <c r="I1258" s="2" t="n">
        <f aca="false">H1258*(1-I$1251)+H1257*I$1251</f>
        <v>0.00190097855232941</v>
      </c>
      <c r="J1258" s="2" t="n">
        <f aca="false">I1258*(1-J$1251)+I1257*J$1251</f>
        <v>0.0110964631484087</v>
      </c>
      <c r="K1258" s="2" t="n">
        <f aca="false">J1258*(1-K$1251)+J1257*K$1251</f>
        <v>0.0203519636883052</v>
      </c>
      <c r="L1258" s="2" t="n">
        <f aca="false">K1258*(1-L$1251)+K1257*L$1251</f>
        <v>0.0346997637769499</v>
      </c>
      <c r="M1258" s="2" t="n">
        <f aca="false">L1258*(1-M$1251)+L1257*M$1251</f>
        <v>0.0613525906740297</v>
      </c>
      <c r="N1258" s="2" t="n">
        <f aca="false">M1258*(1-N$1251)+M1257*N$1251</f>
        <v>0.0841309256976963</v>
      </c>
      <c r="O1258" s="2" t="n">
        <f aca="false">N1258*(1-O$1251)+N1257*O$1251</f>
        <v>0.0841309256976963</v>
      </c>
    </row>
    <row r="1259" customFormat="false" ht="15" hidden="false" customHeight="false" outlineLevel="0" collapsed="false">
      <c r="B1259" s="2" t="n">
        <v>7</v>
      </c>
      <c r="C1259" s="2" t="n">
        <f aca="false">0</f>
        <v>0</v>
      </c>
      <c r="D1259" s="2" t="n">
        <f aca="false">C1259*(1-D$1251)+C1258*D$1251</f>
        <v>0</v>
      </c>
      <c r="E1259" s="2" t="n">
        <f aca="false">D1259*(1-E$1251)+D1258*E$1251</f>
        <v>0</v>
      </c>
      <c r="F1259" s="2" t="n">
        <f aca="false">E1259*(1-F$1251)+E1258*F$1251</f>
        <v>0</v>
      </c>
      <c r="G1259" s="2" t="n">
        <f aca="false">F1259*(1-G$1251)+F1258*G$1251</f>
        <v>0</v>
      </c>
      <c r="H1259" s="2" t="n">
        <f aca="false">G1259*(1-H$1251)+G1258*H$1251</f>
        <v>0</v>
      </c>
      <c r="I1259" s="2" t="n">
        <f aca="false">H1259*(1-I$1251)+H1258*I$1251</f>
        <v>3.3374201222881E-005</v>
      </c>
      <c r="J1259" s="2" t="n">
        <f aca="false">I1259*(1-J$1251)+I1258*J$1251</f>
        <v>0.000716015625990876</v>
      </c>
      <c r="K1259" s="2" t="n">
        <f aca="false">J1259*(1-K$1251)+J1258*K$1251</f>
        <v>0.00237867574871</v>
      </c>
      <c r="L1259" s="2" t="n">
        <f aca="false">K1259*(1-L$1251)+K1258*L$1251</f>
        <v>0.00599410665567386</v>
      </c>
      <c r="M1259" s="2" t="n">
        <f aca="false">L1259*(1-M$1251)+L1258*M$1251</f>
        <v>0.014977600077906</v>
      </c>
      <c r="N1259" s="2" t="n">
        <f aca="false">M1259*(1-N$1251)+M1258*N$1251</f>
        <v>0.0255749285169054</v>
      </c>
      <c r="O1259" s="2" t="n">
        <f aca="false">N1259*(1-O$1251)+N1258*O$1251</f>
        <v>0.0255749285169054</v>
      </c>
    </row>
    <row r="1260" customFormat="false" ht="15" hidden="false" customHeight="false" outlineLevel="0" collapsed="false">
      <c r="B1260" s="2" t="n">
        <v>8</v>
      </c>
      <c r="C1260" s="2" t="n">
        <f aca="false">0</f>
        <v>0</v>
      </c>
      <c r="D1260" s="2" t="n">
        <f aca="false">C1260*(1-D$1251)+C1259*D$1251</f>
        <v>0</v>
      </c>
      <c r="E1260" s="2" t="n">
        <f aca="false">D1260*(1-E$1251)+D1259*E$1251</f>
        <v>0</v>
      </c>
      <c r="F1260" s="2" t="n">
        <f aca="false">E1260*(1-F$1251)+E1259*F$1251</f>
        <v>0</v>
      </c>
      <c r="G1260" s="2" t="n">
        <f aca="false">F1260*(1-G$1251)+F1259*G$1251</f>
        <v>0</v>
      </c>
      <c r="H1260" s="2" t="n">
        <f aca="false">G1260*(1-H$1251)+G1259*H$1251</f>
        <v>0</v>
      </c>
      <c r="I1260" s="2" t="n">
        <f aca="false">H1260*(1-I$1251)+H1259*I$1251</f>
        <v>0</v>
      </c>
      <c r="J1260" s="2" t="n">
        <f aca="false">I1260*(1-J$1251)+I1259*J$1251</f>
        <v>1.2198843004292E-005</v>
      </c>
      <c r="K1260" s="2" t="n">
        <f aca="false">J1260*(1-K$1251)+J1259*K$1251</f>
        <v>0.000124930793745823</v>
      </c>
      <c r="L1260" s="2" t="n">
        <f aca="false">K1260*(1-L$1251)+K1259*L$1251</f>
        <v>0.000578284637181487</v>
      </c>
      <c r="M1260" s="2" t="n">
        <f aca="false">L1260*(1-M$1251)+L1259*M$1251</f>
        <v>0.00227317708550818</v>
      </c>
      <c r="N1260" s="2" t="n">
        <f aca="false">M1260*(1-N$1251)+M1259*N$1251</f>
        <v>0.00517631391309103</v>
      </c>
      <c r="O1260" s="2" t="n">
        <f aca="false">N1260*(1-O$1251)+N1259*O$1251</f>
        <v>0.00517631391309103</v>
      </c>
    </row>
    <row r="1261" customFormat="false" ht="15" hidden="false" customHeight="false" outlineLevel="0" collapsed="false">
      <c r="B1261" s="2" t="n">
        <v>9</v>
      </c>
      <c r="C1261" s="2" t="n">
        <f aca="false">0</f>
        <v>0</v>
      </c>
      <c r="D1261" s="2" t="n">
        <f aca="false">C1261*(1-D$1251)+C1260*D$1251</f>
        <v>0</v>
      </c>
      <c r="E1261" s="2" t="n">
        <f aca="false">D1261*(1-E$1251)+D1260*E$1251</f>
        <v>0</v>
      </c>
      <c r="F1261" s="2" t="n">
        <f aca="false">E1261*(1-F$1251)+E1260*F$1251</f>
        <v>0</v>
      </c>
      <c r="G1261" s="2" t="n">
        <f aca="false">F1261*(1-G$1251)+F1260*G$1251</f>
        <v>0</v>
      </c>
      <c r="H1261" s="2" t="n">
        <f aca="false">G1261*(1-H$1251)+G1260*H$1251</f>
        <v>0</v>
      </c>
      <c r="I1261" s="2" t="n">
        <f aca="false">H1261*(1-I$1251)+H1260*I$1251</f>
        <v>0</v>
      </c>
      <c r="J1261" s="2" t="n">
        <f aca="false">I1261*(1-J$1251)+I1260*J$1251</f>
        <v>0</v>
      </c>
      <c r="K1261" s="2" t="n">
        <f aca="false">J1261*(1-K$1251)+J1260*K$1251</f>
        <v>1.95391670375915E-006</v>
      </c>
      <c r="L1261" s="2" t="n">
        <f aca="false">K1261*(1-L$1251)+K1260*L$1251</f>
        <v>2.66914273692554E-005</v>
      </c>
      <c r="M1261" s="2" t="n">
        <f aca="false">L1261*(1-M$1251)+L1260*M$1251</f>
        <v>0.000199313637380374</v>
      </c>
      <c r="N1261" s="2" t="n">
        <f aca="false">M1261*(1-N$1251)+M1260*N$1251</f>
        <v>0.000673220193800961</v>
      </c>
      <c r="O1261" s="2" t="n">
        <f aca="false">N1261*(1-O$1251)+N1260*O$1251</f>
        <v>0.000673220193800961</v>
      </c>
    </row>
    <row r="1262" customFormat="false" ht="15" hidden="false" customHeight="false" outlineLevel="0" collapsed="false">
      <c r="B1262" s="2" t="n">
        <v>10</v>
      </c>
      <c r="C1262" s="2" t="n">
        <f aca="false">0</f>
        <v>0</v>
      </c>
      <c r="D1262" s="2" t="n">
        <f aca="false">C1262*(1-D$1251)+C1261*D$1251</f>
        <v>0</v>
      </c>
      <c r="E1262" s="2" t="n">
        <f aca="false">D1262*(1-E$1251)+D1261*E$1251</f>
        <v>0</v>
      </c>
      <c r="F1262" s="2" t="n">
        <f aca="false">E1262*(1-F$1251)+E1261*F$1251</f>
        <v>0</v>
      </c>
      <c r="G1262" s="2" t="n">
        <f aca="false">F1262*(1-G$1251)+F1261*G$1251</f>
        <v>0</v>
      </c>
      <c r="H1262" s="2" t="n">
        <f aca="false">G1262*(1-H$1251)+G1261*H$1251</f>
        <v>0</v>
      </c>
      <c r="I1262" s="2" t="n">
        <f aca="false">H1262*(1-I$1251)+H1261*I$1251</f>
        <v>0</v>
      </c>
      <c r="J1262" s="2" t="n">
        <f aca="false">I1262*(1-J$1251)+I1261*J$1251</f>
        <v>0</v>
      </c>
      <c r="K1262" s="2" t="n">
        <f aca="false">J1262*(1-K$1251)+J1261*K$1251</f>
        <v>0</v>
      </c>
      <c r="L1262" s="2" t="n">
        <f aca="false">K1262*(1-L$1251)+K1261*L$1251</f>
        <v>3.93041655157665E-007</v>
      </c>
      <c r="M1262" s="2" t="n">
        <f aca="false">L1262*(1-M$1251)+L1261*M$1251</f>
        <v>8.62317462441185E-006</v>
      </c>
      <c r="N1262" s="2" t="n">
        <f aca="false">M1262*(1-N$1251)+M1261*N$1251</f>
        <v>5.21985896926064E-005</v>
      </c>
      <c r="O1262" s="2" t="n">
        <f aca="false">N1262*(1-O$1251)+N1261*O$1251</f>
        <v>5.21985896926064E-005</v>
      </c>
    </row>
    <row r="1263" customFormat="false" ht="15" hidden="false" customHeight="false" outlineLevel="0" collapsed="false">
      <c r="B1263" s="2" t="n">
        <v>11</v>
      </c>
      <c r="C1263" s="2" t="n">
        <f aca="false">0</f>
        <v>0</v>
      </c>
      <c r="D1263" s="2" t="n">
        <f aca="false">C1263*(1-D$1251)+C1262*D$1251</f>
        <v>0</v>
      </c>
      <c r="E1263" s="2" t="n">
        <f aca="false">D1263*(1-E$1251)+D1262*E$1251</f>
        <v>0</v>
      </c>
      <c r="F1263" s="2" t="n">
        <f aca="false">E1263*(1-F$1251)+E1262*F$1251</f>
        <v>0</v>
      </c>
      <c r="G1263" s="2" t="n">
        <f aca="false">F1263*(1-G$1251)+F1262*G$1251</f>
        <v>0</v>
      </c>
      <c r="H1263" s="2" t="n">
        <f aca="false">G1263*(1-H$1251)+G1262*H$1251</f>
        <v>0</v>
      </c>
      <c r="I1263" s="2" t="n">
        <f aca="false">H1263*(1-I$1251)+H1262*I$1251</f>
        <v>0</v>
      </c>
      <c r="J1263" s="2" t="n">
        <f aca="false">I1263*(1-J$1251)+I1262*J$1251</f>
        <v>0</v>
      </c>
      <c r="K1263" s="2" t="n">
        <f aca="false">J1263*(1-K$1251)+J1262*K$1251</f>
        <v>0</v>
      </c>
      <c r="L1263" s="2" t="n">
        <f aca="false">K1263*(1-L$1251)+K1262*L$1251</f>
        <v>0</v>
      </c>
      <c r="M1263" s="2" t="n">
        <f aca="false">L1263*(1-M$1251)+L1262*M$1251</f>
        <v>1.23003180483023E-007</v>
      </c>
      <c r="N1263" s="2" t="n">
        <f aca="false">M1263*(1-N$1251)+M1262*N$1251</f>
        <v>2.06541022835953E-006</v>
      </c>
      <c r="O1263" s="2" t="n">
        <f aca="false">N1263*(1-O$1251)+N1262*O$1251</f>
        <v>2.06541022835953E-006</v>
      </c>
    </row>
    <row r="1264" customFormat="false" ht="15" hidden="false" customHeight="false" outlineLevel="0" collapsed="false">
      <c r="B1264" s="2" t="n">
        <v>12</v>
      </c>
      <c r="C1264" s="2" t="n">
        <f aca="false">0</f>
        <v>0</v>
      </c>
      <c r="D1264" s="2" t="n">
        <f aca="false">C1264*(1-D$1251)+C1263*D$1251</f>
        <v>0</v>
      </c>
      <c r="E1264" s="2" t="n">
        <f aca="false">D1264*(1-E$1251)+D1263*E$1251</f>
        <v>0</v>
      </c>
      <c r="F1264" s="2" t="n">
        <f aca="false">E1264*(1-F$1251)+E1263*F$1251</f>
        <v>0</v>
      </c>
      <c r="G1264" s="2" t="n">
        <f aca="false">F1264*(1-G$1251)+F1263*G$1251</f>
        <v>0</v>
      </c>
      <c r="H1264" s="2" t="n">
        <f aca="false">G1264*(1-H$1251)+G1263*H$1251</f>
        <v>0</v>
      </c>
      <c r="I1264" s="2" t="n">
        <f aca="false">H1264*(1-I$1251)+H1263*I$1251</f>
        <v>0</v>
      </c>
      <c r="J1264" s="2" t="n">
        <f aca="false">I1264*(1-J$1251)+I1263*J$1251</f>
        <v>0</v>
      </c>
      <c r="K1264" s="2" t="n">
        <f aca="false">J1264*(1-K$1251)+J1263*K$1251</f>
        <v>0</v>
      </c>
      <c r="L1264" s="2" t="n">
        <f aca="false">K1264*(1-L$1251)+K1263*L$1251</f>
        <v>0</v>
      </c>
      <c r="M1264" s="2" t="n">
        <f aca="false">L1264*(1-M$1251)+L1263*M$1251</f>
        <v>0</v>
      </c>
      <c r="N1264" s="2" t="n">
        <f aca="false">M1264*(1-N$1251)+M1263*N$1251</f>
        <v>2.81079324408331E-008</v>
      </c>
      <c r="O1264" s="2" t="n">
        <f aca="false">N1264*(1-O$1251)+N1263*O$1251</f>
        <v>2.81079324408331E-008</v>
      </c>
    </row>
    <row r="1265" customFormat="false" ht="15" hidden="false" customHeight="false" outlineLevel="0" collapsed="false">
      <c r="B1265" s="2" t="n">
        <v>13</v>
      </c>
      <c r="C1265" s="2" t="n">
        <f aca="false">0</f>
        <v>0</v>
      </c>
      <c r="D1265" s="2" t="n">
        <f aca="false">C1265*(1-D$1251)+C1264*D$1251</f>
        <v>0</v>
      </c>
      <c r="E1265" s="2" t="n">
        <f aca="false">D1265*(1-E$1251)+D1264*E$1251</f>
        <v>0</v>
      </c>
      <c r="F1265" s="2" t="n">
        <f aca="false">E1265*(1-F$1251)+E1264*F$1251</f>
        <v>0</v>
      </c>
      <c r="G1265" s="2" t="n">
        <f aca="false">F1265*(1-G$1251)+F1264*G$1251</f>
        <v>0</v>
      </c>
      <c r="H1265" s="2" t="n">
        <f aca="false">G1265*(1-H$1251)+G1264*H$1251</f>
        <v>0</v>
      </c>
      <c r="I1265" s="2" t="n">
        <f aca="false">H1265*(1-I$1251)+H1264*I$1251</f>
        <v>0</v>
      </c>
      <c r="J1265" s="2" t="n">
        <f aca="false">I1265*(1-J$1251)+I1264*J$1251</f>
        <v>0</v>
      </c>
      <c r="K1265" s="2" t="n">
        <f aca="false">J1265*(1-K$1251)+J1264*K$1251</f>
        <v>0</v>
      </c>
      <c r="L1265" s="2" t="n">
        <f aca="false">K1265*(1-L$1251)+K1264*L$1251</f>
        <v>0</v>
      </c>
      <c r="M1265" s="2" t="n">
        <f aca="false">L1265*(1-M$1251)+L1264*M$1251</f>
        <v>0</v>
      </c>
      <c r="N1265" s="2" t="n">
        <f aca="false">M1265*(1-N$1251)+M1264*N$1251</f>
        <v>0</v>
      </c>
      <c r="O1265" s="2" t="n">
        <f aca="false">N1265*(1-O$1251)+N1264*O$1251</f>
        <v>0</v>
      </c>
    </row>
    <row r="1267" customFormat="false" ht="15" hidden="false" customHeight="false" outlineLevel="0" collapsed="false">
      <c r="A1267" s="1" t="s">
        <v>137</v>
      </c>
      <c r="C1267" s="2" t="n">
        <f aca="false">Schedule!G81</f>
        <v>0.080756659233771</v>
      </c>
      <c r="D1267" s="2" t="n">
        <f aca="false">Schedule!L81</f>
        <v>0.789950642982085</v>
      </c>
      <c r="E1267" s="2" t="n">
        <f aca="false">Schedule!Q81</f>
        <v>0.552211228127385</v>
      </c>
      <c r="F1267" s="2" t="n">
        <f aca="false">Schedule!V81</f>
        <v>0.992857189264729</v>
      </c>
      <c r="G1267" s="2" t="n">
        <f aca="false">Schedule!AA81</f>
        <v>0.833665030507882</v>
      </c>
      <c r="H1267" s="2" t="n">
        <f aca="false">Schedule!AF81</f>
        <v>0.786329507059644</v>
      </c>
      <c r="I1267" s="2" t="n">
        <f aca="false">Schedule!AK81</f>
        <v>0.374958048081219</v>
      </c>
      <c r="J1267" s="2" t="n">
        <f aca="false">Schedule!AP81</f>
        <v>0.719464013173769</v>
      </c>
      <c r="K1267" s="2" t="n">
        <f aca="false">Schedule!AU81</f>
        <v>0.547263288750412</v>
      </c>
      <c r="L1267" s="2" t="n">
        <f aca="false">Schedule!AZ81</f>
        <v>0.886139444885968</v>
      </c>
      <c r="M1267" s="2" t="n">
        <f aca="false">Schedule!BE81</f>
        <v>0.440382307629758</v>
      </c>
      <c r="N1267" s="2" t="n">
        <f aca="false">Schedule!BJ81</f>
        <v>0.653117188736853</v>
      </c>
      <c r="O1267" s="2" t="n">
        <f aca="false">Schedule!BO81</f>
        <v>0</v>
      </c>
    </row>
    <row r="1268" customFormat="false" ht="15" hidden="false" customHeight="false" outlineLevel="0" collapsed="false">
      <c r="B1268" s="2" t="n">
        <v>0</v>
      </c>
      <c r="C1268" s="2" t="n">
        <f aca="false">1-C$1267</f>
        <v>0.919243340766229</v>
      </c>
      <c r="D1268" s="2" t="n">
        <f aca="false">C1268*(1-D$1267)</f>
        <v>0.193086472670946</v>
      </c>
      <c r="E1268" s="2" t="n">
        <f aca="false">D1268*(1-E$1267)</f>
        <v>0.0864619544625384</v>
      </c>
      <c r="F1268" s="2" t="n">
        <f aca="false">E1268*(1-F$1267)</f>
        <v>0.000617581376527571</v>
      </c>
      <c r="G1268" s="2" t="n">
        <f aca="false">F1268*(1-G$1267)</f>
        <v>0.000102725379423614</v>
      </c>
      <c r="H1268" s="2" t="n">
        <f aca="false">G1268*(1-H$1267)</f>
        <v>2.19493824589287E-005</v>
      </c>
      <c r="I1268" s="2" t="n">
        <f aca="false">H1268*(1-I$1267)</f>
        <v>1.37192848555407E-005</v>
      </c>
      <c r="J1268" s="2" t="n">
        <f aca="false">I1268*(1-J$1267)</f>
        <v>3.84875311549927E-006</v>
      </c>
      <c r="K1268" s="2" t="n">
        <f aca="false">J1268*(1-K$1267)</f>
        <v>1.74247182792275E-006</v>
      </c>
      <c r="L1268" s="2" t="n">
        <f aca="false">K1268*(1-L$1267)</f>
        <v>1.98398809597846E-007</v>
      </c>
      <c r="M1268" s="2" t="n">
        <f aca="false">L1268*(1-M$1267)</f>
        <v>1.11027483996149E-007</v>
      </c>
      <c r="N1268" s="2" t="n">
        <f aca="false">M1268*(1-N$1267)</f>
        <v>3.85135257760584E-008</v>
      </c>
      <c r="O1268" s="2" t="n">
        <f aca="false">N1268*(1-O$1267)</f>
        <v>3.85135257760584E-008</v>
      </c>
    </row>
    <row r="1269" customFormat="false" ht="15" hidden="false" customHeight="false" outlineLevel="0" collapsed="false">
      <c r="B1269" s="2" t="n">
        <v>1</v>
      </c>
      <c r="C1269" s="2" t="n">
        <f aca="false">C$1267</f>
        <v>0.080756659233771</v>
      </c>
      <c r="D1269" s="2" t="n">
        <f aca="false">C1269*(1-D$1267)+C1268*D$1267</f>
        <v>0.743119752442251</v>
      </c>
      <c r="E1269" s="2" t="n">
        <f aca="false">D1269*(1-E$1267)+D1268*E$1267</f>
        <v>0.439385199508806</v>
      </c>
      <c r="F1269" s="2" t="n">
        <f aca="false">E1269*(1-F$1267)+E1268*F$1267</f>
        <v>0.0889828184059817</v>
      </c>
      <c r="G1269" s="2" t="n">
        <f aca="false">F1269*(1-G$1267)+F1268*G$1267</f>
        <v>0.0153158103819856</v>
      </c>
      <c r="H1269" s="2" t="n">
        <f aca="false">G1269*(1-H$1267)+G1268*H$1267</f>
        <v>0.00335331275106458</v>
      </c>
      <c r="I1269" s="2" t="n">
        <f aca="false">H1269*(1-I$1267)+H1268*I$1267</f>
        <v>0.00210419124492293</v>
      </c>
      <c r="J1269" s="2" t="n">
        <f aca="false">I1269*(1-J$1267)+I1268*J$1267</f>
        <v>0.000600171899105613</v>
      </c>
      <c r="K1269" s="2" t="n">
        <f aca="false">J1269*(1-K$1267)+J1268*K$1267</f>
        <v>0.000273826133073071</v>
      </c>
      <c r="L1269" s="2" t="n">
        <f aca="false">K1269*(1-L$1267)+K1268*L$1267</f>
        <v>3.27220685347535E-005</v>
      </c>
      <c r="M1269" s="2" t="n">
        <f aca="false">L1269*(1-M$1267)+L1268*M$1267</f>
        <v>1.83992198086014E-005</v>
      </c>
      <c r="N1269" s="2" t="n">
        <f aca="false">M1269*(1-N$1267)+M1268*N$1267</f>
        <v>6.45488705047632E-006</v>
      </c>
      <c r="O1269" s="2" t="n">
        <f aca="false">N1269*(1-O$1267)+N1268*O$1267</f>
        <v>6.45488705047632E-006</v>
      </c>
    </row>
    <row r="1270" customFormat="false" ht="15" hidden="false" customHeight="false" outlineLevel="0" collapsed="false">
      <c r="B1270" s="2" t="n">
        <v>2</v>
      </c>
      <c r="C1270" s="2" t="n">
        <f aca="false">0</f>
        <v>0</v>
      </c>
      <c r="D1270" s="2" t="n">
        <f aca="false">C1270*(1-D$1267)+C1269*D$1267</f>
        <v>0.0637937748868026</v>
      </c>
      <c r="E1270" s="2" t="n">
        <f aca="false">D1270*(1-E$1267)+D1269*E$1267</f>
        <v>0.438925207251533</v>
      </c>
      <c r="F1270" s="2" t="n">
        <f aca="false">E1270*(1-F$1267)+E1269*F$1267</f>
        <v>0.439381913871172</v>
      </c>
      <c r="G1270" s="2" t="n">
        <f aca="false">F1270*(1-G$1267)+F1269*G$1267</f>
        <v>0.14726644126025</v>
      </c>
      <c r="H1270" s="2" t="n">
        <f aca="false">G1270*(1-H$1267)+G1269*H$1267</f>
        <v>0.0435097667255354</v>
      </c>
      <c r="I1270" s="2" t="n">
        <f aca="false">H1270*(1-I$1267)+H1269*I$1267</f>
        <v>0.0284527811254045</v>
      </c>
      <c r="J1270" s="2" t="n">
        <f aca="false">I1270*(1-J$1267)+I1269*J$1267</f>
        <v>0.00949591890852349</v>
      </c>
      <c r="K1270" s="2" t="n">
        <f aca="false">J1270*(1-K$1267)+J1269*K$1267</f>
        <v>0.00462760314425782</v>
      </c>
      <c r="L1270" s="2" t="n">
        <f aca="false">K1270*(1-L$1267)+K1269*L$1267</f>
        <v>0.000769549600409277</v>
      </c>
      <c r="M1270" s="2" t="n">
        <f aca="false">L1270*(1-M$1267)+L1269*M$1267</f>
        <v>0.000445063791597236</v>
      </c>
      <c r="N1270" s="2" t="n">
        <f aca="false">M1270*(1-N$1267)+M1269*N$1267</f>
        <v>0.000166401825937029</v>
      </c>
      <c r="O1270" s="2" t="n">
        <f aca="false">N1270*(1-O$1267)+N1269*O$1267</f>
        <v>0.000166401825937029</v>
      </c>
    </row>
    <row r="1271" customFormat="false" ht="15" hidden="false" customHeight="false" outlineLevel="0" collapsed="false">
      <c r="B1271" s="2" t="n">
        <v>3</v>
      </c>
      <c r="C1271" s="2" t="n">
        <f aca="false">0</f>
        <v>0</v>
      </c>
      <c r="D1271" s="2" t="n">
        <f aca="false">C1271*(1-D$1267)+C1270*D$1267</f>
        <v>0</v>
      </c>
      <c r="E1271" s="2" t="n">
        <f aca="false">D1271*(1-E$1267)+D1270*E$1267</f>
        <v>0.0352276387771231</v>
      </c>
      <c r="F1271" s="2" t="n">
        <f aca="false">E1271*(1-F$1267)+E1270*F$1267</f>
        <v>0.436041671925631</v>
      </c>
      <c r="G1271" s="2" t="n">
        <f aca="false">F1271*(1-G$1267)+F1270*G$1267</f>
        <v>0.438826314829064</v>
      </c>
      <c r="H1271" s="2" t="n">
        <f aca="false">G1271*(1-H$1267)+G1270*H$1267</f>
        <v>0.209564183167327</v>
      </c>
      <c r="I1271" s="2" t="n">
        <f aca="false">H1271*(1-I$1267)+H1270*I$1267</f>
        <v>0.147300743303047</v>
      </c>
      <c r="J1271" s="2" t="n">
        <f aca="false">I1271*(1-J$1267)+I1270*J$1267</f>
        <v>0.061793911477196</v>
      </c>
      <c r="K1271" s="2" t="n">
        <f aca="false">J1271*(1-K$1267)+J1270*K$1267</f>
        <v>0.0331731400690197</v>
      </c>
      <c r="L1271" s="2" t="n">
        <f aca="false">K1271*(1-L$1267)+K1270*L$1267</f>
        <v>0.0078778138245393</v>
      </c>
      <c r="M1271" s="2" t="n">
        <f aca="false">L1271*(1-M$1267)+L1270*M$1267</f>
        <v>0.00474746002227487</v>
      </c>
      <c r="N1271" s="2" t="n">
        <f aca="false">M1271*(1-N$1267)+M1270*N$1267</f>
        <v>0.00193749109126266</v>
      </c>
      <c r="O1271" s="2" t="n">
        <f aca="false">N1271*(1-O$1267)+N1270*O$1267</f>
        <v>0.00193749109126266</v>
      </c>
    </row>
    <row r="1272" customFormat="false" ht="15" hidden="false" customHeight="false" outlineLevel="0" collapsed="false">
      <c r="B1272" s="2" t="n">
        <v>4</v>
      </c>
      <c r="C1272" s="2" t="n">
        <f aca="false">0</f>
        <v>0</v>
      </c>
      <c r="D1272" s="2" t="n">
        <f aca="false">C1272*(1-D$1267)+C1271*D$1267</f>
        <v>0</v>
      </c>
      <c r="E1272" s="2" t="n">
        <f aca="false">D1272*(1-E$1267)+D1271*E$1267</f>
        <v>0</v>
      </c>
      <c r="F1272" s="2" t="n">
        <f aca="false">E1272*(1-F$1267)+E1271*F$1267</f>
        <v>0.0349760144206876</v>
      </c>
      <c r="G1272" s="2" t="n">
        <f aca="false">F1272*(1-G$1267)+F1271*G$1267</f>
        <v>0.36933042802021</v>
      </c>
      <c r="H1272" s="2" t="n">
        <f aca="false">G1272*(1-H$1267)+G1271*H$1267</f>
        <v>0.423977094437289</v>
      </c>
      <c r="I1272" s="2" t="n">
        <f aca="false">H1272*(1-I$1267)+H1271*I$1267</f>
        <v>0.343581247744092</v>
      </c>
      <c r="J1272" s="2" t="n">
        <f aca="false">I1272*(1-J$1267)+I1271*J$1267</f>
        <v>0.202364488311166</v>
      </c>
      <c r="K1272" s="2" t="n">
        <f aca="false">J1272*(1-K$1267)+J1271*K$1267</f>
        <v>0.125435372131465</v>
      </c>
      <c r="L1272" s="2" t="n">
        <f aca="false">K1272*(1-L$1267)+K1271*L$1267</f>
        <v>0.0436781690277093</v>
      </c>
      <c r="M1272" s="2" t="n">
        <f aca="false">L1272*(1-M$1267)+L1271*M$1267</f>
        <v>0.0279123259893723</v>
      </c>
      <c r="N1272" s="2" t="n">
        <f aca="false">M1272*(1-N$1267)+M1271*N$1267</f>
        <v>0.0127829538514756</v>
      </c>
      <c r="O1272" s="2" t="n">
        <f aca="false">N1272*(1-O$1267)+N1271*O$1267</f>
        <v>0.0127829538514756</v>
      </c>
    </row>
    <row r="1273" customFormat="false" ht="15" hidden="false" customHeight="false" outlineLevel="0" collapsed="false">
      <c r="B1273" s="2" t="n">
        <v>5</v>
      </c>
      <c r="C1273" s="2" t="n">
        <f aca="false">0</f>
        <v>0</v>
      </c>
      <c r="D1273" s="2" t="n">
        <f aca="false">C1273*(1-D$1267)+C1272*D$1267</f>
        <v>0</v>
      </c>
      <c r="E1273" s="2" t="n">
        <f aca="false">D1273*(1-E$1267)+D1272*E$1267</f>
        <v>0</v>
      </c>
      <c r="F1273" s="2" t="n">
        <f aca="false">E1273*(1-F$1267)+E1272*F$1267</f>
        <v>0</v>
      </c>
      <c r="G1273" s="2" t="n">
        <f aca="false">F1273*(1-G$1267)+F1272*G$1267</f>
        <v>0.0291582801290667</v>
      </c>
      <c r="H1273" s="2" t="n">
        <f aca="false">G1273*(1-H$1267)+G1272*H$1267</f>
        <v>0.29664567749573</v>
      </c>
      <c r="I1273" s="2" t="n">
        <f aca="false">H1273*(1-I$1267)+H1272*I$1267</f>
        <v>0.344389617051553</v>
      </c>
      <c r="J1273" s="2" t="n">
        <f aca="false">I1273*(1-J$1267)+I1272*J$1267</f>
        <v>0.343808024425481</v>
      </c>
      <c r="K1273" s="2" t="n">
        <f aca="false">J1273*(1-K$1267)+J1272*K$1267</f>
        <v>0.266401169679073</v>
      </c>
      <c r="L1273" s="2" t="n">
        <f aca="false">K1273*(1-L$1267)+K1272*L$1267</f>
        <v>0.141485816092328</v>
      </c>
      <c r="M1273" s="2" t="n">
        <f aca="false">L1273*(1-M$1267)+L1272*M$1267</f>
        <v>0.0984130587741743</v>
      </c>
      <c r="N1273" s="2" t="n">
        <f aca="false">M1273*(1-N$1267)+M1272*N$1267</f>
        <v>0.0523678183738763</v>
      </c>
      <c r="O1273" s="2" t="n">
        <f aca="false">N1273*(1-O$1267)+N1272*O$1267</f>
        <v>0.0523678183738763</v>
      </c>
    </row>
    <row r="1274" customFormat="false" ht="15" hidden="false" customHeight="false" outlineLevel="0" collapsed="false">
      <c r="B1274" s="2" t="n">
        <v>6</v>
      </c>
      <c r="C1274" s="2" t="n">
        <f aca="false">0</f>
        <v>0</v>
      </c>
      <c r="D1274" s="2" t="n">
        <f aca="false">C1274*(1-D$1267)+C1273*D$1267</f>
        <v>0</v>
      </c>
      <c r="E1274" s="2" t="n">
        <f aca="false">D1274*(1-E$1267)+D1273*E$1267</f>
        <v>0</v>
      </c>
      <c r="F1274" s="2" t="n">
        <f aca="false">E1274*(1-F$1267)+E1273*F$1267</f>
        <v>0</v>
      </c>
      <c r="G1274" s="2" t="n">
        <f aca="false">F1274*(1-G$1267)+F1273*G$1267</f>
        <v>0</v>
      </c>
      <c r="H1274" s="2" t="n">
        <f aca="false">G1274*(1-H$1267)+G1273*H$1267</f>
        <v>0.022928016040596</v>
      </c>
      <c r="I1274" s="2" t="n">
        <f aca="false">H1274*(1-I$1267)+H1273*I$1267</f>
        <v>0.125560656105169</v>
      </c>
      <c r="J1274" s="2" t="n">
        <f aca="false">I1274*(1-J$1267)+I1273*J$1267</f>
        <v>0.2830002185463</v>
      </c>
      <c r="K1274" s="2" t="n">
        <f aca="false">J1274*(1-K$1267)+J1273*K$1267</f>
        <v>0.316278098373437</v>
      </c>
      <c r="L1274" s="2" t="n">
        <f aca="false">K1274*(1-L$1267)+K1273*L$1267</f>
        <v>0.272080184467596</v>
      </c>
      <c r="M1274" s="2" t="n">
        <f aca="false">L1274*(1-M$1267)+L1273*M$1267</f>
        <v>0.214568735159045</v>
      </c>
      <c r="N1274" s="2" t="n">
        <f aca="false">M1274*(1-N$1267)+M1273*N$1267</f>
        <v>0.138705466342731</v>
      </c>
      <c r="O1274" s="2" t="n">
        <f aca="false">N1274*(1-O$1267)+N1273*O$1267</f>
        <v>0.138705466342731</v>
      </c>
    </row>
    <row r="1275" customFormat="false" ht="15" hidden="false" customHeight="false" outlineLevel="0" collapsed="false">
      <c r="B1275" s="2" t="n">
        <v>7</v>
      </c>
      <c r="C1275" s="2" t="n">
        <f aca="false">0</f>
        <v>0</v>
      </c>
      <c r="D1275" s="2" t="n">
        <f aca="false">C1275*(1-D$1267)+C1274*D$1267</f>
        <v>0</v>
      </c>
      <c r="E1275" s="2" t="n">
        <f aca="false">D1275*(1-E$1267)+D1274*E$1267</f>
        <v>0</v>
      </c>
      <c r="F1275" s="2" t="n">
        <f aca="false">E1275*(1-F$1267)+E1274*F$1267</f>
        <v>0</v>
      </c>
      <c r="G1275" s="2" t="n">
        <f aca="false">F1275*(1-G$1267)+F1274*G$1267</f>
        <v>0</v>
      </c>
      <c r="H1275" s="2" t="n">
        <f aca="false">G1275*(1-H$1267)+G1274*H$1267</f>
        <v>0</v>
      </c>
      <c r="I1275" s="2" t="n">
        <f aca="false">H1275*(1-I$1267)+H1274*I$1267</f>
        <v>0.00859704414095675</v>
      </c>
      <c r="J1275" s="2" t="n">
        <f aca="false">I1275*(1-J$1267)+I1274*J$1267</f>
        <v>0.0927481538000281</v>
      </c>
      <c r="K1275" s="2" t="n">
        <f aca="false">J1275*(1-K$1267)+J1274*K$1267</f>
        <v>0.196866124444629</v>
      </c>
      <c r="L1275" s="2" t="n">
        <f aca="false">K1275*(1-L$1267)+K1274*L$1267</f>
        <v>0.302681784734641</v>
      </c>
      <c r="M1275" s="2" t="n">
        <f aca="false">L1275*(1-M$1267)+L1274*M$1267</f>
        <v>0.289205381391876</v>
      </c>
      <c r="N1275" s="2" t="n">
        <f aca="false">M1275*(1-N$1267)+M1274*N$1267</f>
        <v>0.240458904827543</v>
      </c>
      <c r="O1275" s="2" t="n">
        <f aca="false">N1275*(1-O$1267)+N1274*O$1267</f>
        <v>0.240458904827543</v>
      </c>
    </row>
    <row r="1276" customFormat="false" ht="15" hidden="false" customHeight="false" outlineLevel="0" collapsed="false">
      <c r="B1276" s="2" t="n">
        <v>8</v>
      </c>
      <c r="C1276" s="2" t="n">
        <f aca="false">0</f>
        <v>0</v>
      </c>
      <c r="D1276" s="2" t="n">
        <f aca="false">C1276*(1-D$1267)+C1275*D$1267</f>
        <v>0</v>
      </c>
      <c r="E1276" s="2" t="n">
        <f aca="false">D1276*(1-E$1267)+D1275*E$1267</f>
        <v>0</v>
      </c>
      <c r="F1276" s="2" t="n">
        <f aca="false">E1276*(1-F$1267)+E1275*F$1267</f>
        <v>0</v>
      </c>
      <c r="G1276" s="2" t="n">
        <f aca="false">F1276*(1-G$1267)+F1275*G$1267</f>
        <v>0</v>
      </c>
      <c r="H1276" s="2" t="n">
        <f aca="false">G1276*(1-H$1267)+G1275*H$1267</f>
        <v>0</v>
      </c>
      <c r="I1276" s="2" t="n">
        <f aca="false">H1276*(1-I$1267)+H1275*I$1267</f>
        <v>0</v>
      </c>
      <c r="J1276" s="2" t="n">
        <f aca="false">I1276*(1-J$1267)+I1275*J$1267</f>
        <v>0.00618526387908478</v>
      </c>
      <c r="K1276" s="2" t="n">
        <f aca="false">J1276*(1-K$1267)+J1275*K$1267</f>
        <v>0.0535579557009601</v>
      </c>
      <c r="L1276" s="2" t="n">
        <f aca="false">K1276*(1-L$1267)+K1275*L$1267</f>
        <v>0.1805489767991</v>
      </c>
      <c r="M1276" s="2" t="n">
        <f aca="false">L1276*(1-M$1267)+L1275*M$1267</f>
        <v>0.234334104595055</v>
      </c>
      <c r="N1276" s="2" t="n">
        <f aca="false">M1276*(1-N$1267)+M1275*N$1267</f>
        <v>0.270171478638997</v>
      </c>
      <c r="O1276" s="2" t="n">
        <f aca="false">N1276*(1-O$1267)+N1275*O$1267</f>
        <v>0.270171478638997</v>
      </c>
    </row>
    <row r="1277" customFormat="false" ht="15" hidden="false" customHeight="false" outlineLevel="0" collapsed="false">
      <c r="B1277" s="2" t="n">
        <v>9</v>
      </c>
      <c r="C1277" s="2" t="n">
        <f aca="false">0</f>
        <v>0</v>
      </c>
      <c r="D1277" s="2" t="n">
        <f aca="false">C1277*(1-D$1267)+C1276*D$1267</f>
        <v>0</v>
      </c>
      <c r="E1277" s="2" t="n">
        <f aca="false">D1277*(1-E$1267)+D1276*E$1267</f>
        <v>0</v>
      </c>
      <c r="F1277" s="2" t="n">
        <f aca="false">E1277*(1-F$1267)+E1276*F$1267</f>
        <v>0</v>
      </c>
      <c r="G1277" s="2" t="n">
        <f aca="false">F1277*(1-G$1267)+F1276*G$1267</f>
        <v>0</v>
      </c>
      <c r="H1277" s="2" t="n">
        <f aca="false">G1277*(1-H$1267)+G1276*H$1267</f>
        <v>0</v>
      </c>
      <c r="I1277" s="2" t="n">
        <f aca="false">H1277*(1-I$1267)+H1276*I$1267</f>
        <v>0</v>
      </c>
      <c r="J1277" s="2" t="n">
        <f aca="false">I1277*(1-J$1267)+I1276*J$1267</f>
        <v>0</v>
      </c>
      <c r="K1277" s="2" t="n">
        <f aca="false">J1277*(1-K$1267)+J1276*K$1267</f>
        <v>0.00338496785225707</v>
      </c>
      <c r="L1277" s="2" t="n">
        <f aca="false">K1277*(1-L$1267)+K1276*L$1267</f>
        <v>0.0478452314527772</v>
      </c>
      <c r="M1277" s="2" t="n">
        <f aca="false">L1277*(1-M$1267)+L1276*M$1267</f>
        <v>0.106285613059502</v>
      </c>
      <c r="N1277" s="2" t="n">
        <f aca="false">M1277*(1-N$1267)+M1276*N$1267</f>
        <v>0.189916283873197</v>
      </c>
      <c r="O1277" s="2" t="n">
        <f aca="false">N1277*(1-O$1267)+N1276*O$1267</f>
        <v>0.189916283873197</v>
      </c>
    </row>
    <row r="1278" customFormat="false" ht="15" hidden="false" customHeight="false" outlineLevel="0" collapsed="false">
      <c r="B1278" s="2" t="n">
        <v>10</v>
      </c>
      <c r="C1278" s="2" t="n">
        <f aca="false">0</f>
        <v>0</v>
      </c>
      <c r="D1278" s="2" t="n">
        <f aca="false">C1278*(1-D$1267)+C1277*D$1267</f>
        <v>0</v>
      </c>
      <c r="E1278" s="2" t="n">
        <f aca="false">D1278*(1-E$1267)+D1277*E$1267</f>
        <v>0</v>
      </c>
      <c r="F1278" s="2" t="n">
        <f aca="false">E1278*(1-F$1267)+E1277*F$1267</f>
        <v>0</v>
      </c>
      <c r="G1278" s="2" t="n">
        <f aca="false">F1278*(1-G$1267)+F1277*G$1267</f>
        <v>0</v>
      </c>
      <c r="H1278" s="2" t="n">
        <f aca="false">G1278*(1-H$1267)+G1277*H$1267</f>
        <v>0</v>
      </c>
      <c r="I1278" s="2" t="n">
        <f aca="false">H1278*(1-I$1267)+H1277*I$1267</f>
        <v>0</v>
      </c>
      <c r="J1278" s="2" t="n">
        <f aca="false">I1278*(1-J$1267)+I1277*J$1267</f>
        <v>0</v>
      </c>
      <c r="K1278" s="2" t="n">
        <f aca="false">J1278*(1-K$1267)+J1277*K$1267</f>
        <v>0</v>
      </c>
      <c r="L1278" s="2" t="n">
        <f aca="false">K1278*(1-L$1267)+K1277*L$1267</f>
        <v>0.00299955353355592</v>
      </c>
      <c r="M1278" s="2" t="n">
        <f aca="false">L1278*(1-M$1267)+L1277*M$1267</f>
        <v>0.0227487966628435</v>
      </c>
      <c r="N1278" s="2" t="n">
        <f aca="false">M1278*(1-N$1267)+M1277*N$1267</f>
        <v>0.077308127343856</v>
      </c>
      <c r="O1278" s="2" t="n">
        <f aca="false">N1278*(1-O$1267)+N1277*O$1267</f>
        <v>0.077308127343856</v>
      </c>
    </row>
    <row r="1279" customFormat="false" ht="15" hidden="false" customHeight="false" outlineLevel="0" collapsed="false">
      <c r="B1279" s="2" t="n">
        <v>11</v>
      </c>
      <c r="C1279" s="2" t="n">
        <f aca="false">0</f>
        <v>0</v>
      </c>
      <c r="D1279" s="2" t="n">
        <f aca="false">C1279*(1-D$1267)+C1278*D$1267</f>
        <v>0</v>
      </c>
      <c r="E1279" s="2" t="n">
        <f aca="false">D1279*(1-E$1267)+D1278*E$1267</f>
        <v>0</v>
      </c>
      <c r="F1279" s="2" t="n">
        <f aca="false">E1279*(1-F$1267)+E1278*F$1267</f>
        <v>0</v>
      </c>
      <c r="G1279" s="2" t="n">
        <f aca="false">F1279*(1-G$1267)+F1278*G$1267</f>
        <v>0</v>
      </c>
      <c r="H1279" s="2" t="n">
        <f aca="false">G1279*(1-H$1267)+G1278*H$1267</f>
        <v>0</v>
      </c>
      <c r="I1279" s="2" t="n">
        <f aca="false">H1279*(1-I$1267)+H1278*I$1267</f>
        <v>0</v>
      </c>
      <c r="J1279" s="2" t="n">
        <f aca="false">I1279*(1-J$1267)+I1278*J$1267</f>
        <v>0</v>
      </c>
      <c r="K1279" s="2" t="n">
        <f aca="false">J1279*(1-K$1267)+J1278*K$1267</f>
        <v>0</v>
      </c>
      <c r="L1279" s="2" t="n">
        <f aca="false">K1279*(1-L$1267)+K1278*L$1267</f>
        <v>0</v>
      </c>
      <c r="M1279" s="2" t="n">
        <f aca="false">L1279*(1-M$1267)+L1278*M$1267</f>
        <v>0.00132095030696635</v>
      </c>
      <c r="N1279" s="2" t="n">
        <f aca="false">M1279*(1-N$1267)+M1278*N$1267</f>
        <v>0.015315845079602</v>
      </c>
      <c r="O1279" s="2" t="n">
        <f aca="false">N1279*(1-O$1267)+N1278*O$1267</f>
        <v>0.015315845079602</v>
      </c>
    </row>
    <row r="1280" customFormat="false" ht="15" hidden="false" customHeight="false" outlineLevel="0" collapsed="false">
      <c r="B1280" s="2" t="n">
        <v>12</v>
      </c>
      <c r="C1280" s="2" t="n">
        <f aca="false">0</f>
        <v>0</v>
      </c>
      <c r="D1280" s="2" t="n">
        <f aca="false">C1280*(1-D$1267)+C1279*D$1267</f>
        <v>0</v>
      </c>
      <c r="E1280" s="2" t="n">
        <f aca="false">D1280*(1-E$1267)+D1279*E$1267</f>
        <v>0</v>
      </c>
      <c r="F1280" s="2" t="n">
        <f aca="false">E1280*(1-F$1267)+E1279*F$1267</f>
        <v>0</v>
      </c>
      <c r="G1280" s="2" t="n">
        <f aca="false">F1280*(1-G$1267)+F1279*G$1267</f>
        <v>0</v>
      </c>
      <c r="H1280" s="2" t="n">
        <f aca="false">G1280*(1-H$1267)+G1279*H$1267</f>
        <v>0</v>
      </c>
      <c r="I1280" s="2" t="n">
        <f aca="false">H1280*(1-I$1267)+H1279*I$1267</f>
        <v>0</v>
      </c>
      <c r="J1280" s="2" t="n">
        <f aca="false">I1280*(1-J$1267)+I1279*J$1267</f>
        <v>0</v>
      </c>
      <c r="K1280" s="2" t="n">
        <f aca="false">J1280*(1-K$1267)+J1279*K$1267</f>
        <v>0</v>
      </c>
      <c r="L1280" s="2" t="n">
        <f aca="false">K1280*(1-L$1267)+K1279*L$1267</f>
        <v>0</v>
      </c>
      <c r="M1280" s="2" t="n">
        <f aca="false">L1280*(1-M$1267)+L1279*M$1267</f>
        <v>0</v>
      </c>
      <c r="N1280" s="2" t="n">
        <f aca="false">M1280*(1-N$1267)+M1279*N$1267</f>
        <v>0.000862735350946947</v>
      </c>
      <c r="O1280" s="2" t="n">
        <f aca="false">N1280*(1-O$1267)+N1279*O$1267</f>
        <v>0.000862735350946947</v>
      </c>
    </row>
    <row r="1281" customFormat="false" ht="15" hidden="false" customHeight="false" outlineLevel="0" collapsed="false">
      <c r="B1281" s="2" t="n">
        <v>13</v>
      </c>
      <c r="C1281" s="2" t="n">
        <f aca="false">0</f>
        <v>0</v>
      </c>
      <c r="D1281" s="2" t="n">
        <f aca="false">C1281*(1-D$1267)+C1280*D$1267</f>
        <v>0</v>
      </c>
      <c r="E1281" s="2" t="n">
        <f aca="false">D1281*(1-E$1267)+D1280*E$1267</f>
        <v>0</v>
      </c>
      <c r="F1281" s="2" t="n">
        <f aca="false">E1281*(1-F$1267)+E1280*F$1267</f>
        <v>0</v>
      </c>
      <c r="G1281" s="2" t="n">
        <f aca="false">F1281*(1-G$1267)+F1280*G$1267</f>
        <v>0</v>
      </c>
      <c r="H1281" s="2" t="n">
        <f aca="false">G1281*(1-H$1267)+G1280*H$1267</f>
        <v>0</v>
      </c>
      <c r="I1281" s="2" t="n">
        <f aca="false">H1281*(1-I$1267)+H1280*I$1267</f>
        <v>0</v>
      </c>
      <c r="J1281" s="2" t="n">
        <f aca="false">I1281*(1-J$1267)+I1280*J$1267</f>
        <v>0</v>
      </c>
      <c r="K1281" s="2" t="n">
        <f aca="false">J1281*(1-K$1267)+J1280*K$1267</f>
        <v>0</v>
      </c>
      <c r="L1281" s="2" t="n">
        <f aca="false">K1281*(1-L$1267)+K1280*L$1267</f>
        <v>0</v>
      </c>
      <c r="M1281" s="2" t="n">
        <f aca="false">L1281*(1-M$1267)+L1280*M$1267</f>
        <v>0</v>
      </c>
      <c r="N1281" s="2" t="n">
        <f aca="false">M1281*(1-N$1267)+M1280*N$1267</f>
        <v>0</v>
      </c>
      <c r="O1281" s="2" t="n">
        <f aca="false">N1281*(1-O$1267)+N1280*O$1267</f>
        <v>0</v>
      </c>
    </row>
    <row r="1283" customFormat="false" ht="15" hidden="false" customHeight="false" outlineLevel="0" collapsed="false">
      <c r="A1283" s="1" t="s">
        <v>138</v>
      </c>
      <c r="C1283" s="2" t="n">
        <f aca="false">Schedule!G82</f>
        <v>0.948581210535182</v>
      </c>
      <c r="D1283" s="2" t="n">
        <f aca="false">Schedule!L82</f>
        <v>0.544786515128255</v>
      </c>
      <c r="E1283" s="2" t="n">
        <f aca="false">Schedule!Q82</f>
        <v>0.603532007320995</v>
      </c>
      <c r="F1283" s="2" t="n">
        <f aca="false">Schedule!V82</f>
        <v>0.603532007320995</v>
      </c>
      <c r="G1283" s="2" t="n">
        <f aca="false">Schedule!AA82</f>
        <v>0.608341880846395</v>
      </c>
      <c r="H1283" s="2" t="n">
        <f aca="false">Schedule!AF82</f>
        <v>0.650806957537142</v>
      </c>
      <c r="I1283" s="2" t="n">
        <f aca="false">Schedule!AK82</f>
        <v>0.529892644052895</v>
      </c>
      <c r="J1283" s="2" t="n">
        <f aca="false">Schedule!AP82</f>
        <v>0.372590535846716</v>
      </c>
      <c r="K1283" s="2" t="n">
        <f aca="false">Schedule!AU82</f>
        <v>0.581702183505625</v>
      </c>
      <c r="L1283" s="2" t="n">
        <f aca="false">Schedule!AZ82</f>
        <v>0.559617692370243</v>
      </c>
      <c r="M1283" s="2" t="n">
        <f aca="false">Schedule!BE82</f>
        <v>0.742153889194135</v>
      </c>
      <c r="N1283" s="2" t="n">
        <f aca="false">Schedule!BJ82</f>
        <v>0.41098963713127</v>
      </c>
      <c r="O1283" s="2" t="n">
        <f aca="false">Schedule!BO82</f>
        <v>0</v>
      </c>
    </row>
    <row r="1284" customFormat="false" ht="15" hidden="false" customHeight="false" outlineLevel="0" collapsed="false">
      <c r="B1284" s="2" t="n">
        <v>0</v>
      </c>
      <c r="C1284" s="2" t="n">
        <f aca="false">1-C$1283</f>
        <v>0.0514187894648185</v>
      </c>
      <c r="D1284" s="2" t="n">
        <f aca="false">C1284*(1-D$1283)</f>
        <v>0.0234065263401666</v>
      </c>
      <c r="E1284" s="2" t="n">
        <f aca="false">D1284*(1-E$1283)</f>
        <v>0.00927993851367412</v>
      </c>
      <c r="F1284" s="2" t="n">
        <f aca="false">E1284*(1-F$1283)</f>
        <v>0.00367919859470097</v>
      </c>
      <c r="G1284" s="2" t="n">
        <f aca="false">F1284*(1-G$1283)</f>
        <v>0.00144098800159317</v>
      </c>
      <c r="H1284" s="2" t="n">
        <f aca="false">G1284*(1-H$1283)</f>
        <v>0.000503182984428792</v>
      </c>
      <c r="I1284" s="2" t="n">
        <f aca="false">H1284*(1-I$1283)</f>
        <v>0.000236550022367393</v>
      </c>
      <c r="J1284" s="2" t="n">
        <f aca="false">I1284*(1-J$1283)</f>
        <v>0.000148413722778973</v>
      </c>
      <c r="K1284" s="2" t="n">
        <f aca="false">J1284*(1-K$1283)</f>
        <v>6.2081136176246E-005</v>
      </c>
      <c r="L1284" s="2" t="n">
        <f aca="false">K1284*(1-L$1283)</f>
        <v>2.73394340095724E-005</v>
      </c>
      <c r="M1284" s="2" t="n">
        <f aca="false">L1284*(1-M$1283)</f>
        <v>7.04936673100184E-006</v>
      </c>
      <c r="N1284" s="2" t="n">
        <f aca="false">M1284*(1-N$1283)</f>
        <v>4.15215005622215E-006</v>
      </c>
      <c r="O1284" s="2" t="n">
        <f aca="false">N1284*(1-O$1283)</f>
        <v>4.15215005622215E-006</v>
      </c>
    </row>
    <row r="1285" customFormat="false" ht="15" hidden="false" customHeight="false" outlineLevel="0" collapsed="false">
      <c r="B1285" s="2" t="n">
        <v>1</v>
      </c>
      <c r="C1285" s="2" t="n">
        <f aca="false">C$1283</f>
        <v>0.948581210535182</v>
      </c>
      <c r="D1285" s="2" t="n">
        <f aca="false">C1285*(1-D$1283)+C1284*D$1283</f>
        <v>0.45981922165623</v>
      </c>
      <c r="E1285" s="2" t="n">
        <f aca="false">D1285*(1-E$1283)+D1284*E$1283</f>
        <v>0.196430191631761</v>
      </c>
      <c r="F1285" s="2" t="n">
        <f aca="false">E1285*(1-F$1283)+E1284*F$1283</f>
        <v>0.0834790236967697</v>
      </c>
      <c r="G1285" s="2" t="n">
        <f aca="false">F1285*(1-G$1283)+F1284*G$1283</f>
        <v>0.0349334480029639</v>
      </c>
      <c r="H1285" s="2" t="n">
        <f aca="false">G1285*(1-H$1283)+G1284*H$1283</f>
        <v>0.0131363220090374</v>
      </c>
      <c r="I1285" s="2" t="n">
        <f aca="false">H1285*(1-I$1283)+H1284*I$1283</f>
        <v>0.00644211456859972</v>
      </c>
      <c r="J1285" s="2" t="n">
        <f aca="false">I1285*(1-J$1283)+I1284*J$1283</f>
        <v>0.00412997994908764</v>
      </c>
      <c r="K1285" s="2" t="n">
        <f aca="false">J1285*(1-K$1283)+J1284*K$1283</f>
        <v>0.00181389418147164</v>
      </c>
      <c r="L1285" s="2" t="n">
        <f aca="false">K1285*(1-L$1283)+K1284*L$1283</f>
        <v>0.000833548607599343</v>
      </c>
      <c r="M1285" s="2" t="n">
        <f aca="false">L1285*(1-M$1283)+L1284*M$1283</f>
        <v>0.000235217333915705</v>
      </c>
      <c r="N1285" s="2" t="n">
        <f aca="false">M1285*(1-N$1283)+M1284*N$1283</f>
        <v>0.000141442663877484</v>
      </c>
      <c r="O1285" s="2" t="n">
        <f aca="false">N1285*(1-O$1283)+N1284*O$1283</f>
        <v>0.000141442663877484</v>
      </c>
    </row>
    <row r="1286" customFormat="false" ht="15" hidden="false" customHeight="false" outlineLevel="0" collapsed="false">
      <c r="B1286" s="2" t="n">
        <v>2</v>
      </c>
      <c r="C1286" s="2" t="n">
        <f aca="false">0</f>
        <v>0</v>
      </c>
      <c r="D1286" s="2" t="n">
        <f aca="false">C1286*(1-D$1283)+C1285*D$1283</f>
        <v>0.516774252003603</v>
      </c>
      <c r="E1286" s="2" t="n">
        <f aca="false">D1286*(1-E$1283)+D1285*E$1283</f>
        <v>0.482400068211025</v>
      </c>
      <c r="F1286" s="2" t="n">
        <f aca="false">E1286*(1-F$1283)+E1285*F$1283</f>
        <v>0.309808094565805</v>
      </c>
      <c r="G1286" s="2" t="n">
        <f aca="false">F1286*(1-G$1283)+F1285*G$1283</f>
        <v>0.172122641903119</v>
      </c>
      <c r="H1286" s="2" t="n">
        <f aca="false">G1286*(1-H$1283)+G1285*H$1283</f>
        <v>0.0828389600139859</v>
      </c>
      <c r="I1286" s="2" t="n">
        <f aca="false">H1286*(1-I$1283)+H1285*I$1283</f>
        <v>0.045904044864082</v>
      </c>
      <c r="J1286" s="2" t="n">
        <f aca="false">I1286*(1-J$1283)+I1285*J$1283</f>
        <v>0.0312009031097425</v>
      </c>
      <c r="K1286" s="2" t="n">
        <f aca="false">J1286*(1-K$1283)+J1285*K$1283</f>
        <v>0.0154536879976766</v>
      </c>
      <c r="L1286" s="2" t="n">
        <f aca="false">K1286*(1-L$1283)+K1285*L$1283</f>
        <v>0.00782061805784606</v>
      </c>
      <c r="M1286" s="2" t="n">
        <f aca="false">L1286*(1-M$1283)+L1285*M$1283</f>
        <v>0.00263513729127593</v>
      </c>
      <c r="N1286" s="2" t="n">
        <f aca="false">M1286*(1-N$1283)+M1285*N$1283</f>
        <v>0.00164879505885636</v>
      </c>
      <c r="O1286" s="2" t="n">
        <f aca="false">N1286*(1-O$1283)+N1285*O$1283</f>
        <v>0.00164879505885636</v>
      </c>
    </row>
    <row r="1287" customFormat="false" ht="15" hidden="false" customHeight="false" outlineLevel="0" collapsed="false">
      <c r="B1287" s="2" t="n">
        <v>3</v>
      </c>
      <c r="C1287" s="2" t="n">
        <f aca="false">0</f>
        <v>0</v>
      </c>
      <c r="D1287" s="2" t="n">
        <f aca="false">C1287*(1-D$1283)+C1286*D$1283</f>
        <v>0</v>
      </c>
      <c r="E1287" s="2" t="n">
        <f aca="false">D1287*(1-E$1283)+D1286*E$1283</f>
        <v>0.31188980164354</v>
      </c>
      <c r="F1287" s="2" t="n">
        <f aca="false">E1287*(1-F$1283)+E1286*F$1283</f>
        <v>0.414798205093852</v>
      </c>
      <c r="G1287" s="2" t="n">
        <f aca="false">F1287*(1-G$1283)+F1286*G$1283</f>
        <v>0.350928323784949</v>
      </c>
      <c r="H1287" s="2" t="n">
        <f aca="false">G1287*(1-H$1283)+G1286*H$1283</f>
        <v>0.234560341969081</v>
      </c>
      <c r="I1287" s="2" t="n">
        <f aca="false">H1287*(1-I$1283)+H1286*I$1283</f>
        <v>0.154164297725537</v>
      </c>
      <c r="J1287" s="2" t="n">
        <f aca="false">I1287*(1-J$1283)+I1286*J$1283</f>
        <v>0.113827552100986</v>
      </c>
      <c r="K1287" s="2" t="n">
        <f aca="false">J1287*(1-K$1283)+J1286*K$1283</f>
        <v>0.0657634499670269</v>
      </c>
      <c r="L1287" s="2" t="n">
        <f aca="false">K1287*(1-L$1283)+K1286*L$1283</f>
        <v>0.0376092170700429</v>
      </c>
      <c r="M1287" s="2" t="n">
        <f aca="false">L1287*(1-M$1283)+L1286*M$1283</f>
        <v>0.0155014924594964</v>
      </c>
      <c r="N1287" s="2" t="n">
        <f aca="false">M1287*(1-N$1283)+M1286*N$1283</f>
        <v>0.0102135538177074</v>
      </c>
      <c r="O1287" s="2" t="n">
        <f aca="false">N1287*(1-O$1283)+N1286*O$1283</f>
        <v>0.0102135538177074</v>
      </c>
    </row>
    <row r="1288" customFormat="false" ht="15" hidden="false" customHeight="false" outlineLevel="0" collapsed="false">
      <c r="B1288" s="2" t="n">
        <v>4</v>
      </c>
      <c r="C1288" s="2" t="n">
        <f aca="false">0</f>
        <v>0</v>
      </c>
      <c r="D1288" s="2" t="n">
        <f aca="false">C1288*(1-D$1283)+C1287*D$1283</f>
        <v>0</v>
      </c>
      <c r="E1288" s="2" t="n">
        <f aca="false">D1288*(1-E$1283)+D1287*E$1283</f>
        <v>0</v>
      </c>
      <c r="F1288" s="2" t="n">
        <f aca="false">E1288*(1-F$1283)+E1287*F$1283</f>
        <v>0.188235478048873</v>
      </c>
      <c r="G1288" s="2" t="n">
        <f aca="false">F1288*(1-G$1283)+F1287*G$1283</f>
        <v>0.326063073549104</v>
      </c>
      <c r="H1288" s="2" t="n">
        <f aca="false">G1288*(1-H$1283)+G1287*H$1283</f>
        <v>0.342245551403494</v>
      </c>
      <c r="I1288" s="2" t="n">
        <f aca="false">H1288*(1-I$1283)+H1287*I$1283</f>
        <v>0.285183951050903</v>
      </c>
      <c r="J1288" s="2" t="n">
        <f aca="false">I1288*(1-J$1283)+I1287*J$1283</f>
        <v>0.236367268211954</v>
      </c>
      <c r="K1288" s="2" t="n">
        <f aca="false">J1288*(1-K$1283)+J1287*K$1283</f>
        <v>0.165085647784045</v>
      </c>
      <c r="L1288" s="2" t="n">
        <f aca="false">K1288*(1-L$1283)+K1287*L$1283</f>
        <v>0.109503188640544</v>
      </c>
      <c r="M1288" s="2" t="n">
        <f aca="false">L1288*(1-M$1283)+L1287*M$1283</f>
        <v>0.0561467980298841</v>
      </c>
      <c r="N1288" s="2" t="n">
        <f aca="false">M1288*(1-N$1283)+M1287*N$1283</f>
        <v>0.0394419986424209</v>
      </c>
      <c r="O1288" s="2" t="n">
        <f aca="false">N1288*(1-O$1283)+N1287*O$1283</f>
        <v>0.0394419986424209</v>
      </c>
    </row>
    <row r="1289" customFormat="false" ht="15" hidden="false" customHeight="false" outlineLevel="0" collapsed="false">
      <c r="B1289" s="2" t="n">
        <v>5</v>
      </c>
      <c r="C1289" s="2" t="n">
        <f aca="false">0</f>
        <v>0</v>
      </c>
      <c r="D1289" s="2" t="n">
        <f aca="false">C1289*(1-D$1283)+C1288*D$1283</f>
        <v>0</v>
      </c>
      <c r="E1289" s="2" t="n">
        <f aca="false">D1289*(1-E$1283)+D1288*E$1283</f>
        <v>0</v>
      </c>
      <c r="F1289" s="2" t="n">
        <f aca="false">E1289*(1-F$1283)+E1288*F$1283</f>
        <v>0</v>
      </c>
      <c r="G1289" s="2" t="n">
        <f aca="false">F1289*(1-G$1283)+F1288*G$1283</f>
        <v>0.114511524758271</v>
      </c>
      <c r="H1289" s="2" t="n">
        <f aca="false">G1289*(1-H$1283)+G1288*H$1283</f>
        <v>0.252190744589103</v>
      </c>
      <c r="I1289" s="2" t="n">
        <f aca="false">H1289*(1-I$1283)+H1288*I$1283</f>
        <v>0.299910124281653</v>
      </c>
      <c r="J1289" s="2" t="n">
        <f aca="false">I1289*(1-J$1283)+I1288*J$1283</f>
        <v>0.294423291506637</v>
      </c>
      <c r="K1289" s="2" t="n">
        <f aca="false">J1289*(1-K$1283)+J1288*K$1283</f>
        <v>0.260651975990466</v>
      </c>
      <c r="L1289" s="2" t="n">
        <f aca="false">K1289*(1-L$1283)+K1288*L$1283</f>
        <v>0.207171367931291</v>
      </c>
      <c r="M1289" s="2" t="n">
        <f aca="false">L1289*(1-M$1283)+L1288*M$1283</f>
        <v>0.134686548820153</v>
      </c>
      <c r="N1289" s="2" t="n">
        <f aca="false">M1289*(1-N$1283)+M1288*N$1283</f>
        <v>0.10240752514248</v>
      </c>
      <c r="O1289" s="2" t="n">
        <f aca="false">N1289*(1-O$1283)+N1288*O$1283</f>
        <v>0.10240752514248</v>
      </c>
    </row>
    <row r="1290" customFormat="false" ht="15" hidden="false" customHeight="false" outlineLevel="0" collapsed="false">
      <c r="B1290" s="2" t="n">
        <v>6</v>
      </c>
      <c r="C1290" s="2" t="n">
        <f aca="false">0</f>
        <v>0</v>
      </c>
      <c r="D1290" s="2" t="n">
        <f aca="false">C1290*(1-D$1283)+C1289*D$1283</f>
        <v>0</v>
      </c>
      <c r="E1290" s="2" t="n">
        <f aca="false">D1290*(1-E$1283)+D1289*E$1283</f>
        <v>0</v>
      </c>
      <c r="F1290" s="2" t="n">
        <f aca="false">E1290*(1-F$1283)+E1289*F$1283</f>
        <v>0</v>
      </c>
      <c r="G1290" s="2" t="n">
        <f aca="false">F1290*(1-G$1283)+F1289*G$1283</f>
        <v>0</v>
      </c>
      <c r="H1290" s="2" t="n">
        <f aca="false">G1290*(1-H$1283)+G1289*H$1283</f>
        <v>0.0745248970308698</v>
      </c>
      <c r="I1290" s="2" t="n">
        <f aca="false">H1290*(1-I$1283)+H1289*I$1283</f>
        <v>0.168668722751401</v>
      </c>
      <c r="J1290" s="2" t="n">
        <f aca="false">I1290*(1-J$1283)+I1289*J$1283</f>
        <v>0.217568026872832</v>
      </c>
      <c r="K1290" s="2" t="n">
        <f aca="false">J1290*(1-K$1283)+J1289*K$1283</f>
        <v>0.262274902124219</v>
      </c>
      <c r="L1290" s="2" t="n">
        <f aca="false">K1290*(1-L$1283)+K1289*L$1283</f>
        <v>0.261366683946361</v>
      </c>
      <c r="M1290" s="2" t="n">
        <f aca="false">L1290*(1-M$1283)+L1289*M$1283</f>
        <v>0.221145419389672</v>
      </c>
      <c r="N1290" s="2" t="n">
        <f aca="false">M1290*(1-N$1283)+M1289*N$1283</f>
        <v>0.185611719547526</v>
      </c>
      <c r="O1290" s="2" t="n">
        <f aca="false">N1290*(1-O$1283)+N1289*O$1283</f>
        <v>0.185611719547526</v>
      </c>
    </row>
    <row r="1291" customFormat="false" ht="15" hidden="false" customHeight="false" outlineLevel="0" collapsed="false">
      <c r="B1291" s="2" t="n">
        <v>7</v>
      </c>
      <c r="C1291" s="2" t="n">
        <f aca="false">0</f>
        <v>0</v>
      </c>
      <c r="D1291" s="2" t="n">
        <f aca="false">C1291*(1-D$1283)+C1290*D$1283</f>
        <v>0</v>
      </c>
      <c r="E1291" s="2" t="n">
        <f aca="false">D1291*(1-E$1283)+D1290*E$1283</f>
        <v>0</v>
      </c>
      <c r="F1291" s="2" t="n">
        <f aca="false">E1291*(1-F$1283)+E1290*F$1283</f>
        <v>0</v>
      </c>
      <c r="G1291" s="2" t="n">
        <f aca="false">F1291*(1-G$1283)+F1290*G$1283</f>
        <v>0</v>
      </c>
      <c r="H1291" s="2" t="n">
        <f aca="false">G1291*(1-H$1283)+G1290*H$1283</f>
        <v>0</v>
      </c>
      <c r="I1291" s="2" t="n">
        <f aca="false">H1291*(1-I$1283)+H1290*I$1283</f>
        <v>0.0394901947354573</v>
      </c>
      <c r="J1291" s="2" t="n">
        <f aca="false">I1291*(1-J$1283)+I1290*J$1283</f>
        <v>0.0876208917088076</v>
      </c>
      <c r="K1291" s="2" t="n">
        <f aca="false">J1291*(1-K$1283)+J1290*K$1283</f>
        <v>0.163211423974021</v>
      </c>
      <c r="L1291" s="2" t="n">
        <f aca="false">K1291*(1-L$1283)+K1290*L$1283</f>
        <v>0.218649099014604</v>
      </c>
      <c r="M1291" s="2" t="n">
        <f aca="false">L1291*(1-M$1283)+L1290*M$1283</f>
        <v>0.250352120808688</v>
      </c>
      <c r="N1291" s="2" t="n">
        <f aca="false">M1291*(1-N$1283)+M1290*N$1283</f>
        <v>0.238348469190685</v>
      </c>
      <c r="O1291" s="2" t="n">
        <f aca="false">N1291*(1-O$1283)+N1290*O$1283</f>
        <v>0.238348469190685</v>
      </c>
    </row>
    <row r="1292" customFormat="false" ht="15" hidden="false" customHeight="false" outlineLevel="0" collapsed="false">
      <c r="B1292" s="2" t="n">
        <v>8</v>
      </c>
      <c r="C1292" s="2" t="n">
        <f aca="false">0</f>
        <v>0</v>
      </c>
      <c r="D1292" s="2" t="n">
        <f aca="false">C1292*(1-D$1283)+C1291*D$1283</f>
        <v>0</v>
      </c>
      <c r="E1292" s="2" t="n">
        <f aca="false">D1292*(1-E$1283)+D1291*E$1283</f>
        <v>0</v>
      </c>
      <c r="F1292" s="2" t="n">
        <f aca="false">E1292*(1-F$1283)+E1291*F$1283</f>
        <v>0</v>
      </c>
      <c r="G1292" s="2" t="n">
        <f aca="false">F1292*(1-G$1283)+F1291*G$1283</f>
        <v>0</v>
      </c>
      <c r="H1292" s="2" t="n">
        <f aca="false">G1292*(1-H$1283)+G1291*H$1283</f>
        <v>0</v>
      </c>
      <c r="I1292" s="2" t="n">
        <f aca="false">H1292*(1-I$1283)+H1291*I$1283</f>
        <v>0</v>
      </c>
      <c r="J1292" s="2" t="n">
        <f aca="false">I1292*(1-J$1283)+I1291*J$1283</f>
        <v>0.0147136728171752</v>
      </c>
      <c r="K1292" s="2" t="n">
        <f aca="false">J1292*(1-K$1283)+J1291*K$1283</f>
        <v>0.0571239612397603</v>
      </c>
      <c r="L1292" s="2" t="n">
        <f aca="false">K1292*(1-L$1283)+K1291*L$1283</f>
        <v>0.116492382324521</v>
      </c>
      <c r="M1292" s="2" t="n">
        <f aca="false">L1292*(1-M$1283)+L1291*M$1283</f>
        <v>0.19230838692337</v>
      </c>
      <c r="N1292" s="2" t="n">
        <f aca="false">M1292*(1-N$1283)+M1291*N$1283</f>
        <v>0.216163760050641</v>
      </c>
      <c r="O1292" s="2" t="n">
        <f aca="false">N1292*(1-O$1283)+N1291*O$1283</f>
        <v>0.216163760050641</v>
      </c>
    </row>
    <row r="1293" customFormat="false" ht="15" hidden="false" customHeight="false" outlineLevel="0" collapsed="false">
      <c r="B1293" s="2" t="n">
        <v>9</v>
      </c>
      <c r="C1293" s="2" t="n">
        <f aca="false">0</f>
        <v>0</v>
      </c>
      <c r="D1293" s="2" t="n">
        <f aca="false">C1293*(1-D$1283)+C1292*D$1283</f>
        <v>0</v>
      </c>
      <c r="E1293" s="2" t="n">
        <f aca="false">D1293*(1-E$1283)+D1292*E$1283</f>
        <v>0</v>
      </c>
      <c r="F1293" s="2" t="n">
        <f aca="false">E1293*(1-F$1283)+E1292*F$1283</f>
        <v>0</v>
      </c>
      <c r="G1293" s="2" t="n">
        <f aca="false">F1293*(1-G$1283)+F1292*G$1283</f>
        <v>0</v>
      </c>
      <c r="H1293" s="2" t="n">
        <f aca="false">G1293*(1-H$1283)+G1292*H$1283</f>
        <v>0</v>
      </c>
      <c r="I1293" s="2" t="n">
        <f aca="false">H1293*(1-I$1283)+H1292*I$1283</f>
        <v>0</v>
      </c>
      <c r="J1293" s="2" t="n">
        <f aca="false">I1293*(1-J$1283)+I1292*J$1283</f>
        <v>0</v>
      </c>
      <c r="K1293" s="2" t="n">
        <f aca="false">J1293*(1-K$1283)+J1292*K$1283</f>
        <v>0.00855897560513817</v>
      </c>
      <c r="L1293" s="2" t="n">
        <f aca="false">K1293*(1-L$1283)+K1292*L$1283</f>
        <v>0.0357368007959794</v>
      </c>
      <c r="M1293" s="2" t="n">
        <f aca="false">L1293*(1-M$1283)+L1292*M$1283</f>
        <v>0.0956698697015209</v>
      </c>
      <c r="N1293" s="2" t="n">
        <f aca="false">M1293*(1-N$1283)+M1292*N$1283</f>
        <v>0.135387298827433</v>
      </c>
      <c r="O1293" s="2" t="n">
        <f aca="false">N1293*(1-O$1283)+N1292*O$1283</f>
        <v>0.135387298827433</v>
      </c>
    </row>
    <row r="1294" customFormat="false" ht="15" hidden="false" customHeight="false" outlineLevel="0" collapsed="false">
      <c r="B1294" s="2" t="n">
        <v>10</v>
      </c>
      <c r="C1294" s="2" t="n">
        <f aca="false">0</f>
        <v>0</v>
      </c>
      <c r="D1294" s="2" t="n">
        <f aca="false">C1294*(1-D$1283)+C1293*D$1283</f>
        <v>0</v>
      </c>
      <c r="E1294" s="2" t="n">
        <f aca="false">D1294*(1-E$1283)+D1293*E$1283</f>
        <v>0</v>
      </c>
      <c r="F1294" s="2" t="n">
        <f aca="false">E1294*(1-F$1283)+E1293*F$1283</f>
        <v>0</v>
      </c>
      <c r="G1294" s="2" t="n">
        <f aca="false">F1294*(1-G$1283)+F1293*G$1283</f>
        <v>0</v>
      </c>
      <c r="H1294" s="2" t="n">
        <f aca="false">G1294*(1-H$1283)+G1293*H$1283</f>
        <v>0</v>
      </c>
      <c r="I1294" s="2" t="n">
        <f aca="false">H1294*(1-I$1283)+H1293*I$1283</f>
        <v>0</v>
      </c>
      <c r="J1294" s="2" t="n">
        <f aca="false">I1294*(1-J$1283)+I1293*J$1283</f>
        <v>0</v>
      </c>
      <c r="K1294" s="2" t="n">
        <f aca="false">J1294*(1-K$1283)+J1293*K$1283</f>
        <v>0</v>
      </c>
      <c r="L1294" s="2" t="n">
        <f aca="false">K1294*(1-L$1283)+K1293*L$1283</f>
        <v>0.00478975417720062</v>
      </c>
      <c r="M1294" s="2" t="n">
        <f aca="false">L1294*(1-M$1283)+L1293*M$1283</f>
        <v>0.0277572251843995</v>
      </c>
      <c r="N1294" s="2" t="n">
        <f aca="false">M1294*(1-N$1283)+M1293*N$1283</f>
        <v>0.0556686183111162</v>
      </c>
      <c r="O1294" s="2" t="n">
        <f aca="false">N1294*(1-O$1283)+N1293*O$1283</f>
        <v>0.0556686183111162</v>
      </c>
    </row>
    <row r="1295" customFormat="false" ht="15" hidden="false" customHeight="false" outlineLevel="0" collapsed="false">
      <c r="B1295" s="2" t="n">
        <v>11</v>
      </c>
      <c r="C1295" s="2" t="n">
        <f aca="false">0</f>
        <v>0</v>
      </c>
      <c r="D1295" s="2" t="n">
        <f aca="false">C1295*(1-D$1283)+C1294*D$1283</f>
        <v>0</v>
      </c>
      <c r="E1295" s="2" t="n">
        <f aca="false">D1295*(1-E$1283)+D1294*E$1283</f>
        <v>0</v>
      </c>
      <c r="F1295" s="2" t="n">
        <f aca="false">E1295*(1-F$1283)+E1294*F$1283</f>
        <v>0</v>
      </c>
      <c r="G1295" s="2" t="n">
        <f aca="false">F1295*(1-G$1283)+F1294*G$1283</f>
        <v>0</v>
      </c>
      <c r="H1295" s="2" t="n">
        <f aca="false">G1295*(1-H$1283)+G1294*H$1283</f>
        <v>0</v>
      </c>
      <c r="I1295" s="2" t="n">
        <f aca="false">H1295*(1-I$1283)+H1294*I$1283</f>
        <v>0</v>
      </c>
      <c r="J1295" s="2" t="n">
        <f aca="false">I1295*(1-J$1283)+I1294*J$1283</f>
        <v>0</v>
      </c>
      <c r="K1295" s="2" t="n">
        <f aca="false">J1295*(1-K$1283)+J1294*K$1283</f>
        <v>0</v>
      </c>
      <c r="L1295" s="2" t="n">
        <f aca="false">K1295*(1-L$1283)+K1294*L$1283</f>
        <v>0</v>
      </c>
      <c r="M1295" s="2" t="n">
        <f aca="false">L1295*(1-M$1283)+L1294*M$1283</f>
        <v>0.0035547346908933</v>
      </c>
      <c r="N1295" s="2" t="n">
        <f aca="false">M1295*(1-N$1283)+M1294*N$1283</f>
        <v>0.0135017074764924</v>
      </c>
      <c r="O1295" s="2" t="n">
        <f aca="false">N1295*(1-O$1283)+N1294*O$1283</f>
        <v>0.0135017074764924</v>
      </c>
    </row>
    <row r="1296" customFormat="false" ht="15" hidden="false" customHeight="false" outlineLevel="0" collapsed="false">
      <c r="B1296" s="2" t="n">
        <v>12</v>
      </c>
      <c r="C1296" s="2" t="n">
        <f aca="false">0</f>
        <v>0</v>
      </c>
      <c r="D1296" s="2" t="n">
        <f aca="false">C1296*(1-D$1283)+C1295*D$1283</f>
        <v>0</v>
      </c>
      <c r="E1296" s="2" t="n">
        <f aca="false">D1296*(1-E$1283)+D1295*E$1283</f>
        <v>0</v>
      </c>
      <c r="F1296" s="2" t="n">
        <f aca="false">E1296*(1-F$1283)+E1295*F$1283</f>
        <v>0</v>
      </c>
      <c r="G1296" s="2" t="n">
        <f aca="false">F1296*(1-G$1283)+F1295*G$1283</f>
        <v>0</v>
      </c>
      <c r="H1296" s="2" t="n">
        <f aca="false">G1296*(1-H$1283)+G1295*H$1283</f>
        <v>0</v>
      </c>
      <c r="I1296" s="2" t="n">
        <f aca="false">H1296*(1-I$1283)+H1295*I$1283</f>
        <v>0</v>
      </c>
      <c r="J1296" s="2" t="n">
        <f aca="false">I1296*(1-J$1283)+I1295*J$1283</f>
        <v>0</v>
      </c>
      <c r="K1296" s="2" t="n">
        <f aca="false">J1296*(1-K$1283)+J1295*K$1283</f>
        <v>0</v>
      </c>
      <c r="L1296" s="2" t="n">
        <f aca="false">K1296*(1-L$1283)+K1295*L$1283</f>
        <v>0</v>
      </c>
      <c r="M1296" s="2" t="n">
        <f aca="false">L1296*(1-M$1283)+L1295*M$1283</f>
        <v>0</v>
      </c>
      <c r="N1296" s="2" t="n">
        <f aca="false">M1296*(1-N$1283)+M1295*N$1283</f>
        <v>0.00146095912070818</v>
      </c>
      <c r="O1296" s="2" t="n">
        <f aca="false">N1296*(1-O$1283)+N1295*O$1283</f>
        <v>0.00146095912070818</v>
      </c>
    </row>
    <row r="1297" customFormat="false" ht="15" hidden="false" customHeight="false" outlineLevel="0" collapsed="false">
      <c r="B1297" s="2" t="n">
        <v>13</v>
      </c>
      <c r="C1297" s="2" t="n">
        <f aca="false">0</f>
        <v>0</v>
      </c>
      <c r="D1297" s="2" t="n">
        <f aca="false">C1297*(1-D$1283)+C1296*D$1283</f>
        <v>0</v>
      </c>
      <c r="E1297" s="2" t="n">
        <f aca="false">D1297*(1-E$1283)+D1296*E$1283</f>
        <v>0</v>
      </c>
      <c r="F1297" s="2" t="n">
        <f aca="false">E1297*(1-F$1283)+E1296*F$1283</f>
        <v>0</v>
      </c>
      <c r="G1297" s="2" t="n">
        <f aca="false">F1297*(1-G$1283)+F1296*G$1283</f>
        <v>0</v>
      </c>
      <c r="H1297" s="2" t="n">
        <f aca="false">G1297*(1-H$1283)+G1296*H$1283</f>
        <v>0</v>
      </c>
      <c r="I1297" s="2" t="n">
        <f aca="false">H1297*(1-I$1283)+H1296*I$1283</f>
        <v>0</v>
      </c>
      <c r="J1297" s="2" t="n">
        <f aca="false">I1297*(1-J$1283)+I1296*J$1283</f>
        <v>0</v>
      </c>
      <c r="K1297" s="2" t="n">
        <f aca="false">J1297*(1-K$1283)+J1296*K$1283</f>
        <v>0</v>
      </c>
      <c r="L1297" s="2" t="n">
        <f aca="false">K1297*(1-L$1283)+K1296*L$1283</f>
        <v>0</v>
      </c>
      <c r="M1297" s="2" t="n">
        <f aca="false">L1297*(1-M$1283)+L1296*M$1283</f>
        <v>0</v>
      </c>
      <c r="N1297" s="2" t="n">
        <f aca="false">M1297*(1-N$1283)+M1296*N$1283</f>
        <v>0</v>
      </c>
      <c r="O1297" s="2" t="n">
        <f aca="false">N1297*(1-O$1283)+N1296*O$1283</f>
        <v>0</v>
      </c>
    </row>
    <row r="1299" customFormat="false" ht="15" hidden="false" customHeight="false" outlineLevel="0" collapsed="false">
      <c r="A1299" s="1" t="s">
        <v>139</v>
      </c>
      <c r="C1299" s="2" t="n">
        <f aca="false">Schedule!G83</f>
        <v>0.308537538725987</v>
      </c>
      <c r="D1299" s="2" t="n">
        <f aca="false">Schedule!L83</f>
        <v>0.432996644193328</v>
      </c>
      <c r="E1299" s="2" t="n">
        <f aca="false">Schedule!Q83</f>
        <v>0.947918720584781</v>
      </c>
      <c r="F1299" s="2" t="n">
        <f aca="false">Schedule!V83</f>
        <v>0.295461142462736</v>
      </c>
      <c r="G1299" s="2" t="n">
        <f aca="false">Schedule!AA83</f>
        <v>0.142591167421656</v>
      </c>
      <c r="H1299" s="2" t="n">
        <f aca="false">Schedule!AF83</f>
        <v>0.349193042462858</v>
      </c>
      <c r="I1299" s="2" t="n">
        <f aca="false">Schedule!AK83</f>
        <v>0.247856657564262</v>
      </c>
      <c r="J1299" s="2" t="n">
        <f aca="false">Schedule!AP83</f>
        <v>0.253825417414222</v>
      </c>
      <c r="K1299" s="2" t="n">
        <f aca="false">Schedule!AU83</f>
        <v>0.284762905379547</v>
      </c>
      <c r="L1299" s="2" t="n">
        <f aca="false">Schedule!AZ83</f>
        <v>0.0244909032642333</v>
      </c>
      <c r="M1299" s="2" t="n">
        <f aca="false">Schedule!BE83</f>
        <v>0.547263288750412</v>
      </c>
      <c r="N1299" s="2" t="n">
        <f aca="false">Schedule!BJ83</f>
        <v>0.0457536249617411</v>
      </c>
      <c r="O1299" s="2" t="n">
        <f aca="false">Schedule!BO83</f>
        <v>0</v>
      </c>
    </row>
    <row r="1300" customFormat="false" ht="15" hidden="false" customHeight="false" outlineLevel="0" collapsed="false">
      <c r="B1300" s="2" t="n">
        <v>0</v>
      </c>
      <c r="C1300" s="2" t="n">
        <f aca="false">1-C$1299</f>
        <v>0.691462461274013</v>
      </c>
      <c r="D1300" s="2" t="n">
        <f aca="false">C1300*(1-D$1299)</f>
        <v>0.392061535956706</v>
      </c>
      <c r="E1300" s="2" t="n">
        <f aca="false">D1300*(1-E$1299)</f>
        <v>0.0204190664021213</v>
      </c>
      <c r="F1300" s="2" t="n">
        <f aca="false">E1300*(1-F$1299)</f>
        <v>0.0143860257149281</v>
      </c>
      <c r="G1300" s="2" t="n">
        <f aca="false">F1300*(1-G$1299)</f>
        <v>0.0123347055136785</v>
      </c>
      <c r="H1300" s="2" t="n">
        <f aca="false">G1300*(1-H$1299)</f>
        <v>0.00802751216747374</v>
      </c>
      <c r="I1300" s="2" t="n">
        <f aca="false">H1300*(1-I$1299)</f>
        <v>0.00603783983308725</v>
      </c>
      <c r="J1300" s="2" t="n">
        <f aca="false">I1300*(1-J$1299)</f>
        <v>0.00450528261717366</v>
      </c>
      <c r="K1300" s="2" t="n">
        <f aca="false">J1300*(1-K$1299)</f>
        <v>0.00322234524955132</v>
      </c>
      <c r="L1300" s="2" t="n">
        <f aca="false">K1300*(1-L$1299)</f>
        <v>0.0031434271037606</v>
      </c>
      <c r="M1300" s="2" t="n">
        <f aca="false">L1300*(1-M$1299)</f>
        <v>0.00142314484900939</v>
      </c>
      <c r="N1300" s="2" t="n">
        <f aca="false">M1300*(1-N$1299)</f>
        <v>0.00135803081332158</v>
      </c>
      <c r="O1300" s="2" t="n">
        <f aca="false">N1300*(1-O$1299)</f>
        <v>0.00135803081332158</v>
      </c>
    </row>
    <row r="1301" customFormat="false" ht="15" hidden="false" customHeight="false" outlineLevel="0" collapsed="false">
      <c r="B1301" s="2" t="n">
        <v>1</v>
      </c>
      <c r="C1301" s="2" t="n">
        <f aca="false">C$1299</f>
        <v>0.308537538725987</v>
      </c>
      <c r="D1301" s="2" t="n">
        <f aca="false">C1301*(1-D$1299)+C1300*D$1299</f>
        <v>0.474342745167272</v>
      </c>
      <c r="E1301" s="2" t="n">
        <f aca="false">D1301*(1-E$1299)+D1300*E$1299</f>
        <v>0.396346846604224</v>
      </c>
      <c r="F1301" s="2" t="n">
        <f aca="false">E1301*(1-F$1299)+E1300*F$1299</f>
        <v>0.28527479518223</v>
      </c>
      <c r="G1301" s="2" t="n">
        <f aca="false">F1301*(1-G$1299)+F1300*G$1299</f>
        <v>0.246648449302472</v>
      </c>
      <c r="H1301" s="2" t="n">
        <f aca="false">G1301*(1-H$1299)+G1300*H$1299</f>
        <v>0.164827720218001</v>
      </c>
      <c r="I1301" s="2" t="n">
        <f aca="false">H1301*(1-I$1299)+H1300*I$1299</f>
        <v>0.125963744745216</v>
      </c>
      <c r="J1301" s="2" t="n">
        <f aca="false">I1301*(1-J$1299)+I1300*J$1299</f>
        <v>0.0955235018721167</v>
      </c>
      <c r="K1301" s="2" t="n">
        <f aca="false">J1301*(1-K$1299)+J1300*K$1299</f>
        <v>0.0696048893146065</v>
      </c>
      <c r="L1301" s="2" t="n">
        <f aca="false">K1301*(1-L$1299)+K1300*L$1299</f>
        <v>0.0679791208494755</v>
      </c>
      <c r="M1301" s="2" t="n">
        <f aca="false">L1301*(1-M$1299)+L1300*M$1299</f>
        <v>0.0324969258617811</v>
      </c>
      <c r="N1301" s="2" t="n">
        <f aca="false">M1301*(1-N$1299)+M1300*N$1299</f>
        <v>0.0310751877391794</v>
      </c>
      <c r="O1301" s="2" t="n">
        <f aca="false">N1301*(1-O$1299)+N1300*O$1299</f>
        <v>0.0310751877391794</v>
      </c>
    </row>
    <row r="1302" customFormat="false" ht="15" hidden="false" customHeight="false" outlineLevel="0" collapsed="false">
      <c r="B1302" s="2" t="n">
        <v>2</v>
      </c>
      <c r="C1302" s="2" t="n">
        <f aca="false">0</f>
        <v>0</v>
      </c>
      <c r="D1302" s="2" t="n">
        <f aca="false">C1302*(1-D$1299)+C1301*D$1299</f>
        <v>0.133595718876021</v>
      </c>
      <c r="E1302" s="2" t="n">
        <f aca="false">D1302*(1-E$1299)+D1301*E$1299</f>
        <v>0.456596204081093</v>
      </c>
      <c r="F1302" s="2" t="n">
        <f aca="false">E1302*(1-F$1299)+E1301*F$1299</f>
        <v>0.438794860088331</v>
      </c>
      <c r="G1302" s="2" t="n">
        <f aca="false">F1302*(1-G$1299)+F1301*G$1299</f>
        <v>0.416904254810722</v>
      </c>
      <c r="H1302" s="2" t="n">
        <f aca="false">G1302*(1-H$1299)+G1301*H$1299</f>
        <v>0.357452112088332</v>
      </c>
      <c r="I1302" s="2" t="n">
        <f aca="false">H1302*(1-I$1299)+H1301*I$1299</f>
        <v>0.309708874154003</v>
      </c>
      <c r="J1302" s="2" t="n">
        <f aca="false">I1302*(1-J$1299)+I1301*J$1299</f>
        <v>0.263069689983987</v>
      </c>
      <c r="K1302" s="2" t="n">
        <f aca="false">J1302*(1-K$1299)+J1301*K$1299</f>
        <v>0.215358750671983</v>
      </c>
      <c r="L1302" s="2" t="n">
        <f aca="false">K1302*(1-L$1299)+K1301*L$1299</f>
        <v>0.211789106953091</v>
      </c>
      <c r="M1302" s="2" t="n">
        <f aca="false">L1302*(1-M$1299)+L1301*M$1299</f>
        <v>0.133087181002875</v>
      </c>
      <c r="N1302" s="2" t="n">
        <f aca="false">M1302*(1-N$1299)+M1301*N$1299</f>
        <v>0.128484812194344</v>
      </c>
      <c r="O1302" s="2" t="n">
        <f aca="false">N1302*(1-O$1299)+N1301*O$1299</f>
        <v>0.128484812194344</v>
      </c>
    </row>
    <row r="1303" customFormat="false" ht="15" hidden="false" customHeight="false" outlineLevel="0" collapsed="false">
      <c r="B1303" s="2" t="n">
        <v>3</v>
      </c>
      <c r="C1303" s="2" t="n">
        <f aca="false">0</f>
        <v>0</v>
      </c>
      <c r="D1303" s="2" t="n">
        <f aca="false">C1303*(1-D$1299)+C1302*D$1299</f>
        <v>0</v>
      </c>
      <c r="E1303" s="2" t="n">
        <f aca="false">D1303*(1-E$1299)+D1302*E$1299</f>
        <v>0.126637882912562</v>
      </c>
      <c r="F1303" s="2" t="n">
        <f aca="false">E1303*(1-F$1299)+E1302*F$1299</f>
        <v>0.224127745450103</v>
      </c>
      <c r="G1303" s="2" t="n">
        <f aca="false">F1303*(1-G$1299)+F1302*G$1299</f>
        <v>0.254737379933406</v>
      </c>
      <c r="H1303" s="2" t="n">
        <f aca="false">G1303*(1-H$1299)+G1302*H$1299</f>
        <v>0.311364924358509</v>
      </c>
      <c r="I1303" s="2" t="n">
        <f aca="false">H1303*(1-I$1299)+H1302*I$1299</f>
        <v>0.32278794066576</v>
      </c>
      <c r="J1303" s="2" t="n">
        <f aca="false">I1303*(1-J$1299)+I1302*J$1299</f>
        <v>0.319468141149025</v>
      </c>
      <c r="K1303" s="2" t="n">
        <f aca="false">J1303*(1-K$1299)+J1302*K$1299</f>
        <v>0.303407954336362</v>
      </c>
      <c r="L1303" s="2" t="n">
        <f aca="false">K1303*(1-L$1299)+K1302*L$1299</f>
        <v>0.301251549806925</v>
      </c>
      <c r="M1303" s="2" t="n">
        <f aca="false">L1303*(1-M$1299)+L1302*M$1299</f>
        <v>0.25229203911109</v>
      </c>
      <c r="N1303" s="2" t="n">
        <f aca="false">M1303*(1-N$1299)+M1302*N$1299</f>
        <v>0.246837984739589</v>
      </c>
      <c r="O1303" s="2" t="n">
        <f aca="false">N1303*(1-O$1299)+N1302*O$1299</f>
        <v>0.246837984739589</v>
      </c>
    </row>
    <row r="1304" customFormat="false" ht="15" hidden="false" customHeight="false" outlineLevel="0" collapsed="false">
      <c r="B1304" s="2" t="n">
        <v>4</v>
      </c>
      <c r="C1304" s="2" t="n">
        <f aca="false">0</f>
        <v>0</v>
      </c>
      <c r="D1304" s="2" t="n">
        <f aca="false">C1304*(1-D$1299)+C1303*D$1299</f>
        <v>0</v>
      </c>
      <c r="E1304" s="2" t="n">
        <f aca="false">D1304*(1-E$1299)+D1303*E$1299</f>
        <v>0</v>
      </c>
      <c r="F1304" s="2" t="n">
        <f aca="false">E1304*(1-F$1299)+E1303*F$1299</f>
        <v>0.0374165735644078</v>
      </c>
      <c r="G1304" s="2" t="n">
        <f aca="false">F1304*(1-G$1299)+F1303*G$1299</f>
        <v>0.0640399375342544</v>
      </c>
      <c r="H1304" s="2" t="n">
        <f aca="false">G1304*(1-H$1299)+G1303*H$1299</f>
        <v>0.1306301576355</v>
      </c>
      <c r="I1304" s="2" t="n">
        <f aca="false">H1304*(1-I$1299)+H1303*I$1299</f>
        <v>0.175426472821122</v>
      </c>
      <c r="J1304" s="2" t="n">
        <f aca="false">I1304*(1-J$1299)+I1303*J$1299</f>
        <v>0.212830558907559</v>
      </c>
      <c r="K1304" s="2" t="n">
        <f aca="false">J1304*(1-K$1299)+J1303*K$1299</f>
        <v>0.243196986649289</v>
      </c>
      <c r="L1304" s="2" t="n">
        <f aca="false">K1304*(1-L$1299)+K1303*L$1299</f>
        <v>0.244671607634359</v>
      </c>
      <c r="M1304" s="2" t="n">
        <f aca="false">L1304*(1-M$1299)+L1303*M$1299</f>
        <v>0.275635732865026</v>
      </c>
      <c r="N1304" s="2" t="n">
        <f aca="false">M1304*(1-N$1299)+M1303*N$1299</f>
        <v>0.274567674255786</v>
      </c>
      <c r="O1304" s="2" t="n">
        <f aca="false">N1304*(1-O$1299)+N1303*O$1299</f>
        <v>0.274567674255786</v>
      </c>
    </row>
    <row r="1305" customFormat="false" ht="15" hidden="false" customHeight="false" outlineLevel="0" collapsed="false">
      <c r="B1305" s="2" t="n">
        <v>5</v>
      </c>
      <c r="C1305" s="2" t="n">
        <f aca="false">0</f>
        <v>0</v>
      </c>
      <c r="D1305" s="2" t="n">
        <f aca="false">C1305*(1-D$1299)+C1304*D$1299</f>
        <v>0</v>
      </c>
      <c r="E1305" s="2" t="n">
        <f aca="false">D1305*(1-E$1299)+D1304*E$1299</f>
        <v>0</v>
      </c>
      <c r="F1305" s="2" t="n">
        <f aca="false">E1305*(1-F$1299)+E1304*F$1299</f>
        <v>0</v>
      </c>
      <c r="G1305" s="2" t="n">
        <f aca="false">F1305*(1-G$1299)+F1304*G$1299</f>
        <v>0.00533527290546717</v>
      </c>
      <c r="H1305" s="2" t="n">
        <f aca="false">G1305*(1-H$1299)+G1304*H$1299</f>
        <v>0.0258345333539551</v>
      </c>
      <c r="I1305" s="2" t="n">
        <f aca="false">H1305*(1-I$1299)+H1304*I$1299</f>
        <v>0.051808826515739</v>
      </c>
      <c r="J1305" s="2" t="n">
        <f aca="false">I1305*(1-J$1299)+I1304*J$1299</f>
        <v>0.0831861271889664</v>
      </c>
      <c r="K1305" s="2" t="n">
        <f aca="false">J1305*(1-K$1299)+J1304*K$1299</f>
        <v>0.120104052231433</v>
      </c>
      <c r="L1305" s="2" t="n">
        <f aca="false">K1305*(1-L$1299)+K1304*L$1299</f>
        <v>0.123118709380772</v>
      </c>
      <c r="M1305" s="2" t="n">
        <f aca="false">L1305*(1-M$1299)+L1304*M$1299</f>
        <v>0.189640148236174</v>
      </c>
      <c r="N1305" s="2" t="n">
        <f aca="false">M1305*(1-N$1299)+M1304*N$1299</f>
        <v>0.193574757963648</v>
      </c>
      <c r="O1305" s="2" t="n">
        <f aca="false">N1305*(1-O$1299)+N1304*O$1299</f>
        <v>0.193574757963648</v>
      </c>
    </row>
    <row r="1306" customFormat="false" ht="15" hidden="false" customHeight="false" outlineLevel="0" collapsed="false">
      <c r="B1306" s="2" t="n">
        <v>6</v>
      </c>
      <c r="C1306" s="2" t="n">
        <f aca="false">0</f>
        <v>0</v>
      </c>
      <c r="D1306" s="2" t="n">
        <f aca="false">C1306*(1-D$1299)+C1305*D$1299</f>
        <v>0</v>
      </c>
      <c r="E1306" s="2" t="n">
        <f aca="false">D1306*(1-E$1299)+D1305*E$1299</f>
        <v>0</v>
      </c>
      <c r="F1306" s="2" t="n">
        <f aca="false">E1306*(1-F$1299)+E1305*F$1299</f>
        <v>0</v>
      </c>
      <c r="G1306" s="2" t="n">
        <f aca="false">F1306*(1-G$1299)+F1305*G$1299</f>
        <v>0</v>
      </c>
      <c r="H1306" s="2" t="n">
        <f aca="false">G1306*(1-H$1299)+G1305*H$1299</f>
        <v>0.00186304017822973</v>
      </c>
      <c r="I1306" s="2" t="n">
        <f aca="false">H1306*(1-I$1299)+H1305*I$1299</f>
        <v>0.00780453435358954</v>
      </c>
      <c r="J1306" s="2" t="n">
        <f aca="false">I1306*(1-J$1299)+I1305*J$1299</f>
        <v>0.0189739421796645</v>
      </c>
      <c r="K1306" s="2" t="n">
        <f aca="false">J1306*(1-K$1299)+J1305*K$1299</f>
        <v>0.0372591905436823</v>
      </c>
      <c r="L1306" s="2" t="n">
        <f aca="false">K1306*(1-L$1299)+K1305*L$1299</f>
        <v>0.0392881360372158</v>
      </c>
      <c r="M1306" s="2" t="n">
        <f aca="false">L1306*(1-M$1299)+L1305*M$1299</f>
        <v>0.0851655313030428</v>
      </c>
      <c r="N1306" s="2" t="n">
        <f aca="false">M1306*(1-N$1299)+M1305*N$1299</f>
        <v>0.0899456237442228</v>
      </c>
      <c r="O1306" s="2" t="n">
        <f aca="false">N1306*(1-O$1299)+N1305*O$1299</f>
        <v>0.0899456237442228</v>
      </c>
    </row>
    <row r="1307" customFormat="false" ht="15" hidden="false" customHeight="false" outlineLevel="0" collapsed="false">
      <c r="B1307" s="2" t="n">
        <v>7</v>
      </c>
      <c r="C1307" s="2" t="n">
        <f aca="false">0</f>
        <v>0</v>
      </c>
      <c r="D1307" s="2" t="n">
        <f aca="false">C1307*(1-D$1299)+C1306*D$1299</f>
        <v>0</v>
      </c>
      <c r="E1307" s="2" t="n">
        <f aca="false">D1307*(1-E$1299)+D1306*E$1299</f>
        <v>0</v>
      </c>
      <c r="F1307" s="2" t="n">
        <f aca="false">E1307*(1-F$1299)+E1306*F$1299</f>
        <v>0</v>
      </c>
      <c r="G1307" s="2" t="n">
        <f aca="false">F1307*(1-G$1299)+F1306*G$1299</f>
        <v>0</v>
      </c>
      <c r="H1307" s="2" t="n">
        <f aca="false">G1307*(1-H$1299)+G1306*H$1299</f>
        <v>0</v>
      </c>
      <c r="I1307" s="2" t="n">
        <f aca="false">H1307*(1-I$1299)+H1306*I$1299</f>
        <v>0.000461766911483949</v>
      </c>
      <c r="J1307" s="2" t="n">
        <f aca="false">I1307*(1-J$1299)+I1306*J$1299</f>
        <v>0.00232554792245196</v>
      </c>
      <c r="K1307" s="2" t="n">
        <f aca="false">J1307*(1-K$1299)+J1306*K$1299</f>
        <v>0.00706639304103997</v>
      </c>
      <c r="L1307" s="2" t="n">
        <f aca="false">K1307*(1-L$1299)+K1306*L$1299</f>
        <v>0.00780584192395377</v>
      </c>
      <c r="M1307" s="2" t="n">
        <f aca="false">L1307*(1-M$1299)+L1306*M$1299</f>
        <v>0.0250349457377853</v>
      </c>
      <c r="N1307" s="2" t="n">
        <f aca="false">M1307*(1-N$1299)+M1306*N$1299</f>
        <v>0.027786137998468</v>
      </c>
      <c r="O1307" s="2" t="n">
        <f aca="false">N1307*(1-O$1299)+N1306*O$1299</f>
        <v>0.027786137998468</v>
      </c>
    </row>
    <row r="1308" customFormat="false" ht="15" hidden="false" customHeight="false" outlineLevel="0" collapsed="false">
      <c r="B1308" s="2" t="n">
        <v>8</v>
      </c>
      <c r="C1308" s="2" t="n">
        <f aca="false">0</f>
        <v>0</v>
      </c>
      <c r="D1308" s="2" t="n">
        <f aca="false">C1308*(1-D$1299)+C1307*D$1299</f>
        <v>0</v>
      </c>
      <c r="E1308" s="2" t="n">
        <f aca="false">D1308*(1-E$1299)+D1307*E$1299</f>
        <v>0</v>
      </c>
      <c r="F1308" s="2" t="n">
        <f aca="false">E1308*(1-F$1299)+E1307*F$1299</f>
        <v>0</v>
      </c>
      <c r="G1308" s="2" t="n">
        <f aca="false">F1308*(1-G$1299)+F1307*G$1299</f>
        <v>0</v>
      </c>
      <c r="H1308" s="2" t="n">
        <f aca="false">G1308*(1-H$1299)+G1307*H$1299</f>
        <v>0</v>
      </c>
      <c r="I1308" s="2" t="n">
        <f aca="false">H1308*(1-I$1299)+H1307*I$1299</f>
        <v>0</v>
      </c>
      <c r="J1308" s="2" t="n">
        <f aca="false">I1308*(1-J$1299)+I1307*J$1299</f>
        <v>0.00011720817905549</v>
      </c>
      <c r="K1308" s="2" t="n">
        <f aca="false">J1308*(1-K$1299)+J1307*K$1299</f>
        <v>0.000746061420450192</v>
      </c>
      <c r="L1308" s="2" t="n">
        <f aca="false">K1308*(1-L$1299)+K1307*L$1299</f>
        <v>0.000900852050767931</v>
      </c>
      <c r="M1308" s="2" t="n">
        <f aca="false">L1308*(1-M$1299)+L1307*M$1299</f>
        <v>0.00467969951755591</v>
      </c>
      <c r="N1308" s="2" t="n">
        <f aca="false">M1308*(1-N$1299)+M1307*N$1299</f>
        <v>0.00561102581912018</v>
      </c>
      <c r="O1308" s="2" t="n">
        <f aca="false">N1308*(1-O$1299)+N1307*O$1299</f>
        <v>0.00561102581912018</v>
      </c>
    </row>
    <row r="1309" customFormat="false" ht="15" hidden="false" customHeight="false" outlineLevel="0" collapsed="false">
      <c r="B1309" s="2" t="n">
        <v>9</v>
      </c>
      <c r="C1309" s="2" t="n">
        <f aca="false">0</f>
        <v>0</v>
      </c>
      <c r="D1309" s="2" t="n">
        <f aca="false">C1309*(1-D$1299)+C1308*D$1299</f>
        <v>0</v>
      </c>
      <c r="E1309" s="2" t="n">
        <f aca="false">D1309*(1-E$1299)+D1308*E$1299</f>
        <v>0</v>
      </c>
      <c r="F1309" s="2" t="n">
        <f aca="false">E1309*(1-F$1299)+E1308*F$1299</f>
        <v>0</v>
      </c>
      <c r="G1309" s="2" t="n">
        <f aca="false">F1309*(1-G$1299)+F1308*G$1299</f>
        <v>0</v>
      </c>
      <c r="H1309" s="2" t="n">
        <f aca="false">G1309*(1-H$1299)+G1308*H$1299</f>
        <v>0</v>
      </c>
      <c r="I1309" s="2" t="n">
        <f aca="false">H1309*(1-I$1299)+H1308*I$1299</f>
        <v>0</v>
      </c>
      <c r="J1309" s="2" t="n">
        <f aca="false">I1309*(1-J$1299)+I1308*J$1299</f>
        <v>0</v>
      </c>
      <c r="K1309" s="2" t="n">
        <f aca="false">J1309*(1-K$1299)+J1308*K$1299</f>
        <v>3.33765416020874E-005</v>
      </c>
      <c r="L1309" s="2" t="n">
        <f aca="false">K1309*(1-L$1299)+K1308*L$1299</f>
        <v>5.08308380278381E-005</v>
      </c>
      <c r="M1309" s="2" t="n">
        <f aca="false">L1309*(1-M$1299)+L1308*M$1299</f>
        <v>0.000516016242419595</v>
      </c>
      <c r="N1309" s="2" t="n">
        <f aca="false">M1309*(1-N$1299)+M1308*N$1299</f>
        <v>0.000706519845449656</v>
      </c>
      <c r="O1309" s="2" t="n">
        <f aca="false">N1309*(1-O$1299)+N1308*O$1299</f>
        <v>0.000706519845449656</v>
      </c>
    </row>
    <row r="1310" customFormat="false" ht="15" hidden="false" customHeight="false" outlineLevel="0" collapsed="false">
      <c r="B1310" s="2" t="n">
        <v>10</v>
      </c>
      <c r="C1310" s="2" t="n">
        <f aca="false">0</f>
        <v>0</v>
      </c>
      <c r="D1310" s="2" t="n">
        <f aca="false">C1310*(1-D$1299)+C1309*D$1299</f>
        <v>0</v>
      </c>
      <c r="E1310" s="2" t="n">
        <f aca="false">D1310*(1-E$1299)+D1309*E$1299</f>
        <v>0</v>
      </c>
      <c r="F1310" s="2" t="n">
        <f aca="false">E1310*(1-F$1299)+E1309*F$1299</f>
        <v>0</v>
      </c>
      <c r="G1310" s="2" t="n">
        <f aca="false">F1310*(1-G$1299)+F1309*G$1299</f>
        <v>0</v>
      </c>
      <c r="H1310" s="2" t="n">
        <f aca="false">G1310*(1-H$1299)+G1309*H$1299</f>
        <v>0</v>
      </c>
      <c r="I1310" s="2" t="n">
        <f aca="false">H1310*(1-I$1299)+H1309*I$1299</f>
        <v>0</v>
      </c>
      <c r="J1310" s="2" t="n">
        <f aca="false">I1310*(1-J$1299)+I1309*J$1299</f>
        <v>0</v>
      </c>
      <c r="K1310" s="2" t="n">
        <f aca="false">J1310*(1-K$1299)+J1309*K$1299</f>
        <v>0</v>
      </c>
      <c r="L1310" s="2" t="n">
        <f aca="false">K1310*(1-L$1299)+K1309*L$1299</f>
        <v>8.17421651671379E-007</v>
      </c>
      <c r="M1310" s="2" t="n">
        <f aca="false">L1310*(1-M$1299)+L1309*M$1299</f>
        <v>2.81879283793361E-005</v>
      </c>
      <c r="N1310" s="2" t="n">
        <f aca="false">M1310*(1-N$1299)+M1309*N$1299</f>
        <v>5.05078421056526E-005</v>
      </c>
      <c r="O1310" s="2" t="n">
        <f aca="false">N1310*(1-O$1299)+N1309*O$1299</f>
        <v>5.05078421056526E-005</v>
      </c>
    </row>
    <row r="1311" customFormat="false" ht="15" hidden="false" customHeight="false" outlineLevel="0" collapsed="false">
      <c r="B1311" s="2" t="n">
        <v>11</v>
      </c>
      <c r="C1311" s="2" t="n">
        <f aca="false">0</f>
        <v>0</v>
      </c>
      <c r="D1311" s="2" t="n">
        <f aca="false">C1311*(1-D$1299)+C1310*D$1299</f>
        <v>0</v>
      </c>
      <c r="E1311" s="2" t="n">
        <f aca="false">D1311*(1-E$1299)+D1310*E$1299</f>
        <v>0</v>
      </c>
      <c r="F1311" s="2" t="n">
        <f aca="false">E1311*(1-F$1299)+E1310*F$1299</f>
        <v>0</v>
      </c>
      <c r="G1311" s="2" t="n">
        <f aca="false">F1311*(1-G$1299)+F1310*G$1299</f>
        <v>0</v>
      </c>
      <c r="H1311" s="2" t="n">
        <f aca="false">G1311*(1-H$1299)+G1310*H$1299</f>
        <v>0</v>
      </c>
      <c r="I1311" s="2" t="n">
        <f aca="false">H1311*(1-I$1299)+H1310*I$1299</f>
        <v>0</v>
      </c>
      <c r="J1311" s="2" t="n">
        <f aca="false">I1311*(1-J$1299)+I1310*J$1299</f>
        <v>0</v>
      </c>
      <c r="K1311" s="2" t="n">
        <f aca="false">J1311*(1-K$1299)+J1310*K$1299</f>
        <v>0</v>
      </c>
      <c r="L1311" s="2" t="n">
        <f aca="false">K1311*(1-L$1299)+K1310*L$1299</f>
        <v>0</v>
      </c>
      <c r="M1311" s="2" t="n">
        <f aca="false">L1311*(1-M$1299)+L1310*M$1299</f>
        <v>4.47344861389472E-007</v>
      </c>
      <c r="N1311" s="2" t="n">
        <f aca="false">M1311*(1-N$1299)+M1310*N$1299</f>
        <v>1.71657711588946E-006</v>
      </c>
      <c r="O1311" s="2" t="n">
        <f aca="false">N1311*(1-O$1299)+N1310*O$1299</f>
        <v>1.71657711588946E-006</v>
      </c>
    </row>
    <row r="1312" customFormat="false" ht="15" hidden="false" customHeight="false" outlineLevel="0" collapsed="false">
      <c r="B1312" s="2" t="n">
        <v>12</v>
      </c>
      <c r="C1312" s="2" t="n">
        <f aca="false">0</f>
        <v>0</v>
      </c>
      <c r="D1312" s="2" t="n">
        <f aca="false">C1312*(1-D$1299)+C1311*D$1299</f>
        <v>0</v>
      </c>
      <c r="E1312" s="2" t="n">
        <f aca="false">D1312*(1-E$1299)+D1311*E$1299</f>
        <v>0</v>
      </c>
      <c r="F1312" s="2" t="n">
        <f aca="false">E1312*(1-F$1299)+E1311*F$1299</f>
        <v>0</v>
      </c>
      <c r="G1312" s="2" t="n">
        <f aca="false">F1312*(1-G$1299)+F1311*G$1299</f>
        <v>0</v>
      </c>
      <c r="H1312" s="2" t="n">
        <f aca="false">G1312*(1-H$1299)+G1311*H$1299</f>
        <v>0</v>
      </c>
      <c r="I1312" s="2" t="n">
        <f aca="false">H1312*(1-I$1299)+H1311*I$1299</f>
        <v>0</v>
      </c>
      <c r="J1312" s="2" t="n">
        <f aca="false">I1312*(1-J$1299)+I1311*J$1299</f>
        <v>0</v>
      </c>
      <c r="K1312" s="2" t="n">
        <f aca="false">J1312*(1-K$1299)+J1311*K$1299</f>
        <v>0</v>
      </c>
      <c r="L1312" s="2" t="n">
        <f aca="false">K1312*(1-L$1299)+K1311*L$1299</f>
        <v>0</v>
      </c>
      <c r="M1312" s="2" t="n">
        <f aca="false">L1312*(1-M$1299)+L1311*M$1299</f>
        <v>0</v>
      </c>
      <c r="N1312" s="2" t="n">
        <f aca="false">M1312*(1-N$1299)+M1311*N$1299</f>
        <v>2.0467649016576E-008</v>
      </c>
      <c r="O1312" s="2" t="n">
        <f aca="false">N1312*(1-O$1299)+N1311*O$1299</f>
        <v>2.0467649016576E-008</v>
      </c>
    </row>
    <row r="1313" customFormat="false" ht="15" hidden="false" customHeight="false" outlineLevel="0" collapsed="false">
      <c r="B1313" s="2" t="n">
        <v>13</v>
      </c>
      <c r="C1313" s="2" t="n">
        <f aca="false">0</f>
        <v>0</v>
      </c>
      <c r="D1313" s="2" t="n">
        <f aca="false">C1313*(1-D$1299)+C1312*D$1299</f>
        <v>0</v>
      </c>
      <c r="E1313" s="2" t="n">
        <f aca="false">D1313*(1-E$1299)+D1312*E$1299</f>
        <v>0</v>
      </c>
      <c r="F1313" s="2" t="n">
        <f aca="false">E1313*(1-F$1299)+E1312*F$1299</f>
        <v>0</v>
      </c>
      <c r="G1313" s="2" t="n">
        <f aca="false">F1313*(1-G$1299)+F1312*G$1299</f>
        <v>0</v>
      </c>
      <c r="H1313" s="2" t="n">
        <f aca="false">G1313*(1-H$1299)+G1312*H$1299</f>
        <v>0</v>
      </c>
      <c r="I1313" s="2" t="n">
        <f aca="false">H1313*(1-I$1299)+H1312*I$1299</f>
        <v>0</v>
      </c>
      <c r="J1313" s="2" t="n">
        <f aca="false">I1313*(1-J$1299)+I1312*J$1299</f>
        <v>0</v>
      </c>
      <c r="K1313" s="2" t="n">
        <f aca="false">J1313*(1-K$1299)+J1312*K$1299</f>
        <v>0</v>
      </c>
      <c r="L1313" s="2" t="n">
        <f aca="false">K1313*(1-L$1299)+K1312*L$1299</f>
        <v>0</v>
      </c>
      <c r="M1313" s="2" t="n">
        <f aca="false">L1313*(1-M$1299)+L1312*M$1299</f>
        <v>0</v>
      </c>
      <c r="N1313" s="2" t="n">
        <f aca="false">M1313*(1-N$1299)+M1312*N$1299</f>
        <v>0</v>
      </c>
      <c r="O1313" s="2" t="n">
        <f aca="false">N1313*(1-O$1299)+N1312*O$1299</f>
        <v>0</v>
      </c>
    </row>
    <row r="1315" customFormat="false" ht="15" hidden="false" customHeight="false" outlineLevel="0" collapsed="false">
      <c r="A1315" s="1" t="s">
        <v>140</v>
      </c>
      <c r="C1315" s="2" t="n">
        <f aca="false">Schedule!G84</f>
        <v>0.430539816792326</v>
      </c>
      <c r="D1315" s="2" t="n">
        <f aca="false">Schedule!L84</f>
        <v>0.408560294059836</v>
      </c>
      <c r="E1315" s="2" t="n">
        <f aca="false">Schedule!Q84</f>
        <v>0.87492806436285</v>
      </c>
      <c r="F1315" s="2" t="n">
        <f aca="false">Schedule!V84</f>
        <v>0.639173324850217</v>
      </c>
      <c r="G1315" s="2" t="n">
        <f aca="false">Schedule!AA84</f>
        <v>0.83521987001969</v>
      </c>
      <c r="H1315" s="2" t="n">
        <f aca="false">Schedule!AF84</f>
        <v>0.265985529048701</v>
      </c>
      <c r="I1315" s="2" t="n">
        <f aca="false">Schedule!AK84</f>
        <v>0.497506626980399</v>
      </c>
      <c r="J1315" s="2" t="n">
        <f aca="false">Schedule!AP84</f>
        <v>0.77525034005542</v>
      </c>
      <c r="K1315" s="2" t="n">
        <f aca="false">Schedule!AU84</f>
        <v>0.812595116901775</v>
      </c>
      <c r="L1315" s="2" t="n">
        <f aca="false">Schedule!AZ84</f>
        <v>0.542307999417935</v>
      </c>
      <c r="M1315" s="2" t="n">
        <f aca="false">Schedule!BE84</f>
        <v>0.660013509650861</v>
      </c>
      <c r="N1315" s="2" t="n">
        <f aca="false">Schedule!BJ84</f>
        <v>0.927338238979873</v>
      </c>
      <c r="O1315" s="2" t="n">
        <f aca="false">Schedule!BO84</f>
        <v>0</v>
      </c>
    </row>
    <row r="1316" customFormat="false" ht="15" hidden="false" customHeight="false" outlineLevel="0" collapsed="false">
      <c r="B1316" s="2" t="n">
        <v>0</v>
      </c>
      <c r="C1316" s="2" t="n">
        <f aca="false">1-C$1315</f>
        <v>0.569460183207674</v>
      </c>
      <c r="D1316" s="2" t="n">
        <f aca="false">C1316*(1-D$1315)</f>
        <v>0.336801363300978</v>
      </c>
      <c r="E1316" s="2" t="n">
        <f aca="false">D1316*(1-E$1315)</f>
        <v>0.0421243984332845</v>
      </c>
      <c r="F1316" s="2" t="n">
        <f aca="false">E1316*(1-F$1315)</f>
        <v>0.0151996066293668</v>
      </c>
      <c r="G1316" s="2" t="n">
        <f aca="false">F1316*(1-G$1315)</f>
        <v>0.00250459315603664</v>
      </c>
      <c r="H1316" s="2" t="n">
        <f aca="false">G1316*(1-H$1315)</f>
        <v>0.00183840762037648</v>
      </c>
      <c r="I1316" s="2" t="n">
        <f aca="false">H1316*(1-I$1315)</f>
        <v>0.000923787646147917</v>
      </c>
      <c r="J1316" s="2" t="n">
        <f aca="false">I1316*(1-J$1315)</f>
        <v>0.000207620959332748</v>
      </c>
      <c r="K1316" s="2" t="n">
        <f aca="false">J1316*(1-K$1315)</f>
        <v>3.89091816124949E-005</v>
      </c>
      <c r="L1316" s="2" t="n">
        <f aca="false">K1316*(1-L$1315)</f>
        <v>1.78084211732337E-005</v>
      </c>
      <c r="M1316" s="2" t="n">
        <f aca="false">L1316*(1-M$1315)</f>
        <v>6.05462261334702E-006</v>
      </c>
      <c r="N1316" s="2" t="n">
        <f aca="false">M1316*(1-N$1315)</f>
        <v>4.39939541398081E-007</v>
      </c>
      <c r="O1316" s="2" t="n">
        <f aca="false">N1316*(1-O$1315)</f>
        <v>4.39939541398081E-007</v>
      </c>
    </row>
    <row r="1317" customFormat="false" ht="15" hidden="false" customHeight="false" outlineLevel="0" collapsed="false">
      <c r="B1317" s="2" t="n">
        <v>1</v>
      </c>
      <c r="C1317" s="2" t="n">
        <f aca="false">C$1315</f>
        <v>0.430539816792326</v>
      </c>
      <c r="D1317" s="2" t="n">
        <f aca="false">C1317*(1-D$1315)+C1316*D$1315</f>
        <v>0.487297162545881</v>
      </c>
      <c r="E1317" s="2" t="n">
        <f aca="false">D1317*(1-E$1315)+D1316*E$1315</f>
        <v>0.355624164217798</v>
      </c>
      <c r="F1317" s="2" t="n">
        <f aca="false">E1317*(1-F$1315)+E1316*F$1315</f>
        <v>0.155243476581546</v>
      </c>
      <c r="G1317" s="2" t="n">
        <f aca="false">F1317*(1-G$1315)+F1316*G$1315</f>
        <v>0.0382760537230326</v>
      </c>
      <c r="H1317" s="2" t="n">
        <f aca="false">G1317*(1-H$1315)+G1316*H$1315</f>
        <v>0.0287613628592754</v>
      </c>
      <c r="I1317" s="2" t="n">
        <f aca="false">H1317*(1-I$1315)+H1316*I$1315</f>
        <v>0.0153670142100266</v>
      </c>
      <c r="J1317" s="2" t="n">
        <f aca="false">I1317*(1-J$1315)+I1316*J$1315</f>
        <v>0.00416989790488216</v>
      </c>
      <c r="K1317" s="2" t="n">
        <f aca="false">J1317*(1-K$1315)+J1316*K$1315</f>
        <v>0.000950171007116227</v>
      </c>
      <c r="L1317" s="2" t="n">
        <f aca="false">K1317*(1-L$1315)+K1316*L$1315</f>
        <v>0.000455986429581363</v>
      </c>
      <c r="M1317" s="2" t="n">
        <f aca="false">L1317*(1-M$1315)+L1316*M$1315</f>
        <v>0.000166783024400089</v>
      </c>
      <c r="N1317" s="2" t="n">
        <f aca="false">M1317*(1-N$1315)+M1316*N$1315</f>
        <v>1.77334313331223E-005</v>
      </c>
      <c r="O1317" s="2" t="n">
        <f aca="false">N1317*(1-O$1315)+N1316*O$1315</f>
        <v>1.77334313331223E-005</v>
      </c>
    </row>
    <row r="1318" customFormat="false" ht="15" hidden="false" customHeight="false" outlineLevel="0" collapsed="false">
      <c r="B1318" s="2" t="n">
        <v>2</v>
      </c>
      <c r="C1318" s="2" t="n">
        <f aca="false">0</f>
        <v>0</v>
      </c>
      <c r="D1318" s="2" t="n">
        <f aca="false">C1318*(1-D$1315)+C1317*D$1315</f>
        <v>0.175901474153141</v>
      </c>
      <c r="E1318" s="2" t="n">
        <f aca="false">D1318*(1-E$1315)+D1317*E$1315</f>
        <v>0.448350301049538</v>
      </c>
      <c r="F1318" s="2" t="n">
        <f aca="false">E1318*(1-F$1315)+E1317*F$1315</f>
        <v>0.389082227870279</v>
      </c>
      <c r="G1318" s="2" t="n">
        <f aca="false">F1318*(1-G$1315)+F1317*G$1315</f>
        <v>0.193775456413337</v>
      </c>
      <c r="H1318" s="2" t="n">
        <f aca="false">G1318*(1-H$1315)+G1317*H$1315</f>
        <v>0.152414865522</v>
      </c>
      <c r="I1318" s="2" t="n">
        <f aca="false">H1318*(1-I$1315)+H1317*I$1315</f>
        <v>0.0908964284979559</v>
      </c>
      <c r="J1318" s="2" t="n">
        <f aca="false">I1318*(1-J$1315)+I1317*J$1315</f>
        <v>0.032342224387052</v>
      </c>
      <c r="K1318" s="2" t="n">
        <f aca="false">J1318*(1-K$1315)+J1317*K$1315</f>
        <v>0.00944952945587821</v>
      </c>
      <c r="L1318" s="2" t="n">
        <f aca="false">K1318*(1-L$1315)+K1317*L$1315</f>
        <v>0.00484025937919418</v>
      </c>
      <c r="M1318" s="2" t="n">
        <f aca="false">L1318*(1-M$1315)+L1317*M$1315</f>
        <v>0.00194658000245289</v>
      </c>
      <c r="N1318" s="2" t="n">
        <f aca="false">M1318*(1-N$1315)+M1317*N$1315</f>
        <v>0.000296106207083707</v>
      </c>
      <c r="O1318" s="2" t="n">
        <f aca="false">N1318*(1-O$1315)+N1317*O$1315</f>
        <v>0.000296106207083707</v>
      </c>
    </row>
    <row r="1319" customFormat="false" ht="15" hidden="false" customHeight="false" outlineLevel="0" collapsed="false">
      <c r="B1319" s="2" t="n">
        <v>3</v>
      </c>
      <c r="C1319" s="2" t="n">
        <f aca="false">0</f>
        <v>0</v>
      </c>
      <c r="D1319" s="2" t="n">
        <f aca="false">C1319*(1-D$1315)+C1318*D$1315</f>
        <v>0</v>
      </c>
      <c r="E1319" s="2" t="n">
        <f aca="false">D1319*(1-E$1315)+D1318*E$1315</f>
        <v>0.153901136299379</v>
      </c>
      <c r="F1319" s="2" t="n">
        <f aca="false">E1319*(1-F$1315)+E1318*F$1315</f>
        <v>0.342105187932108</v>
      </c>
      <c r="G1319" s="2" t="n">
        <f aca="false">F1319*(1-G$1315)+F1318*G$1315</f>
        <v>0.381341345123177</v>
      </c>
      <c r="H1319" s="2" t="n">
        <f aca="false">G1319*(1-H$1315)+G1318*H$1315</f>
        <v>0.3314515329832</v>
      </c>
      <c r="I1319" s="2" t="n">
        <f aca="false">H1319*(1-I$1315)+H1318*I$1315</f>
        <v>0.242379604448767</v>
      </c>
      <c r="J1319" s="2" t="n">
        <f aca="false">I1319*(1-J$1315)+I1318*J$1315</f>
        <v>0.124942220780226</v>
      </c>
      <c r="K1319" s="2" t="n">
        <f aca="false">J1319*(1-K$1315)+J1318*K$1315</f>
        <v>0.0496959158860107</v>
      </c>
      <c r="L1319" s="2" t="n">
        <f aca="false">K1319*(1-L$1315)+K1318*L$1315</f>
        <v>0.0278699785772844</v>
      </c>
      <c r="M1319" s="2" t="n">
        <f aca="false">L1319*(1-M$1315)+L1318*M$1315</f>
        <v>0.0126700527830791</v>
      </c>
      <c r="N1319" s="2" t="n">
        <f aca="false">M1319*(1-N$1315)+M1318*N$1315</f>
        <v>0.00272576641894459</v>
      </c>
      <c r="O1319" s="2" t="n">
        <f aca="false">N1319*(1-O$1315)+N1318*O$1315</f>
        <v>0.00272576641894459</v>
      </c>
    </row>
    <row r="1320" customFormat="false" ht="15" hidden="false" customHeight="false" outlineLevel="0" collapsed="false">
      <c r="B1320" s="2" t="n">
        <v>4</v>
      </c>
      <c r="C1320" s="2" t="n">
        <f aca="false">0</f>
        <v>0</v>
      </c>
      <c r="D1320" s="2" t="n">
        <f aca="false">C1320*(1-D$1315)+C1319*D$1315</f>
        <v>0</v>
      </c>
      <c r="E1320" s="2" t="n">
        <f aca="false">D1320*(1-E$1315)+D1319*E$1315</f>
        <v>0</v>
      </c>
      <c r="F1320" s="2" t="n">
        <f aca="false">E1320*(1-F$1315)+E1319*F$1315</f>
        <v>0.0983695009867007</v>
      </c>
      <c r="G1320" s="2" t="n">
        <f aca="false">F1320*(1-G$1315)+F1319*G$1315</f>
        <v>0.301942389756403</v>
      </c>
      <c r="H1320" s="2" t="n">
        <f aca="false">G1320*(1-H$1315)+G1319*H$1315</f>
        <v>0.323061362905549</v>
      </c>
      <c r="I1320" s="2" t="n">
        <f aca="false">H1320*(1-I$1315)+H1319*I$1315</f>
        <v>0.327235528120673</v>
      </c>
      <c r="J1320" s="2" t="n">
        <f aca="false">I1320*(1-J$1315)+I1319*J$1315</f>
        <v>0.261450944438311</v>
      </c>
      <c r="K1320" s="2" t="n">
        <f aca="false">J1320*(1-K$1315)+J1319*K$1315</f>
        <v>0.150524622179257</v>
      </c>
      <c r="L1320" s="2" t="n">
        <f aca="false">K1320*(1-L$1315)+K1319*L$1315</f>
        <v>0.0958444081854681</v>
      </c>
      <c r="M1320" s="2" t="n">
        <f aca="false">L1320*(1-M$1315)+L1319*M$1315</f>
        <v>0.0509803663332554</v>
      </c>
      <c r="N1320" s="2" t="n">
        <f aca="false">M1320*(1-N$1315)+M1319*N$1315</f>
        <v>0.0154537476308681</v>
      </c>
      <c r="O1320" s="2" t="n">
        <f aca="false">N1320*(1-O$1315)+N1319*O$1315</f>
        <v>0.0154537476308681</v>
      </c>
    </row>
    <row r="1321" customFormat="false" ht="15" hidden="false" customHeight="false" outlineLevel="0" collapsed="false">
      <c r="B1321" s="2" t="n">
        <v>5</v>
      </c>
      <c r="C1321" s="2" t="n">
        <f aca="false">0</f>
        <v>0</v>
      </c>
      <c r="D1321" s="2" t="n">
        <f aca="false">C1321*(1-D$1315)+C1320*D$1315</f>
        <v>0</v>
      </c>
      <c r="E1321" s="2" t="n">
        <f aca="false">D1321*(1-E$1315)+D1320*E$1315</f>
        <v>0</v>
      </c>
      <c r="F1321" s="2" t="n">
        <f aca="false">E1321*(1-F$1315)+E1320*F$1315</f>
        <v>0</v>
      </c>
      <c r="G1321" s="2" t="n">
        <f aca="false">F1321*(1-G$1315)+F1320*G$1315</f>
        <v>0.0821601618280139</v>
      </c>
      <c r="H1321" s="2" t="n">
        <f aca="false">G1321*(1-H$1315)+G1320*H$1315</f>
        <v>0.140619053999049</v>
      </c>
      <c r="I1321" s="2" t="n">
        <f aca="false">H1321*(1-I$1315)+H1320*I$1315</f>
        <v>0.231385311721637</v>
      </c>
      <c r="J1321" s="2" t="n">
        <f aca="false">I1321*(1-J$1315)+I1320*J$1315</f>
        <v>0.305693224579375</v>
      </c>
      <c r="K1321" s="2" t="n">
        <f aca="false">J1321*(1-K$1315)+J1320*K$1315</f>
        <v>0.269742163776146</v>
      </c>
      <c r="L1321" s="2" t="n">
        <f aca="false">K1321*(1-L$1315)+K1320*L$1315</f>
        <v>0.205089537297213</v>
      </c>
      <c r="M1321" s="2" t="n">
        <f aca="false">L1321*(1-M$1315)+L1320*M$1315</f>
        <v>0.132986276219909</v>
      </c>
      <c r="N1321" s="2" t="n">
        <f aca="false">M1321*(1-N$1315)+M1320*N$1315</f>
        <v>0.0569390601596775</v>
      </c>
      <c r="O1321" s="2" t="n">
        <f aca="false">N1321*(1-O$1315)+N1320*O$1315</f>
        <v>0.0569390601596775</v>
      </c>
    </row>
    <row r="1322" customFormat="false" ht="15" hidden="false" customHeight="false" outlineLevel="0" collapsed="false">
      <c r="B1322" s="2" t="n">
        <v>6</v>
      </c>
      <c r="C1322" s="2" t="n">
        <f aca="false">0</f>
        <v>0</v>
      </c>
      <c r="D1322" s="2" t="n">
        <f aca="false">C1322*(1-D$1315)+C1321*D$1315</f>
        <v>0</v>
      </c>
      <c r="E1322" s="2" t="n">
        <f aca="false">D1322*(1-E$1315)+D1321*E$1315</f>
        <v>0</v>
      </c>
      <c r="F1322" s="2" t="n">
        <f aca="false">E1322*(1-F$1315)+E1321*F$1315</f>
        <v>0</v>
      </c>
      <c r="G1322" s="2" t="n">
        <f aca="false">F1322*(1-G$1315)+F1321*G$1315</f>
        <v>0</v>
      </c>
      <c r="H1322" s="2" t="n">
        <f aca="false">G1322*(1-H$1315)+G1321*H$1315</f>
        <v>0.0218534141105511</v>
      </c>
      <c r="I1322" s="2" t="n">
        <f aca="false">H1322*(1-I$1315)+H1321*I$1315</f>
        <v>0.0809401070126462</v>
      </c>
      <c r="J1322" s="2" t="n">
        <f aca="false">I1322*(1-J$1315)+I1321*J$1315</f>
        <v>0.197572803122999</v>
      </c>
      <c r="K1322" s="2" t="n">
        <f aca="false">J1322*(1-K$1315)+J1321*K$1315</f>
        <v>0.285430929635812</v>
      </c>
      <c r="L1322" s="2" t="n">
        <f aca="false">K1322*(1-L$1315)+K1321*L$1315</f>
        <v>0.27692278640912</v>
      </c>
      <c r="M1322" s="2" t="n">
        <f aca="false">L1322*(1-M$1315)+L1321*M$1315</f>
        <v>0.229511871553146</v>
      </c>
      <c r="N1322" s="2" t="n">
        <f aca="false">M1322*(1-N$1315)+M1321*N$1315</f>
        <v>0.139999995960338</v>
      </c>
      <c r="O1322" s="2" t="n">
        <f aca="false">N1322*(1-O$1315)+N1321*O$1315</f>
        <v>0.139999995960338</v>
      </c>
    </row>
    <row r="1323" customFormat="false" ht="15" hidden="false" customHeight="false" outlineLevel="0" collapsed="false">
      <c r="B1323" s="2" t="n">
        <v>7</v>
      </c>
      <c r="C1323" s="2" t="n">
        <f aca="false">0</f>
        <v>0</v>
      </c>
      <c r="D1323" s="2" t="n">
        <f aca="false">C1323*(1-D$1315)+C1322*D$1315</f>
        <v>0</v>
      </c>
      <c r="E1323" s="2" t="n">
        <f aca="false">D1323*(1-E$1315)+D1322*E$1315</f>
        <v>0</v>
      </c>
      <c r="F1323" s="2" t="n">
        <f aca="false">E1323*(1-F$1315)+E1322*F$1315</f>
        <v>0</v>
      </c>
      <c r="G1323" s="2" t="n">
        <f aca="false">F1323*(1-G$1315)+F1322*G$1315</f>
        <v>0</v>
      </c>
      <c r="H1323" s="2" t="n">
        <f aca="false">G1323*(1-H$1315)+G1322*H$1315</f>
        <v>0</v>
      </c>
      <c r="I1323" s="2" t="n">
        <f aca="false">H1323*(1-I$1315)+H1322*I$1315</f>
        <v>0.0108722183421461</v>
      </c>
      <c r="J1323" s="2" t="n">
        <f aca="false">I1323*(1-J$1315)+I1322*J$1315</f>
        <v>0.0651923728609167</v>
      </c>
      <c r="K1323" s="2" t="n">
        <f aca="false">J1323*(1-K$1315)+J1322*K$1315</f>
        <v>0.172764064065241</v>
      </c>
      <c r="L1323" s="2" t="n">
        <f aca="false">K1323*(1-L$1315)+K1322*L$1315</f>
        <v>0.233864206533507</v>
      </c>
      <c r="M1323" s="2" t="n">
        <f aca="false">L1323*(1-M$1315)+L1322*M$1315</f>
        <v>0.262283450957792</v>
      </c>
      <c r="N1323" s="2" t="n">
        <f aca="false">M1323*(1-N$1315)+M1322*N$1315</f>
        <v>0.231893112224098</v>
      </c>
      <c r="O1323" s="2" t="n">
        <f aca="false">N1323*(1-O$1315)+N1322*O$1315</f>
        <v>0.231893112224098</v>
      </c>
    </row>
    <row r="1324" customFormat="false" ht="15" hidden="false" customHeight="false" outlineLevel="0" collapsed="false">
      <c r="B1324" s="2" t="n">
        <v>8</v>
      </c>
      <c r="C1324" s="2" t="n">
        <f aca="false">0</f>
        <v>0</v>
      </c>
      <c r="D1324" s="2" t="n">
        <f aca="false">C1324*(1-D$1315)+C1323*D$1315</f>
        <v>0</v>
      </c>
      <c r="E1324" s="2" t="n">
        <f aca="false">D1324*(1-E$1315)+D1323*E$1315</f>
        <v>0</v>
      </c>
      <c r="F1324" s="2" t="n">
        <f aca="false">E1324*(1-F$1315)+E1323*F$1315</f>
        <v>0</v>
      </c>
      <c r="G1324" s="2" t="n">
        <f aca="false">F1324*(1-G$1315)+F1323*G$1315</f>
        <v>0</v>
      </c>
      <c r="H1324" s="2" t="n">
        <f aca="false">G1324*(1-H$1315)+G1323*H$1315</f>
        <v>0</v>
      </c>
      <c r="I1324" s="2" t="n">
        <f aca="false">H1324*(1-I$1315)+H1323*I$1315</f>
        <v>0</v>
      </c>
      <c r="J1324" s="2" t="n">
        <f aca="false">I1324*(1-J$1315)+I1323*J$1315</f>
        <v>0.00842869096690558</v>
      </c>
      <c r="K1324" s="2" t="n">
        <f aca="false">J1324*(1-K$1315)+J1323*K$1315</f>
        <v>0.0545545816913447</v>
      </c>
      <c r="L1324" s="2" t="n">
        <f aca="false">K1324*(1-L$1315)+K1323*L$1315</f>
        <v>0.118660529589762</v>
      </c>
      <c r="M1324" s="2" t="n">
        <f aca="false">L1324*(1-M$1315)+L1323*M$1315</f>
        <v>0.194696512734087</v>
      </c>
      <c r="N1324" s="2" t="n">
        <f aca="false">M1324*(1-N$1315)+M1323*N$1315</f>
        <v>0.257372465004499</v>
      </c>
      <c r="O1324" s="2" t="n">
        <f aca="false">N1324*(1-O$1315)+N1323*O$1315</f>
        <v>0.257372465004499</v>
      </c>
    </row>
    <row r="1325" customFormat="false" ht="15" hidden="false" customHeight="false" outlineLevel="0" collapsed="false">
      <c r="B1325" s="2" t="n">
        <v>9</v>
      </c>
      <c r="C1325" s="2" t="n">
        <f aca="false">0</f>
        <v>0</v>
      </c>
      <c r="D1325" s="2" t="n">
        <f aca="false">C1325*(1-D$1315)+C1324*D$1315</f>
        <v>0</v>
      </c>
      <c r="E1325" s="2" t="n">
        <f aca="false">D1325*(1-E$1315)+D1324*E$1315</f>
        <v>0</v>
      </c>
      <c r="F1325" s="2" t="n">
        <f aca="false">E1325*(1-F$1315)+E1324*F$1315</f>
        <v>0</v>
      </c>
      <c r="G1325" s="2" t="n">
        <f aca="false">F1325*(1-G$1315)+F1324*G$1315</f>
        <v>0</v>
      </c>
      <c r="H1325" s="2" t="n">
        <f aca="false">G1325*(1-H$1315)+G1324*H$1315</f>
        <v>0</v>
      </c>
      <c r="I1325" s="2" t="n">
        <f aca="false">H1325*(1-I$1315)+H1324*I$1315</f>
        <v>0</v>
      </c>
      <c r="J1325" s="2" t="n">
        <f aca="false">I1325*(1-J$1315)+I1324*J$1315</f>
        <v>0</v>
      </c>
      <c r="K1325" s="2" t="n">
        <f aca="false">J1325*(1-K$1315)+J1324*K$1315</f>
        <v>0.00684911312158158</v>
      </c>
      <c r="L1325" s="2" t="n">
        <f aca="false">K1325*(1-L$1315)+K1324*L$1315</f>
        <v>0.032720170342945</v>
      </c>
      <c r="M1325" s="2" t="n">
        <f aca="false">L1325*(1-M$1315)+L1324*M$1315</f>
        <v>0.0894419684700924</v>
      </c>
      <c r="N1325" s="2" t="n">
        <f aca="false">M1325*(1-N$1315)+M1324*N$1315</f>
        <v>0.187048532192494</v>
      </c>
      <c r="O1325" s="2" t="n">
        <f aca="false">N1325*(1-O$1315)+N1324*O$1315</f>
        <v>0.187048532192494</v>
      </c>
    </row>
    <row r="1326" customFormat="false" ht="15" hidden="false" customHeight="false" outlineLevel="0" collapsed="false">
      <c r="B1326" s="2" t="n">
        <v>10</v>
      </c>
      <c r="C1326" s="2" t="n">
        <f aca="false">0</f>
        <v>0</v>
      </c>
      <c r="D1326" s="2" t="n">
        <f aca="false">C1326*(1-D$1315)+C1325*D$1315</f>
        <v>0</v>
      </c>
      <c r="E1326" s="2" t="n">
        <f aca="false">D1326*(1-E$1315)+D1325*E$1315</f>
        <v>0</v>
      </c>
      <c r="F1326" s="2" t="n">
        <f aca="false">E1326*(1-F$1315)+E1325*F$1315</f>
        <v>0</v>
      </c>
      <c r="G1326" s="2" t="n">
        <f aca="false">F1326*(1-G$1315)+F1325*G$1315</f>
        <v>0</v>
      </c>
      <c r="H1326" s="2" t="n">
        <f aca="false">G1326*(1-H$1315)+G1325*H$1315</f>
        <v>0</v>
      </c>
      <c r="I1326" s="2" t="n">
        <f aca="false">H1326*(1-I$1315)+H1325*I$1315</f>
        <v>0</v>
      </c>
      <c r="J1326" s="2" t="n">
        <f aca="false">I1326*(1-J$1315)+I1325*J$1315</f>
        <v>0</v>
      </c>
      <c r="K1326" s="2" t="n">
        <f aca="false">J1326*(1-K$1315)+J1325*K$1315</f>
        <v>0</v>
      </c>
      <c r="L1326" s="2" t="n">
        <f aca="false">K1326*(1-L$1315)+K1325*L$1315</f>
        <v>0.00371432883475203</v>
      </c>
      <c r="M1326" s="2" t="n">
        <f aca="false">L1326*(1-M$1315)+L1325*M$1315</f>
        <v>0.0228585760889511</v>
      </c>
      <c r="N1326" s="2" t="n">
        <f aca="false">M1326*(1-N$1315)+M1325*N$1315</f>
        <v>0.0846039019249846</v>
      </c>
      <c r="O1326" s="2" t="n">
        <f aca="false">N1326*(1-O$1315)+N1325*O$1315</f>
        <v>0.0846039019249846</v>
      </c>
    </row>
    <row r="1327" customFormat="false" ht="15" hidden="false" customHeight="false" outlineLevel="0" collapsed="false">
      <c r="B1327" s="2" t="n">
        <v>11</v>
      </c>
      <c r="C1327" s="2" t="n">
        <f aca="false">0</f>
        <v>0</v>
      </c>
      <c r="D1327" s="2" t="n">
        <f aca="false">C1327*(1-D$1315)+C1326*D$1315</f>
        <v>0</v>
      </c>
      <c r="E1327" s="2" t="n">
        <f aca="false">D1327*(1-E$1315)+D1326*E$1315</f>
        <v>0</v>
      </c>
      <c r="F1327" s="2" t="n">
        <f aca="false">E1327*(1-F$1315)+E1326*F$1315</f>
        <v>0</v>
      </c>
      <c r="G1327" s="2" t="n">
        <f aca="false">F1327*(1-G$1315)+F1326*G$1315</f>
        <v>0</v>
      </c>
      <c r="H1327" s="2" t="n">
        <f aca="false">G1327*(1-H$1315)+G1326*H$1315</f>
        <v>0</v>
      </c>
      <c r="I1327" s="2" t="n">
        <f aca="false">H1327*(1-I$1315)+H1326*I$1315</f>
        <v>0</v>
      </c>
      <c r="J1327" s="2" t="n">
        <f aca="false">I1327*(1-J$1315)+I1326*J$1315</f>
        <v>0</v>
      </c>
      <c r="K1327" s="2" t="n">
        <f aca="false">J1327*(1-K$1315)+J1326*K$1315</f>
        <v>0</v>
      </c>
      <c r="L1327" s="2" t="n">
        <f aca="false">K1327*(1-L$1315)+K1326*L$1315</f>
        <v>0</v>
      </c>
      <c r="M1327" s="2" t="n">
        <f aca="false">L1327*(1-M$1315)+L1326*M$1315</f>
        <v>0.00245150721022208</v>
      </c>
      <c r="N1327" s="2" t="n">
        <f aca="false">M1327*(1-N$1315)+M1326*N$1315</f>
        <v>0.0213757625269636</v>
      </c>
      <c r="O1327" s="2" t="n">
        <f aca="false">N1327*(1-O$1315)+N1326*O$1315</f>
        <v>0.0213757625269636</v>
      </c>
    </row>
    <row r="1328" customFormat="false" ht="15" hidden="false" customHeight="false" outlineLevel="0" collapsed="false">
      <c r="B1328" s="2" t="n">
        <v>12</v>
      </c>
      <c r="C1328" s="2" t="n">
        <f aca="false">0</f>
        <v>0</v>
      </c>
      <c r="D1328" s="2" t="n">
        <f aca="false">C1328*(1-D$1315)+C1327*D$1315</f>
        <v>0</v>
      </c>
      <c r="E1328" s="2" t="n">
        <f aca="false">D1328*(1-E$1315)+D1327*E$1315</f>
        <v>0</v>
      </c>
      <c r="F1328" s="2" t="n">
        <f aca="false">E1328*(1-F$1315)+E1327*F$1315</f>
        <v>0</v>
      </c>
      <c r="G1328" s="2" t="n">
        <f aca="false">F1328*(1-G$1315)+F1327*G$1315</f>
        <v>0</v>
      </c>
      <c r="H1328" s="2" t="n">
        <f aca="false">G1328*(1-H$1315)+G1327*H$1315</f>
        <v>0</v>
      </c>
      <c r="I1328" s="2" t="n">
        <f aca="false">H1328*(1-I$1315)+H1327*I$1315</f>
        <v>0</v>
      </c>
      <c r="J1328" s="2" t="n">
        <f aca="false">I1328*(1-J$1315)+I1327*J$1315</f>
        <v>0</v>
      </c>
      <c r="K1328" s="2" t="n">
        <f aca="false">J1328*(1-K$1315)+J1327*K$1315</f>
        <v>0</v>
      </c>
      <c r="L1328" s="2" t="n">
        <f aca="false">K1328*(1-L$1315)+K1327*L$1315</f>
        <v>0</v>
      </c>
      <c r="M1328" s="2" t="n">
        <f aca="false">L1328*(1-M$1315)+L1327*M$1315</f>
        <v>0</v>
      </c>
      <c r="N1328" s="2" t="n">
        <f aca="false">M1328*(1-N$1315)+M1327*N$1315</f>
        <v>0.00227337637917381</v>
      </c>
      <c r="O1328" s="2" t="n">
        <f aca="false">N1328*(1-O$1315)+N1327*O$1315</f>
        <v>0.00227337637917381</v>
      </c>
    </row>
    <row r="1329" customFormat="false" ht="15" hidden="false" customHeight="false" outlineLevel="0" collapsed="false">
      <c r="B1329" s="2" t="n">
        <v>13</v>
      </c>
      <c r="C1329" s="2" t="n">
        <f aca="false">0</f>
        <v>0</v>
      </c>
      <c r="D1329" s="2" t="n">
        <f aca="false">C1329*(1-D$1315)+C1328*D$1315</f>
        <v>0</v>
      </c>
      <c r="E1329" s="2" t="n">
        <f aca="false">D1329*(1-E$1315)+D1328*E$1315</f>
        <v>0</v>
      </c>
      <c r="F1329" s="2" t="n">
        <f aca="false">E1329*(1-F$1315)+E1328*F$1315</f>
        <v>0</v>
      </c>
      <c r="G1329" s="2" t="n">
        <f aca="false">F1329*(1-G$1315)+F1328*G$1315</f>
        <v>0</v>
      </c>
      <c r="H1329" s="2" t="n">
        <f aca="false">G1329*(1-H$1315)+G1328*H$1315</f>
        <v>0</v>
      </c>
      <c r="I1329" s="2" t="n">
        <f aca="false">H1329*(1-I$1315)+H1328*I$1315</f>
        <v>0</v>
      </c>
      <c r="J1329" s="2" t="n">
        <f aca="false">I1329*(1-J$1315)+I1328*J$1315</f>
        <v>0</v>
      </c>
      <c r="K1329" s="2" t="n">
        <f aca="false">J1329*(1-K$1315)+J1328*K$1315</f>
        <v>0</v>
      </c>
      <c r="L1329" s="2" t="n">
        <f aca="false">K1329*(1-L$1315)+K1328*L$1315</f>
        <v>0</v>
      </c>
      <c r="M1329" s="2" t="n">
        <f aca="false">L1329*(1-M$1315)+L1328*M$1315</f>
        <v>0</v>
      </c>
      <c r="N1329" s="2" t="n">
        <f aca="false">M1329*(1-N$1315)+M1328*N$1315</f>
        <v>0</v>
      </c>
      <c r="O1329" s="2" t="n">
        <f aca="false">N1329*(1-O$1315)+N1328*O$1315</f>
        <v>0</v>
      </c>
    </row>
    <row r="1331" customFormat="false" ht="15" hidden="false" customHeight="false" outlineLevel="0" collapsed="false">
      <c r="A1331" s="1" t="s">
        <v>141</v>
      </c>
      <c r="C1331" s="2" t="n">
        <f aca="false">Schedule!G85</f>
        <v>0.996597610157543</v>
      </c>
      <c r="D1331" s="2" t="n">
        <f aca="false">Schedule!L85</f>
        <v>0.527405690960468</v>
      </c>
      <c r="E1331" s="2" t="n">
        <f aca="false">Schedule!Q85</f>
        <v>0.646169766672724</v>
      </c>
      <c r="F1331" s="2" t="n">
        <f aca="false">Schedule!V85</f>
        <v>0.452736711249588</v>
      </c>
      <c r="G1331" s="2" t="n">
        <f aca="false">Schedule!AA85</f>
        <v>0.763852515027146</v>
      </c>
      <c r="H1331" s="2" t="n">
        <f aca="false">Schedule!AF85</f>
        <v>0.394061036152246</v>
      </c>
      <c r="I1331" s="2" t="n">
        <f aca="false">Schedule!AK85</f>
        <v>0.625041951918781</v>
      </c>
      <c r="J1331" s="2" t="n">
        <f aca="false">Schedule!AP85</f>
        <v>0.758036347776927</v>
      </c>
      <c r="K1331" s="2" t="n">
        <f aca="false">Schedule!AU85</f>
        <v>0.418297816494375</v>
      </c>
      <c r="L1331" s="2" t="n">
        <f aca="false">Schedule!AZ85</f>
        <v>0.825749288119458</v>
      </c>
      <c r="M1331" s="2" t="n">
        <f aca="false">Schedule!BE85</f>
        <v>0.877483787656951</v>
      </c>
      <c r="N1331" s="2" t="n">
        <f aca="false">Schedule!BJ85</f>
        <v>0.360826675149783</v>
      </c>
      <c r="O1331" s="2" t="n">
        <f aca="false">Schedule!BO85</f>
        <v>0</v>
      </c>
    </row>
    <row r="1332" customFormat="false" ht="15" hidden="false" customHeight="false" outlineLevel="0" collapsed="false">
      <c r="B1332" s="2" t="n">
        <v>0</v>
      </c>
      <c r="C1332" s="2" t="n">
        <f aca="false">1-C$1331</f>
        <v>0.00340238984245689</v>
      </c>
      <c r="D1332" s="2" t="n">
        <f aca="false">C1332*(1-D$1331)</f>
        <v>0.00160795007667903</v>
      </c>
      <c r="E1332" s="2" t="n">
        <f aca="false">D1332*(1-E$1331)</f>
        <v>0.000568941350809954</v>
      </c>
      <c r="F1332" s="2" t="n">
        <f aca="false">E1332*(1-F$1331)</f>
        <v>0.000311360714750358</v>
      </c>
      <c r="G1332" s="2" t="n">
        <f aca="false">F1332*(1-G$1331)</f>
        <v>7.35270497076473E-005</v>
      </c>
      <c r="H1332" s="2" t="n">
        <f aca="false">G1332*(1-H$1331)</f>
        <v>4.45529043146341E-005</v>
      </c>
      <c r="I1332" s="2" t="n">
        <f aca="false">H1332*(1-I$1331)</f>
        <v>1.67054700381645E-005</v>
      </c>
      <c r="J1332" s="2" t="n">
        <f aca="false">I1332*(1-J$1331)</f>
        <v>4.04211654253741E-006</v>
      </c>
      <c r="K1332" s="2" t="n">
        <f aca="false">J1332*(1-K$1331)</f>
        <v>2.35130801877822E-006</v>
      </c>
      <c r="L1332" s="2" t="n">
        <f aca="false">K1332*(1-L$1331)</f>
        <v>4.09717096122532E-007</v>
      </c>
      <c r="M1332" s="2" t="n">
        <f aca="false">L1332*(1-M$1331)</f>
        <v>5.01969867491257E-008</v>
      </c>
      <c r="N1332" s="2" t="n">
        <f aca="false">M1332*(1-N$1331)</f>
        <v>3.20845749179009E-008</v>
      </c>
      <c r="O1332" s="2" t="n">
        <f aca="false">N1332*(1-O$1331)</f>
        <v>3.20845749179009E-008</v>
      </c>
    </row>
    <row r="1333" customFormat="false" ht="15" hidden="false" customHeight="false" outlineLevel="0" collapsed="false">
      <c r="B1333" s="2" t="n">
        <v>1</v>
      </c>
      <c r="C1333" s="2" t="n">
        <f aca="false">C$1331</f>
        <v>0.996597610157543</v>
      </c>
      <c r="D1333" s="2" t="n">
        <f aca="false">C1333*(1-D$1331)+C1332*D$1331</f>
        <v>0.472780798728631</v>
      </c>
      <c r="E1333" s="2" t="n">
        <f aca="false">D1333*(1-E$1331)+D1332*E$1331</f>
        <v>0.168323149052676</v>
      </c>
      <c r="F1333" s="2" t="n">
        <f aca="false">E1333*(1-F$1331)+E1332*F$1331</f>
        <v>0.0923746607594531</v>
      </c>
      <c r="G1333" s="2" t="n">
        <f aca="false">F1333*(1-G$1331)+F1332*G$1331</f>
        <v>0.0220518774786082</v>
      </c>
      <c r="H1333" s="2" t="n">
        <f aca="false">G1333*(1-H$1331)+G1332*H$1331</f>
        <v>0.0133910659356785</v>
      </c>
      <c r="I1333" s="2" t="n">
        <f aca="false">H1333*(1-I$1331)+H1332*I$1331</f>
        <v>0.00504893537924538</v>
      </c>
      <c r="J1333" s="2" t="n">
        <f aca="false">I1333*(1-J$1331)+I1332*J$1331</f>
        <v>0.00123432219769612</v>
      </c>
      <c r="K1333" s="2" t="n">
        <f aca="false">J1333*(1-K$1331)+J1332*K$1331</f>
        <v>0.000719698726073057</v>
      </c>
      <c r="L1333" s="2" t="n">
        <f aca="false">K1333*(1-L$1331)+K1332*L$1331</f>
        <v>0.000127349606280405</v>
      </c>
      <c r="M1333" s="2" t="n">
        <f aca="false">L1333*(1-M$1331)+L1332*M$1331</f>
        <v>1.59619115142273E-005</v>
      </c>
      <c r="N1333" s="2" t="n">
        <f aca="false">M1333*(1-N$1331)+M1332*N$1331</f>
        <v>1.02205404653448E-005</v>
      </c>
      <c r="O1333" s="2" t="n">
        <f aca="false">N1333*(1-O$1331)+N1332*O$1331</f>
        <v>1.02205404653448E-005</v>
      </c>
    </row>
    <row r="1334" customFormat="false" ht="15" hidden="false" customHeight="false" outlineLevel="0" collapsed="false">
      <c r="B1334" s="2" t="n">
        <v>2</v>
      </c>
      <c r="C1334" s="2" t="n">
        <f aca="false">0</f>
        <v>0</v>
      </c>
      <c r="D1334" s="2" t="n">
        <f aca="false">C1334*(1-D$1331)+C1333*D$1331</f>
        <v>0.52561125119469</v>
      </c>
      <c r="E1334" s="2" t="n">
        <f aca="false">D1334*(1-E$1331)+D1333*E$1331</f>
        <v>0.491473810051482</v>
      </c>
      <c r="F1334" s="2" t="n">
        <f aca="false">E1334*(1-F$1331)+E1333*F$1331</f>
        <v>0.345171642552752</v>
      </c>
      <c r="G1334" s="2" t="n">
        <f aca="false">F1334*(1-G$1331)+F1333*G$1331</f>
        <v>0.152072032218669</v>
      </c>
      <c r="H1334" s="2" t="n">
        <f aca="false">G1334*(1-H$1331)+G1333*H$1331</f>
        <v>0.100836155321125</v>
      </c>
      <c r="I1334" s="2" t="n">
        <f aca="false">H1334*(1-I$1331)+H1333*I$1331</f>
        <v>0.0461793059659334</v>
      </c>
      <c r="J1334" s="2" t="n">
        <f aca="false">I1334*(1-J$1331)+I1333*J$1331</f>
        <v>0.0150009900636889</v>
      </c>
      <c r="K1334" s="2" t="n">
        <f aca="false">J1334*(1-K$1331)+J1333*K$1331</f>
        <v>0.00924242295494082</v>
      </c>
      <c r="L1334" s="2" t="n">
        <f aca="false">K1334*(1-L$1331)+K1333*L$1331</f>
        <v>0.00220478949011481</v>
      </c>
      <c r="M1334" s="2" t="n">
        <f aca="false">L1334*(1-M$1331)+L1333*M$1331</f>
        <v>0.000381869672218181</v>
      </c>
      <c r="N1334" s="2" t="n">
        <f aca="false">M1334*(1-N$1331)+M1333*N$1331</f>
        <v>0.000249840391511871</v>
      </c>
      <c r="O1334" s="2" t="n">
        <f aca="false">N1334*(1-O$1331)+N1333*O$1331</f>
        <v>0.000249840391511871</v>
      </c>
    </row>
    <row r="1335" customFormat="false" ht="15" hidden="false" customHeight="false" outlineLevel="0" collapsed="false">
      <c r="B1335" s="2" t="n">
        <v>3</v>
      </c>
      <c r="C1335" s="2" t="n">
        <f aca="false">0</f>
        <v>0</v>
      </c>
      <c r="D1335" s="2" t="n">
        <f aca="false">C1335*(1-D$1331)+C1334*D$1331</f>
        <v>0</v>
      </c>
      <c r="E1335" s="2" t="n">
        <f aca="false">D1335*(1-E$1331)+D1334*E$1331</f>
        <v>0.339634099545031</v>
      </c>
      <c r="F1335" s="2" t="n">
        <f aca="false">E1335*(1-F$1331)+E1334*F$1331</f>
        <v>0.408377510716811</v>
      </c>
      <c r="G1335" s="2" t="n">
        <f aca="false">F1335*(1-G$1331)+F1334*G$1331</f>
        <v>0.360097549355221</v>
      </c>
      <c r="H1335" s="2" t="n">
        <f aca="false">G1335*(1-H$1331)+G1334*H$1331</f>
        <v>0.278122798526285</v>
      </c>
      <c r="I1335" s="2" t="n">
        <f aca="false">H1335*(1-I$1331)+H1334*I$1331</f>
        <v>0.167311209008203</v>
      </c>
      <c r="J1335" s="2" t="n">
        <f aca="false">I1335*(1-J$1331)+I1334*J$1331</f>
        <v>0.0754888236267722</v>
      </c>
      <c r="K1335" s="2" t="n">
        <f aca="false">J1335*(1-K$1331)+J1334*K$1331</f>
        <v>0.0501868949228593</v>
      </c>
      <c r="L1335" s="2" t="n">
        <f aca="false">K1335*(1-L$1331)+K1334*L$1331</f>
        <v>0.0163770263429235</v>
      </c>
      <c r="M1335" s="2" t="n">
        <f aca="false">L1335*(1-M$1331)+L1334*M$1331</f>
        <v>0.00394111826974951</v>
      </c>
      <c r="N1335" s="2" t="n">
        <f aca="false">M1335*(1-N$1331)+M1334*N$1331</f>
        <v>0.00265684643227075</v>
      </c>
      <c r="O1335" s="2" t="n">
        <f aca="false">N1335*(1-O$1331)+N1334*O$1331</f>
        <v>0.00265684643227075</v>
      </c>
    </row>
    <row r="1336" customFormat="false" ht="15" hidden="false" customHeight="false" outlineLevel="0" collapsed="false">
      <c r="B1336" s="2" t="n">
        <v>4</v>
      </c>
      <c r="C1336" s="2" t="n">
        <f aca="false">0</f>
        <v>0</v>
      </c>
      <c r="D1336" s="2" t="n">
        <f aca="false">C1336*(1-D$1331)+C1335*D$1331</f>
        <v>0</v>
      </c>
      <c r="E1336" s="2" t="n">
        <f aca="false">D1336*(1-E$1331)+D1335*E$1331</f>
        <v>0</v>
      </c>
      <c r="F1336" s="2" t="n">
        <f aca="false">E1336*(1-F$1331)+E1335*F$1331</f>
        <v>0.153764825256233</v>
      </c>
      <c r="G1336" s="2" t="n">
        <f aca="false">F1336*(1-G$1331)+F1335*G$1331</f>
        <v>0.348251365403111</v>
      </c>
      <c r="H1336" s="2" t="n">
        <f aca="false">G1336*(1-H$1331)+G1335*H$1331</f>
        <v>0.35291948492573</v>
      </c>
      <c r="I1336" s="2" t="n">
        <f aca="false">H1336*(1-I$1331)+H1335*I$1331</f>
        <v>0.306168418061564</v>
      </c>
      <c r="J1336" s="2" t="n">
        <f aca="false">I1336*(1-J$1331)+I1335*J$1331</f>
        <v>0.200909606448257</v>
      </c>
      <c r="K1336" s="2" t="n">
        <f aca="false">J1336*(1-K$1331)+J1335*K$1331</f>
        <v>0.148446366851015</v>
      </c>
      <c r="L1336" s="2" t="n">
        <f aca="false">K1336*(1-L$1331)+K1335*L$1331</f>
        <v>0.0673086778553465</v>
      </c>
      <c r="M1336" s="2" t="n">
        <f aca="false">L1336*(1-M$1331)+L1335*M$1331</f>
        <v>0.0226169793746017</v>
      </c>
      <c r="N1336" s="2" t="n">
        <f aca="false">M1336*(1-N$1331)+M1335*N$1331</f>
        <v>0.0158782305065787</v>
      </c>
      <c r="O1336" s="2" t="n">
        <f aca="false">N1336*(1-O$1331)+N1335*O$1331</f>
        <v>0.0158782305065787</v>
      </c>
    </row>
    <row r="1337" customFormat="false" ht="15" hidden="false" customHeight="false" outlineLevel="0" collapsed="false">
      <c r="B1337" s="2" t="n">
        <v>5</v>
      </c>
      <c r="C1337" s="2" t="n">
        <f aca="false">0</f>
        <v>0</v>
      </c>
      <c r="D1337" s="2" t="n">
        <f aca="false">C1337*(1-D$1331)+C1336*D$1331</f>
        <v>0</v>
      </c>
      <c r="E1337" s="2" t="n">
        <f aca="false">D1337*(1-E$1331)+D1336*E$1331</f>
        <v>0</v>
      </c>
      <c r="F1337" s="2" t="n">
        <f aca="false">E1337*(1-F$1331)+E1336*F$1331</f>
        <v>0</v>
      </c>
      <c r="G1337" s="2" t="n">
        <f aca="false">F1337*(1-G$1331)+F1336*G$1331</f>
        <v>0.117453648494683</v>
      </c>
      <c r="H1337" s="2" t="n">
        <f aca="false">G1337*(1-H$1331)+G1336*H$1331</f>
        <v>0.208402035961191</v>
      </c>
      <c r="I1337" s="2" t="n">
        <f aca="false">H1337*(1-I$1331)+H1336*I$1331</f>
        <v>0.298731504348309</v>
      </c>
      <c r="J1337" s="2" t="n">
        <f aca="false">I1337*(1-J$1331)+I1336*J$1331</f>
        <v>0.304368955258237</v>
      </c>
      <c r="K1337" s="2" t="n">
        <f aca="false">J1337*(1-K$1331)+J1336*K$1331</f>
        <v>0.261092135555092</v>
      </c>
      <c r="L1337" s="2" t="n">
        <f aca="false">K1337*(1-L$1331)+K1336*L$1331</f>
        <v>0.168074972238031</v>
      </c>
      <c r="M1337" s="2" t="n">
        <f aca="false">L1337*(1-M$1331)+L1336*M$1331</f>
        <v>0.0796541825749578</v>
      </c>
      <c r="N1337" s="2" t="n">
        <f aca="false">M1337*(1-N$1331)+M1336*N$1331</f>
        <v>0.0590736381843307</v>
      </c>
      <c r="O1337" s="2" t="n">
        <f aca="false">N1337*(1-O$1331)+N1336*O$1331</f>
        <v>0.0590736381843307</v>
      </c>
    </row>
    <row r="1338" customFormat="false" ht="15" hidden="false" customHeight="false" outlineLevel="0" collapsed="false">
      <c r="B1338" s="2" t="n">
        <v>6</v>
      </c>
      <c r="C1338" s="2" t="n">
        <f aca="false">0</f>
        <v>0</v>
      </c>
      <c r="D1338" s="2" t="n">
        <f aca="false">C1338*(1-D$1331)+C1337*D$1331</f>
        <v>0</v>
      </c>
      <c r="E1338" s="2" t="n">
        <f aca="false">D1338*(1-E$1331)+D1337*E$1331</f>
        <v>0</v>
      </c>
      <c r="F1338" s="2" t="n">
        <f aca="false">E1338*(1-F$1331)+E1337*F$1331</f>
        <v>0</v>
      </c>
      <c r="G1338" s="2" t="n">
        <f aca="false">F1338*(1-G$1331)+F1337*G$1331</f>
        <v>0</v>
      </c>
      <c r="H1338" s="2" t="n">
        <f aca="false">G1338*(1-H$1331)+G1337*H$1331</f>
        <v>0.0462839064256764</v>
      </c>
      <c r="I1338" s="2" t="n">
        <f aca="false">H1338*(1-I$1331)+H1337*I$1331</f>
        <v>0.147614538551976</v>
      </c>
      <c r="J1338" s="2" t="n">
        <f aca="false">I1338*(1-J$1331)+I1337*J$1331</f>
        <v>0.262166691391359</v>
      </c>
      <c r="K1338" s="2" t="n">
        <f aca="false">J1338*(1-K$1331)+J1337*K$1331</f>
        <v>0.279819806217993</v>
      </c>
      <c r="L1338" s="2" t="n">
        <f aca="false">K1338*(1-L$1331)+K1337*L$1331</f>
        <v>0.264355445499967</v>
      </c>
      <c r="M1338" s="2" t="n">
        <f aca="false">L1338*(1-M$1331)+L1337*M$1331</f>
        <v>0.17987089114468</v>
      </c>
      <c r="N1338" s="2" t="n">
        <f aca="false">M1338*(1-N$1331)+M1337*N$1331</f>
        <v>0.143710029397012</v>
      </c>
      <c r="O1338" s="2" t="n">
        <f aca="false">N1338*(1-O$1331)+N1337*O$1331</f>
        <v>0.143710029397012</v>
      </c>
    </row>
    <row r="1339" customFormat="false" ht="15" hidden="false" customHeight="false" outlineLevel="0" collapsed="false">
      <c r="B1339" s="2" t="n">
        <v>7</v>
      </c>
      <c r="C1339" s="2" t="n">
        <f aca="false">0</f>
        <v>0</v>
      </c>
      <c r="D1339" s="2" t="n">
        <f aca="false">C1339*(1-D$1331)+C1338*D$1331</f>
        <v>0</v>
      </c>
      <c r="E1339" s="2" t="n">
        <f aca="false">D1339*(1-E$1331)+D1338*E$1331</f>
        <v>0</v>
      </c>
      <c r="F1339" s="2" t="n">
        <f aca="false">E1339*(1-F$1331)+E1338*F$1331</f>
        <v>0</v>
      </c>
      <c r="G1339" s="2" t="n">
        <f aca="false">F1339*(1-G$1331)+F1338*G$1331</f>
        <v>0</v>
      </c>
      <c r="H1339" s="2" t="n">
        <f aca="false">G1339*(1-H$1331)+G1338*H$1331</f>
        <v>0</v>
      </c>
      <c r="I1339" s="2" t="n">
        <f aca="false">H1339*(1-I$1331)+H1338*I$1331</f>
        <v>0.028929383214731</v>
      </c>
      <c r="J1339" s="2" t="n">
        <f aca="false">I1339*(1-J$1331)+I1338*J$1331</f>
        <v>0.118897044901914</v>
      </c>
      <c r="K1339" s="2" t="n">
        <f aca="false">J1339*(1-K$1331)+J1338*K$1331</f>
        <v>0.17882642519837</v>
      </c>
      <c r="L1339" s="2" t="n">
        <f aca="false">K1339*(1-L$1331)+K1338*L$1331</f>
        <v>0.262221637680101</v>
      </c>
      <c r="M1339" s="2" t="n">
        <f aca="false">L1339*(1-M$1331)+L1338*M$1331</f>
        <v>0.264094019448009</v>
      </c>
      <c r="N1339" s="2" t="n">
        <f aca="false">M1339*(1-N$1331)+M1338*N$1331</f>
        <v>0.233704068091605</v>
      </c>
      <c r="O1339" s="2" t="n">
        <f aca="false">N1339*(1-O$1331)+N1338*O$1331</f>
        <v>0.233704068091605</v>
      </c>
    </row>
    <row r="1340" customFormat="false" ht="15" hidden="false" customHeight="false" outlineLevel="0" collapsed="false">
      <c r="B1340" s="2" t="n">
        <v>8</v>
      </c>
      <c r="C1340" s="2" t="n">
        <f aca="false">0</f>
        <v>0</v>
      </c>
      <c r="D1340" s="2" t="n">
        <f aca="false">C1340*(1-D$1331)+C1339*D$1331</f>
        <v>0</v>
      </c>
      <c r="E1340" s="2" t="n">
        <f aca="false">D1340*(1-E$1331)+D1339*E$1331</f>
        <v>0</v>
      </c>
      <c r="F1340" s="2" t="n">
        <f aca="false">E1340*(1-F$1331)+E1339*F$1331</f>
        <v>0</v>
      </c>
      <c r="G1340" s="2" t="n">
        <f aca="false">F1340*(1-G$1331)+F1339*G$1331</f>
        <v>0</v>
      </c>
      <c r="H1340" s="2" t="n">
        <f aca="false">G1340*(1-H$1331)+G1339*H$1331</f>
        <v>0</v>
      </c>
      <c r="I1340" s="2" t="n">
        <f aca="false">H1340*(1-I$1331)+H1339*I$1331</f>
        <v>0</v>
      </c>
      <c r="J1340" s="2" t="n">
        <f aca="false">I1340*(1-J$1331)+I1339*J$1331</f>
        <v>0.0219295239955338</v>
      </c>
      <c r="K1340" s="2" t="n">
        <f aca="false">J1340*(1-K$1331)+J1339*K$1331</f>
        <v>0.0624908262615451</v>
      </c>
      <c r="L1340" s="2" t="n">
        <f aca="false">K1340*(1-L$1331)+K1339*L$1331</f>
        <v>0.158554864266579</v>
      </c>
      <c r="M1340" s="2" t="n">
        <f aca="false">L1340*(1-M$1331)+L1339*M$1331</f>
        <v>0.249520777255651</v>
      </c>
      <c r="N1340" s="2" t="n">
        <f aca="false">M1340*(1-N$1331)+M1339*N$1331</f>
        <v>0.254779191782072</v>
      </c>
      <c r="O1340" s="2" t="n">
        <f aca="false">N1340*(1-O$1331)+N1339*O$1331</f>
        <v>0.254779191782072</v>
      </c>
    </row>
    <row r="1341" customFormat="false" ht="15" hidden="false" customHeight="false" outlineLevel="0" collapsed="false">
      <c r="B1341" s="2" t="n">
        <v>9</v>
      </c>
      <c r="C1341" s="2" t="n">
        <f aca="false">0</f>
        <v>0</v>
      </c>
      <c r="D1341" s="2" t="n">
        <f aca="false">C1341*(1-D$1331)+C1340*D$1331</f>
        <v>0</v>
      </c>
      <c r="E1341" s="2" t="n">
        <f aca="false">D1341*(1-E$1331)+D1340*E$1331</f>
        <v>0</v>
      </c>
      <c r="F1341" s="2" t="n">
        <f aca="false">E1341*(1-F$1331)+E1340*F$1331</f>
        <v>0</v>
      </c>
      <c r="G1341" s="2" t="n">
        <f aca="false">F1341*(1-G$1331)+F1340*G$1331</f>
        <v>0</v>
      </c>
      <c r="H1341" s="2" t="n">
        <f aca="false">G1341*(1-H$1331)+G1340*H$1331</f>
        <v>0</v>
      </c>
      <c r="I1341" s="2" t="n">
        <f aca="false">H1341*(1-I$1331)+H1340*I$1331</f>
        <v>0</v>
      </c>
      <c r="J1341" s="2" t="n">
        <f aca="false">I1341*(1-J$1331)+I1340*J$1331</f>
        <v>0</v>
      </c>
      <c r="K1341" s="2" t="n">
        <f aca="false">J1341*(1-K$1331)+J1340*K$1331</f>
        <v>0.0091730720040928</v>
      </c>
      <c r="L1341" s="2" t="n">
        <f aca="false">K1341*(1-L$1331)+K1340*L$1331</f>
        <v>0.0532001696263123</v>
      </c>
      <c r="M1341" s="2" t="n">
        <f aca="false">L1341*(1-M$1331)+L1340*M$1331</f>
        <v>0.145647206126695</v>
      </c>
      <c r="N1341" s="2" t="n">
        <f aca="false">M1341*(1-N$1331)+M1340*N$1331</f>
        <v>0.183127561433091</v>
      </c>
      <c r="O1341" s="2" t="n">
        <f aca="false">N1341*(1-O$1331)+N1340*O$1331</f>
        <v>0.183127561433091</v>
      </c>
    </row>
    <row r="1342" customFormat="false" ht="15" hidden="false" customHeight="false" outlineLevel="0" collapsed="false">
      <c r="B1342" s="2" t="n">
        <v>10</v>
      </c>
      <c r="C1342" s="2" t="n">
        <f aca="false">0</f>
        <v>0</v>
      </c>
      <c r="D1342" s="2" t="n">
        <f aca="false">C1342*(1-D$1331)+C1341*D$1331</f>
        <v>0</v>
      </c>
      <c r="E1342" s="2" t="n">
        <f aca="false">D1342*(1-E$1331)+D1341*E$1331</f>
        <v>0</v>
      </c>
      <c r="F1342" s="2" t="n">
        <f aca="false">E1342*(1-F$1331)+E1341*F$1331</f>
        <v>0</v>
      </c>
      <c r="G1342" s="2" t="n">
        <f aca="false">F1342*(1-G$1331)+F1341*G$1331</f>
        <v>0</v>
      </c>
      <c r="H1342" s="2" t="n">
        <f aca="false">G1342*(1-H$1331)+G1341*H$1331</f>
        <v>0</v>
      </c>
      <c r="I1342" s="2" t="n">
        <f aca="false">H1342*(1-I$1331)+H1341*I$1331</f>
        <v>0</v>
      </c>
      <c r="J1342" s="2" t="n">
        <f aca="false">I1342*(1-J$1331)+I1341*J$1331</f>
        <v>0</v>
      </c>
      <c r="K1342" s="2" t="n">
        <f aca="false">J1342*(1-K$1331)+J1341*K$1331</f>
        <v>0</v>
      </c>
      <c r="L1342" s="2" t="n">
        <f aca="false">K1342*(1-L$1331)+K1341*L$1331</f>
        <v>0.00757465767724816</v>
      </c>
      <c r="M1342" s="2" t="n">
        <f aca="false">L1342*(1-M$1331)+L1341*M$1331</f>
        <v>0.0476103047161004</v>
      </c>
      <c r="N1342" s="2" t="n">
        <f aca="false">M1342*(1-N$1331)+M1341*N$1331</f>
        <v>0.0829846338940722</v>
      </c>
      <c r="O1342" s="2" t="n">
        <f aca="false">N1342*(1-O$1331)+N1341*O$1331</f>
        <v>0.0829846338940722</v>
      </c>
    </row>
    <row r="1343" customFormat="false" ht="15" hidden="false" customHeight="false" outlineLevel="0" collapsed="false">
      <c r="B1343" s="2" t="n">
        <v>11</v>
      </c>
      <c r="C1343" s="2" t="n">
        <f aca="false">0</f>
        <v>0</v>
      </c>
      <c r="D1343" s="2" t="n">
        <f aca="false">C1343*(1-D$1331)+C1342*D$1331</f>
        <v>0</v>
      </c>
      <c r="E1343" s="2" t="n">
        <f aca="false">D1343*(1-E$1331)+D1342*E$1331</f>
        <v>0</v>
      </c>
      <c r="F1343" s="2" t="n">
        <f aca="false">E1343*(1-F$1331)+E1342*F$1331</f>
        <v>0</v>
      </c>
      <c r="G1343" s="2" t="n">
        <f aca="false">F1343*(1-G$1331)+F1342*G$1331</f>
        <v>0</v>
      </c>
      <c r="H1343" s="2" t="n">
        <f aca="false">G1343*(1-H$1331)+G1342*H$1331</f>
        <v>0</v>
      </c>
      <c r="I1343" s="2" t="n">
        <f aca="false">H1343*(1-I$1331)+H1342*I$1331</f>
        <v>0</v>
      </c>
      <c r="J1343" s="2" t="n">
        <f aca="false">I1343*(1-J$1331)+I1342*J$1331</f>
        <v>0</v>
      </c>
      <c r="K1343" s="2" t="n">
        <f aca="false">J1343*(1-K$1331)+J1342*K$1331</f>
        <v>0</v>
      </c>
      <c r="L1343" s="2" t="n">
        <f aca="false">K1343*(1-L$1331)+K1342*L$1331</f>
        <v>0</v>
      </c>
      <c r="M1343" s="2" t="n">
        <f aca="false">L1343*(1-M$1331)+L1342*M$1331</f>
        <v>0.00664663930883651</v>
      </c>
      <c r="N1343" s="2" t="n">
        <f aca="false">M1343*(1-N$1331)+M1342*N$1331</f>
        <v>0.0214274224996877</v>
      </c>
      <c r="O1343" s="2" t="n">
        <f aca="false">N1343*(1-O$1331)+N1342*O$1331</f>
        <v>0.0214274224996877</v>
      </c>
    </row>
    <row r="1344" customFormat="false" ht="15" hidden="false" customHeight="false" outlineLevel="0" collapsed="false">
      <c r="B1344" s="2" t="n">
        <v>12</v>
      </c>
      <c r="C1344" s="2" t="n">
        <f aca="false">0</f>
        <v>0</v>
      </c>
      <c r="D1344" s="2" t="n">
        <f aca="false">C1344*(1-D$1331)+C1343*D$1331</f>
        <v>0</v>
      </c>
      <c r="E1344" s="2" t="n">
        <f aca="false">D1344*(1-E$1331)+D1343*E$1331</f>
        <v>0</v>
      </c>
      <c r="F1344" s="2" t="n">
        <f aca="false">E1344*(1-F$1331)+E1343*F$1331</f>
        <v>0</v>
      </c>
      <c r="G1344" s="2" t="n">
        <f aca="false">F1344*(1-G$1331)+F1343*G$1331</f>
        <v>0</v>
      </c>
      <c r="H1344" s="2" t="n">
        <f aca="false">G1344*(1-H$1331)+G1343*H$1331</f>
        <v>0</v>
      </c>
      <c r="I1344" s="2" t="n">
        <f aca="false">H1344*(1-I$1331)+H1343*I$1331</f>
        <v>0</v>
      </c>
      <c r="J1344" s="2" t="n">
        <f aca="false">I1344*(1-J$1331)+I1343*J$1331</f>
        <v>0</v>
      </c>
      <c r="K1344" s="2" t="n">
        <f aca="false">J1344*(1-K$1331)+J1343*K$1331</f>
        <v>0</v>
      </c>
      <c r="L1344" s="2" t="n">
        <f aca="false">K1344*(1-L$1331)+K1343*L$1331</f>
        <v>0</v>
      </c>
      <c r="M1344" s="2" t="n">
        <f aca="false">L1344*(1-M$1331)+L1343*M$1331</f>
        <v>0</v>
      </c>
      <c r="N1344" s="2" t="n">
        <f aca="false">M1344*(1-N$1331)+M1343*N$1331</f>
        <v>0.00239828476272733</v>
      </c>
      <c r="O1344" s="2" t="n">
        <f aca="false">N1344*(1-O$1331)+N1343*O$1331</f>
        <v>0.00239828476272733</v>
      </c>
    </row>
    <row r="1345" customFormat="false" ht="15" hidden="false" customHeight="false" outlineLevel="0" collapsed="false">
      <c r="B1345" s="2" t="n">
        <v>13</v>
      </c>
      <c r="C1345" s="2" t="n">
        <f aca="false">0</f>
        <v>0</v>
      </c>
      <c r="D1345" s="2" t="n">
        <f aca="false">C1345*(1-D$1331)+C1344*D$1331</f>
        <v>0</v>
      </c>
      <c r="E1345" s="2" t="n">
        <f aca="false">D1345*(1-E$1331)+D1344*E$1331</f>
        <v>0</v>
      </c>
      <c r="F1345" s="2" t="n">
        <f aca="false">E1345*(1-F$1331)+E1344*F$1331</f>
        <v>0</v>
      </c>
      <c r="G1345" s="2" t="n">
        <f aca="false">F1345*(1-G$1331)+F1344*G$1331</f>
        <v>0</v>
      </c>
      <c r="H1345" s="2" t="n">
        <f aca="false">G1345*(1-H$1331)+G1344*H$1331</f>
        <v>0</v>
      </c>
      <c r="I1345" s="2" t="n">
        <f aca="false">H1345*(1-I$1331)+H1344*I$1331</f>
        <v>0</v>
      </c>
      <c r="J1345" s="2" t="n">
        <f aca="false">I1345*(1-J$1331)+I1344*J$1331</f>
        <v>0</v>
      </c>
      <c r="K1345" s="2" t="n">
        <f aca="false">J1345*(1-K$1331)+J1344*K$1331</f>
        <v>0</v>
      </c>
      <c r="L1345" s="2" t="n">
        <f aca="false">K1345*(1-L$1331)+K1344*L$1331</f>
        <v>0</v>
      </c>
      <c r="M1345" s="2" t="n">
        <f aca="false">L1345*(1-M$1331)+L1344*M$1331</f>
        <v>0</v>
      </c>
      <c r="N1345" s="2" t="n">
        <f aca="false">M1345*(1-N$1331)+M1344*N$1331</f>
        <v>0</v>
      </c>
      <c r="O1345" s="2" t="n">
        <f aca="false">N1345*(1-O$1331)+N1344*O$1331</f>
        <v>0</v>
      </c>
    </row>
    <row r="1347" customFormat="false" ht="15" hidden="false" customHeight="false" outlineLevel="0" collapsed="false">
      <c r="A1347" s="1" t="s">
        <v>142</v>
      </c>
      <c r="C1347" s="2" t="n">
        <f aca="false">Schedule!G86</f>
        <v>0.213670492940356</v>
      </c>
      <c r="D1347" s="2" t="n">
        <f aca="false">Schedule!L86</f>
        <v>0.990454518463614</v>
      </c>
      <c r="E1347" s="2" t="n">
        <f aca="false">Schedule!Q86</f>
        <v>0.330874388040879</v>
      </c>
      <c r="F1347" s="2" t="n">
        <f aca="false">Schedule!V86</f>
        <v>0.742153889194135</v>
      </c>
      <c r="G1347" s="2" t="n">
        <f aca="false">Schedule!AA86</f>
        <v>0.800595439528627</v>
      </c>
      <c r="H1347" s="2" t="n">
        <f aca="false">Schedule!AF86</f>
        <v>0.950528531966352</v>
      </c>
      <c r="I1347" s="2" t="n">
        <f aca="false">Schedule!AK86</f>
        <v>0.909470258861824</v>
      </c>
      <c r="J1347" s="2" t="n">
        <f aca="false">Schedule!AP86</f>
        <v>0.704538857537264</v>
      </c>
      <c r="K1347" s="2" t="n">
        <f aca="false">Schedule!AU86</f>
        <v>0.758036347776927</v>
      </c>
      <c r="L1347" s="2" t="n">
        <f aca="false">Schedule!AZ86</f>
        <v>0.740131219334939</v>
      </c>
      <c r="M1347" s="2" t="n">
        <f aca="false">Schedule!BE86</f>
        <v>0.839827703080392</v>
      </c>
      <c r="N1347" s="2" t="n">
        <f aca="false">Schedule!BJ86</f>
        <v>0.487535082565623</v>
      </c>
      <c r="O1347" s="2" t="n">
        <f aca="false">Schedule!BO86</f>
        <v>0</v>
      </c>
    </row>
    <row r="1348" customFormat="false" ht="15" hidden="false" customHeight="false" outlineLevel="0" collapsed="false">
      <c r="B1348" s="2" t="n">
        <v>0</v>
      </c>
      <c r="C1348" s="2" t="n">
        <f aca="false">1-C$1347</f>
        <v>0.786329507059644</v>
      </c>
      <c r="D1348" s="2" t="n">
        <f aca="false">C1348*(1-D$1347)</f>
        <v>0.00750589379115343</v>
      </c>
      <c r="E1348" s="2" t="n">
        <f aca="false">D1348*(1-E$1347)</f>
        <v>0.00502238577630571</v>
      </c>
      <c r="F1348" s="2" t="n">
        <f aca="false">E1348*(1-F$1347)</f>
        <v>0.00129500263938712</v>
      </c>
      <c r="G1348" s="2" t="n">
        <f aca="false">F1348*(1-G$1347)</f>
        <v>0.000258229432116256</v>
      </c>
      <c r="H1348" s="2" t="n">
        <f aca="false">G1348*(1-H$1347)</f>
        <v>1.27749890962865E-005</v>
      </c>
      <c r="I1348" s="2" t="n">
        <f aca="false">H1348*(1-I$1347)</f>
        <v>1.15651645592984E-006</v>
      </c>
      <c r="J1348" s="2" t="n">
        <f aca="false">I1348*(1-J$1347)</f>
        <v>3.41705673345985E-007</v>
      </c>
      <c r="K1348" s="2" t="n">
        <f aca="false">J1348*(1-K$1347)</f>
        <v>8.26803527081388E-008</v>
      </c>
      <c r="L1348" s="2" t="n">
        <f aca="false">K1348*(1-L$1347)</f>
        <v>2.14860424432212E-008</v>
      </c>
      <c r="M1348" s="2" t="n">
        <f aca="false">L1348*(1-M$1347)</f>
        <v>3.44146876984294E-009</v>
      </c>
      <c r="N1348" s="2" t="n">
        <f aca="false">M1348*(1-N$1347)</f>
        <v>1.76363200899055E-009</v>
      </c>
      <c r="O1348" s="2" t="n">
        <f aca="false">N1348*(1-O$1347)</f>
        <v>1.76363200899055E-009</v>
      </c>
    </row>
    <row r="1349" customFormat="false" ht="15" hidden="false" customHeight="false" outlineLevel="0" collapsed="false">
      <c r="B1349" s="2" t="n">
        <v>1</v>
      </c>
      <c r="C1349" s="2" t="n">
        <f aca="false">C$1347</f>
        <v>0.213670492940356</v>
      </c>
      <c r="D1349" s="2" t="n">
        <f aca="false">C1349*(1-D$1347)+C1348*D$1347</f>
        <v>0.780863201013723</v>
      </c>
      <c r="E1349" s="2" t="n">
        <f aca="false">D1349*(1-E$1347)+D1348*E$1347</f>
        <v>0.524979075249513</v>
      </c>
      <c r="F1349" s="2" t="n">
        <f aca="false">E1349*(1-F$1347)+E1348*F$1347</f>
        <v>0.139091195944465</v>
      </c>
      <c r="G1349" s="2" t="n">
        <f aca="false">F1349*(1-G$1347)+F1348*G$1347</f>
        <v>0.0287721920000145</v>
      </c>
      <c r="H1349" s="2" t="n">
        <f aca="false">G1349*(1-H$1347)+G1348*H$1347</f>
        <v>0.00166885701980667</v>
      </c>
      <c r="I1349" s="2" t="n">
        <f aca="false">H1349*(1-I$1347)+H1348*I$1347</f>
        <v>0.000162699666640083</v>
      </c>
      <c r="J1349" s="2" t="n">
        <f aca="false">I1349*(1-J$1347)+I1348*J$1347</f>
        <v>4.88862401663691E-005</v>
      </c>
      <c r="K1349" s="2" t="n">
        <f aca="false">J1349*(1-K$1347)+J1348*K$1347</f>
        <v>1.20877185347468E-005</v>
      </c>
      <c r="L1349" s="2" t="n">
        <f aca="false">K1349*(1-L$1347)+K1348*L$1347</f>
        <v>3.20241498691203E-006</v>
      </c>
      <c r="M1349" s="2" t="n">
        <f aca="false">L1349*(1-M$1347)+L1348*M$1347</f>
        <v>5.30982737816855E-007</v>
      </c>
      <c r="N1349" s="2" t="n">
        <f aca="false">M1349*(1-N$1347)+M1348*N$1347</f>
        <v>2.73787861655247E-007</v>
      </c>
      <c r="O1349" s="2" t="n">
        <f aca="false">N1349*(1-O$1347)+N1348*O$1347</f>
        <v>2.73787861655247E-007</v>
      </c>
    </row>
    <row r="1350" customFormat="false" ht="15" hidden="false" customHeight="false" outlineLevel="0" collapsed="false">
      <c r="B1350" s="2" t="n">
        <v>2</v>
      </c>
      <c r="C1350" s="2" t="n">
        <f aca="false">0</f>
        <v>0</v>
      </c>
      <c r="D1350" s="2" t="n">
        <f aca="false">C1350*(1-D$1347)+C1349*D$1347</f>
        <v>0.211630905195123</v>
      </c>
      <c r="E1350" s="2" t="n">
        <f aca="false">D1350*(1-E$1347)+D1349*E$1347</f>
        <v>0.399975292727207</v>
      </c>
      <c r="F1350" s="2" t="n">
        <f aca="false">E1350*(1-F$1347)+E1349*F$1347</f>
        <v>0.492747336090115</v>
      </c>
      <c r="G1350" s="2" t="n">
        <f aca="false">F1350*(1-G$1347)+F1349*G$1347</f>
        <v>0.20961184312821</v>
      </c>
      <c r="H1350" s="2" t="n">
        <f aca="false">G1350*(1-H$1347)+G1349*H$1347</f>
        <v>0.0377185950200191</v>
      </c>
      <c r="I1350" s="2" t="n">
        <f aca="false">H1350*(1-I$1347)+H1349*I$1347</f>
        <v>0.00493243046906498</v>
      </c>
      <c r="J1350" s="2" t="n">
        <f aca="false">I1350*(1-J$1347)+I1349*J$1347</f>
        <v>0.00157196977876425</v>
      </c>
      <c r="K1350" s="2" t="n">
        <f aca="false">J1350*(1-K$1347)+J1349*K$1347</f>
        <v>0.000417417095806353</v>
      </c>
      <c r="L1350" s="2" t="n">
        <f aca="false">K1350*(1-L$1347)+K1349*L$1347</f>
        <v>0.000117420169574048</v>
      </c>
      <c r="M1350" s="2" t="n">
        <f aca="false">L1350*(1-M$1347)+L1349*M$1347</f>
        <v>2.14969350881337E-005</v>
      </c>
      <c r="N1350" s="2" t="n">
        <f aca="false">M1350*(1-N$1347)+M1349*N$1347</f>
        <v>1.12752977779551E-005</v>
      </c>
      <c r="O1350" s="2" t="n">
        <f aca="false">N1350*(1-O$1347)+N1349*O$1347</f>
        <v>1.12752977779551E-005</v>
      </c>
    </row>
    <row r="1351" customFormat="false" ht="15" hidden="false" customHeight="false" outlineLevel="0" collapsed="false">
      <c r="B1351" s="2" t="n">
        <v>3</v>
      </c>
      <c r="C1351" s="2" t="n">
        <f aca="false">0</f>
        <v>0</v>
      </c>
      <c r="D1351" s="2" t="n">
        <f aca="false">C1351*(1-D$1347)+C1350*D$1347</f>
        <v>0</v>
      </c>
      <c r="E1351" s="2" t="n">
        <f aca="false">D1351*(1-E$1347)+D1350*E$1347</f>
        <v>0.0700232462469738</v>
      </c>
      <c r="F1351" s="2" t="n">
        <f aca="false">E1351*(1-F$1347)+E1350*F$1347</f>
        <v>0.314898440789843</v>
      </c>
      <c r="G1351" s="2" t="n">
        <f aca="false">F1351*(1-G$1347)+F1350*G$1347</f>
        <v>0.457283455292445</v>
      </c>
      <c r="H1351" s="2" t="n">
        <f aca="false">G1351*(1-H$1347)+G1350*H$1347</f>
        <v>0.221864521372235</v>
      </c>
      <c r="I1351" s="2" t="n">
        <f aca="false">H1351*(1-I$1347)+H1350*I$1347</f>
        <v>0.0543892780643349</v>
      </c>
      <c r="J1351" s="2" t="n">
        <f aca="false">I1351*(1-J$1347)+I1350*J$1347</f>
        <v>0.0195450071621689</v>
      </c>
      <c r="K1351" s="2" t="n">
        <f aca="false">J1351*(1-K$1347)+J1350*K$1347</f>
        <v>0.00592079154559465</v>
      </c>
      <c r="L1351" s="2" t="n">
        <f aca="false">K1351*(1-L$1347)+K1350*L$1347</f>
        <v>0.00184757230361609</v>
      </c>
      <c r="M1351" s="2" t="n">
        <f aca="false">L1351*(1-M$1347)+L1350*M$1347</f>
        <v>0.000394542610903924</v>
      </c>
      <c r="N1351" s="2" t="n">
        <f aca="false">M1351*(1-N$1347)+M1350*N$1347</f>
        <v>0.000212669756544324</v>
      </c>
      <c r="O1351" s="2" t="n">
        <f aca="false">N1351*(1-O$1347)+N1350*O$1347</f>
        <v>0.000212669756544324</v>
      </c>
    </row>
    <row r="1352" customFormat="false" ht="15" hidden="false" customHeight="false" outlineLevel="0" collapsed="false">
      <c r="B1352" s="2" t="n">
        <v>4</v>
      </c>
      <c r="C1352" s="2" t="n">
        <f aca="false">0</f>
        <v>0</v>
      </c>
      <c r="D1352" s="2" t="n">
        <f aca="false">C1352*(1-D$1347)+C1351*D$1347</f>
        <v>0</v>
      </c>
      <c r="E1352" s="2" t="n">
        <f aca="false">D1352*(1-E$1347)+D1351*E$1347</f>
        <v>0</v>
      </c>
      <c r="F1352" s="2" t="n">
        <f aca="false">E1352*(1-F$1347)+E1351*F$1347</f>
        <v>0.0519680245361902</v>
      </c>
      <c r="G1352" s="2" t="n">
        <f aca="false">F1352*(1-G$1347)+F1351*G$1347</f>
        <v>0.262468916702228</v>
      </c>
      <c r="H1352" s="2" t="n">
        <f aca="false">G1352*(1-H$1347)+G1351*H$1347</f>
        <v>0.447645694074089</v>
      </c>
      <c r="I1352" s="2" t="n">
        <f aca="false">H1352*(1-I$1347)+H1351*I$1347</f>
        <v>0.242304432490808</v>
      </c>
      <c r="J1352" s="2" t="n">
        <f aca="false">I1352*(1-J$1347)+I1351*J$1347</f>
        <v>0.109910904277242</v>
      </c>
      <c r="K1352" s="2" t="n">
        <f aca="false">J1352*(1-K$1347)+J1351*K$1347</f>
        <v>0.0414102696645465</v>
      </c>
      <c r="L1352" s="2" t="n">
        <f aca="false">K1352*(1-L$1347)+K1351*L$1347</f>
        <v>0.015143398950806</v>
      </c>
      <c r="M1352" s="2" t="n">
        <f aca="false">L1352*(1-M$1347)+L1351*M$1347</f>
        <v>0.00397719539714144</v>
      </c>
      <c r="N1352" s="2" t="n">
        <f aca="false">M1352*(1-N$1347)+M1351*N$1347</f>
        <v>0.00223052647519917</v>
      </c>
      <c r="O1352" s="2" t="n">
        <f aca="false">N1352*(1-O$1347)+N1351*O$1347</f>
        <v>0.00223052647519917</v>
      </c>
    </row>
    <row r="1353" customFormat="false" ht="15" hidden="false" customHeight="false" outlineLevel="0" collapsed="false">
      <c r="B1353" s="2" t="n">
        <v>5</v>
      </c>
      <c r="C1353" s="2" t="n">
        <f aca="false">0</f>
        <v>0</v>
      </c>
      <c r="D1353" s="2" t="n">
        <f aca="false">C1353*(1-D$1347)+C1352*D$1347</f>
        <v>0</v>
      </c>
      <c r="E1353" s="2" t="n">
        <f aca="false">D1353*(1-E$1347)+D1352*E$1347</f>
        <v>0</v>
      </c>
      <c r="F1353" s="2" t="n">
        <f aca="false">E1353*(1-F$1347)+E1352*F$1347</f>
        <v>0</v>
      </c>
      <c r="G1353" s="2" t="n">
        <f aca="false">F1353*(1-G$1347)+F1352*G$1347</f>
        <v>0.0416053634449857</v>
      </c>
      <c r="H1353" s="2" t="n">
        <f aca="false">G1353*(1-H$1347)+G1352*H$1347</f>
        <v>0.251542472487465</v>
      </c>
      <c r="I1353" s="2" t="n">
        <f aca="false">H1353*(1-I$1347)+H1352*I$1347</f>
        <v>0.429892520187489</v>
      </c>
      <c r="J1353" s="2" t="n">
        <f aca="false">I1353*(1-J$1347)+I1352*J$1347</f>
        <v>0.29772942319407</v>
      </c>
      <c r="K1353" s="2" t="n">
        <f aca="false">J1353*(1-K$1347)+J1352*K$1347</f>
        <v>0.155356159069486</v>
      </c>
      <c r="L1353" s="2" t="n">
        <f aca="false">K1353*(1-L$1347)+K1352*L$1347</f>
        <v>0.071021249006004</v>
      </c>
      <c r="M1353" s="2" t="n">
        <f aca="false">L1353*(1-M$1347)+L1352*M$1347</f>
        <v>0.0240934825410766</v>
      </c>
      <c r="N1353" s="2" t="n">
        <f aca="false">M1353*(1-N$1347)+M1352*N$1347</f>
        <v>0.0142860868274444</v>
      </c>
      <c r="O1353" s="2" t="n">
        <f aca="false">N1353*(1-O$1347)+N1352*O$1347</f>
        <v>0.0142860868274444</v>
      </c>
    </row>
    <row r="1354" customFormat="false" ht="15" hidden="false" customHeight="false" outlineLevel="0" collapsed="false">
      <c r="B1354" s="2" t="n">
        <v>6</v>
      </c>
      <c r="C1354" s="2" t="n">
        <f aca="false">0</f>
        <v>0</v>
      </c>
      <c r="D1354" s="2" t="n">
        <f aca="false">C1354*(1-D$1347)+C1353*D$1347</f>
        <v>0</v>
      </c>
      <c r="E1354" s="2" t="n">
        <f aca="false">D1354*(1-E$1347)+D1353*E$1347</f>
        <v>0</v>
      </c>
      <c r="F1354" s="2" t="n">
        <f aca="false">E1354*(1-F$1347)+E1353*F$1347</f>
        <v>0</v>
      </c>
      <c r="G1354" s="2" t="n">
        <f aca="false">F1354*(1-G$1347)+F1353*G$1347</f>
        <v>0</v>
      </c>
      <c r="H1354" s="2" t="n">
        <f aca="false">G1354*(1-H$1347)+G1353*H$1347</f>
        <v>0.0395470850372888</v>
      </c>
      <c r="I1354" s="2" t="n">
        <f aca="false">H1354*(1-I$1347)+H1353*I$1347</f>
        <v>0.232350584939113</v>
      </c>
      <c r="J1354" s="2" t="n">
        <f aca="false">I1354*(1-J$1347)+I1353*J$1347</f>
        <v>0.371526554314704</v>
      </c>
      <c r="K1354" s="2" t="n">
        <f aca="false">J1354*(1-K$1347)+J1353*K$1347</f>
        <v>0.315585646563603</v>
      </c>
      <c r="L1354" s="2" t="n">
        <f aca="false">K1354*(1-L$1347)+K1353*L$1347</f>
        <v>0.19699480061117</v>
      </c>
      <c r="M1354" s="2" t="n">
        <f aca="false">L1354*(1-M$1347)+L1353*M$1347</f>
        <v>0.0911987221177243</v>
      </c>
      <c r="N1354" s="2" t="n">
        <f aca="false">M1354*(1-N$1347)+M1353*N$1347</f>
        <v>0.0584825636001374</v>
      </c>
      <c r="O1354" s="2" t="n">
        <f aca="false">N1354*(1-O$1347)+N1353*O$1347</f>
        <v>0.0584825636001374</v>
      </c>
    </row>
    <row r="1355" customFormat="false" ht="15" hidden="false" customHeight="false" outlineLevel="0" collapsed="false">
      <c r="B1355" s="2" t="n">
        <v>7</v>
      </c>
      <c r="C1355" s="2" t="n">
        <f aca="false">0</f>
        <v>0</v>
      </c>
      <c r="D1355" s="2" t="n">
        <f aca="false">C1355*(1-D$1347)+C1354*D$1347</f>
        <v>0</v>
      </c>
      <c r="E1355" s="2" t="n">
        <f aca="false">D1355*(1-E$1347)+D1354*E$1347</f>
        <v>0</v>
      </c>
      <c r="F1355" s="2" t="n">
        <f aca="false">E1355*(1-F$1347)+E1354*F$1347</f>
        <v>0</v>
      </c>
      <c r="G1355" s="2" t="n">
        <f aca="false">F1355*(1-G$1347)+F1354*G$1347</f>
        <v>0</v>
      </c>
      <c r="H1355" s="2" t="n">
        <f aca="false">G1355*(1-H$1347)+G1354*H$1347</f>
        <v>0</v>
      </c>
      <c r="I1355" s="2" t="n">
        <f aca="false">H1355*(1-I$1347)+H1354*I$1347</f>
        <v>0.0359668976660936</v>
      </c>
      <c r="J1355" s="2" t="n">
        <f aca="false">I1355*(1-J$1347)+I1354*J$1347</f>
        <v>0.174326836336382</v>
      </c>
      <c r="K1355" s="2" t="n">
        <f aca="false">J1355*(1-K$1347)+J1354*K$1347</f>
        <v>0.32381139033531</v>
      </c>
      <c r="L1355" s="2" t="n">
        <f aca="false">K1355*(1-L$1347)+K1354*L$1347</f>
        <v>0.31772326056762</v>
      </c>
      <c r="M1355" s="2" t="n">
        <f aca="false">L1355*(1-M$1347)+L1354*M$1347</f>
        <v>0.216332155345962</v>
      </c>
      <c r="N1355" s="2" t="n">
        <f aca="false">M1355*(1-N$1347)+M1354*N$1347</f>
        <v>0.155325216645313</v>
      </c>
      <c r="O1355" s="2" t="n">
        <f aca="false">N1355*(1-O$1347)+N1354*O$1347</f>
        <v>0.155325216645313</v>
      </c>
    </row>
    <row r="1356" customFormat="false" ht="15" hidden="false" customHeight="false" outlineLevel="0" collapsed="false">
      <c r="B1356" s="2" t="n">
        <v>8</v>
      </c>
      <c r="C1356" s="2" t="n">
        <f aca="false">0</f>
        <v>0</v>
      </c>
      <c r="D1356" s="2" t="n">
        <f aca="false">C1356*(1-D$1347)+C1355*D$1347</f>
        <v>0</v>
      </c>
      <c r="E1356" s="2" t="n">
        <f aca="false">D1356*(1-E$1347)+D1355*E$1347</f>
        <v>0</v>
      </c>
      <c r="F1356" s="2" t="n">
        <f aca="false">E1356*(1-F$1347)+E1355*F$1347</f>
        <v>0</v>
      </c>
      <c r="G1356" s="2" t="n">
        <f aca="false">F1356*(1-G$1347)+F1355*G$1347</f>
        <v>0</v>
      </c>
      <c r="H1356" s="2" t="n">
        <f aca="false">G1356*(1-H$1347)+G1355*H$1347</f>
        <v>0</v>
      </c>
      <c r="I1356" s="2" t="n">
        <f aca="false">H1356*(1-I$1347)+H1355*I$1347</f>
        <v>0</v>
      </c>
      <c r="J1356" s="2" t="n">
        <f aca="false">I1356*(1-J$1347)+I1355*J$1347</f>
        <v>0.0253400769908293</v>
      </c>
      <c r="K1356" s="2" t="n">
        <f aca="false">J1356*(1-K$1347)+J1355*K$1347</f>
        <v>0.138277455912252</v>
      </c>
      <c r="L1356" s="2" t="n">
        <f aca="false">K1356*(1-L$1347)+K1355*L$1347</f>
        <v>0.275596913024798</v>
      </c>
      <c r="M1356" s="2" t="n">
        <f aca="false">L1356*(1-M$1347)+L1355*M$1347</f>
        <v>0.310975786720852</v>
      </c>
      <c r="N1356" s="2" t="n">
        <f aca="false">M1356*(1-N$1347)+M1355*N$1347</f>
        <v>0.264833696084185</v>
      </c>
      <c r="O1356" s="2" t="n">
        <f aca="false">N1356*(1-O$1347)+N1355*O$1347</f>
        <v>0.264833696084185</v>
      </c>
    </row>
    <row r="1357" customFormat="false" ht="15" hidden="false" customHeight="false" outlineLevel="0" collapsed="false">
      <c r="B1357" s="2" t="n">
        <v>9</v>
      </c>
      <c r="C1357" s="2" t="n">
        <f aca="false">0</f>
        <v>0</v>
      </c>
      <c r="D1357" s="2" t="n">
        <f aca="false">C1357*(1-D$1347)+C1356*D$1347</f>
        <v>0</v>
      </c>
      <c r="E1357" s="2" t="n">
        <f aca="false">D1357*(1-E$1347)+D1356*E$1347</f>
        <v>0</v>
      </c>
      <c r="F1357" s="2" t="n">
        <f aca="false">E1357*(1-F$1347)+E1356*F$1347</f>
        <v>0</v>
      </c>
      <c r="G1357" s="2" t="n">
        <f aca="false">F1357*(1-G$1347)+F1356*G$1347</f>
        <v>0</v>
      </c>
      <c r="H1357" s="2" t="n">
        <f aca="false">G1357*(1-H$1347)+G1356*H$1347</f>
        <v>0</v>
      </c>
      <c r="I1357" s="2" t="n">
        <f aca="false">H1357*(1-I$1347)+H1356*I$1347</f>
        <v>0</v>
      </c>
      <c r="J1357" s="2" t="n">
        <f aca="false">I1357*(1-J$1347)+I1356*J$1347</f>
        <v>0</v>
      </c>
      <c r="K1357" s="2" t="n">
        <f aca="false">J1357*(1-K$1347)+J1356*K$1347</f>
        <v>0.0192086994145144</v>
      </c>
      <c r="L1357" s="2" t="n">
        <f aca="false">K1357*(1-L$1347)+K1356*L$1347</f>
        <v>0.10733520334588</v>
      </c>
      <c r="M1357" s="2" t="n">
        <f aca="false">L1357*(1-M$1347)+L1356*M$1347</f>
        <v>0.248646048501906</v>
      </c>
      <c r="N1357" s="2" t="n">
        <f aca="false">M1357*(1-N$1347)+M1356*N$1347</f>
        <v>0.279033982570773</v>
      </c>
      <c r="O1357" s="2" t="n">
        <f aca="false">N1357*(1-O$1347)+N1356*O$1347</f>
        <v>0.279033982570773</v>
      </c>
    </row>
    <row r="1358" customFormat="false" ht="15" hidden="false" customHeight="false" outlineLevel="0" collapsed="false">
      <c r="B1358" s="2" t="n">
        <v>10</v>
      </c>
      <c r="C1358" s="2" t="n">
        <f aca="false">0</f>
        <v>0</v>
      </c>
      <c r="D1358" s="2" t="n">
        <f aca="false">C1358*(1-D$1347)+C1357*D$1347</f>
        <v>0</v>
      </c>
      <c r="E1358" s="2" t="n">
        <f aca="false">D1358*(1-E$1347)+D1357*E$1347</f>
        <v>0</v>
      </c>
      <c r="F1358" s="2" t="n">
        <f aca="false">E1358*(1-F$1347)+E1357*F$1347</f>
        <v>0</v>
      </c>
      <c r="G1358" s="2" t="n">
        <f aca="false">F1358*(1-G$1347)+F1357*G$1347</f>
        <v>0</v>
      </c>
      <c r="H1358" s="2" t="n">
        <f aca="false">G1358*(1-H$1347)+G1357*H$1347</f>
        <v>0</v>
      </c>
      <c r="I1358" s="2" t="n">
        <f aca="false">H1358*(1-I$1347)+H1357*I$1347</f>
        <v>0</v>
      </c>
      <c r="J1358" s="2" t="n">
        <f aca="false">I1358*(1-J$1347)+I1357*J$1347</f>
        <v>0</v>
      </c>
      <c r="K1358" s="2" t="n">
        <f aca="false">J1358*(1-K$1347)+J1357*K$1347</f>
        <v>0</v>
      </c>
      <c r="L1358" s="2" t="n">
        <f aca="false">K1358*(1-L$1347)+K1357*L$1347</f>
        <v>0.0142169581195028</v>
      </c>
      <c r="M1358" s="2" t="n">
        <f aca="false">L1358*(1-M$1347)+L1357*M$1347</f>
        <v>0.0924202401228477</v>
      </c>
      <c r="N1358" s="2" t="n">
        <f aca="false">M1358*(1-N$1347)+M1357*N$1347</f>
        <v>0.168585802509813</v>
      </c>
      <c r="O1358" s="2" t="n">
        <f aca="false">N1358*(1-O$1347)+N1357*O$1347</f>
        <v>0.168585802509813</v>
      </c>
    </row>
    <row r="1359" customFormat="false" ht="15" hidden="false" customHeight="false" outlineLevel="0" collapsed="false">
      <c r="B1359" s="2" t="n">
        <v>11</v>
      </c>
      <c r="C1359" s="2" t="n">
        <f aca="false">0</f>
        <v>0</v>
      </c>
      <c r="D1359" s="2" t="n">
        <f aca="false">C1359*(1-D$1347)+C1358*D$1347</f>
        <v>0</v>
      </c>
      <c r="E1359" s="2" t="n">
        <f aca="false">D1359*(1-E$1347)+D1358*E$1347</f>
        <v>0</v>
      </c>
      <c r="F1359" s="2" t="n">
        <f aca="false">E1359*(1-F$1347)+E1358*F$1347</f>
        <v>0</v>
      </c>
      <c r="G1359" s="2" t="n">
        <f aca="false">F1359*(1-G$1347)+F1358*G$1347</f>
        <v>0</v>
      </c>
      <c r="H1359" s="2" t="n">
        <f aca="false">G1359*(1-H$1347)+G1358*H$1347</f>
        <v>0</v>
      </c>
      <c r="I1359" s="2" t="n">
        <f aca="false">H1359*(1-I$1347)+H1358*I$1347</f>
        <v>0</v>
      </c>
      <c r="J1359" s="2" t="n">
        <f aca="false">I1359*(1-J$1347)+I1358*J$1347</f>
        <v>0</v>
      </c>
      <c r="K1359" s="2" t="n">
        <f aca="false">J1359*(1-K$1347)+J1358*K$1347</f>
        <v>0</v>
      </c>
      <c r="L1359" s="2" t="n">
        <f aca="false">K1359*(1-L$1347)+K1358*L$1347</f>
        <v>0</v>
      </c>
      <c r="M1359" s="2" t="n">
        <f aca="false">L1359*(1-M$1347)+L1358*M$1347</f>
        <v>0.0119397952822922</v>
      </c>
      <c r="N1359" s="2" t="n">
        <f aca="false">M1359*(1-N$1347)+M1358*N$1347</f>
        <v>0.0511768356025505</v>
      </c>
      <c r="O1359" s="2" t="n">
        <f aca="false">N1359*(1-O$1347)+N1358*O$1347</f>
        <v>0.0511768356025505</v>
      </c>
    </row>
    <row r="1360" customFormat="false" ht="15" hidden="false" customHeight="false" outlineLevel="0" collapsed="false">
      <c r="B1360" s="2" t="n">
        <v>12</v>
      </c>
      <c r="C1360" s="2" t="n">
        <f aca="false">0</f>
        <v>0</v>
      </c>
      <c r="D1360" s="2" t="n">
        <f aca="false">C1360*(1-D$1347)+C1359*D$1347</f>
        <v>0</v>
      </c>
      <c r="E1360" s="2" t="n">
        <f aca="false">D1360*(1-E$1347)+D1359*E$1347</f>
        <v>0</v>
      </c>
      <c r="F1360" s="2" t="n">
        <f aca="false">E1360*(1-F$1347)+E1359*F$1347</f>
        <v>0</v>
      </c>
      <c r="G1360" s="2" t="n">
        <f aca="false">F1360*(1-G$1347)+F1359*G$1347</f>
        <v>0</v>
      </c>
      <c r="H1360" s="2" t="n">
        <f aca="false">G1360*(1-H$1347)+G1359*H$1347</f>
        <v>0</v>
      </c>
      <c r="I1360" s="2" t="n">
        <f aca="false">H1360*(1-I$1347)+H1359*I$1347</f>
        <v>0</v>
      </c>
      <c r="J1360" s="2" t="n">
        <f aca="false">I1360*(1-J$1347)+I1359*J$1347</f>
        <v>0</v>
      </c>
      <c r="K1360" s="2" t="n">
        <f aca="false">J1360*(1-K$1347)+J1359*K$1347</f>
        <v>0</v>
      </c>
      <c r="L1360" s="2" t="n">
        <f aca="false">K1360*(1-L$1347)+K1359*L$1347</f>
        <v>0</v>
      </c>
      <c r="M1360" s="2" t="n">
        <f aca="false">L1360*(1-M$1347)+L1359*M$1347</f>
        <v>0</v>
      </c>
      <c r="N1360" s="2" t="n">
        <f aca="false">M1360*(1-N$1347)+M1359*N$1347</f>
        <v>0.00582106907876896</v>
      </c>
      <c r="O1360" s="2" t="n">
        <f aca="false">N1360*(1-O$1347)+N1359*O$1347</f>
        <v>0.00582106907876896</v>
      </c>
    </row>
    <row r="1361" customFormat="false" ht="15" hidden="false" customHeight="false" outlineLevel="0" collapsed="false">
      <c r="B1361" s="2" t="n">
        <v>13</v>
      </c>
      <c r="C1361" s="2" t="n">
        <f aca="false">0</f>
        <v>0</v>
      </c>
      <c r="D1361" s="2" t="n">
        <f aca="false">C1361*(1-D$1347)+C1360*D$1347</f>
        <v>0</v>
      </c>
      <c r="E1361" s="2" t="n">
        <f aca="false">D1361*(1-E$1347)+D1360*E$1347</f>
        <v>0</v>
      </c>
      <c r="F1361" s="2" t="n">
        <f aca="false">E1361*(1-F$1347)+E1360*F$1347</f>
        <v>0</v>
      </c>
      <c r="G1361" s="2" t="n">
        <f aca="false">F1361*(1-G$1347)+F1360*G$1347</f>
        <v>0</v>
      </c>
      <c r="H1361" s="2" t="n">
        <f aca="false">G1361*(1-H$1347)+G1360*H$1347</f>
        <v>0</v>
      </c>
      <c r="I1361" s="2" t="n">
        <f aca="false">H1361*(1-I$1347)+H1360*I$1347</f>
        <v>0</v>
      </c>
      <c r="J1361" s="2" t="n">
        <f aca="false">I1361*(1-J$1347)+I1360*J$1347</f>
        <v>0</v>
      </c>
      <c r="K1361" s="2" t="n">
        <f aca="false">J1361*(1-K$1347)+J1360*K$1347</f>
        <v>0</v>
      </c>
      <c r="L1361" s="2" t="n">
        <f aca="false">K1361*(1-L$1347)+K1360*L$1347</f>
        <v>0</v>
      </c>
      <c r="M1361" s="2" t="n">
        <f aca="false">L1361*(1-M$1347)+L1360*M$1347</f>
        <v>0</v>
      </c>
      <c r="N1361" s="2" t="n">
        <f aca="false">M1361*(1-N$1347)+M1360*N$1347</f>
        <v>0</v>
      </c>
      <c r="O1361" s="2" t="n">
        <f aca="false">N1361*(1-O$1347)+N1360*O$1347</f>
        <v>0</v>
      </c>
    </row>
    <row r="1363" customFormat="false" ht="15" hidden="false" customHeight="false" outlineLevel="0" collapsed="false">
      <c r="A1363" s="1" t="s">
        <v>143</v>
      </c>
      <c r="C1363" s="2" t="n">
        <f aca="false">Schedule!G87</f>
        <v>0.0789013953451527</v>
      </c>
      <c r="D1363" s="2" t="n">
        <f aca="false">Schedule!L87</f>
        <v>0.158655253931457</v>
      </c>
      <c r="E1363" s="2" t="n">
        <f aca="false">Schedule!Q87</f>
        <v>0.995824018722635</v>
      </c>
      <c r="F1363" s="2" t="n">
        <f aca="false">Schedule!V87</f>
        <v>0.240016340681267</v>
      </c>
      <c r="G1363" s="2" t="n">
        <f aca="false">Schedule!AA87</f>
        <v>0.490027481804762</v>
      </c>
      <c r="H1363" s="2" t="n">
        <f aca="false">Schedule!AF87</f>
        <v>0.527405690960468</v>
      </c>
      <c r="I1363" s="2" t="n">
        <f aca="false">Schedule!AK87</f>
        <v>0.470107355947105</v>
      </c>
      <c r="J1363" s="2" t="n">
        <f aca="false">Schedule!AP87</f>
        <v>0.333143300876488</v>
      </c>
      <c r="K1363" s="2" t="n">
        <f aca="false">Schedule!AU87</f>
        <v>0.319624171517118</v>
      </c>
      <c r="L1363" s="2" t="n">
        <f aca="false">Schedule!AZ87</f>
        <v>0.729896500998765</v>
      </c>
      <c r="M1363" s="2" t="n">
        <f aca="false">Schedule!BE87</f>
        <v>0.384474472208787</v>
      </c>
      <c r="N1363" s="2" t="n">
        <f aca="false">Schedule!BJ87</f>
        <v>0.593865540399242</v>
      </c>
      <c r="O1363" s="2" t="n">
        <f aca="false">Schedule!BO87</f>
        <v>0</v>
      </c>
    </row>
    <row r="1364" customFormat="false" ht="15" hidden="false" customHeight="false" outlineLevel="0" collapsed="false">
      <c r="B1364" s="2" t="n">
        <v>0</v>
      </c>
      <c r="C1364" s="2" t="n">
        <f aca="false">1-C$1363</f>
        <v>0.921098604654847</v>
      </c>
      <c r="D1364" s="2" t="n">
        <f aca="false">C1364*(1-D$1363)</f>
        <v>0.774961471637422</v>
      </c>
      <c r="E1364" s="2" t="n">
        <f aca="false">D1364*(1-E$1363)</f>
        <v>0.00323622459623681</v>
      </c>
      <c r="F1364" s="2" t="n">
        <f aca="false">E1364*(1-F$1363)</f>
        <v>0.00245947781102534</v>
      </c>
      <c r="G1364" s="2" t="n">
        <f aca="false">F1364*(1-G$1363)</f>
        <v>0.00125426609273391</v>
      </c>
      <c r="H1364" s="2" t="n">
        <f aca="false">G1364*(1-H$1363)</f>
        <v>0.000592759017447293</v>
      </c>
      <c r="I1364" s="2" t="n">
        <f aca="false">H1364*(1-I$1363)</f>
        <v>0.000314098643041342</v>
      </c>
      <c r="J1364" s="2" t="n">
        <f aca="false">I1364*(1-J$1363)</f>
        <v>0.000209458784297724</v>
      </c>
      <c r="K1364" s="2" t="n">
        <f aca="false">J1364*(1-K$1363)</f>
        <v>0.000142510693899581</v>
      </c>
      <c r="L1364" s="2" t="n">
        <f aca="false">K1364*(1-L$1363)</f>
        <v>3.84926370673708E-005</v>
      </c>
      <c r="M1364" s="2" t="n">
        <f aca="false">L1364*(1-M$1363)</f>
        <v>2.3693200746969E-005</v>
      </c>
      <c r="N1364" s="2" t="n">
        <f aca="false">M1364*(1-N$1363)</f>
        <v>9.62262528158253E-006</v>
      </c>
      <c r="O1364" s="2" t="n">
        <f aca="false">N1364*(1-O$1363)</f>
        <v>9.62262528158253E-006</v>
      </c>
    </row>
    <row r="1365" customFormat="false" ht="15" hidden="false" customHeight="false" outlineLevel="0" collapsed="false">
      <c r="B1365" s="2" t="n">
        <v>1</v>
      </c>
      <c r="C1365" s="2" t="n">
        <f aca="false">C$1363</f>
        <v>0.0789013953451527</v>
      </c>
      <c r="D1365" s="2" t="n">
        <f aca="false">C1365*(1-D$1363)+C1364*D$1363</f>
        <v>0.212520407448547</v>
      </c>
      <c r="E1365" s="2" t="n">
        <f aca="false">D1365*(1-E$1363)+D1364*E$1363</f>
        <v>0.772612728283748</v>
      </c>
      <c r="F1365" s="2" t="n">
        <f aca="false">E1365*(1-F$1363)+E1364*F$1363</f>
        <v>0.587949795262524</v>
      </c>
      <c r="G1365" s="2" t="n">
        <f aca="false">F1365*(1-G$1363)+F1364*G$1363</f>
        <v>0.301043449380696</v>
      </c>
      <c r="H1365" s="2" t="n">
        <f aca="false">G1365*(1-H$1363)+G1364*H$1363</f>
        <v>0.142932928026234</v>
      </c>
      <c r="I1365" s="2" t="n">
        <f aca="false">H1365*(1-I$1363)+H1364*I$1363</f>
        <v>0.076017767528449</v>
      </c>
      <c r="J1365" s="2" t="n">
        <f aca="false">I1365*(1-J$1363)+I1364*J$1363</f>
        <v>0.0507975973875036</v>
      </c>
      <c r="K1365" s="2" t="n">
        <f aca="false">J1365*(1-K$1363)+J1364*K$1363</f>
        <v>0.0346284054978608</v>
      </c>
      <c r="L1365" s="2" t="n">
        <f aca="false">K1365*(1-L$1363)+K1364*L$1363</f>
        <v>0.00945727154663803</v>
      </c>
      <c r="M1365" s="2" t="n">
        <f aca="false">L1365*(1-M$1363)+L1364*M$1363</f>
        <v>0.00583599149652959</v>
      </c>
      <c r="N1365" s="2" t="n">
        <f aca="false">M1365*(1-N$1363)+M1364*N$1363</f>
        <v>0.00238426782814305</v>
      </c>
      <c r="O1365" s="2" t="n">
        <f aca="false">N1365*(1-O$1363)+N1364*O$1363</f>
        <v>0.00238426782814305</v>
      </c>
    </row>
    <row r="1366" customFormat="false" ht="15" hidden="false" customHeight="false" outlineLevel="0" collapsed="false">
      <c r="B1366" s="2" t="n">
        <v>2</v>
      </c>
      <c r="C1366" s="2" t="n">
        <f aca="false">0</f>
        <v>0</v>
      </c>
      <c r="D1366" s="2" t="n">
        <f aca="false">C1366*(1-D$1363)+C1365*D$1363</f>
        <v>0.0125181209140315</v>
      </c>
      <c r="E1366" s="2" t="n">
        <f aca="false">D1366*(1-E$1363)+D1365*E$1363</f>
        <v>0.211685201644549</v>
      </c>
      <c r="F1366" s="2" t="n">
        <f aca="false">E1366*(1-F$1363)+E1365*F$1363</f>
        <v>0.346316973975883</v>
      </c>
      <c r="G1366" s="2" t="n">
        <f aca="false">F1366*(1-G$1363)+F1365*G$1363</f>
        <v>0.464723696912356</v>
      </c>
      <c r="H1366" s="2" t="n">
        <f aca="false">G1366*(1-H$1363)+G1365*H$1363</f>
        <v>0.37839780286634</v>
      </c>
      <c r="I1366" s="2" t="n">
        <f aca="false">H1366*(1-I$1363)+H1365*I$1363</f>
        <v>0.267704033136842</v>
      </c>
      <c r="J1366" s="2" t="n">
        <f aca="false">I1366*(1-J$1363)+I1365*J$1363</f>
        <v>0.203845037879374</v>
      </c>
      <c r="K1366" s="2" t="n">
        <f aca="false">J1366*(1-K$1363)+J1365*K$1363</f>
        <v>0.154927376509345</v>
      </c>
      <c r="L1366" s="2" t="n">
        <f aca="false">K1366*(1-L$1363)+K1365*L$1363</f>
        <v>0.0671215784943108</v>
      </c>
      <c r="M1366" s="2" t="n">
        <f aca="false">L1366*(1-M$1363)+L1365*M$1363</f>
        <v>0.0449511245153188</v>
      </c>
      <c r="N1366" s="2" t="n">
        <f aca="false">M1366*(1-N$1363)+M1365*N$1363</f>
        <v>0.0217219949073273</v>
      </c>
      <c r="O1366" s="2" t="n">
        <f aca="false">N1366*(1-O$1363)+N1365*O$1363</f>
        <v>0.0217219949073273</v>
      </c>
    </row>
    <row r="1367" customFormat="false" ht="15" hidden="false" customHeight="false" outlineLevel="0" collapsed="false">
      <c r="B1367" s="2" t="n">
        <v>3</v>
      </c>
      <c r="C1367" s="2" t="n">
        <f aca="false">0</f>
        <v>0</v>
      </c>
      <c r="D1367" s="2" t="n">
        <f aca="false">C1367*(1-D$1363)+C1366*D$1363</f>
        <v>0</v>
      </c>
      <c r="E1367" s="2" t="n">
        <f aca="false">D1367*(1-E$1363)+D1366*E$1363</f>
        <v>0.0124658454754667</v>
      </c>
      <c r="F1367" s="2" t="n">
        <f aca="false">E1367*(1-F$1363)+E1366*F$1363</f>
        <v>0.0602817463360477</v>
      </c>
      <c r="G1367" s="2" t="n">
        <f aca="false">F1367*(1-G$1363)+F1366*G$1363</f>
        <v>0.200446868643848</v>
      </c>
      <c r="H1367" s="2" t="n">
        <f aca="false">G1367*(1-H$1363)+G1366*H$1363</f>
        <v>0.339827971861641</v>
      </c>
      <c r="I1367" s="2" t="n">
        <f aca="false">H1367*(1-I$1363)+H1366*I$1363</f>
        <v>0.357959933134587</v>
      </c>
      <c r="J1367" s="2" t="n">
        <f aca="false">I1367*(1-J$1363)+I1366*J$1363</f>
        <v>0.32789178468576</v>
      </c>
      <c r="K1367" s="2" t="n">
        <f aca="false">J1367*(1-K$1363)+J1366*K$1363</f>
        <v>0.288243446008375</v>
      </c>
      <c r="L1367" s="2" t="n">
        <f aca="false">K1367*(1-L$1363)+K1366*L$1363</f>
        <v>0.190936513354125</v>
      </c>
      <c r="M1367" s="2" t="n">
        <f aca="false">L1367*(1-M$1363)+L1366*M$1363</f>
        <v>0.143332831622332</v>
      </c>
      <c r="N1367" s="2" t="n">
        <f aca="false">M1367*(1-N$1363)+M1366*N$1363</f>
        <v>0.0849073259658258</v>
      </c>
      <c r="O1367" s="2" t="n">
        <f aca="false">N1367*(1-O$1363)+N1366*O$1363</f>
        <v>0.0849073259658258</v>
      </c>
    </row>
    <row r="1368" customFormat="false" ht="15" hidden="false" customHeight="false" outlineLevel="0" collapsed="false">
      <c r="B1368" s="2" t="n">
        <v>4</v>
      </c>
      <c r="C1368" s="2" t="n">
        <f aca="false">0</f>
        <v>0</v>
      </c>
      <c r="D1368" s="2" t="n">
        <f aca="false">C1368*(1-D$1363)+C1367*D$1363</f>
        <v>0</v>
      </c>
      <c r="E1368" s="2" t="n">
        <f aca="false">D1368*(1-E$1363)+D1367*E$1363</f>
        <v>0</v>
      </c>
      <c r="F1368" s="2" t="n">
        <f aca="false">E1368*(1-F$1363)+E1367*F$1363</f>
        <v>0.00299200661451964</v>
      </c>
      <c r="G1368" s="2" t="n">
        <f aca="false">F1368*(1-G$1363)+F1367*G$1363</f>
        <v>0.0310655535035103</v>
      </c>
      <c r="H1368" s="2" t="n">
        <f aca="false">G1368*(1-H$1363)+G1367*H$1363</f>
        <v>0.120398223050893</v>
      </c>
      <c r="I1368" s="2" t="n">
        <f aca="false">H1368*(1-I$1363)+H1367*I$1363</f>
        <v>0.223553762080451</v>
      </c>
      <c r="J1368" s="2" t="n">
        <f aca="false">I1368*(1-J$1363)+I1367*J$1363</f>
        <v>0.268330277563596</v>
      </c>
      <c r="K1368" s="2" t="n">
        <f aca="false">J1368*(1-K$1363)+J1367*K$1363</f>
        <v>0.287367574931829</v>
      </c>
      <c r="L1368" s="2" t="n">
        <f aca="false">K1368*(1-L$1363)+K1367*L$1363</f>
        <v>0.288006870165926</v>
      </c>
      <c r="M1368" s="2" t="n">
        <f aca="false">L1368*(1-M$1363)+L1367*M$1363</f>
        <v>0.25068579596359</v>
      </c>
      <c r="N1368" s="2" t="n">
        <f aca="false">M1368*(1-N$1363)+M1367*N$1363</f>
        <v>0.186932569781609</v>
      </c>
      <c r="O1368" s="2" t="n">
        <f aca="false">N1368*(1-O$1363)+N1367*O$1363</f>
        <v>0.186932569781609</v>
      </c>
    </row>
    <row r="1369" customFormat="false" ht="15" hidden="false" customHeight="false" outlineLevel="0" collapsed="false">
      <c r="B1369" s="2" t="n">
        <v>5</v>
      </c>
      <c r="C1369" s="2" t="n">
        <f aca="false">0</f>
        <v>0</v>
      </c>
      <c r="D1369" s="2" t="n">
        <f aca="false">C1369*(1-D$1363)+C1368*D$1363</f>
        <v>0</v>
      </c>
      <c r="E1369" s="2" t="n">
        <f aca="false">D1369*(1-E$1363)+D1368*E$1363</f>
        <v>0</v>
      </c>
      <c r="F1369" s="2" t="n">
        <f aca="false">E1369*(1-F$1363)+E1368*F$1363</f>
        <v>0</v>
      </c>
      <c r="G1369" s="2" t="n">
        <f aca="false">F1369*(1-G$1363)+F1368*G$1363</f>
        <v>0.00146616546685625</v>
      </c>
      <c r="H1369" s="2" t="n">
        <f aca="false">G1369*(1-H$1363)+G1368*H$1363</f>
        <v>0.0170770511663348</v>
      </c>
      <c r="I1369" s="2" t="n">
        <f aca="false">H1369*(1-I$1363)+H1368*I$1363</f>
        <v>0.0656490940943408</v>
      </c>
      <c r="J1369" s="2" t="n">
        <f aca="false">I1369*(1-J$1363)+I1368*J$1363</f>
        <v>0.11825397641104</v>
      </c>
      <c r="K1369" s="2" t="n">
        <f aca="false">J1369*(1-K$1363)+J1368*K$1363</f>
        <v>0.166221989831279</v>
      </c>
      <c r="L1369" s="2" t="n">
        <f aca="false">K1369*(1-L$1363)+K1368*L$1363</f>
        <v>0.254645728507618</v>
      </c>
      <c r="M1369" s="2" t="n">
        <f aca="false">L1369*(1-M$1363)+L1368*M$1363</f>
        <v>0.267472235838979</v>
      </c>
      <c r="N1369" s="2" t="n">
        <f aca="false">M1369*(1-N$1363)+M1368*N$1363</f>
        <v>0.257503347651002</v>
      </c>
      <c r="O1369" s="2" t="n">
        <f aca="false">N1369*(1-O$1363)+N1368*O$1363</f>
        <v>0.257503347651002</v>
      </c>
    </row>
    <row r="1370" customFormat="false" ht="15" hidden="false" customHeight="false" outlineLevel="0" collapsed="false">
      <c r="B1370" s="2" t="n">
        <v>6</v>
      </c>
      <c r="C1370" s="2" t="n">
        <f aca="false">0</f>
        <v>0</v>
      </c>
      <c r="D1370" s="2" t="n">
        <f aca="false">C1370*(1-D$1363)+C1369*D$1363</f>
        <v>0</v>
      </c>
      <c r="E1370" s="2" t="n">
        <f aca="false">D1370*(1-E$1363)+D1369*E$1363</f>
        <v>0</v>
      </c>
      <c r="F1370" s="2" t="n">
        <f aca="false">E1370*(1-F$1363)+E1369*F$1363</f>
        <v>0</v>
      </c>
      <c r="G1370" s="2" t="n">
        <f aca="false">F1370*(1-G$1363)+F1369*G$1363</f>
        <v>0</v>
      </c>
      <c r="H1370" s="2" t="n">
        <f aca="false">G1370*(1-H$1363)+G1369*H$1363</f>
        <v>0.000773264011109699</v>
      </c>
      <c r="I1370" s="2" t="n">
        <f aca="false">H1370*(1-I$1363)+H1369*I$1363</f>
        <v>0.00843779428257694</v>
      </c>
      <c r="J1370" s="2" t="n">
        <f aca="false">I1370*(1-J$1363)+I1369*J$1363</f>
        <v>0.0274973555493024</v>
      </c>
      <c r="K1370" s="2" t="n">
        <f aca="false">J1370*(1-K$1363)+J1369*K$1363</f>
        <v>0.0565053653019283</v>
      </c>
      <c r="L1370" s="2" t="n">
        <f aca="false">K1370*(1-L$1363)+K1369*L$1363</f>
        <v>0.136587145647297</v>
      </c>
      <c r="M1370" s="2" t="n">
        <f aca="false">L1370*(1-M$1363)+L1369*M$1363</f>
        <v>0.181977656982236</v>
      </c>
      <c r="N1370" s="2" t="n">
        <f aca="false">M1370*(1-N$1363)+M1369*N$1363</f>
        <v>0.232749941256201</v>
      </c>
      <c r="O1370" s="2" t="n">
        <f aca="false">N1370*(1-O$1363)+N1369*O$1363</f>
        <v>0.232749941256201</v>
      </c>
    </row>
    <row r="1371" customFormat="false" ht="15" hidden="false" customHeight="false" outlineLevel="0" collapsed="false">
      <c r="B1371" s="2" t="n">
        <v>7</v>
      </c>
      <c r="C1371" s="2" t="n">
        <f aca="false">0</f>
        <v>0</v>
      </c>
      <c r="D1371" s="2" t="n">
        <f aca="false">C1371*(1-D$1363)+C1370*D$1363</f>
        <v>0</v>
      </c>
      <c r="E1371" s="2" t="n">
        <f aca="false">D1371*(1-E$1363)+D1370*E$1363</f>
        <v>0</v>
      </c>
      <c r="F1371" s="2" t="n">
        <f aca="false">E1371*(1-F$1363)+E1370*F$1363</f>
        <v>0</v>
      </c>
      <c r="G1371" s="2" t="n">
        <f aca="false">F1371*(1-G$1363)+F1370*G$1363</f>
        <v>0</v>
      </c>
      <c r="H1371" s="2" t="n">
        <f aca="false">G1371*(1-H$1363)+G1370*H$1363</f>
        <v>0</v>
      </c>
      <c r="I1371" s="2" t="n">
        <f aca="false">H1371*(1-I$1363)+H1370*I$1363</f>
        <v>0.000363517099711834</v>
      </c>
      <c r="J1371" s="2" t="n">
        <f aca="false">I1371*(1-J$1363)+I1370*J$1363</f>
        <v>0.00305340845260323</v>
      </c>
      <c r="K1371" s="2" t="n">
        <f aca="false">J1371*(1-K$1363)+J1370*K$1363</f>
        <v>0.0108662847919939</v>
      </c>
      <c r="L1371" s="2" t="n">
        <f aca="false">K1371*(1-L$1363)+K1370*L$1363</f>
        <v>0.0441780899649959</v>
      </c>
      <c r="M1371" s="2" t="n">
        <f aca="false">L1371*(1-M$1363)+L1370*M$1363</f>
        <v>0.0797070128757609</v>
      </c>
      <c r="N1371" s="2" t="n">
        <f aca="false">M1371*(1-N$1363)+M1370*N$1363</f>
        <v>0.140442024205031</v>
      </c>
      <c r="O1371" s="2" t="n">
        <f aca="false">N1371*(1-O$1363)+N1370*O$1363</f>
        <v>0.140442024205031</v>
      </c>
    </row>
    <row r="1372" customFormat="false" ht="15" hidden="false" customHeight="false" outlineLevel="0" collapsed="false">
      <c r="B1372" s="2" t="n">
        <v>8</v>
      </c>
      <c r="C1372" s="2" t="n">
        <f aca="false">0</f>
        <v>0</v>
      </c>
      <c r="D1372" s="2" t="n">
        <f aca="false">C1372*(1-D$1363)+C1371*D$1363</f>
        <v>0</v>
      </c>
      <c r="E1372" s="2" t="n">
        <f aca="false">D1372*(1-E$1363)+D1371*E$1363</f>
        <v>0</v>
      </c>
      <c r="F1372" s="2" t="n">
        <f aca="false">E1372*(1-F$1363)+E1371*F$1363</f>
        <v>0</v>
      </c>
      <c r="G1372" s="2" t="n">
        <f aca="false">F1372*(1-G$1363)+F1371*G$1363</f>
        <v>0</v>
      </c>
      <c r="H1372" s="2" t="n">
        <f aca="false">G1372*(1-H$1363)+G1371*H$1363</f>
        <v>0</v>
      </c>
      <c r="I1372" s="2" t="n">
        <f aca="false">H1372*(1-I$1363)+H1371*I$1363</f>
        <v>0</v>
      </c>
      <c r="J1372" s="2" t="n">
        <f aca="false">I1372*(1-J$1363)+I1371*J$1363</f>
        <v>0.000121103286523048</v>
      </c>
      <c r="K1372" s="2" t="n">
        <f aca="false">J1372*(1-K$1363)+J1371*K$1363</f>
        <v>0.00105833889586679</v>
      </c>
      <c r="L1372" s="2" t="n">
        <f aca="false">K1372*(1-L$1363)+K1371*L$1363</f>
        <v>0.00821712428743519</v>
      </c>
      <c r="M1372" s="2" t="n">
        <f aca="false">L1372*(1-M$1363)+L1371*M$1363</f>
        <v>0.0220431975864337</v>
      </c>
      <c r="N1372" s="2" t="n">
        <f aca="false">M1372*(1-N$1363)+M1371*N$1363</f>
        <v>0.0562877504147121</v>
      </c>
      <c r="O1372" s="2" t="n">
        <f aca="false">N1372*(1-O$1363)+N1371*O$1363</f>
        <v>0.0562877504147121</v>
      </c>
    </row>
    <row r="1373" customFormat="false" ht="15" hidden="false" customHeight="false" outlineLevel="0" collapsed="false">
      <c r="B1373" s="2" t="n">
        <v>9</v>
      </c>
      <c r="C1373" s="2" t="n">
        <f aca="false">0</f>
        <v>0</v>
      </c>
      <c r="D1373" s="2" t="n">
        <f aca="false">C1373*(1-D$1363)+C1372*D$1363</f>
        <v>0</v>
      </c>
      <c r="E1373" s="2" t="n">
        <f aca="false">D1373*(1-E$1363)+D1372*E$1363</f>
        <v>0</v>
      </c>
      <c r="F1373" s="2" t="n">
        <f aca="false">E1373*(1-F$1363)+E1372*F$1363</f>
        <v>0</v>
      </c>
      <c r="G1373" s="2" t="n">
        <f aca="false">F1373*(1-G$1363)+F1372*G$1363</f>
        <v>0</v>
      </c>
      <c r="H1373" s="2" t="n">
        <f aca="false">G1373*(1-H$1363)+G1372*H$1363</f>
        <v>0</v>
      </c>
      <c r="I1373" s="2" t="n">
        <f aca="false">H1373*(1-I$1363)+H1372*I$1363</f>
        <v>0</v>
      </c>
      <c r="J1373" s="2" t="n">
        <f aca="false">I1373*(1-J$1363)+I1372*J$1363</f>
        <v>0</v>
      </c>
      <c r="K1373" s="2" t="n">
        <f aca="false">J1373*(1-K$1363)+J1372*K$1363</f>
        <v>3.87075376229293E-005</v>
      </c>
      <c r="L1373" s="2" t="n">
        <f aca="false">K1373*(1-L$1363)+K1372*L$1363</f>
        <v>0.000782932898313741</v>
      </c>
      <c r="M1373" s="2" t="n">
        <f aca="false">L1373*(1-M$1363)+L1372*M$1363</f>
        <v>0.00364118970894532</v>
      </c>
      <c r="N1373" s="2" t="n">
        <f aca="false">M1373*(1-N$1363)+M1372*N$1363</f>
        <v>0.0145695080615411</v>
      </c>
      <c r="O1373" s="2" t="n">
        <f aca="false">N1373*(1-O$1363)+N1372*O$1363</f>
        <v>0.0145695080615411</v>
      </c>
    </row>
    <row r="1374" customFormat="false" ht="15" hidden="false" customHeight="false" outlineLevel="0" collapsed="false">
      <c r="B1374" s="2" t="n">
        <v>10</v>
      </c>
      <c r="C1374" s="2" t="n">
        <f aca="false">0</f>
        <v>0</v>
      </c>
      <c r="D1374" s="2" t="n">
        <f aca="false">C1374*(1-D$1363)+C1373*D$1363</f>
        <v>0</v>
      </c>
      <c r="E1374" s="2" t="n">
        <f aca="false">D1374*(1-E$1363)+D1373*E$1363</f>
        <v>0</v>
      </c>
      <c r="F1374" s="2" t="n">
        <f aca="false">E1374*(1-F$1363)+E1373*F$1363</f>
        <v>0</v>
      </c>
      <c r="G1374" s="2" t="n">
        <f aca="false">F1374*(1-G$1363)+F1373*G$1363</f>
        <v>0</v>
      </c>
      <c r="H1374" s="2" t="n">
        <f aca="false">G1374*(1-H$1363)+G1373*H$1363</f>
        <v>0</v>
      </c>
      <c r="I1374" s="2" t="n">
        <f aca="false">H1374*(1-I$1363)+H1373*I$1363</f>
        <v>0</v>
      </c>
      <c r="J1374" s="2" t="n">
        <f aca="false">I1374*(1-J$1363)+I1373*J$1363</f>
        <v>0</v>
      </c>
      <c r="K1374" s="2" t="n">
        <f aca="false">J1374*(1-K$1363)+J1373*K$1363</f>
        <v>0</v>
      </c>
      <c r="L1374" s="2" t="n">
        <f aca="false">K1374*(1-L$1363)+K1373*L$1363</f>
        <v>2.82524962732541E-005</v>
      </c>
      <c r="M1374" s="2" t="n">
        <f aca="false">L1374*(1-M$1363)+L1373*M$1363</f>
        <v>0.000318407845534086</v>
      </c>
      <c r="N1374" s="2" t="n">
        <f aca="false">M1374*(1-N$1363)+M1373*N$1363</f>
        <v>0.0022916934924776</v>
      </c>
      <c r="O1374" s="2" t="n">
        <f aca="false">N1374*(1-O$1363)+N1373*O$1363</f>
        <v>0.0022916934924776</v>
      </c>
    </row>
    <row r="1375" customFormat="false" ht="15" hidden="false" customHeight="false" outlineLevel="0" collapsed="false">
      <c r="B1375" s="2" t="n">
        <v>11</v>
      </c>
      <c r="C1375" s="2" t="n">
        <f aca="false">0</f>
        <v>0</v>
      </c>
      <c r="D1375" s="2" t="n">
        <f aca="false">C1375*(1-D$1363)+C1374*D$1363</f>
        <v>0</v>
      </c>
      <c r="E1375" s="2" t="n">
        <f aca="false">D1375*(1-E$1363)+D1374*E$1363</f>
        <v>0</v>
      </c>
      <c r="F1375" s="2" t="n">
        <f aca="false">E1375*(1-F$1363)+E1374*F$1363</f>
        <v>0</v>
      </c>
      <c r="G1375" s="2" t="n">
        <f aca="false">F1375*(1-G$1363)+F1374*G$1363</f>
        <v>0</v>
      </c>
      <c r="H1375" s="2" t="n">
        <f aca="false">G1375*(1-H$1363)+G1374*H$1363</f>
        <v>0</v>
      </c>
      <c r="I1375" s="2" t="n">
        <f aca="false">H1375*(1-I$1363)+H1374*I$1363</f>
        <v>0</v>
      </c>
      <c r="J1375" s="2" t="n">
        <f aca="false">I1375*(1-J$1363)+I1374*J$1363</f>
        <v>0</v>
      </c>
      <c r="K1375" s="2" t="n">
        <f aca="false">J1375*(1-K$1363)+J1374*K$1363</f>
        <v>0</v>
      </c>
      <c r="L1375" s="2" t="n">
        <f aca="false">K1375*(1-L$1363)+K1374*L$1363</f>
        <v>0</v>
      </c>
      <c r="M1375" s="2" t="n">
        <f aca="false">L1375*(1-M$1363)+L1374*M$1363</f>
        <v>1.08623635932401E-005</v>
      </c>
      <c r="N1375" s="2" t="n">
        <f aca="false">M1375*(1-N$1363)+M1374*N$1363</f>
        <v>0.000193503027423386</v>
      </c>
      <c r="O1375" s="2" t="n">
        <f aca="false">N1375*(1-O$1363)+N1374*O$1363</f>
        <v>0.000193503027423386</v>
      </c>
    </row>
    <row r="1376" customFormat="false" ht="15" hidden="false" customHeight="false" outlineLevel="0" collapsed="false">
      <c r="B1376" s="2" t="n">
        <v>12</v>
      </c>
      <c r="C1376" s="2" t="n">
        <f aca="false">0</f>
        <v>0</v>
      </c>
      <c r="D1376" s="2" t="n">
        <f aca="false">C1376*(1-D$1363)+C1375*D$1363</f>
        <v>0</v>
      </c>
      <c r="E1376" s="2" t="n">
        <f aca="false">D1376*(1-E$1363)+D1375*E$1363</f>
        <v>0</v>
      </c>
      <c r="F1376" s="2" t="n">
        <f aca="false">E1376*(1-F$1363)+E1375*F$1363</f>
        <v>0</v>
      </c>
      <c r="G1376" s="2" t="n">
        <f aca="false">F1376*(1-G$1363)+F1375*G$1363</f>
        <v>0</v>
      </c>
      <c r="H1376" s="2" t="n">
        <f aca="false">G1376*(1-H$1363)+G1375*H$1363</f>
        <v>0</v>
      </c>
      <c r="I1376" s="2" t="n">
        <f aca="false">H1376*(1-I$1363)+H1375*I$1363</f>
        <v>0</v>
      </c>
      <c r="J1376" s="2" t="n">
        <f aca="false">I1376*(1-J$1363)+I1375*J$1363</f>
        <v>0</v>
      </c>
      <c r="K1376" s="2" t="n">
        <f aca="false">J1376*(1-K$1363)+J1375*K$1363</f>
        <v>0</v>
      </c>
      <c r="L1376" s="2" t="n">
        <f aca="false">K1376*(1-L$1363)+K1375*L$1363</f>
        <v>0</v>
      </c>
      <c r="M1376" s="2" t="n">
        <f aca="false">L1376*(1-M$1363)+L1375*M$1363</f>
        <v>0</v>
      </c>
      <c r="N1376" s="2" t="n">
        <f aca="false">M1376*(1-N$1363)+M1375*N$1363</f>
        <v>6.45078342531259E-006</v>
      </c>
      <c r="O1376" s="2" t="n">
        <f aca="false">N1376*(1-O$1363)+N1375*O$1363</f>
        <v>6.45078342531259E-006</v>
      </c>
    </row>
    <row r="1377" customFormat="false" ht="15" hidden="false" customHeight="false" outlineLevel="0" collapsed="false">
      <c r="B1377" s="2" t="n">
        <v>13</v>
      </c>
      <c r="C1377" s="2" t="n">
        <f aca="false">0</f>
        <v>0</v>
      </c>
      <c r="D1377" s="2" t="n">
        <f aca="false">C1377*(1-D$1363)+C1376*D$1363</f>
        <v>0</v>
      </c>
      <c r="E1377" s="2" t="n">
        <f aca="false">D1377*(1-E$1363)+D1376*E$1363</f>
        <v>0</v>
      </c>
      <c r="F1377" s="2" t="n">
        <f aca="false">E1377*(1-F$1363)+E1376*F$1363</f>
        <v>0</v>
      </c>
      <c r="G1377" s="2" t="n">
        <f aca="false">F1377*(1-G$1363)+F1376*G$1363</f>
        <v>0</v>
      </c>
      <c r="H1377" s="2" t="n">
        <f aca="false">G1377*(1-H$1363)+G1376*H$1363</f>
        <v>0</v>
      </c>
      <c r="I1377" s="2" t="n">
        <f aca="false">H1377*(1-I$1363)+H1376*I$1363</f>
        <v>0</v>
      </c>
      <c r="J1377" s="2" t="n">
        <f aca="false">I1377*(1-J$1363)+I1376*J$1363</f>
        <v>0</v>
      </c>
      <c r="K1377" s="2" t="n">
        <f aca="false">J1377*(1-K$1363)+J1376*K$1363</f>
        <v>0</v>
      </c>
      <c r="L1377" s="2" t="n">
        <f aca="false">K1377*(1-L$1363)+K1376*L$1363</f>
        <v>0</v>
      </c>
      <c r="M1377" s="2" t="n">
        <f aca="false">L1377*(1-M$1363)+L1376*M$1363</f>
        <v>0</v>
      </c>
      <c r="N1377" s="2" t="n">
        <f aca="false">M1377*(1-N$1363)+M1376*N$1363</f>
        <v>0</v>
      </c>
      <c r="O1377" s="2" t="n">
        <f aca="false">N1377*(1-O$1363)+N1376*O$1363</f>
        <v>0</v>
      </c>
    </row>
    <row r="1379" customFormat="false" ht="15" hidden="false" customHeight="false" outlineLevel="0" collapsed="false">
      <c r="A1379" s="1" t="s">
        <v>144</v>
      </c>
      <c r="C1379" s="2" t="n">
        <f aca="false">Schedule!G88</f>
        <v>0.219169829793377</v>
      </c>
      <c r="D1379" s="2" t="n">
        <f aca="false">Schedule!L88</f>
        <v>0.788144601416603</v>
      </c>
      <c r="E1379" s="2" t="n">
        <f aca="false">Schedule!Q88</f>
        <v>0.158655253931457</v>
      </c>
      <c r="F1379" s="2" t="n">
        <f aca="false">Schedule!V88</f>
        <v>0.881248288142535</v>
      </c>
      <c r="G1379" s="2" t="n">
        <f aca="false">Schedule!AA88</f>
        <v>0.391658119153605</v>
      </c>
      <c r="H1379" s="2" t="n">
        <f aca="false">Schedule!AF88</f>
        <v>0.447788771872615</v>
      </c>
      <c r="I1379" s="2" t="n">
        <f aca="false">Schedule!AK88</f>
        <v>0.48255184155421</v>
      </c>
      <c r="J1379" s="2" t="n">
        <f aca="false">Schedule!AP88</f>
        <v>0.860207038932886</v>
      </c>
      <c r="K1379" s="2" t="n">
        <f aca="false">Schedule!AU88</f>
        <v>0.605938963847754</v>
      </c>
      <c r="L1379" s="2" t="n">
        <f aca="false">Schedule!AZ88</f>
        <v>0.702377225633592</v>
      </c>
      <c r="M1379" s="2" t="n">
        <f aca="false">Schedule!BE88</f>
        <v>0.729896500998765</v>
      </c>
      <c r="N1379" s="2" t="n">
        <f aca="false">Schedule!BJ88</f>
        <v>0.374958048081219</v>
      </c>
      <c r="O1379" s="2" t="n">
        <f aca="false">Schedule!BO88</f>
        <v>0</v>
      </c>
    </row>
    <row r="1380" customFormat="false" ht="15" hidden="false" customHeight="false" outlineLevel="0" collapsed="false">
      <c r="B1380" s="2" t="n">
        <v>0</v>
      </c>
      <c r="C1380" s="2" t="n">
        <f aca="false">1-C$1379</f>
        <v>0.780830170206623</v>
      </c>
      <c r="D1380" s="2" t="n">
        <f aca="false">C1380*(1-D$1379)</f>
        <v>0.165423086935065</v>
      </c>
      <c r="E1380" s="2" t="n">
        <f aca="false">D1380*(1-E$1379)</f>
        <v>0.139177845071257</v>
      </c>
      <c r="F1380" s="2" t="n">
        <f aca="false">E1380*(1-F$1379)</f>
        <v>0.0165276073548448</v>
      </c>
      <c r="G1380" s="2" t="n">
        <f aca="false">F1380*(1-G$1379)</f>
        <v>0.010054435744137</v>
      </c>
      <c r="H1380" s="2" t="n">
        <f aca="false">G1380*(1-H$1379)</f>
        <v>0.00555217231039777</v>
      </c>
      <c r="I1380" s="2" t="n">
        <f aca="false">H1380*(1-I$1379)</f>
        <v>0.00287296133738903</v>
      </c>
      <c r="J1380" s="2" t="n">
        <f aca="false">I1380*(1-J$1379)</f>
        <v>0.000401619772384948</v>
      </c>
      <c r="K1380" s="2" t="n">
        <f aca="false">J1380*(1-K$1379)</f>
        <v>0.000158262703645242</v>
      </c>
      <c r="L1380" s="2" t="n">
        <f aca="false">K1380*(1-L$1379)</f>
        <v>4.71025849376254E-005</v>
      </c>
      <c r="M1380" s="2" t="n">
        <f aca="false">L1380*(1-M$1379)</f>
        <v>1.27225730036555E-005</v>
      </c>
      <c r="N1380" s="2" t="n">
        <f aca="false">M1380*(1-N$1379)</f>
        <v>7.95214186363403E-006</v>
      </c>
      <c r="O1380" s="2" t="n">
        <f aca="false">N1380*(1-O$1379)</f>
        <v>7.95214186363403E-006</v>
      </c>
    </row>
    <row r="1381" customFormat="false" ht="15" hidden="false" customHeight="false" outlineLevel="0" collapsed="false">
      <c r="B1381" s="2" t="n">
        <v>1</v>
      </c>
      <c r="C1381" s="2" t="n">
        <f aca="false">C$1379</f>
        <v>0.219169829793377</v>
      </c>
      <c r="D1381" s="2" t="n">
        <f aca="false">C1381*(1-D$1379)+C1380*D$1379</f>
        <v>0.661839394919888</v>
      </c>
      <c r="E1381" s="2" t="n">
        <f aca="false">D1381*(1-E$1379)+D1380*E$1379</f>
        <v>0.58308033952084</v>
      </c>
      <c r="F1381" s="2" t="n">
        <f aca="false">E1381*(1-F$1379)+E1380*F$1379</f>
        <v>0.191892026184944</v>
      </c>
      <c r="G1381" s="2" t="n">
        <f aca="false">F1381*(1-G$1379)+F1380*G$1379</f>
        <v>0.123209127739482</v>
      </c>
      <c r="H1381" s="2" t="n">
        <f aca="false">G1381*(1-H$1379)+G1380*H$1379</f>
        <v>0.0725397271792625</v>
      </c>
      <c r="I1381" s="2" t="n">
        <f aca="false">H1381*(1-I$1379)+H1380*I$1379</f>
        <v>0.0402147592160781</v>
      </c>
      <c r="J1381" s="2" t="n">
        <f aca="false">I1381*(1-J$1379)+I1380*J$1379</f>
        <v>0.00809308183442065</v>
      </c>
      <c r="K1381" s="2" t="n">
        <f aca="false">J1381*(1-K$1379)+J1380*K$1379</f>
        <v>0.00343252528207642</v>
      </c>
      <c r="L1381" s="2" t="n">
        <f aca="false">K1381*(1-L$1379)+K1380*L$1379</f>
        <v>0.00113275781624204</v>
      </c>
      <c r="M1381" s="2" t="n">
        <f aca="false">L1381*(1-M$1379)+L1380*M$1379</f>
        <v>0.000340341861621943</v>
      </c>
      <c r="N1381" s="2" t="n">
        <f aca="false">M1381*(1-N$1379)+M1380*N$1379</f>
        <v>0.000217498372647872</v>
      </c>
      <c r="O1381" s="2" t="n">
        <f aca="false">N1381*(1-O$1379)+N1380*O$1379</f>
        <v>0.000217498372647872</v>
      </c>
    </row>
    <row r="1382" customFormat="false" ht="15" hidden="false" customHeight="false" outlineLevel="0" collapsed="false">
      <c r="B1382" s="2" t="n">
        <v>2</v>
      </c>
      <c r="C1382" s="2" t="n">
        <f aca="false">0</f>
        <v>0</v>
      </c>
      <c r="D1382" s="2" t="n">
        <f aca="false">C1382*(1-D$1379)+C1381*D$1379</f>
        <v>0.172737518145046</v>
      </c>
      <c r="E1382" s="2" t="n">
        <f aca="false">D1382*(1-E$1379)+D1381*E$1379</f>
        <v>0.250336100603111</v>
      </c>
      <c r="F1382" s="2" t="n">
        <f aca="false">E1382*(1-F$1379)+E1381*F$1379</f>
        <v>0.54356639153865</v>
      </c>
      <c r="G1382" s="2" t="n">
        <f aca="false">F1382*(1-G$1379)+F1381*G$1379</f>
        <v>0.40583027104968</v>
      </c>
      <c r="H1382" s="2" t="n">
        <f aca="false">G1382*(1-H$1379)+G1381*H$1379</f>
        <v>0.279275696381572</v>
      </c>
      <c r="I1382" s="2" t="n">
        <f aca="false">H1382*(1-I$1379)+H1381*I$1379</f>
        <v>0.179514873727503</v>
      </c>
      <c r="J1382" s="2" t="n">
        <f aca="false">I1382*(1-J$1379)+I1381*J$1379</f>
        <v>0.0596879347006182</v>
      </c>
      <c r="K1382" s="2" t="n">
        <f aca="false">J1382*(1-K$1379)+J1381*K$1379</f>
        <v>0.0284246030149971</v>
      </c>
      <c r="L1382" s="2" t="n">
        <f aca="false">K1382*(1-L$1379)+K1381*L$1379</f>
        <v>0.0108707367941292</v>
      </c>
      <c r="M1382" s="2" t="n">
        <f aca="false">L1382*(1-M$1379)+L1381*M$1379</f>
        <v>0.00376302001136984</v>
      </c>
      <c r="N1382" s="2" t="n">
        <f aca="false">M1382*(1-N$1379)+M1381*N$1379</f>
        <v>0.00247965929313013</v>
      </c>
      <c r="O1382" s="2" t="n">
        <f aca="false">N1382*(1-O$1379)+N1381*O$1379</f>
        <v>0.00247965929313013</v>
      </c>
    </row>
    <row r="1383" customFormat="false" ht="15" hidden="false" customHeight="false" outlineLevel="0" collapsed="false">
      <c r="B1383" s="2" t="n">
        <v>3</v>
      </c>
      <c r="C1383" s="2" t="n">
        <f aca="false">0</f>
        <v>0</v>
      </c>
      <c r="D1383" s="2" t="n">
        <f aca="false">C1383*(1-D$1379)+C1382*D$1379</f>
        <v>0</v>
      </c>
      <c r="E1383" s="2" t="n">
        <f aca="false">D1383*(1-E$1379)+D1382*E$1379</f>
        <v>0.027405714804792</v>
      </c>
      <c r="F1383" s="2" t="n">
        <f aca="false">E1383*(1-F$1379)+E1382*F$1379</f>
        <v>0.223862735664516</v>
      </c>
      <c r="G1383" s="2" t="n">
        <f aca="false">F1383*(1-G$1379)+F1382*G$1379</f>
        <v>0.349077268210711</v>
      </c>
      <c r="H1383" s="2" t="n">
        <f aca="false">G1383*(1-H$1379)+G1382*H$1379</f>
        <v>0.374490625652056</v>
      </c>
      <c r="I1383" s="2" t="n">
        <f aca="false">H1383*(1-I$1379)+H1382*I$1379</f>
        <v>0.32854448618913</v>
      </c>
      <c r="J1383" s="2" t="n">
        <f aca="false">I1383*(1-J$1379)+I1382*J$1379</f>
        <v>0.200348164540198</v>
      </c>
      <c r="K1383" s="2" t="n">
        <f aca="false">J1383*(1-K$1379)+J1382*K$1379</f>
        <v>0.115116650616616</v>
      </c>
      <c r="L1383" s="2" t="n">
        <f aca="false">K1383*(1-L$1379)+K1382*L$1379</f>
        <v>0.0542261307376957</v>
      </c>
      <c r="M1383" s="2" t="n">
        <f aca="false">L1383*(1-M$1379)+L1382*M$1379</f>
        <v>0.0225811803988635</v>
      </c>
      <c r="N1383" s="2" t="n">
        <f aca="false">M1383*(1-N$1379)+M1382*N$1379</f>
        <v>0.0155251597114896</v>
      </c>
      <c r="O1383" s="2" t="n">
        <f aca="false">N1383*(1-O$1379)+N1382*O$1379</f>
        <v>0.0155251597114896</v>
      </c>
    </row>
    <row r="1384" customFormat="false" ht="15" hidden="false" customHeight="false" outlineLevel="0" collapsed="false">
      <c r="B1384" s="2" t="n">
        <v>4</v>
      </c>
      <c r="C1384" s="2" t="n">
        <f aca="false">0</f>
        <v>0</v>
      </c>
      <c r="D1384" s="2" t="n">
        <f aca="false">C1384*(1-D$1379)+C1383*D$1379</f>
        <v>0</v>
      </c>
      <c r="E1384" s="2" t="n">
        <f aca="false">D1384*(1-E$1379)+D1383*E$1379</f>
        <v>0</v>
      </c>
      <c r="F1384" s="2" t="n">
        <f aca="false">E1384*(1-F$1379)+E1383*F$1379</f>
        <v>0.0241512392570455</v>
      </c>
      <c r="G1384" s="2" t="n">
        <f aca="false">F1384*(1-G$1379)+F1383*G$1379</f>
        <v>0.102369868313347</v>
      </c>
      <c r="H1384" s="2" t="n">
        <f aca="false">G1384*(1-H$1379)+G1383*H$1379</f>
        <v>0.212842671925274</v>
      </c>
      <c r="I1384" s="2" t="n">
        <f aca="false">H1384*(1-I$1379)+H1383*I$1379</f>
        <v>0.290846189679602</v>
      </c>
      <c r="J1384" s="2" t="n">
        <f aca="false">I1384*(1-J$1379)+I1383*J$1379</f>
        <v>0.323274529692877</v>
      </c>
      <c r="K1384" s="2" t="n">
        <f aca="false">J1384*(1-K$1379)+J1383*K$1379</f>
        <v>0.248788655362692</v>
      </c>
      <c r="L1384" s="2" t="n">
        <f aca="false">K1384*(1-L$1379)+K1383*L$1379</f>
        <v>0.154900483524263</v>
      </c>
      <c r="M1384" s="2" t="n">
        <f aca="false">L1384*(1-M$1379)+L1383*M$1379</f>
        <v>0.0814186256850323</v>
      </c>
      <c r="N1384" s="2" t="n">
        <f aca="false">M1384*(1-N$1379)+M1383*N$1379</f>
        <v>0.0593570520464449</v>
      </c>
      <c r="O1384" s="2" t="n">
        <f aca="false">N1384*(1-O$1379)+N1383*O$1379</f>
        <v>0.0593570520464449</v>
      </c>
    </row>
    <row r="1385" customFormat="false" ht="15" hidden="false" customHeight="false" outlineLevel="0" collapsed="false">
      <c r="B1385" s="2" t="n">
        <v>5</v>
      </c>
      <c r="C1385" s="2" t="n">
        <f aca="false">0</f>
        <v>0</v>
      </c>
      <c r="D1385" s="2" t="n">
        <f aca="false">C1385*(1-D$1379)+C1384*D$1379</f>
        <v>0</v>
      </c>
      <c r="E1385" s="2" t="n">
        <f aca="false">D1385*(1-E$1379)+D1384*E$1379</f>
        <v>0</v>
      </c>
      <c r="F1385" s="2" t="n">
        <f aca="false">E1385*(1-F$1379)+E1384*F$1379</f>
        <v>0</v>
      </c>
      <c r="G1385" s="2" t="n">
        <f aca="false">F1385*(1-G$1379)+F1384*G$1379</f>
        <v>0.00945902894264314</v>
      </c>
      <c r="H1385" s="2" t="n">
        <f aca="false">G1385*(1-H$1379)+G1384*H$1379</f>
        <v>0.0510634595981045</v>
      </c>
      <c r="I1385" s="2" t="n">
        <f aca="false">H1385*(1-I$1379)+H1384*I$1379</f>
        <v>0.12913031643177</v>
      </c>
      <c r="J1385" s="2" t="n">
        <f aca="false">I1385*(1-J$1379)+I1384*J$1379</f>
        <v>0.268239448906734</v>
      </c>
      <c r="K1385" s="2" t="n">
        <f aca="false">J1385*(1-K$1379)+J1384*K$1379</f>
        <v>0.301587348733567</v>
      </c>
      <c r="L1385" s="2" t="n">
        <f aca="false">K1385*(1-L$1379)+K1384*L$1379</f>
        <v>0.264502748966653</v>
      </c>
      <c r="M1385" s="2" t="n">
        <f aca="false">L1385*(1-M$1379)+L1384*M$1379</f>
        <v>0.184504438918715</v>
      </c>
      <c r="N1385" s="2" t="n">
        <f aca="false">M1385*(1-N$1379)+M1384*N$1379</f>
        <v>0.145851583603748</v>
      </c>
      <c r="O1385" s="2" t="n">
        <f aca="false">N1385*(1-O$1379)+N1384*O$1379</f>
        <v>0.145851583603748</v>
      </c>
    </row>
    <row r="1386" customFormat="false" ht="15" hidden="false" customHeight="false" outlineLevel="0" collapsed="false">
      <c r="B1386" s="2" t="n">
        <v>6</v>
      </c>
      <c r="C1386" s="2" t="n">
        <f aca="false">0</f>
        <v>0</v>
      </c>
      <c r="D1386" s="2" t="n">
        <f aca="false">C1386*(1-D$1379)+C1385*D$1379</f>
        <v>0</v>
      </c>
      <c r="E1386" s="2" t="n">
        <f aca="false">D1386*(1-E$1379)+D1385*E$1379</f>
        <v>0</v>
      </c>
      <c r="F1386" s="2" t="n">
        <f aca="false">E1386*(1-F$1379)+E1385*F$1379</f>
        <v>0</v>
      </c>
      <c r="G1386" s="2" t="n">
        <f aca="false">F1386*(1-G$1379)+F1385*G$1379</f>
        <v>0</v>
      </c>
      <c r="H1386" s="2" t="n">
        <f aca="false">G1386*(1-H$1379)+G1385*H$1379</f>
        <v>0.00423564695333369</v>
      </c>
      <c r="I1386" s="2" t="n">
        <f aca="false">H1386*(1-I$1379)+H1385*I$1379</f>
        <v>0.0268324941810234</v>
      </c>
      <c r="J1386" s="2" t="n">
        <f aca="false">I1386*(1-J$1379)+I1385*J$1379</f>
        <v>0.114829800948621</v>
      </c>
      <c r="K1386" s="2" t="n">
        <f aca="false">J1386*(1-K$1379)+J1385*K$1379</f>
        <v>0.207786684076608</v>
      </c>
      <c r="L1386" s="2" t="n">
        <f aca="false">K1386*(1-L$1379)+K1385*L$1379</f>
        <v>0.27367013468095</v>
      </c>
      <c r="M1386" s="2" t="n">
        <f aca="false">L1386*(1-M$1379)+L1385*M$1379</f>
        <v>0.266978891924779</v>
      </c>
      <c r="N1386" s="2" t="n">
        <f aca="false">M1386*(1-N$1379)+M1385*N$1379</f>
        <v>0.236054432009059</v>
      </c>
      <c r="O1386" s="2" t="n">
        <f aca="false">N1386*(1-O$1379)+N1385*O$1379</f>
        <v>0.236054432009059</v>
      </c>
    </row>
    <row r="1387" customFormat="false" ht="15" hidden="false" customHeight="false" outlineLevel="0" collapsed="false">
      <c r="B1387" s="2" t="n">
        <v>7</v>
      </c>
      <c r="C1387" s="2" t="n">
        <f aca="false">0</f>
        <v>0</v>
      </c>
      <c r="D1387" s="2" t="n">
        <f aca="false">C1387*(1-D$1379)+C1386*D$1379</f>
        <v>0</v>
      </c>
      <c r="E1387" s="2" t="n">
        <f aca="false">D1387*(1-E$1379)+D1386*E$1379</f>
        <v>0</v>
      </c>
      <c r="F1387" s="2" t="n">
        <f aca="false">E1387*(1-F$1379)+E1386*F$1379</f>
        <v>0</v>
      </c>
      <c r="G1387" s="2" t="n">
        <f aca="false">F1387*(1-G$1379)+F1386*G$1379</f>
        <v>0</v>
      </c>
      <c r="H1387" s="2" t="n">
        <f aca="false">G1387*(1-H$1379)+G1386*H$1379</f>
        <v>0</v>
      </c>
      <c r="I1387" s="2" t="n">
        <f aca="false">H1387*(1-I$1379)+H1386*I$1379</f>
        <v>0.00204391923750465</v>
      </c>
      <c r="J1387" s="2" t="n">
        <f aca="false">I1387*(1-J$1379)+I1386*J$1379</f>
        <v>0.0233672258890348</v>
      </c>
      <c r="K1387" s="2" t="n">
        <f aca="false">J1387*(1-K$1379)+J1386*K$1379</f>
        <v>0.0787879638514877</v>
      </c>
      <c r="L1387" s="2" t="n">
        <f aca="false">K1387*(1-L$1379)+K1386*L$1379</f>
        <v>0.169393727073492</v>
      </c>
      <c r="M1387" s="2" t="n">
        <f aca="false">L1387*(1-M$1379)+L1386*M$1379</f>
        <v>0.245504712122896</v>
      </c>
      <c r="N1387" s="2" t="n">
        <f aca="false">M1387*(1-N$1379)+M1386*N$1379</f>
        <v>0.253556628665555</v>
      </c>
      <c r="O1387" s="2" t="n">
        <f aca="false">N1387*(1-O$1379)+N1386*O$1379</f>
        <v>0.253556628665555</v>
      </c>
    </row>
    <row r="1388" customFormat="false" ht="15" hidden="false" customHeight="false" outlineLevel="0" collapsed="false">
      <c r="B1388" s="2" t="n">
        <v>8</v>
      </c>
      <c r="C1388" s="2" t="n">
        <f aca="false">0</f>
        <v>0</v>
      </c>
      <c r="D1388" s="2" t="n">
        <f aca="false">C1388*(1-D$1379)+C1387*D$1379</f>
        <v>0</v>
      </c>
      <c r="E1388" s="2" t="n">
        <f aca="false">D1388*(1-E$1379)+D1387*E$1379</f>
        <v>0</v>
      </c>
      <c r="F1388" s="2" t="n">
        <f aca="false">E1388*(1-F$1379)+E1387*F$1379</f>
        <v>0</v>
      </c>
      <c r="G1388" s="2" t="n">
        <f aca="false">F1388*(1-G$1379)+F1387*G$1379</f>
        <v>0</v>
      </c>
      <c r="H1388" s="2" t="n">
        <f aca="false">G1388*(1-H$1379)+G1387*H$1379</f>
        <v>0</v>
      </c>
      <c r="I1388" s="2" t="n">
        <f aca="false">H1388*(1-I$1379)+H1387*I$1379</f>
        <v>0</v>
      </c>
      <c r="J1388" s="2" t="n">
        <f aca="false">I1388*(1-J$1379)+I1387*J$1379</f>
        <v>0.00175819371511184</v>
      </c>
      <c r="K1388" s="2" t="n">
        <f aca="false">J1388*(1-K$1379)+J1387*K$1379</f>
        <v>0.0148519482803315</v>
      </c>
      <c r="L1388" s="2" t="n">
        <f aca="false">K1388*(1-L$1379)+K1387*L$1379</f>
        <v>0.0597591495152663</v>
      </c>
      <c r="M1388" s="2" t="n">
        <f aca="false">L1388*(1-M$1379)+L1387*M$1379</f>
        <v>0.139781044063493</v>
      </c>
      <c r="N1388" s="2" t="n">
        <f aca="false">M1388*(1-N$1379)+M1387*N$1379</f>
        <v>0.179422984275033</v>
      </c>
      <c r="O1388" s="2" t="n">
        <f aca="false">N1388*(1-O$1379)+N1387*O$1379</f>
        <v>0.179422984275033</v>
      </c>
    </row>
    <row r="1389" customFormat="false" ht="15" hidden="false" customHeight="false" outlineLevel="0" collapsed="false">
      <c r="B1389" s="2" t="n">
        <v>9</v>
      </c>
      <c r="C1389" s="2" t="n">
        <f aca="false">0</f>
        <v>0</v>
      </c>
      <c r="D1389" s="2" t="n">
        <f aca="false">C1389*(1-D$1379)+C1388*D$1379</f>
        <v>0</v>
      </c>
      <c r="E1389" s="2" t="n">
        <f aca="false">D1389*(1-E$1379)+D1388*E$1379</f>
        <v>0</v>
      </c>
      <c r="F1389" s="2" t="n">
        <f aca="false">E1389*(1-F$1379)+E1388*F$1379</f>
        <v>0</v>
      </c>
      <c r="G1389" s="2" t="n">
        <f aca="false">F1389*(1-G$1379)+F1388*G$1379</f>
        <v>0</v>
      </c>
      <c r="H1389" s="2" t="n">
        <f aca="false">G1389*(1-H$1379)+G1388*H$1379</f>
        <v>0</v>
      </c>
      <c r="I1389" s="2" t="n">
        <f aca="false">H1389*(1-I$1379)+H1388*I$1379</f>
        <v>0</v>
      </c>
      <c r="J1389" s="2" t="n">
        <f aca="false">I1389*(1-J$1379)+I1388*J$1379</f>
        <v>0</v>
      </c>
      <c r="K1389" s="2" t="n">
        <f aca="false">J1389*(1-K$1379)+J1388*K$1379</f>
        <v>0.0010653580779785</v>
      </c>
      <c r="L1389" s="2" t="n">
        <f aca="false">K1389*(1-L$1379)+K1388*L$1379</f>
        <v>0.0107487450552545</v>
      </c>
      <c r="M1389" s="2" t="n">
        <f aca="false">L1389*(1-M$1379)+L1388*M$1379</f>
        <v>0.0465212677831514</v>
      </c>
      <c r="N1389" s="2" t="n">
        <f aca="false">M1389*(1-N$1379)+M1388*N$1379</f>
        <v>0.0814897714617194</v>
      </c>
      <c r="O1389" s="2" t="n">
        <f aca="false">N1389*(1-O$1379)+N1388*O$1379</f>
        <v>0.0814897714617194</v>
      </c>
    </row>
    <row r="1390" customFormat="false" ht="15" hidden="false" customHeight="false" outlineLevel="0" collapsed="false">
      <c r="B1390" s="2" t="n">
        <v>10</v>
      </c>
      <c r="C1390" s="2" t="n">
        <f aca="false">0</f>
        <v>0</v>
      </c>
      <c r="D1390" s="2" t="n">
        <f aca="false">C1390*(1-D$1379)+C1389*D$1379</f>
        <v>0</v>
      </c>
      <c r="E1390" s="2" t="n">
        <f aca="false">D1390*(1-E$1379)+D1389*E$1379</f>
        <v>0</v>
      </c>
      <c r="F1390" s="2" t="n">
        <f aca="false">E1390*(1-F$1379)+E1389*F$1379</f>
        <v>0</v>
      </c>
      <c r="G1390" s="2" t="n">
        <f aca="false">F1390*(1-G$1379)+F1389*G$1379</f>
        <v>0</v>
      </c>
      <c r="H1390" s="2" t="n">
        <f aca="false">G1390*(1-H$1379)+G1389*H$1379</f>
        <v>0</v>
      </c>
      <c r="I1390" s="2" t="n">
        <f aca="false">H1390*(1-I$1379)+H1389*I$1379</f>
        <v>0</v>
      </c>
      <c r="J1390" s="2" t="n">
        <f aca="false">I1390*(1-J$1379)+I1389*J$1379</f>
        <v>0</v>
      </c>
      <c r="K1390" s="2" t="n">
        <f aca="false">J1390*(1-K$1379)+J1389*K$1379</f>
        <v>0</v>
      </c>
      <c r="L1390" s="2" t="n">
        <f aca="false">K1390*(1-L$1379)+K1389*L$1379</f>
        <v>0.000748283251116877</v>
      </c>
      <c r="M1390" s="2" t="n">
        <f aca="false">L1390*(1-M$1379)+L1389*M$1379</f>
        <v>0.00804758533032871</v>
      </c>
      <c r="N1390" s="2" t="n">
        <f aca="false">M1390*(1-N$1379)+M1389*N$1379</f>
        <v>0.0224736022053357</v>
      </c>
      <c r="O1390" s="2" t="n">
        <f aca="false">N1390*(1-O$1379)+N1389*O$1379</f>
        <v>0.0224736022053357</v>
      </c>
    </row>
    <row r="1391" customFormat="false" ht="15" hidden="false" customHeight="false" outlineLevel="0" collapsed="false">
      <c r="B1391" s="2" t="n">
        <v>11</v>
      </c>
      <c r="C1391" s="2" t="n">
        <f aca="false">0</f>
        <v>0</v>
      </c>
      <c r="D1391" s="2" t="n">
        <f aca="false">C1391*(1-D$1379)+C1390*D$1379</f>
        <v>0</v>
      </c>
      <c r="E1391" s="2" t="n">
        <f aca="false">D1391*(1-E$1379)+D1390*E$1379</f>
        <v>0</v>
      </c>
      <c r="F1391" s="2" t="n">
        <f aca="false">E1391*(1-F$1379)+E1390*F$1379</f>
        <v>0</v>
      </c>
      <c r="G1391" s="2" t="n">
        <f aca="false">F1391*(1-G$1379)+F1390*G$1379</f>
        <v>0</v>
      </c>
      <c r="H1391" s="2" t="n">
        <f aca="false">G1391*(1-H$1379)+G1390*H$1379</f>
        <v>0</v>
      </c>
      <c r="I1391" s="2" t="n">
        <f aca="false">H1391*(1-I$1379)+H1390*I$1379</f>
        <v>0</v>
      </c>
      <c r="J1391" s="2" t="n">
        <f aca="false">I1391*(1-J$1379)+I1390*J$1379</f>
        <v>0</v>
      </c>
      <c r="K1391" s="2" t="n">
        <f aca="false">J1391*(1-K$1379)+J1390*K$1379</f>
        <v>0</v>
      </c>
      <c r="L1391" s="2" t="n">
        <f aca="false">K1391*(1-L$1379)+K1390*L$1379</f>
        <v>0</v>
      </c>
      <c r="M1391" s="2" t="n">
        <f aca="false">L1391*(1-M$1379)+L1390*M$1379</f>
        <v>0.000546169326746188</v>
      </c>
      <c r="N1391" s="2" t="n">
        <f aca="false">M1391*(1-N$1379)+M1390*N$1379</f>
        <v>0.00335888562929471</v>
      </c>
      <c r="O1391" s="2" t="n">
        <f aca="false">N1391*(1-O$1379)+N1390*O$1379</f>
        <v>0.00335888562929471</v>
      </c>
    </row>
    <row r="1392" customFormat="false" ht="15" hidden="false" customHeight="false" outlineLevel="0" collapsed="false">
      <c r="B1392" s="2" t="n">
        <v>12</v>
      </c>
      <c r="C1392" s="2" t="n">
        <f aca="false">0</f>
        <v>0</v>
      </c>
      <c r="D1392" s="2" t="n">
        <f aca="false">C1392*(1-D$1379)+C1391*D$1379</f>
        <v>0</v>
      </c>
      <c r="E1392" s="2" t="n">
        <f aca="false">D1392*(1-E$1379)+D1391*E$1379</f>
        <v>0</v>
      </c>
      <c r="F1392" s="2" t="n">
        <f aca="false">E1392*(1-F$1379)+E1391*F$1379</f>
        <v>0</v>
      </c>
      <c r="G1392" s="2" t="n">
        <f aca="false">F1392*(1-G$1379)+F1391*G$1379</f>
        <v>0</v>
      </c>
      <c r="H1392" s="2" t="n">
        <f aca="false">G1392*(1-H$1379)+G1391*H$1379</f>
        <v>0</v>
      </c>
      <c r="I1392" s="2" t="n">
        <f aca="false">H1392*(1-I$1379)+H1391*I$1379</f>
        <v>0</v>
      </c>
      <c r="J1392" s="2" t="n">
        <f aca="false">I1392*(1-J$1379)+I1391*J$1379</f>
        <v>0</v>
      </c>
      <c r="K1392" s="2" t="n">
        <f aca="false">J1392*(1-K$1379)+J1391*K$1379</f>
        <v>0</v>
      </c>
      <c r="L1392" s="2" t="n">
        <f aca="false">K1392*(1-L$1379)+K1391*L$1379</f>
        <v>0</v>
      </c>
      <c r="M1392" s="2" t="n">
        <f aca="false">L1392*(1-M$1379)+L1391*M$1379</f>
        <v>0</v>
      </c>
      <c r="N1392" s="2" t="n">
        <f aca="false">M1392*(1-N$1379)+M1391*N$1379</f>
        <v>0.000204790584678584</v>
      </c>
      <c r="O1392" s="2" t="n">
        <f aca="false">N1392*(1-O$1379)+N1391*O$1379</f>
        <v>0.000204790584678584</v>
      </c>
    </row>
    <row r="1393" customFormat="false" ht="15" hidden="false" customHeight="false" outlineLevel="0" collapsed="false">
      <c r="B1393" s="2" t="n">
        <v>13</v>
      </c>
      <c r="C1393" s="2" t="n">
        <f aca="false">0</f>
        <v>0</v>
      </c>
      <c r="D1393" s="2" t="n">
        <f aca="false">C1393*(1-D$1379)+C1392*D$1379</f>
        <v>0</v>
      </c>
      <c r="E1393" s="2" t="n">
        <f aca="false">D1393*(1-E$1379)+D1392*E$1379</f>
        <v>0</v>
      </c>
      <c r="F1393" s="2" t="n">
        <f aca="false">E1393*(1-F$1379)+E1392*F$1379</f>
        <v>0</v>
      </c>
      <c r="G1393" s="2" t="n">
        <f aca="false">F1393*(1-G$1379)+F1392*G$1379</f>
        <v>0</v>
      </c>
      <c r="H1393" s="2" t="n">
        <f aca="false">G1393*(1-H$1379)+G1392*H$1379</f>
        <v>0</v>
      </c>
      <c r="I1393" s="2" t="n">
        <f aca="false">H1393*(1-I$1379)+H1392*I$1379</f>
        <v>0</v>
      </c>
      <c r="J1393" s="2" t="n">
        <f aca="false">I1393*(1-J$1379)+I1392*J$1379</f>
        <v>0</v>
      </c>
      <c r="K1393" s="2" t="n">
        <f aca="false">J1393*(1-K$1379)+J1392*K$1379</f>
        <v>0</v>
      </c>
      <c r="L1393" s="2" t="n">
        <f aca="false">K1393*(1-L$1379)+K1392*L$1379</f>
        <v>0</v>
      </c>
      <c r="M1393" s="2" t="n">
        <f aca="false">L1393*(1-M$1379)+L1392*M$1379</f>
        <v>0</v>
      </c>
      <c r="N1393" s="2" t="n">
        <f aca="false">M1393*(1-N$1379)+M1392*N$1379</f>
        <v>0</v>
      </c>
      <c r="O1393" s="2" t="n">
        <f aca="false">N1393*(1-O$1379)+N1392*O$1379</f>
        <v>0</v>
      </c>
    </row>
    <row r="1395" customFormat="false" ht="15" hidden="false" customHeight="false" outlineLevel="0" collapsed="false">
      <c r="A1395" s="1" t="s">
        <v>145</v>
      </c>
      <c r="C1395" s="2" t="n">
        <f aca="false">Schedule!G89</f>
        <v>0.333143300876488</v>
      </c>
      <c r="D1395" s="2" t="n">
        <f aca="false">Schedule!L89</f>
        <v>0.974411940478361</v>
      </c>
      <c r="E1395" s="2" t="n">
        <f aca="false">Schedule!Q89</f>
        <v>0.918303444160807</v>
      </c>
      <c r="F1395" s="2" t="n">
        <f aca="false">Schedule!V89</f>
        <v>0.666856699123512</v>
      </c>
      <c r="G1395" s="2" t="n">
        <f aca="false">Schedule!AA89</f>
        <v>0.625041951918781</v>
      </c>
      <c r="H1395" s="2" t="n">
        <f aca="false">Schedule!AF89</f>
        <v>0.926470740390352</v>
      </c>
      <c r="I1395" s="2" t="n">
        <f aca="false">Schedule!AK89</f>
        <v>0.625041951918781</v>
      </c>
      <c r="J1395" s="2" t="n">
        <f aca="false">Schedule!AP89</f>
        <v>0.767686767612093</v>
      </c>
      <c r="K1395" s="2" t="n">
        <f aca="false">Schedule!AU89</f>
        <v>0.74817251669986</v>
      </c>
      <c r="L1395" s="2" t="n">
        <f aca="false">Schedule!AZ89</f>
        <v>0.930730016563759</v>
      </c>
      <c r="M1395" s="2" t="n">
        <f aca="false">Schedule!BE89</f>
        <v>0.610740671392063</v>
      </c>
      <c r="N1395" s="2" t="n">
        <f aca="false">Schedule!BJ89</f>
        <v>0.759983659318733</v>
      </c>
      <c r="O1395" s="2" t="n">
        <f aca="false">Schedule!BO89</f>
        <v>0</v>
      </c>
    </row>
    <row r="1396" customFormat="false" ht="15" hidden="false" customHeight="false" outlineLevel="0" collapsed="false">
      <c r="B1396" s="2" t="n">
        <v>0</v>
      </c>
      <c r="C1396" s="2" t="n">
        <f aca="false">1-C$1395</f>
        <v>0.666856699123512</v>
      </c>
      <c r="D1396" s="2" t="n">
        <f aca="false">C1396*(1-D$1395)</f>
        <v>0.0170635689095758</v>
      </c>
      <c r="E1396" s="2" t="n">
        <f aca="false">D1396*(1-E$1395)</f>
        <v>0.00139403481023708</v>
      </c>
      <c r="F1396" s="2" t="n">
        <f aca="false">E1396*(1-F$1395)</f>
        <v>0.000464413358219111</v>
      </c>
      <c r="G1396" s="2" t="n">
        <f aca="false">F1396*(1-G$1395)</f>
        <v>0.000174135526300682</v>
      </c>
      <c r="H1396" s="2" t="n">
        <f aca="false">G1396*(1-H$1395)</f>
        <v>1.28040563206256E-005</v>
      </c>
      <c r="I1396" s="2" t="n">
        <f aca="false">H1396*(1-I$1395)</f>
        <v>4.80098396550376E-006</v>
      </c>
      <c r="J1396" s="2" t="n">
        <f aca="false">I1396*(1-J$1395)</f>
        <v>1.11533210366869E-006</v>
      </c>
      <c r="K1396" s="2" t="n">
        <f aca="false">J1396*(1-K$1395)</f>
        <v>2.80871276710737E-007</v>
      </c>
      <c r="L1396" s="2" t="n">
        <f aca="false">K1396*(1-L$1395)</f>
        <v>1.94559486854685E-008</v>
      </c>
      <c r="M1396" s="2" t="n">
        <f aca="false">L1396*(1-M$1395)</f>
        <v>7.57340952273596E-009</v>
      </c>
      <c r="N1396" s="2" t="n">
        <f aca="false">M1396*(1-N$1395)</f>
        <v>1.81774204012774E-009</v>
      </c>
      <c r="O1396" s="2" t="n">
        <f aca="false">N1396*(1-O$1395)</f>
        <v>1.81774204012774E-009</v>
      </c>
    </row>
    <row r="1397" customFormat="false" ht="15" hidden="false" customHeight="false" outlineLevel="0" collapsed="false">
      <c r="B1397" s="2" t="n">
        <v>1</v>
      </c>
      <c r="C1397" s="2" t="n">
        <f aca="false">C$1395</f>
        <v>0.333143300876488</v>
      </c>
      <c r="D1397" s="2" t="n">
        <f aca="false">C1397*(1-D$1395)+C1396*D$1395</f>
        <v>0.658317620825999</v>
      </c>
      <c r="E1397" s="2" t="n">
        <f aca="false">D1397*(1-E$1395)+D1396*E$1395</f>
        <v>0.0694518163690748</v>
      </c>
      <c r="F1397" s="2" t="n">
        <f aca="false">E1397*(1-F$1395)+E1396*F$1395</f>
        <v>0.0240670288090793</v>
      </c>
      <c r="G1397" s="2" t="n">
        <f aca="false">F1397*(1-G$1395)+F1396*G$1395</f>
        <v>0.00931440397728525</v>
      </c>
      <c r="H1397" s="2" t="n">
        <f aca="false">G1397*(1-H$1395)+G1396*H$1395</f>
        <v>0.000846212698135005</v>
      </c>
      <c r="I1397" s="2" t="n">
        <f aca="false">H1397*(1-I$1395)+H1396*I$1395</f>
        <v>0.000325297333909365</v>
      </c>
      <c r="J1397" s="2" t="n">
        <f aca="false">I1397*(1-J$1395)+I1396*J$1395</f>
        <v>7.92565269894878E-005</v>
      </c>
      <c r="K1397" s="2" t="n">
        <f aca="false">J1397*(1-K$1395)+J1396*K$1395</f>
        <v>2.07934325538303E-005</v>
      </c>
      <c r="L1397" s="2" t="n">
        <f aca="false">K1397*(1-L$1395)+K1396*L$1395</f>
        <v>1.70177605661168E-006</v>
      </c>
      <c r="M1397" s="2" t="n">
        <f aca="false">L1397*(1-M$1395)+L1396*M$1395</f>
        <v>6.74314744400459E-007</v>
      </c>
      <c r="N1397" s="2" t="n">
        <f aca="false">M1397*(1-N$1395)+M1396*N$1395</f>
        <v>1.6760222490103E-007</v>
      </c>
      <c r="O1397" s="2" t="n">
        <f aca="false">N1397*(1-O$1395)+N1396*O$1395</f>
        <v>1.6760222490103E-007</v>
      </c>
    </row>
    <row r="1398" customFormat="false" ht="15" hidden="false" customHeight="false" outlineLevel="0" collapsed="false">
      <c r="B1398" s="2" t="n">
        <v>2</v>
      </c>
      <c r="C1398" s="2" t="n">
        <f aca="false">0</f>
        <v>0</v>
      </c>
      <c r="D1398" s="2" t="n">
        <f aca="false">C1398*(1-D$1395)+C1397*D$1395</f>
        <v>0.324618810264426</v>
      </c>
      <c r="E1398" s="2" t="n">
        <f aca="false">D1398*(1-E$1395)+D1397*E$1395</f>
        <v>0.631055577315483</v>
      </c>
      <c r="F1398" s="2" t="n">
        <f aca="false">E1398*(1-F$1395)+E1397*F$1395</f>
        <v>0.256546347075411</v>
      </c>
      <c r="G1398" s="2" t="n">
        <f aca="false">F1398*(1-G$1395)+F1397*G$1395</f>
        <v>0.111237020205476</v>
      </c>
      <c r="H1398" s="2" t="n">
        <f aca="false">G1398*(1-H$1395)+G1397*H$1395</f>
        <v>0.0168086984860224</v>
      </c>
      <c r="I1398" s="2" t="n">
        <f aca="false">H1398*(1-I$1395)+H1397*I$1395</f>
        <v>0.00683147521168546</v>
      </c>
      <c r="J1398" s="2" t="n">
        <f aca="false">I1398*(1-J$1395)+I1397*J$1395</f>
        <v>0.00183676854718622</v>
      </c>
      <c r="K1398" s="2" t="n">
        <f aca="false">J1398*(1-K$1395)+J1397*K$1395</f>
        <v>0.000521846355905377</v>
      </c>
      <c r="L1398" s="2" t="n">
        <f aca="false">K1398*(1-L$1395)+K1397*L$1395</f>
        <v>5.55013602550719E-005</v>
      </c>
      <c r="M1398" s="2" t="n">
        <f aca="false">L1398*(1-M$1395)+L1397*M$1395</f>
        <v>2.26437660810905E-005</v>
      </c>
      <c r="N1398" s="2" t="n">
        <f aca="false">M1398*(1-N$1395)+M1397*N$1395</f>
        <v>5.94734206100797E-006</v>
      </c>
      <c r="O1398" s="2" t="n">
        <f aca="false">N1398*(1-O$1395)+N1397*O$1395</f>
        <v>5.94734206100797E-006</v>
      </c>
    </row>
    <row r="1399" customFormat="false" ht="15" hidden="false" customHeight="false" outlineLevel="0" collapsed="false">
      <c r="B1399" s="2" t="n">
        <v>3</v>
      </c>
      <c r="C1399" s="2" t="n">
        <f aca="false">0</f>
        <v>0</v>
      </c>
      <c r="D1399" s="2" t="n">
        <f aca="false">C1399*(1-D$1395)+C1398*D$1395</f>
        <v>0</v>
      </c>
      <c r="E1399" s="2" t="n">
        <f aca="false">D1399*(1-E$1395)+D1398*E$1395</f>
        <v>0.298098571505205</v>
      </c>
      <c r="F1399" s="2" t="n">
        <f aca="false">E1399*(1-F$1395)+E1398*F$1395</f>
        <v>0.520133181349895</v>
      </c>
      <c r="G1399" s="2" t="n">
        <f aca="false">F1399*(1-G$1395)+F1398*G$1395</f>
        <v>0.355380351954879</v>
      </c>
      <c r="H1399" s="2" t="n">
        <f aca="false">G1399*(1-H$1395)+G1398*H$1395</f>
        <v>0.129188698627642</v>
      </c>
      <c r="I1399" s="2" t="n">
        <f aca="false">H1399*(1-I$1395)+H1398*I$1395</f>
        <v>0.0589464839824912</v>
      </c>
      <c r="J1399" s="2" t="n">
        <f aca="false">I1399*(1-J$1395)+I1398*J$1395</f>
        <v>0.0189384813551555</v>
      </c>
      <c r="K1399" s="2" t="n">
        <f aca="false">J1399*(1-K$1395)+J1398*K$1395</f>
        <v>0.00614344984373889</v>
      </c>
      <c r="L1399" s="2" t="n">
        <f aca="false">K1399*(1-L$1395)+K1398*L$1395</f>
        <v>0.000911254736392717</v>
      </c>
      <c r="M1399" s="2" t="n">
        <f aca="false">L1399*(1-M$1395)+L1398*M$1395</f>
        <v>0.000388611344904387</v>
      </c>
      <c r="N1399" s="2" t="n">
        <f aca="false">M1399*(1-N$1395)+M1398*N$1395</f>
        <v>0.000110481965158241</v>
      </c>
      <c r="O1399" s="2" t="n">
        <f aca="false">N1399*(1-O$1395)+N1398*O$1395</f>
        <v>0.000110481965158241</v>
      </c>
    </row>
    <row r="1400" customFormat="false" ht="15" hidden="false" customHeight="false" outlineLevel="0" collapsed="false">
      <c r="B1400" s="2" t="n">
        <v>4</v>
      </c>
      <c r="C1400" s="2" t="n">
        <f aca="false">0</f>
        <v>0</v>
      </c>
      <c r="D1400" s="2" t="n">
        <f aca="false">C1400*(1-D$1395)+C1399*D$1395</f>
        <v>0</v>
      </c>
      <c r="E1400" s="2" t="n">
        <f aca="false">D1400*(1-E$1395)+D1399*E$1395</f>
        <v>0</v>
      </c>
      <c r="F1400" s="2" t="n">
        <f aca="false">E1400*(1-F$1395)+E1399*F$1395</f>
        <v>0.198789029407395</v>
      </c>
      <c r="G1400" s="2" t="n">
        <f aca="false">F1400*(1-G$1395)+F1399*G$1395</f>
        <v>0.399642605375221</v>
      </c>
      <c r="H1400" s="2" t="n">
        <f aca="false">G1400*(1-H$1395)+G1399*H$1395</f>
        <v>0.358634922677532</v>
      </c>
      <c r="I1400" s="2" t="n">
        <f aca="false">H1400*(1-I$1395)+H1399*I$1395</f>
        <v>0.215221406936995</v>
      </c>
      <c r="J1400" s="2" t="n">
        <f aca="false">I1400*(1-J$1395)+I1399*J$1395</f>
        <v>0.095251216475223</v>
      </c>
      <c r="K1400" s="2" t="n">
        <f aca="false">J1400*(1-K$1395)+J1399*K$1395</f>
        <v>0.0381561253841923</v>
      </c>
      <c r="L1400" s="2" t="n">
        <f aca="false">K1400*(1-L$1395)+K1399*L$1395</f>
        <v>0.00836096734817584</v>
      </c>
      <c r="M1400" s="2" t="n">
        <f aca="false">L1400*(1-M$1395)+L1399*M$1395</f>
        <v>0.0038111248659775</v>
      </c>
      <c r="N1400" s="2" t="n">
        <f aca="false">M1400*(1-N$1395)+M1399*N$1395</f>
        <v>0.00121007051616451</v>
      </c>
      <c r="O1400" s="2" t="n">
        <f aca="false">N1400*(1-O$1395)+N1399*O$1395</f>
        <v>0.00121007051616451</v>
      </c>
    </row>
    <row r="1401" customFormat="false" ht="15" hidden="false" customHeight="false" outlineLevel="0" collapsed="false">
      <c r="B1401" s="2" t="n">
        <v>5</v>
      </c>
      <c r="C1401" s="2" t="n">
        <f aca="false">0</f>
        <v>0</v>
      </c>
      <c r="D1401" s="2" t="n">
        <f aca="false">C1401*(1-D$1395)+C1400*D$1395</f>
        <v>0</v>
      </c>
      <c r="E1401" s="2" t="n">
        <f aca="false">D1401*(1-E$1395)+D1400*E$1395</f>
        <v>0</v>
      </c>
      <c r="F1401" s="2" t="n">
        <f aca="false">E1401*(1-F$1395)+E1400*F$1395</f>
        <v>0</v>
      </c>
      <c r="G1401" s="2" t="n">
        <f aca="false">F1401*(1-G$1395)+F1400*G$1395</f>
        <v>0.124251482960838</v>
      </c>
      <c r="H1401" s="2" t="n">
        <f aca="false">G1401*(1-H$1395)+G1400*H$1395</f>
        <v>0.379393300041021</v>
      </c>
      <c r="I1401" s="2" t="n">
        <f aca="false">H1401*(1-I$1395)+H1400*I$1395</f>
        <v>0.366418443335079</v>
      </c>
      <c r="J1401" s="2" t="n">
        <f aca="false">I1401*(1-J$1395)+I1400*J$1395</f>
        <v>0.250346479190106</v>
      </c>
      <c r="K1401" s="2" t="n">
        <f aca="false">J1401*(1-K$1395)+J1400*K$1395</f>
        <v>0.134308466156486</v>
      </c>
      <c r="L1401" s="2" t="n">
        <f aca="false">K1401*(1-L$1395)+K1400*L$1395</f>
        <v>0.0448165964368448</v>
      </c>
      <c r="M1401" s="2" t="n">
        <f aca="false">L1401*(1-M$1395)+L1400*M$1395</f>
        <v>0.0225516610512111</v>
      </c>
      <c r="N1401" s="2" t="n">
        <f aca="false">M1401*(1-N$1395)+M1400*N$1395</f>
        <v>0.00830915978356214</v>
      </c>
      <c r="O1401" s="2" t="n">
        <f aca="false">N1401*(1-O$1395)+N1400*O$1395</f>
        <v>0.00830915978356214</v>
      </c>
    </row>
    <row r="1402" customFormat="false" ht="15" hidden="false" customHeight="false" outlineLevel="0" collapsed="false">
      <c r="B1402" s="2" t="n">
        <v>6</v>
      </c>
      <c r="C1402" s="2" t="n">
        <f aca="false">0</f>
        <v>0</v>
      </c>
      <c r="D1402" s="2" t="n">
        <f aca="false">C1402*(1-D$1395)+C1401*D$1395</f>
        <v>0</v>
      </c>
      <c r="E1402" s="2" t="n">
        <f aca="false">D1402*(1-E$1395)+D1401*E$1395</f>
        <v>0</v>
      </c>
      <c r="F1402" s="2" t="n">
        <f aca="false">E1402*(1-F$1395)+E1401*F$1395</f>
        <v>0</v>
      </c>
      <c r="G1402" s="2" t="n">
        <f aca="false">F1402*(1-G$1395)+F1401*G$1395</f>
        <v>0</v>
      </c>
      <c r="H1402" s="2" t="n">
        <f aca="false">G1402*(1-H$1395)+G1401*H$1395</f>
        <v>0.115115363413327</v>
      </c>
      <c r="I1402" s="2" t="n">
        <f aca="false">H1402*(1-I$1395)+H1401*I$1395</f>
        <v>0.280300160772169</v>
      </c>
      <c r="J1402" s="2" t="n">
        <f aca="false">I1402*(1-J$1395)+I1401*J$1395</f>
        <v>0.346412026745194</v>
      </c>
      <c r="K1402" s="2" t="n">
        <f aca="false">J1402*(1-K$1395)+J1401*K$1395</f>
        <v>0.274538424262754</v>
      </c>
      <c r="L1402" s="2" t="n">
        <f aca="false">K1402*(1-L$1395)+K1401*L$1395</f>
        <v>0.144022193031772</v>
      </c>
      <c r="M1402" s="2" t="n">
        <f aca="false">L1402*(1-M$1395)+L1401*M$1395</f>
        <v>0.083433300361536</v>
      </c>
      <c r="N1402" s="2" t="n">
        <f aca="false">M1402*(1-N$1395)+M1401*N$1395</f>
        <v>0.0371642493331521</v>
      </c>
      <c r="O1402" s="2" t="n">
        <f aca="false">N1402*(1-O$1395)+N1401*O$1395</f>
        <v>0.0371642493331521</v>
      </c>
    </row>
    <row r="1403" customFormat="false" ht="15" hidden="false" customHeight="false" outlineLevel="0" collapsed="false">
      <c r="B1403" s="2" t="n">
        <v>7</v>
      </c>
      <c r="C1403" s="2" t="n">
        <f aca="false">0</f>
        <v>0</v>
      </c>
      <c r="D1403" s="2" t="n">
        <f aca="false">C1403*(1-D$1395)+C1402*D$1395</f>
        <v>0</v>
      </c>
      <c r="E1403" s="2" t="n">
        <f aca="false">D1403*(1-E$1395)+D1402*E$1395</f>
        <v>0</v>
      </c>
      <c r="F1403" s="2" t="n">
        <f aca="false">E1403*(1-F$1395)+E1402*F$1395</f>
        <v>0</v>
      </c>
      <c r="G1403" s="2" t="n">
        <f aca="false">F1403*(1-G$1395)+F1402*G$1395</f>
        <v>0</v>
      </c>
      <c r="H1403" s="2" t="n">
        <f aca="false">G1403*(1-H$1395)+G1402*H$1395</f>
        <v>0</v>
      </c>
      <c r="I1403" s="2" t="n">
        <f aca="false">H1403*(1-I$1395)+H1402*I$1395</f>
        <v>0.0719519314437059</v>
      </c>
      <c r="J1403" s="2" t="n">
        <f aca="false">I1403*(1-J$1395)+I1402*J$1395</f>
        <v>0.231898110154577</v>
      </c>
      <c r="K1403" s="2" t="n">
        <f aca="false">J1403*(1-K$1395)+J1402*K$1395</f>
        <v>0.317574275327337</v>
      </c>
      <c r="L1403" s="2" t="n">
        <f aca="false">K1403*(1-L$1395)+K1402*L$1395</f>
        <v>0.277519516953162</v>
      </c>
      <c r="M1403" s="2" t="n">
        <f aca="false">L1403*(1-M$1395)+L1402*M$1395</f>
        <v>0.195987271712368</v>
      </c>
      <c r="N1403" s="2" t="n">
        <f aca="false">M1403*(1-N$1395)+M1402*N$1395</f>
        <v>0.110448092694307</v>
      </c>
      <c r="O1403" s="2" t="n">
        <f aca="false">N1403*(1-O$1395)+N1402*O$1395</f>
        <v>0.110448092694307</v>
      </c>
    </row>
    <row r="1404" customFormat="false" ht="15" hidden="false" customHeight="false" outlineLevel="0" collapsed="false">
      <c r="B1404" s="2" t="n">
        <v>8</v>
      </c>
      <c r="C1404" s="2" t="n">
        <f aca="false">0</f>
        <v>0</v>
      </c>
      <c r="D1404" s="2" t="n">
        <f aca="false">C1404*(1-D$1395)+C1403*D$1395</f>
        <v>0</v>
      </c>
      <c r="E1404" s="2" t="n">
        <f aca="false">D1404*(1-E$1395)+D1403*E$1395</f>
        <v>0</v>
      </c>
      <c r="F1404" s="2" t="n">
        <f aca="false">E1404*(1-F$1395)+E1403*F$1395</f>
        <v>0</v>
      </c>
      <c r="G1404" s="2" t="n">
        <f aca="false">F1404*(1-G$1395)+F1403*G$1395</f>
        <v>0</v>
      </c>
      <c r="H1404" s="2" t="n">
        <f aca="false">G1404*(1-H$1395)+G1403*H$1395</f>
        <v>0</v>
      </c>
      <c r="I1404" s="2" t="n">
        <f aca="false">H1404*(1-I$1395)+H1403*I$1395</f>
        <v>0</v>
      </c>
      <c r="J1404" s="2" t="n">
        <f aca="false">I1404*(1-J$1395)+I1403*J$1395</f>
        <v>0.0552365456734655</v>
      </c>
      <c r="K1404" s="2" t="n">
        <f aca="false">J1404*(1-K$1395)+J1403*K$1395</f>
        <v>0.187409872975433</v>
      </c>
      <c r="L1404" s="2" t="n">
        <f aca="false">K1404*(1-L$1395)+K1403*L$1395</f>
        <v>0.308557789332433</v>
      </c>
      <c r="M1404" s="2" t="n">
        <f aca="false">L1404*(1-M$1395)+L1403*M$1395</f>
        <v>0.289601454020667</v>
      </c>
      <c r="N1404" s="2" t="n">
        <f aca="false">M1404*(1-N$1395)+M1403*N$1395</f>
        <v>0.218456205185875</v>
      </c>
      <c r="O1404" s="2" t="n">
        <f aca="false">N1404*(1-O$1395)+N1403*O$1395</f>
        <v>0.218456205185875</v>
      </c>
    </row>
    <row r="1405" customFormat="false" ht="15" hidden="false" customHeight="false" outlineLevel="0" collapsed="false">
      <c r="B1405" s="2" t="n">
        <v>9</v>
      </c>
      <c r="C1405" s="2" t="n">
        <f aca="false">0</f>
        <v>0</v>
      </c>
      <c r="D1405" s="2" t="n">
        <f aca="false">C1405*(1-D$1395)+C1404*D$1395</f>
        <v>0</v>
      </c>
      <c r="E1405" s="2" t="n">
        <f aca="false">D1405*(1-E$1395)+D1404*E$1395</f>
        <v>0</v>
      </c>
      <c r="F1405" s="2" t="n">
        <f aca="false">E1405*(1-F$1395)+E1404*F$1395</f>
        <v>0</v>
      </c>
      <c r="G1405" s="2" t="n">
        <f aca="false">F1405*(1-G$1395)+F1404*G$1395</f>
        <v>0</v>
      </c>
      <c r="H1405" s="2" t="n">
        <f aca="false">G1405*(1-H$1395)+G1404*H$1395</f>
        <v>0</v>
      </c>
      <c r="I1405" s="2" t="n">
        <f aca="false">H1405*(1-I$1395)+H1404*I$1395</f>
        <v>0</v>
      </c>
      <c r="J1405" s="2" t="n">
        <f aca="false">I1405*(1-J$1395)+I1404*J$1395</f>
        <v>0</v>
      </c>
      <c r="K1405" s="2" t="n">
        <f aca="false">J1405*(1-K$1395)+J1404*K$1395</f>
        <v>0.0413264653903234</v>
      </c>
      <c r="L1405" s="2" t="n">
        <f aca="false">K1405*(1-L$1395)+K1404*L$1395</f>
        <v>0.177290677751703</v>
      </c>
      <c r="M1405" s="2" t="n">
        <f aca="false">L1405*(1-M$1395)+L1404*M$1395</f>
        <v>0.257460841610215</v>
      </c>
      <c r="N1405" s="2" t="n">
        <f aca="false">M1405*(1-N$1395)+M1404*N$1395</f>
        <v>0.281887181842655</v>
      </c>
      <c r="O1405" s="2" t="n">
        <f aca="false">N1405*(1-O$1395)+N1404*O$1395</f>
        <v>0.281887181842655</v>
      </c>
    </row>
    <row r="1406" customFormat="false" ht="15" hidden="false" customHeight="false" outlineLevel="0" collapsed="false">
      <c r="B1406" s="2" t="n">
        <v>10</v>
      </c>
      <c r="C1406" s="2" t="n">
        <f aca="false">0</f>
        <v>0</v>
      </c>
      <c r="D1406" s="2" t="n">
        <f aca="false">C1406*(1-D$1395)+C1405*D$1395</f>
        <v>0</v>
      </c>
      <c r="E1406" s="2" t="n">
        <f aca="false">D1406*(1-E$1395)+D1405*E$1395</f>
        <v>0</v>
      </c>
      <c r="F1406" s="2" t="n">
        <f aca="false">E1406*(1-F$1395)+E1405*F$1395</f>
        <v>0</v>
      </c>
      <c r="G1406" s="2" t="n">
        <f aca="false">F1406*(1-G$1395)+F1405*G$1395</f>
        <v>0</v>
      </c>
      <c r="H1406" s="2" t="n">
        <f aca="false">G1406*(1-H$1395)+G1405*H$1395</f>
        <v>0</v>
      </c>
      <c r="I1406" s="2" t="n">
        <f aca="false">H1406*(1-I$1395)+H1405*I$1395</f>
        <v>0</v>
      </c>
      <c r="J1406" s="2" t="n">
        <f aca="false">I1406*(1-J$1395)+I1405*J$1395</f>
        <v>0</v>
      </c>
      <c r="K1406" s="2" t="n">
        <f aca="false">J1406*(1-K$1395)+J1405*K$1395</f>
        <v>0</v>
      </c>
      <c r="L1406" s="2" t="n">
        <f aca="false">K1406*(1-L$1395)+K1405*L$1395</f>
        <v>0.0384637818172574</v>
      </c>
      <c r="M1406" s="2" t="n">
        <f aca="false">L1406*(1-M$1395)+L1405*M$1395</f>
        <v>0.123251013447537</v>
      </c>
      <c r="N1406" s="2" t="n">
        <f aca="false">M1406*(1-N$1395)+M1405*N$1395</f>
        <v>0.225248289771147</v>
      </c>
      <c r="O1406" s="2" t="n">
        <f aca="false">N1406*(1-O$1395)+N1405*O$1395</f>
        <v>0.225248289771147</v>
      </c>
    </row>
    <row r="1407" customFormat="false" ht="15" hidden="false" customHeight="false" outlineLevel="0" collapsed="false">
      <c r="B1407" s="2" t="n">
        <v>11</v>
      </c>
      <c r="C1407" s="2" t="n">
        <f aca="false">0</f>
        <v>0</v>
      </c>
      <c r="D1407" s="2" t="n">
        <f aca="false">C1407*(1-D$1395)+C1406*D$1395</f>
        <v>0</v>
      </c>
      <c r="E1407" s="2" t="n">
        <f aca="false">D1407*(1-E$1395)+D1406*E$1395</f>
        <v>0</v>
      </c>
      <c r="F1407" s="2" t="n">
        <f aca="false">E1407*(1-F$1395)+E1406*F$1395</f>
        <v>0</v>
      </c>
      <c r="G1407" s="2" t="n">
        <f aca="false">F1407*(1-G$1395)+F1406*G$1395</f>
        <v>0</v>
      </c>
      <c r="H1407" s="2" t="n">
        <f aca="false">G1407*(1-H$1395)+G1406*H$1395</f>
        <v>0</v>
      </c>
      <c r="I1407" s="2" t="n">
        <f aca="false">H1407*(1-I$1395)+H1406*I$1395</f>
        <v>0</v>
      </c>
      <c r="J1407" s="2" t="n">
        <f aca="false">I1407*(1-J$1395)+I1406*J$1395</f>
        <v>0</v>
      </c>
      <c r="K1407" s="2" t="n">
        <f aca="false">J1407*(1-K$1395)+J1406*K$1395</f>
        <v>0</v>
      </c>
      <c r="L1407" s="2" t="n">
        <f aca="false">K1407*(1-L$1395)+K1406*L$1395</f>
        <v>0</v>
      </c>
      <c r="M1407" s="2" t="n">
        <f aca="false">L1407*(1-M$1395)+L1406*M$1395</f>
        <v>0.0234913959313496</v>
      </c>
      <c r="N1407" s="2" t="n">
        <f aca="false">M1407*(1-N$1395)+M1406*N$1395</f>
        <v>0.0993070751035387</v>
      </c>
      <c r="O1407" s="2" t="n">
        <f aca="false">N1407*(1-O$1395)+N1406*O$1395</f>
        <v>0.0993070751035387</v>
      </c>
    </row>
    <row r="1408" customFormat="false" ht="15" hidden="false" customHeight="false" outlineLevel="0" collapsed="false">
      <c r="B1408" s="2" t="n">
        <v>12</v>
      </c>
      <c r="C1408" s="2" t="n">
        <f aca="false">0</f>
        <v>0</v>
      </c>
      <c r="D1408" s="2" t="n">
        <f aca="false">C1408*(1-D$1395)+C1407*D$1395</f>
        <v>0</v>
      </c>
      <c r="E1408" s="2" t="n">
        <f aca="false">D1408*(1-E$1395)+D1407*E$1395</f>
        <v>0</v>
      </c>
      <c r="F1408" s="2" t="n">
        <f aca="false">E1408*(1-F$1395)+E1407*F$1395</f>
        <v>0</v>
      </c>
      <c r="G1408" s="2" t="n">
        <f aca="false">F1408*(1-G$1395)+F1407*G$1395</f>
        <v>0</v>
      </c>
      <c r="H1408" s="2" t="n">
        <f aca="false">G1408*(1-H$1395)+G1407*H$1395</f>
        <v>0</v>
      </c>
      <c r="I1408" s="2" t="n">
        <f aca="false">H1408*(1-I$1395)+H1407*I$1395</f>
        <v>0</v>
      </c>
      <c r="J1408" s="2" t="n">
        <f aca="false">I1408*(1-J$1395)+I1407*J$1395</f>
        <v>0</v>
      </c>
      <c r="K1408" s="2" t="n">
        <f aca="false">J1408*(1-K$1395)+J1407*K$1395</f>
        <v>0</v>
      </c>
      <c r="L1408" s="2" t="n">
        <f aca="false">K1408*(1-L$1395)+K1407*L$1395</f>
        <v>0</v>
      </c>
      <c r="M1408" s="2" t="n">
        <f aca="false">L1408*(1-M$1395)+L1407*M$1395</f>
        <v>0</v>
      </c>
      <c r="N1408" s="2" t="n">
        <f aca="false">M1408*(1-N$1395)+M1407*N$1395</f>
        <v>0.0178530770424122</v>
      </c>
      <c r="O1408" s="2" t="n">
        <f aca="false">N1408*(1-O$1395)+N1407*O$1395</f>
        <v>0.0178530770424122</v>
      </c>
    </row>
    <row r="1409" customFormat="false" ht="15" hidden="false" customHeight="false" outlineLevel="0" collapsed="false">
      <c r="B1409" s="2" t="n">
        <v>13</v>
      </c>
      <c r="C1409" s="2" t="n">
        <f aca="false">0</f>
        <v>0</v>
      </c>
      <c r="D1409" s="2" t="n">
        <f aca="false">C1409*(1-D$1395)+C1408*D$1395</f>
        <v>0</v>
      </c>
      <c r="E1409" s="2" t="n">
        <f aca="false">D1409*(1-E$1395)+D1408*E$1395</f>
        <v>0</v>
      </c>
      <c r="F1409" s="2" t="n">
        <f aca="false">E1409*(1-F$1395)+E1408*F$1395</f>
        <v>0</v>
      </c>
      <c r="G1409" s="2" t="n">
        <f aca="false">F1409*(1-G$1395)+F1408*G$1395</f>
        <v>0</v>
      </c>
      <c r="H1409" s="2" t="n">
        <f aca="false">G1409*(1-H$1395)+G1408*H$1395</f>
        <v>0</v>
      </c>
      <c r="I1409" s="2" t="n">
        <f aca="false">H1409*(1-I$1395)+H1408*I$1395</f>
        <v>0</v>
      </c>
      <c r="J1409" s="2" t="n">
        <f aca="false">I1409*(1-J$1395)+I1408*J$1395</f>
        <v>0</v>
      </c>
      <c r="K1409" s="2" t="n">
        <f aca="false">J1409*(1-K$1395)+J1408*K$1395</f>
        <v>0</v>
      </c>
      <c r="L1409" s="2" t="n">
        <f aca="false">K1409*(1-L$1395)+K1408*L$1395</f>
        <v>0</v>
      </c>
      <c r="M1409" s="2" t="n">
        <f aca="false">L1409*(1-M$1395)+L1408*M$1395</f>
        <v>0</v>
      </c>
      <c r="N1409" s="2" t="n">
        <f aca="false">M1409*(1-N$1395)+M1408*N$1395</f>
        <v>0</v>
      </c>
      <c r="O1409" s="2" t="n">
        <f aca="false">N1409*(1-O$1395)+N1408*O$1395</f>
        <v>0</v>
      </c>
    </row>
    <row r="1411" customFormat="false" ht="15" hidden="false" customHeight="false" outlineLevel="0" collapsed="false">
      <c r="A1411" s="1" t="s">
        <v>146</v>
      </c>
      <c r="C1411" s="2" t="n">
        <f aca="false">Schedule!G90</f>
        <v>0.166334969492118</v>
      </c>
      <c r="D1411" s="2" t="n">
        <f aca="false">Schedule!L90</f>
        <v>0.0598243279770142</v>
      </c>
      <c r="E1411" s="2" t="n">
        <f aca="false">Schedule!Q90</f>
        <v>0.771486132875137</v>
      </c>
      <c r="F1411" s="2" t="n">
        <f aca="false">Schedule!V90</f>
        <v>0.758036347776927</v>
      </c>
      <c r="G1411" s="2" t="n">
        <f aca="false">Schedule!AA90</f>
        <v>0.586577601141551</v>
      </c>
      <c r="H1411" s="2" t="n">
        <f aca="false">Schedule!AF90</f>
        <v>0.406134459600758</v>
      </c>
      <c r="I1411" s="2" t="n">
        <f aca="false">Schedule!AK90</f>
        <v>0.529892644052895</v>
      </c>
      <c r="J1411" s="2" t="n">
        <f aca="false">Schedule!AP90</f>
        <v>0.337699424942871</v>
      </c>
      <c r="K1411" s="2" t="n">
        <f aca="false">Schedule!AU90</f>
        <v>0.475082330970753</v>
      </c>
      <c r="L1411" s="2" t="n">
        <f aca="false">Schedule!AZ90</f>
        <v>0.204685795347253</v>
      </c>
      <c r="M1411" s="2" t="n">
        <f aca="false">Schedule!BE90</f>
        <v>0.617911422188953</v>
      </c>
      <c r="N1411" s="2" t="n">
        <f aca="false">Schedule!BJ90</f>
        <v>0.406134459600758</v>
      </c>
      <c r="O1411" s="2" t="n">
        <f aca="false">Schedule!BO90</f>
        <v>0</v>
      </c>
    </row>
    <row r="1412" customFormat="false" ht="15" hidden="false" customHeight="false" outlineLevel="0" collapsed="false">
      <c r="B1412" s="2" t="n">
        <v>0</v>
      </c>
      <c r="C1412" s="2" t="n">
        <f aca="false">1-C$1411</f>
        <v>0.833665030507882</v>
      </c>
      <c r="D1412" s="2" t="n">
        <f aca="false">C1412*(1-D$1411)</f>
        <v>0.78379158029981</v>
      </c>
      <c r="E1412" s="2" t="n">
        <f aca="false">D1412*(1-E$1411)</f>
        <v>0.179107245034217</v>
      </c>
      <c r="F1412" s="2" t="n">
        <f aca="false">E1412*(1-F$1411)</f>
        <v>0.043337443148092</v>
      </c>
      <c r="G1412" s="2" t="n">
        <f aca="false">F1412*(1-G$1411)</f>
        <v>0.0179166697066759</v>
      </c>
      <c r="H1412" s="2" t="n">
        <f aca="false">G1412*(1-H$1411)</f>
        <v>0.0106400927375098</v>
      </c>
      <c r="I1412" s="2" t="n">
        <f aca="false">H1412*(1-I$1411)</f>
        <v>0.00500198586386273</v>
      </c>
      <c r="J1412" s="2" t="n">
        <f aca="false">I1412*(1-J$1411)</f>
        <v>0.00331281811406391</v>
      </c>
      <c r="K1412" s="2" t="n">
        <f aca="false">J1412*(1-K$1411)</f>
        <v>0.0017389567623523</v>
      </c>
      <c r="L1412" s="2" t="n">
        <f aca="false">K1412*(1-L$1411)</f>
        <v>0.00138301701437573</v>
      </c>
      <c r="M1412" s="2" t="n">
        <f aca="false">L1412*(1-M$1411)</f>
        <v>0.000528435004111305</v>
      </c>
      <c r="N1412" s="2" t="n">
        <f aca="false">M1412*(1-N$1411)</f>
        <v>0.000313819339282436</v>
      </c>
      <c r="O1412" s="2" t="n">
        <f aca="false">N1412*(1-O$1411)</f>
        <v>0.000313819339282436</v>
      </c>
    </row>
    <row r="1413" customFormat="false" ht="15" hidden="false" customHeight="false" outlineLevel="0" collapsed="false">
      <c r="B1413" s="2" t="n">
        <v>1</v>
      </c>
      <c r="C1413" s="2" t="n">
        <f aca="false">C$1411</f>
        <v>0.166334969492118</v>
      </c>
      <c r="D1413" s="2" t="n">
        <f aca="false">C1413*(1-D$1411)+C1412*D$1411</f>
        <v>0.206257541931246</v>
      </c>
      <c r="E1413" s="2" t="n">
        <f aca="false">D1413*(1-E$1411)+D1412*E$1411</f>
        <v>0.651817043795971</v>
      </c>
      <c r="F1413" s="2" t="n">
        <f aca="false">E1413*(1-F$1411)+E1412*F$1411</f>
        <v>0.293485834384245</v>
      </c>
      <c r="G1413" s="2" t="n">
        <f aca="false">F1413*(1-G$1411)+F1412*G$1411</f>
        <v>0.146754391123524</v>
      </c>
      <c r="H1413" s="2" t="n">
        <f aca="false">G1413*(1-H$1411)+G1412*H$1411</f>
        <v>0.0944289527596996</v>
      </c>
      <c r="I1413" s="2" t="n">
        <f aca="false">H1413*(1-I$1411)+H1412*I$1411</f>
        <v>0.0500298521803635</v>
      </c>
      <c r="J1413" s="2" t="n">
        <f aca="false">I1413*(1-J$1411)+I1412*J$1411</f>
        <v>0.0348239676188767</v>
      </c>
      <c r="K1413" s="2" t="n">
        <f aca="false">J1413*(1-K$1411)+J1412*K$1411</f>
        <v>0.0198535772605624</v>
      </c>
      <c r="L1413" s="2" t="n">
        <f aca="false">K1413*(1-L$1411)+K1412*L$1411</f>
        <v>0.0161457717564726</v>
      </c>
      <c r="M1413" s="2" t="n">
        <f aca="false">L1413*(1-M$1411)+L1412*M$1411</f>
        <v>0.00702369697835682</v>
      </c>
      <c r="N1413" s="2" t="n">
        <f aca="false">M1413*(1-N$1411)+M1412*N$1411</f>
        <v>0.00438574726648127</v>
      </c>
      <c r="O1413" s="2" t="n">
        <f aca="false">N1413*(1-O$1411)+N1412*O$1411</f>
        <v>0.00438574726648127</v>
      </c>
    </row>
    <row r="1414" customFormat="false" ht="15" hidden="false" customHeight="false" outlineLevel="0" collapsed="false">
      <c r="B1414" s="2" t="n">
        <v>2</v>
      </c>
      <c r="C1414" s="2" t="n">
        <f aca="false">0</f>
        <v>0</v>
      </c>
      <c r="D1414" s="2" t="n">
        <f aca="false">C1414*(1-D$1411)+C1413*D$1411</f>
        <v>0.00995087776894314</v>
      </c>
      <c r="E1414" s="2" t="n">
        <f aca="false">D1414*(1-E$1411)+D1413*E$1411</f>
        <v>0.161398746961137</v>
      </c>
      <c r="F1414" s="2" t="n">
        <f aca="false">E1414*(1-F$1411)+E1413*F$1411</f>
        <v>0.533153641576796</v>
      </c>
      <c r="G1414" s="2" t="n">
        <f aca="false">F1414*(1-G$1411)+F1413*G$1411</f>
        <v>0.392569874162933</v>
      </c>
      <c r="H1414" s="2" t="n">
        <f aca="false">G1414*(1-H$1411)+G1413*H$1411</f>
        <v>0.292735735797224</v>
      </c>
      <c r="I1414" s="2" t="n">
        <f aca="false">H1414*(1-I$1411)+H1413*I$1411</f>
        <v>0.187654430199846</v>
      </c>
      <c r="J1414" s="2" t="n">
        <f aca="false">I1414*(1-J$1411)+I1413*J$1411</f>
        <v>0.141178689344662</v>
      </c>
      <c r="K1414" s="2" t="n">
        <f aca="false">J1414*(1-K$1411)+J1413*K$1411</f>
        <v>0.09065144023743</v>
      </c>
      <c r="L1414" s="2" t="n">
        <f aca="false">K1414*(1-L$1411)+K1413*L$1411</f>
        <v>0.076160123345124</v>
      </c>
      <c r="M1414" s="2" t="n">
        <f aca="false">L1414*(1-M$1411)+L1413*M$1411</f>
        <v>0.0390765700032326</v>
      </c>
      <c r="N1414" s="2" t="n">
        <f aca="false">M1414*(1-N$1411)+M1413*N$1411</f>
        <v>0.026058793738623</v>
      </c>
      <c r="O1414" s="2" t="n">
        <f aca="false">N1414*(1-O$1411)+N1413*O$1411</f>
        <v>0.026058793738623</v>
      </c>
    </row>
    <row r="1415" customFormat="false" ht="15" hidden="false" customHeight="false" outlineLevel="0" collapsed="false">
      <c r="B1415" s="2" t="n">
        <v>3</v>
      </c>
      <c r="C1415" s="2" t="n">
        <f aca="false">0</f>
        <v>0</v>
      </c>
      <c r="D1415" s="2" t="n">
        <f aca="false">C1415*(1-D$1411)+C1414*D$1411</f>
        <v>0</v>
      </c>
      <c r="E1415" s="2" t="n">
        <f aca="false">D1415*(1-E$1411)+D1414*E$1411</f>
        <v>0.00767696420867512</v>
      </c>
      <c r="F1415" s="2" t="n">
        <f aca="false">E1415*(1-F$1411)+E1414*F$1411</f>
        <v>0.124203662980109</v>
      </c>
      <c r="G1415" s="2" t="n">
        <f aca="false">F1415*(1-G$1411)+F1414*G$1411</f>
        <v>0.364084560412242</v>
      </c>
      <c r="H1415" s="2" t="n">
        <f aca="false">G1415*(1-H$1411)+G1414*H$1411</f>
        <v>0.375653427918937</v>
      </c>
      <c r="I1415" s="2" t="n">
        <f aca="false">H1415*(1-I$1411)+H1414*I$1411</f>
        <v>0.331715952801799</v>
      </c>
      <c r="J1415" s="2" t="n">
        <f aca="false">I1415*(1-J$1411)+I1414*J$1411</f>
        <v>0.283066459462725</v>
      </c>
      <c r="K1415" s="2" t="n">
        <f aca="false">J1415*(1-K$1411)+J1414*K$1411</f>
        <v>0.215658086898793</v>
      </c>
      <c r="L1415" s="2" t="n">
        <f aca="false">K1415*(1-L$1411)+K1414*L$1411</f>
        <v>0.190071002003219</v>
      </c>
      <c r="M1415" s="2" t="n">
        <f aca="false">L1415*(1-M$1411)+L1414*M$1411</f>
        <v>0.119684168968802</v>
      </c>
      <c r="N1415" s="2" t="n">
        <f aca="false">M1415*(1-N$1411)+M1414*N$1411</f>
        <v>0.0869466453232061</v>
      </c>
      <c r="O1415" s="2" t="n">
        <f aca="false">N1415*(1-O$1411)+N1414*O$1411</f>
        <v>0.0869466453232061</v>
      </c>
    </row>
    <row r="1416" customFormat="false" ht="15" hidden="false" customHeight="false" outlineLevel="0" collapsed="false">
      <c r="B1416" s="2" t="n">
        <v>4</v>
      </c>
      <c r="C1416" s="2" t="n">
        <f aca="false">0</f>
        <v>0</v>
      </c>
      <c r="D1416" s="2" t="n">
        <f aca="false">C1416*(1-D$1411)+C1415*D$1411</f>
        <v>0</v>
      </c>
      <c r="E1416" s="2" t="n">
        <f aca="false">D1416*(1-E$1411)+D1415*E$1411</f>
        <v>0</v>
      </c>
      <c r="F1416" s="2" t="n">
        <f aca="false">E1416*(1-F$1411)+E1415*F$1411</f>
        <v>0.00581941791075827</v>
      </c>
      <c r="G1416" s="2" t="n">
        <f aca="false">F1416*(1-G$1411)+F1415*G$1411</f>
        <v>0.0752609643964917</v>
      </c>
      <c r="H1416" s="2" t="n">
        <f aca="false">G1416*(1-H$1411)+G1415*H$1411</f>
        <v>0.192562179484296</v>
      </c>
      <c r="I1416" s="2" t="n">
        <f aca="false">H1416*(1-I$1411)+H1415*I$1411</f>
        <v>0.289580885220273</v>
      </c>
      <c r="J1416" s="2" t="n">
        <f aca="false">I1416*(1-J$1411)+I1415*J$1411</f>
        <v>0.303809873312483</v>
      </c>
      <c r="K1416" s="2" t="n">
        <f aca="false">J1416*(1-K$1411)+J1415*K$1411</f>
        <v>0.293955043908449</v>
      </c>
      <c r="L1416" s="2" t="n">
        <f aca="false">K1416*(1-L$1411)+K1415*L$1411</f>
        <v>0.277928768989658</v>
      </c>
      <c r="M1416" s="2" t="n">
        <f aca="false">L1416*(1-M$1411)+L1415*M$1411</f>
        <v>0.223640451240722</v>
      </c>
      <c r="N1416" s="2" t="n">
        <f aca="false">M1416*(1-N$1411)+M1415*N$1411</f>
        <v>0.181420222718112</v>
      </c>
      <c r="O1416" s="2" t="n">
        <f aca="false">N1416*(1-O$1411)+N1415*O$1411</f>
        <v>0.181420222718112</v>
      </c>
    </row>
    <row r="1417" customFormat="false" ht="15" hidden="false" customHeight="false" outlineLevel="0" collapsed="false">
      <c r="B1417" s="2" t="n">
        <v>5</v>
      </c>
      <c r="C1417" s="2" t="n">
        <f aca="false">0</f>
        <v>0</v>
      </c>
      <c r="D1417" s="2" t="n">
        <f aca="false">C1417*(1-D$1411)+C1416*D$1411</f>
        <v>0</v>
      </c>
      <c r="E1417" s="2" t="n">
        <f aca="false">D1417*(1-E$1411)+D1416*E$1411</f>
        <v>0</v>
      </c>
      <c r="F1417" s="2" t="n">
        <f aca="false">E1417*(1-F$1411)+E1416*F$1411</f>
        <v>0</v>
      </c>
      <c r="G1417" s="2" t="n">
        <f aca="false">F1417*(1-G$1411)+F1416*G$1411</f>
        <v>0.00341354019813276</v>
      </c>
      <c r="H1417" s="2" t="n">
        <f aca="false">G1417*(1-H$1411)+G1416*H$1411</f>
        <v>0.0325932549986397</v>
      </c>
      <c r="I1417" s="2" t="n">
        <f aca="false">H1417*(1-I$1411)+H1416*I$1411</f>
        <v>0.117359611360642</v>
      </c>
      <c r="J1417" s="2" t="n">
        <f aca="false">I1417*(1-J$1411)+I1416*J$1411</f>
        <v>0.175518636505968</v>
      </c>
      <c r="K1417" s="2" t="n">
        <f aca="false">J1417*(1-K$1411)+J1416*K$1411</f>
        <v>0.236467536331128</v>
      </c>
      <c r="L1417" s="2" t="n">
        <f aca="false">K1417*(1-L$1411)+K1416*L$1411</f>
        <v>0.248234412542123</v>
      </c>
      <c r="M1417" s="2" t="n">
        <f aca="false">L1417*(1-M$1411)+L1416*M$1411</f>
        <v>0.266582894565605</v>
      </c>
      <c r="N1417" s="2" t="n">
        <f aca="false">M1417*(1-N$1411)+M1416*N$1411</f>
        <v>0.249142488551918</v>
      </c>
      <c r="O1417" s="2" t="n">
        <f aca="false">N1417*(1-O$1411)+N1416*O$1411</f>
        <v>0.249142488551918</v>
      </c>
    </row>
    <row r="1418" customFormat="false" ht="15" hidden="false" customHeight="false" outlineLevel="0" collapsed="false">
      <c r="B1418" s="2" t="n">
        <v>6</v>
      </c>
      <c r="C1418" s="2" t="n">
        <f aca="false">0</f>
        <v>0</v>
      </c>
      <c r="D1418" s="2" t="n">
        <f aca="false">C1418*(1-D$1411)+C1417*D$1411</f>
        <v>0</v>
      </c>
      <c r="E1418" s="2" t="n">
        <f aca="false">D1418*(1-E$1411)+D1417*E$1411</f>
        <v>0</v>
      </c>
      <c r="F1418" s="2" t="n">
        <f aca="false">E1418*(1-F$1411)+E1417*F$1411</f>
        <v>0</v>
      </c>
      <c r="G1418" s="2" t="n">
        <f aca="false">F1418*(1-G$1411)+F1417*G$1411</f>
        <v>0</v>
      </c>
      <c r="H1418" s="2" t="n">
        <f aca="false">G1418*(1-H$1411)+G1417*H$1411</f>
        <v>0.00138635630369411</v>
      </c>
      <c r="I1418" s="2" t="n">
        <f aca="false">H1418*(1-I$1411)+H1417*I$1411</f>
        <v>0.0179226623658496</v>
      </c>
      <c r="J1418" s="2" t="n">
        <f aca="false">I1418*(1-J$1411)+I1417*J$1411</f>
        <v>0.0515024628594646</v>
      </c>
      <c r="K1418" s="2" t="n">
        <f aca="false">J1418*(1-K$1411)+J1417*K$1411</f>
        <v>0.110420355713519</v>
      </c>
      <c r="L1418" s="2" t="n">
        <f aca="false">K1418*(1-L$1411)+K1417*L$1411</f>
        <v>0.136220423129513</v>
      </c>
      <c r="M1418" s="2" t="n">
        <f aca="false">L1418*(1-M$1411)+L1417*M$1411</f>
        <v>0.205435146632518</v>
      </c>
      <c r="N1418" s="2" t="n">
        <f aca="false">M1418*(1-N$1411)+M1417*N$1411</f>
        <v>0.230269354195125</v>
      </c>
      <c r="O1418" s="2" t="n">
        <f aca="false">N1418*(1-O$1411)+N1417*O$1411</f>
        <v>0.230269354195125</v>
      </c>
    </row>
    <row r="1419" customFormat="false" ht="15" hidden="false" customHeight="false" outlineLevel="0" collapsed="false">
      <c r="B1419" s="2" t="n">
        <v>7</v>
      </c>
      <c r="C1419" s="2" t="n">
        <f aca="false">0</f>
        <v>0</v>
      </c>
      <c r="D1419" s="2" t="n">
        <f aca="false">C1419*(1-D$1411)+C1418*D$1411</f>
        <v>0</v>
      </c>
      <c r="E1419" s="2" t="n">
        <f aca="false">D1419*(1-E$1411)+D1418*E$1411</f>
        <v>0</v>
      </c>
      <c r="F1419" s="2" t="n">
        <f aca="false">E1419*(1-F$1411)+E1418*F$1411</f>
        <v>0</v>
      </c>
      <c r="G1419" s="2" t="n">
        <f aca="false">F1419*(1-G$1411)+F1418*G$1411</f>
        <v>0</v>
      </c>
      <c r="H1419" s="2" t="n">
        <f aca="false">G1419*(1-H$1411)+G1418*H$1411</f>
        <v>0</v>
      </c>
      <c r="I1419" s="2" t="n">
        <f aca="false">H1419*(1-I$1411)+H1418*I$1411</f>
        <v>0.000734620007363871</v>
      </c>
      <c r="J1419" s="2" t="n">
        <f aca="false">I1419*(1-J$1411)+I1418*J$1411</f>
        <v>0.00653901202771823</v>
      </c>
      <c r="K1419" s="2" t="n">
        <f aca="false">J1419*(1-K$1411)+J1418*K$1411</f>
        <v>0.0279003530573531</v>
      </c>
      <c r="L1419" s="2" t="n">
        <f aca="false">K1419*(1-L$1411)+K1418*L$1411</f>
        <v>0.0447910254330879</v>
      </c>
      <c r="M1419" s="2" t="n">
        <f aca="false">L1419*(1-M$1411)+L1418*M$1411</f>
        <v>0.101286294593565</v>
      </c>
      <c r="N1419" s="2" t="n">
        <f aca="false">M1419*(1-N$1411)+M1418*N$1411</f>
        <v>0.143584732334445</v>
      </c>
      <c r="O1419" s="2" t="n">
        <f aca="false">N1419*(1-O$1411)+N1418*O$1411</f>
        <v>0.143584732334445</v>
      </c>
    </row>
    <row r="1420" customFormat="false" ht="15" hidden="false" customHeight="false" outlineLevel="0" collapsed="false">
      <c r="B1420" s="2" t="n">
        <v>8</v>
      </c>
      <c r="C1420" s="2" t="n">
        <f aca="false">0</f>
        <v>0</v>
      </c>
      <c r="D1420" s="2" t="n">
        <f aca="false">C1420*(1-D$1411)+C1419*D$1411</f>
        <v>0</v>
      </c>
      <c r="E1420" s="2" t="n">
        <f aca="false">D1420*(1-E$1411)+D1419*E$1411</f>
        <v>0</v>
      </c>
      <c r="F1420" s="2" t="n">
        <f aca="false">E1420*(1-F$1411)+E1419*F$1411</f>
        <v>0</v>
      </c>
      <c r="G1420" s="2" t="n">
        <f aca="false">F1420*(1-G$1411)+F1419*G$1411</f>
        <v>0</v>
      </c>
      <c r="H1420" s="2" t="n">
        <f aca="false">G1420*(1-H$1411)+G1419*H$1411</f>
        <v>0</v>
      </c>
      <c r="I1420" s="2" t="n">
        <f aca="false">H1420*(1-I$1411)+H1419*I$1411</f>
        <v>0</v>
      </c>
      <c r="J1420" s="2" t="n">
        <f aca="false">I1420*(1-J$1411)+I1419*J$1411</f>
        <v>0.000248080754038307</v>
      </c>
      <c r="K1420" s="2" t="n">
        <f aca="false">J1420*(1-K$1411)+J1419*K$1411</f>
        <v>0.00323679104751497</v>
      </c>
      <c r="L1420" s="2" t="n">
        <f aca="false">K1420*(1-L$1411)+K1419*L$1411</f>
        <v>0.00828507185359498</v>
      </c>
      <c r="M1420" s="2" t="n">
        <f aca="false">L1420*(1-M$1411)+L1419*M$1411</f>
        <v>0.0308425175482633</v>
      </c>
      <c r="N1420" s="2" t="n">
        <f aca="false">M1420*(1-N$1411)+M1419*N$1411</f>
        <v>0.0594521628707934</v>
      </c>
      <c r="O1420" s="2" t="n">
        <f aca="false">N1420*(1-O$1411)+N1419*O$1411</f>
        <v>0.0594521628707934</v>
      </c>
    </row>
    <row r="1421" customFormat="false" ht="15" hidden="false" customHeight="false" outlineLevel="0" collapsed="false">
      <c r="B1421" s="2" t="n">
        <v>9</v>
      </c>
      <c r="C1421" s="2" t="n">
        <f aca="false">0</f>
        <v>0</v>
      </c>
      <c r="D1421" s="2" t="n">
        <f aca="false">C1421*(1-D$1411)+C1420*D$1411</f>
        <v>0</v>
      </c>
      <c r="E1421" s="2" t="n">
        <f aca="false">D1421*(1-E$1411)+D1420*E$1411</f>
        <v>0</v>
      </c>
      <c r="F1421" s="2" t="n">
        <f aca="false">E1421*(1-F$1411)+E1420*F$1411</f>
        <v>0</v>
      </c>
      <c r="G1421" s="2" t="n">
        <f aca="false">F1421*(1-G$1411)+F1420*G$1411</f>
        <v>0</v>
      </c>
      <c r="H1421" s="2" t="n">
        <f aca="false">G1421*(1-H$1411)+G1420*H$1411</f>
        <v>0</v>
      </c>
      <c r="I1421" s="2" t="n">
        <f aca="false">H1421*(1-I$1411)+H1420*I$1411</f>
        <v>0</v>
      </c>
      <c r="J1421" s="2" t="n">
        <f aca="false">I1421*(1-J$1411)+I1420*J$1411</f>
        <v>0</v>
      </c>
      <c r="K1421" s="2" t="n">
        <f aca="false">J1421*(1-K$1411)+J1420*K$1411</f>
        <v>0.000117858782897501</v>
      </c>
      <c r="L1421" s="2" t="n">
        <f aca="false">K1421*(1-L$1411)+K1420*L$1411</f>
        <v>0.000756259914114935</v>
      </c>
      <c r="M1421" s="2" t="n">
        <f aca="false">L1421*(1-M$1411)+L1420*M$1411</f>
        <v>0.00540839880703222</v>
      </c>
      <c r="N1421" s="2" t="n">
        <f aca="false">M1421*(1-N$1411)+M1420*N$1411</f>
        <v>0.0157380708774236</v>
      </c>
      <c r="O1421" s="2" t="n">
        <f aca="false">N1421*(1-O$1411)+N1420*O$1411</f>
        <v>0.0157380708774236</v>
      </c>
    </row>
    <row r="1422" customFormat="false" ht="15" hidden="false" customHeight="false" outlineLevel="0" collapsed="false">
      <c r="B1422" s="2" t="n">
        <v>10</v>
      </c>
      <c r="C1422" s="2" t="n">
        <f aca="false">0</f>
        <v>0</v>
      </c>
      <c r="D1422" s="2" t="n">
        <f aca="false">C1422*(1-D$1411)+C1421*D$1411</f>
        <v>0</v>
      </c>
      <c r="E1422" s="2" t="n">
        <f aca="false">D1422*(1-E$1411)+D1421*E$1411</f>
        <v>0</v>
      </c>
      <c r="F1422" s="2" t="n">
        <f aca="false">E1422*(1-F$1411)+E1421*F$1411</f>
        <v>0</v>
      </c>
      <c r="G1422" s="2" t="n">
        <f aca="false">F1422*(1-G$1411)+F1421*G$1411</f>
        <v>0</v>
      </c>
      <c r="H1422" s="2" t="n">
        <f aca="false">G1422*(1-H$1411)+G1421*H$1411</f>
        <v>0</v>
      </c>
      <c r="I1422" s="2" t="n">
        <f aca="false">H1422*(1-I$1411)+H1421*I$1411</f>
        <v>0</v>
      </c>
      <c r="J1422" s="2" t="n">
        <f aca="false">I1422*(1-J$1411)+I1421*J$1411</f>
        <v>0</v>
      </c>
      <c r="K1422" s="2" t="n">
        <f aca="false">J1422*(1-K$1411)+J1421*K$1411</f>
        <v>0</v>
      </c>
      <c r="L1422" s="2" t="n">
        <f aca="false">K1422*(1-L$1411)+K1421*L$1411</f>
        <v>2.41240187160342E-005</v>
      </c>
      <c r="M1422" s="2" t="n">
        <f aca="false">L1422*(1-M$1411)+L1421*M$1411</f>
        <v>0.000476519151077551</v>
      </c>
      <c r="N1422" s="2" t="n">
        <f aca="false">M1422*(1-N$1411)+M1421*N$1411</f>
        <v>0.00247952542996467</v>
      </c>
      <c r="O1422" s="2" t="n">
        <f aca="false">N1422*(1-O$1411)+N1421*O$1411</f>
        <v>0.00247952542996467</v>
      </c>
    </row>
    <row r="1423" customFormat="false" ht="15" hidden="false" customHeight="false" outlineLevel="0" collapsed="false">
      <c r="B1423" s="2" t="n">
        <v>11</v>
      </c>
      <c r="C1423" s="2" t="n">
        <f aca="false">0</f>
        <v>0</v>
      </c>
      <c r="D1423" s="2" t="n">
        <f aca="false">C1423*(1-D$1411)+C1422*D$1411</f>
        <v>0</v>
      </c>
      <c r="E1423" s="2" t="n">
        <f aca="false">D1423*(1-E$1411)+D1422*E$1411</f>
        <v>0</v>
      </c>
      <c r="F1423" s="2" t="n">
        <f aca="false">E1423*(1-F$1411)+E1422*F$1411</f>
        <v>0</v>
      </c>
      <c r="G1423" s="2" t="n">
        <f aca="false">F1423*(1-G$1411)+F1422*G$1411</f>
        <v>0</v>
      </c>
      <c r="H1423" s="2" t="n">
        <f aca="false">G1423*(1-H$1411)+G1422*H$1411</f>
        <v>0</v>
      </c>
      <c r="I1423" s="2" t="n">
        <f aca="false">H1423*(1-I$1411)+H1422*I$1411</f>
        <v>0</v>
      </c>
      <c r="J1423" s="2" t="n">
        <f aca="false">I1423*(1-J$1411)+I1422*J$1411</f>
        <v>0</v>
      </c>
      <c r="K1423" s="2" t="n">
        <f aca="false">J1423*(1-K$1411)+J1422*K$1411</f>
        <v>0</v>
      </c>
      <c r="L1423" s="2" t="n">
        <f aca="false">K1423*(1-L$1411)+K1422*L$1411</f>
        <v>0</v>
      </c>
      <c r="M1423" s="2" t="n">
        <f aca="false">L1423*(1-M$1411)+L1422*M$1411</f>
        <v>1.49065067137376E-005</v>
      </c>
      <c r="N1423" s="2" t="n">
        <f aca="false">M1423*(1-N$1411)+M1422*N$1411</f>
        <v>0.000202383308577312</v>
      </c>
      <c r="O1423" s="2" t="n">
        <f aca="false">N1423*(1-O$1411)+N1422*O$1411</f>
        <v>0.000202383308577312</v>
      </c>
    </row>
    <row r="1424" customFormat="false" ht="15" hidden="false" customHeight="false" outlineLevel="0" collapsed="false">
      <c r="B1424" s="2" t="n">
        <v>12</v>
      </c>
      <c r="C1424" s="2" t="n">
        <f aca="false">0</f>
        <v>0</v>
      </c>
      <c r="D1424" s="2" t="n">
        <f aca="false">C1424*(1-D$1411)+C1423*D$1411</f>
        <v>0</v>
      </c>
      <c r="E1424" s="2" t="n">
        <f aca="false">D1424*(1-E$1411)+D1423*E$1411</f>
        <v>0</v>
      </c>
      <c r="F1424" s="2" t="n">
        <f aca="false">E1424*(1-F$1411)+E1423*F$1411</f>
        <v>0</v>
      </c>
      <c r="G1424" s="2" t="n">
        <f aca="false">F1424*(1-G$1411)+F1423*G$1411</f>
        <v>0</v>
      </c>
      <c r="H1424" s="2" t="n">
        <f aca="false">G1424*(1-H$1411)+G1423*H$1411</f>
        <v>0</v>
      </c>
      <c r="I1424" s="2" t="n">
        <f aca="false">H1424*(1-I$1411)+H1423*I$1411</f>
        <v>0</v>
      </c>
      <c r="J1424" s="2" t="n">
        <f aca="false">I1424*(1-J$1411)+I1423*J$1411</f>
        <v>0</v>
      </c>
      <c r="K1424" s="2" t="n">
        <f aca="false">J1424*(1-K$1411)+J1423*K$1411</f>
        <v>0</v>
      </c>
      <c r="L1424" s="2" t="n">
        <f aca="false">K1424*(1-L$1411)+K1423*L$1411</f>
        <v>0</v>
      </c>
      <c r="M1424" s="2" t="n">
        <f aca="false">L1424*(1-M$1411)+L1423*M$1411</f>
        <v>0</v>
      </c>
      <c r="N1424" s="2" t="n">
        <f aca="false">M1424*(1-N$1411)+M1423*N$1411</f>
        <v>6.05404604871887E-006</v>
      </c>
      <c r="O1424" s="2" t="n">
        <f aca="false">N1424*(1-O$1411)+N1423*O$1411</f>
        <v>6.05404604871887E-006</v>
      </c>
    </row>
    <row r="1425" customFormat="false" ht="15" hidden="false" customHeight="false" outlineLevel="0" collapsed="false">
      <c r="B1425" s="2" t="n">
        <v>13</v>
      </c>
      <c r="C1425" s="2" t="n">
        <f aca="false">0</f>
        <v>0</v>
      </c>
      <c r="D1425" s="2" t="n">
        <f aca="false">C1425*(1-D$1411)+C1424*D$1411</f>
        <v>0</v>
      </c>
      <c r="E1425" s="2" t="n">
        <f aca="false">D1425*(1-E$1411)+D1424*E$1411</f>
        <v>0</v>
      </c>
      <c r="F1425" s="2" t="n">
        <f aca="false">E1425*(1-F$1411)+E1424*F$1411</f>
        <v>0</v>
      </c>
      <c r="G1425" s="2" t="n">
        <f aca="false">F1425*(1-G$1411)+F1424*G$1411</f>
        <v>0</v>
      </c>
      <c r="H1425" s="2" t="n">
        <f aca="false">G1425*(1-H$1411)+G1424*H$1411</f>
        <v>0</v>
      </c>
      <c r="I1425" s="2" t="n">
        <f aca="false">H1425*(1-I$1411)+H1424*I$1411</f>
        <v>0</v>
      </c>
      <c r="J1425" s="2" t="n">
        <f aca="false">I1425*(1-J$1411)+I1424*J$1411</f>
        <v>0</v>
      </c>
      <c r="K1425" s="2" t="n">
        <f aca="false">J1425*(1-K$1411)+J1424*K$1411</f>
        <v>0</v>
      </c>
      <c r="L1425" s="2" t="n">
        <f aca="false">K1425*(1-L$1411)+K1424*L$1411</f>
        <v>0</v>
      </c>
      <c r="M1425" s="2" t="n">
        <f aca="false">L1425*(1-M$1411)+L1424*M$1411</f>
        <v>0</v>
      </c>
      <c r="N1425" s="2" t="n">
        <f aca="false">M1425*(1-N$1411)+M1424*N$1411</f>
        <v>0</v>
      </c>
      <c r="O1425" s="2" t="n">
        <f aca="false">N1425*(1-O$1411)+N1424*O$1411</f>
        <v>0</v>
      </c>
    </row>
    <row r="1427" customFormat="false" ht="15" hidden="false" customHeight="false" outlineLevel="0" collapsed="false">
      <c r="A1427" s="1" t="s">
        <v>147</v>
      </c>
      <c r="C1427" s="2" t="n">
        <f aca="false">Schedule!G91</f>
        <v>0.0554960202282457</v>
      </c>
      <c r="D1427" s="2" t="n">
        <f aca="false">Schedule!L91</f>
        <v>0.876210543248306</v>
      </c>
      <c r="E1427" s="2" t="n">
        <f aca="false">Schedule!Q91</f>
        <v>0.664581662629831</v>
      </c>
      <c r="F1427" s="2" t="n">
        <f aca="false">Schedule!V91</f>
        <v>0.295461142462736</v>
      </c>
      <c r="G1427" s="2" t="n">
        <f aca="false">Schedule!AA91</f>
        <v>0.603532007320995</v>
      </c>
      <c r="H1427" s="2" t="n">
        <f aca="false">Schedule!AF91</f>
        <v>0.881248288142535</v>
      </c>
      <c r="I1427" s="2" t="n">
        <f aca="false">Schedule!AK91</f>
        <v>0.660013509650861</v>
      </c>
      <c r="J1427" s="2" t="n">
        <f aca="false">Schedule!AP91</f>
        <v>0.51495682992591</v>
      </c>
      <c r="K1427" s="2" t="n">
        <f aca="false">Schedule!AU91</f>
        <v>0.763852515027146</v>
      </c>
      <c r="L1427" s="2" t="n">
        <f aca="false">Schedule!AZ91</f>
        <v>0.815939874653241</v>
      </c>
      <c r="M1427" s="2" t="n">
        <f aca="false">Schedule!BE91</f>
        <v>0.784505385789946</v>
      </c>
      <c r="N1427" s="2" t="n">
        <f aca="false">Schedule!BJ91</f>
        <v>0.512464917434377</v>
      </c>
      <c r="O1427" s="2" t="n">
        <f aca="false">Schedule!BO91</f>
        <v>0</v>
      </c>
    </row>
    <row r="1428" customFormat="false" ht="15" hidden="false" customHeight="false" outlineLevel="0" collapsed="false">
      <c r="B1428" s="2" t="n">
        <v>0</v>
      </c>
      <c r="C1428" s="2" t="n">
        <f aca="false">1-C$1427</f>
        <v>0.944503979771754</v>
      </c>
      <c r="D1428" s="2" t="n">
        <f aca="false">C1428*(1-D$1427)</f>
        <v>0.116919634555759</v>
      </c>
      <c r="E1428" s="2" t="n">
        <f aca="false">D1428*(1-E$1427)</f>
        <v>0.0392169894286204</v>
      </c>
      <c r="F1428" s="2" t="n">
        <f aca="false">E1428*(1-F$1427)</f>
        <v>0.0276298929280912</v>
      </c>
      <c r="G1428" s="2" t="n">
        <f aca="false">F1428*(1-G$1427)</f>
        <v>0.0109543681871362</v>
      </c>
      <c r="H1428" s="2" t="n">
        <f aca="false">G1428*(1-H$1427)</f>
        <v>0.00130084997453937</v>
      </c>
      <c r="I1428" s="2" t="n">
        <f aca="false">H1428*(1-I$1427)</f>
        <v>0.000442271417314408</v>
      </c>
      <c r="J1428" s="2" t="n">
        <f aca="false">I1428*(1-J$1427)</f>
        <v>0.000214520730287341</v>
      </c>
      <c r="K1428" s="2" t="n">
        <f aca="false">J1428*(1-K$1427)</f>
        <v>5.06585309318957E-005</v>
      </c>
      <c r="L1428" s="2" t="n">
        <f aca="false">K1428*(1-L$1427)</f>
        <v>9.32421555320742E-006</v>
      </c>
      <c r="M1428" s="2" t="n">
        <f aca="false">L1428*(1-M$1427)</f>
        <v>2.00931823344982E-006</v>
      </c>
      <c r="N1428" s="2" t="n">
        <f aca="false">M1428*(1-N$1427)</f>
        <v>9.79613130845569E-007</v>
      </c>
      <c r="O1428" s="2" t="n">
        <f aca="false">N1428*(1-O$1427)</f>
        <v>9.79613130845569E-007</v>
      </c>
    </row>
    <row r="1429" customFormat="false" ht="15" hidden="false" customHeight="false" outlineLevel="0" collapsed="false">
      <c r="B1429" s="2" t="n">
        <v>1</v>
      </c>
      <c r="C1429" s="2" t="n">
        <f aca="false">C$1427</f>
        <v>0.0554960202282457</v>
      </c>
      <c r="D1429" s="2" t="n">
        <f aca="false">C1429*(1-D$1427)+C1428*D$1427</f>
        <v>0.834454167411931</v>
      </c>
      <c r="E1429" s="2" t="n">
        <f aca="false">D1429*(1-E$1427)+D1428*E$1427</f>
        <v>0.357593874572057</v>
      </c>
      <c r="F1429" s="2" t="n">
        <f aca="false">E1429*(1-F$1427)+E1428*F$1427</f>
        <v>0.26352587635385</v>
      </c>
      <c r="G1429" s="2" t="n">
        <f aca="false">F1429*(1-G$1427)+F1428*G$1427</f>
        <v>0.121155099957942</v>
      </c>
      <c r="H1429" s="2" t="n">
        <f aca="false">G1429*(1-H$1427)+G1428*H$1427</f>
        <v>0.0240408937328646</v>
      </c>
      <c r="I1429" s="2" t="n">
        <f aca="false">H1429*(1-I$1427)+H1428*I$1427</f>
        <v>0.00903215764231822</v>
      </c>
      <c r="J1429" s="2" t="n">
        <f aca="false">I1429*(1-J$1427)+I1428*J$1427</f>
        <v>0.00460873706246602</v>
      </c>
      <c r="K1429" s="2" t="n">
        <f aca="false">J1429*(1-K$1427)+J1428*K$1427</f>
        <v>0.00125220386555798</v>
      </c>
      <c r="L1429" s="2" t="n">
        <f aca="false">K1429*(1-L$1427)+K1428*L$1427</f>
        <v>0.000271815115832986</v>
      </c>
      <c r="M1429" s="2" t="n">
        <f aca="false">L1429*(1-M$1427)+L1428*M$1427</f>
        <v>6.58895908426482E-005</v>
      </c>
      <c r="N1429" s="2" t="n">
        <f aca="false">M1429*(1-N$1427)+M1428*N$1427</f>
        <v>3.31531922142898E-005</v>
      </c>
      <c r="O1429" s="2" t="n">
        <f aca="false">N1429*(1-O$1427)+N1428*O$1427</f>
        <v>3.31531922142898E-005</v>
      </c>
    </row>
    <row r="1430" customFormat="false" ht="15" hidden="false" customHeight="false" outlineLevel="0" collapsed="false">
      <c r="B1430" s="2" t="n">
        <v>2</v>
      </c>
      <c r="C1430" s="2" t="n">
        <f aca="false">0</f>
        <v>0</v>
      </c>
      <c r="D1430" s="2" t="n">
        <f aca="false">C1430*(1-D$1427)+C1429*D$1427</f>
        <v>0.0486261980323101</v>
      </c>
      <c r="E1430" s="2" t="n">
        <f aca="false">D1430*(1-E$1427)+D1429*E$1427</f>
        <v>0.570873056463642</v>
      </c>
      <c r="F1430" s="2" t="n">
        <f aca="false">E1430*(1-F$1427)+E1429*F$1427</f>
        <v>0.507857345718437</v>
      </c>
      <c r="G1430" s="2" t="n">
        <f aca="false">F1430*(1-G$1427)+F1429*G$1427</f>
        <v>0.36039548356114</v>
      </c>
      <c r="H1430" s="2" t="n">
        <f aca="false">G1430*(1-H$1427)+G1429*H$1427</f>
        <v>0.149565305056258</v>
      </c>
      <c r="I1430" s="2" t="n">
        <f aca="false">H1430*(1-I$1427)+H1429*I$1427</f>
        <v>0.0667174977918469</v>
      </c>
      <c r="J1430" s="2" t="n">
        <f aca="false">I1430*(1-J$1427)+I1429*J$1427</f>
        <v>0.0370120378952478</v>
      </c>
      <c r="K1430" s="2" t="n">
        <f aca="false">J1430*(1-K$1427)+J1429*K$1427</f>
        <v>0.0122606950589462</v>
      </c>
      <c r="L1430" s="2" t="n">
        <f aca="false">K1430*(1-L$1427)+K1429*L$1427</f>
        <v>0.00327842813449172</v>
      </c>
      <c r="M1430" s="2" t="n">
        <f aca="false">L1430*(1-M$1427)+L1429*M$1427</f>
        <v>0.000919724028367776</v>
      </c>
      <c r="N1430" s="2" t="n">
        <f aca="false">M1430*(1-N$1427)+M1429*N$1427</f>
        <v>0.000482163833838834</v>
      </c>
      <c r="O1430" s="2" t="n">
        <f aca="false">N1430*(1-O$1427)+N1429*O$1427</f>
        <v>0.000482163833838834</v>
      </c>
    </row>
    <row r="1431" customFormat="false" ht="15" hidden="false" customHeight="false" outlineLevel="0" collapsed="false">
      <c r="B1431" s="2" t="n">
        <v>3</v>
      </c>
      <c r="C1431" s="2" t="n">
        <f aca="false">0</f>
        <v>0</v>
      </c>
      <c r="D1431" s="2" t="n">
        <f aca="false">C1431*(1-D$1427)+C1430*D$1427</f>
        <v>0</v>
      </c>
      <c r="E1431" s="2" t="n">
        <f aca="false">D1431*(1-E$1427)+D1430*E$1427</f>
        <v>0.03231607953568</v>
      </c>
      <c r="F1431" s="2" t="n">
        <f aca="false">E1431*(1-F$1427)+E1430*F$1427</f>
        <v>0.191438739220093</v>
      </c>
      <c r="G1431" s="2" t="n">
        <f aca="false">F1431*(1-G$1427)+F1430*G$1427</f>
        <v>0.38240749595375</v>
      </c>
      <c r="H1431" s="2" t="n">
        <f aca="false">G1431*(1-H$1427)+G1430*H$1427</f>
        <v>0.36300944771419</v>
      </c>
      <c r="I1431" s="2" t="n">
        <f aca="false">H1431*(1-I$1427)+H1430*I$1427</f>
        <v>0.222133430004109</v>
      </c>
      <c r="J1431" s="2" t="n">
        <f aca="false">I1431*(1-J$1427)+I1430*J$1427</f>
        <v>0.142100934232103</v>
      </c>
      <c r="K1431" s="2" t="n">
        <f aca="false">J1431*(1-K$1427)+J1430*K$1427</f>
        <v>0.0618285164637691</v>
      </c>
      <c r="L1431" s="2" t="n">
        <f aca="false">K1431*(1-L$1427)+K1430*L$1427</f>
        <v>0.0213841544798837</v>
      </c>
      <c r="M1431" s="2" t="n">
        <f aca="false">L1431*(1-M$1427)+L1430*M$1427</f>
        <v>0.00718011464828478</v>
      </c>
      <c r="N1431" s="2" t="n">
        <f aca="false">M1431*(1-N$1427)+M1430*N$1427</f>
        <v>0.00397188408614206</v>
      </c>
      <c r="O1431" s="2" t="n">
        <f aca="false">N1431*(1-O$1427)+N1430*O$1427</f>
        <v>0.00397188408614206</v>
      </c>
    </row>
    <row r="1432" customFormat="false" ht="15" hidden="false" customHeight="false" outlineLevel="0" collapsed="false">
      <c r="B1432" s="2" t="n">
        <v>4</v>
      </c>
      <c r="C1432" s="2" t="n">
        <f aca="false">0</f>
        <v>0</v>
      </c>
      <c r="D1432" s="2" t="n">
        <f aca="false">C1432*(1-D$1427)+C1431*D$1427</f>
        <v>0</v>
      </c>
      <c r="E1432" s="2" t="n">
        <f aca="false">D1432*(1-E$1427)+D1431*E$1427</f>
        <v>0</v>
      </c>
      <c r="F1432" s="2" t="n">
        <f aca="false">E1432*(1-F$1427)+E1431*F$1427</f>
        <v>0.00954814577952867</v>
      </c>
      <c r="G1432" s="2" t="n">
        <f aca="false">F1432*(1-G$1427)+F1431*G$1427</f>
        <v>0.119324940751519</v>
      </c>
      <c r="H1432" s="2" t="n">
        <f aca="false">G1432*(1-H$1427)+G1431*H$1427</f>
        <v>0.35116599216365</v>
      </c>
      <c r="I1432" s="2" t="n">
        <f aca="false">H1432*(1-I$1427)+H1431*I$1427</f>
        <v>0.358982832827956</v>
      </c>
      <c r="J1432" s="2" t="n">
        <f aca="false">I1432*(1-J$1427)+I1431*J$1427</f>
        <v>0.288511298172534</v>
      </c>
      <c r="K1432" s="2" t="n">
        <f aca="false">J1432*(1-K$1427)+J1431*K$1427</f>
        <v>0.176675373450596</v>
      </c>
      <c r="L1432" s="2" t="n">
        <f aca="false">K1432*(1-L$1427)+K1431*L$1427</f>
        <v>0.0829672433564457</v>
      </c>
      <c r="M1432" s="2" t="n">
        <f aca="false">L1432*(1-M$1427)+L1431*M$1427</f>
        <v>0.0346549784592019</v>
      </c>
      <c r="N1432" s="2" t="n">
        <f aca="false">M1432*(1-N$1427)+M1431*N$1427</f>
        <v>0.0205750746448195</v>
      </c>
      <c r="O1432" s="2" t="n">
        <f aca="false">N1432*(1-O$1427)+N1431*O$1427</f>
        <v>0.0205750746448195</v>
      </c>
    </row>
    <row r="1433" customFormat="false" ht="15" hidden="false" customHeight="false" outlineLevel="0" collapsed="false">
      <c r="B1433" s="2" t="n">
        <v>5</v>
      </c>
      <c r="C1433" s="2" t="n">
        <f aca="false">0</f>
        <v>0</v>
      </c>
      <c r="D1433" s="2" t="n">
        <f aca="false">C1433*(1-D$1427)+C1432*D$1427</f>
        <v>0</v>
      </c>
      <c r="E1433" s="2" t="n">
        <f aca="false">D1433*(1-E$1427)+D1432*E$1427</f>
        <v>0</v>
      </c>
      <c r="F1433" s="2" t="n">
        <f aca="false">E1433*(1-F$1427)+E1432*F$1427</f>
        <v>0</v>
      </c>
      <c r="G1433" s="2" t="n">
        <f aca="false">F1433*(1-G$1427)+F1432*G$1427</f>
        <v>0.00576261158851242</v>
      </c>
      <c r="H1433" s="2" t="n">
        <f aca="false">G1433*(1-H$1427)+G1432*H$1427</f>
        <v>0.105839219760891</v>
      </c>
      <c r="I1433" s="2" t="n">
        <f aca="false">H1433*(1-I$1427)+H1432*I$1427</f>
        <v>0.267758203825754</v>
      </c>
      <c r="J1433" s="2" t="n">
        <f aca="false">I1433*(1-J$1427)+I1432*J$1427</f>
        <v>0.314734949587895</v>
      </c>
      <c r="K1433" s="2" t="n">
        <f aca="false">J1433*(1-K$1427)+J1432*K$1427</f>
        <v>0.294703947501076</v>
      </c>
      <c r="L1433" s="2" t="n">
        <f aca="false">K1433*(1-L$1427)+K1432*L$1427</f>
        <v>0.198399727584826</v>
      </c>
      <c r="M1433" s="2" t="n">
        <f aca="false">L1433*(1-M$1427)+L1432*M$1427</f>
        <v>0.107842322012549</v>
      </c>
      <c r="N1433" s="2" t="n">
        <f aca="false">M1433*(1-N$1427)+M1432*N$1427</f>
        <v>0.0703363760412415</v>
      </c>
      <c r="O1433" s="2" t="n">
        <f aca="false">N1433*(1-O$1427)+N1432*O$1427</f>
        <v>0.0703363760412415</v>
      </c>
    </row>
    <row r="1434" customFormat="false" ht="15" hidden="false" customHeight="false" outlineLevel="0" collapsed="false">
      <c r="B1434" s="2" t="n">
        <v>6</v>
      </c>
      <c r="C1434" s="2" t="n">
        <f aca="false">0</f>
        <v>0</v>
      </c>
      <c r="D1434" s="2" t="n">
        <f aca="false">C1434*(1-D$1427)+C1433*D$1427</f>
        <v>0</v>
      </c>
      <c r="E1434" s="2" t="n">
        <f aca="false">D1434*(1-E$1427)+D1433*E$1427</f>
        <v>0</v>
      </c>
      <c r="F1434" s="2" t="n">
        <f aca="false">E1434*(1-F$1427)+E1433*F$1427</f>
        <v>0</v>
      </c>
      <c r="G1434" s="2" t="n">
        <f aca="false">F1434*(1-G$1427)+F1433*G$1427</f>
        <v>0</v>
      </c>
      <c r="H1434" s="2" t="n">
        <f aca="false">G1434*(1-H$1427)+G1433*H$1427</f>
        <v>0.0050782915976069</v>
      </c>
      <c r="I1434" s="2" t="n">
        <f aca="false">H1434*(1-I$1427)+H1433*I$1427</f>
        <v>0.0715818654303347</v>
      </c>
      <c r="J1434" s="2" t="n">
        <f aca="false">I1434*(1-J$1427)+I1433*J$1427</f>
        <v>0.172604210756912</v>
      </c>
      <c r="K1434" s="2" t="n">
        <f aca="false">J1434*(1-K$1427)+J1433*K$1427</f>
        <v>0.281171133075625</v>
      </c>
      <c r="L1434" s="2" t="n">
        <f aca="false">K1434*(1-L$1427)+K1433*L$1427</f>
        <v>0.292213095981633</v>
      </c>
      <c r="M1434" s="2" t="n">
        <f aca="false">L1434*(1-M$1427)+L1433*M$1427</f>
        <v>0.218616003215242</v>
      </c>
      <c r="N1434" s="2" t="n">
        <f aca="false">M1434*(1-N$1427)+M1433*N$1427</f>
        <v>0.161848377823802</v>
      </c>
      <c r="O1434" s="2" t="n">
        <f aca="false">N1434*(1-O$1427)+N1433*O$1427</f>
        <v>0.161848377823802</v>
      </c>
    </row>
    <row r="1435" customFormat="false" ht="15" hidden="false" customHeight="false" outlineLevel="0" collapsed="false">
      <c r="B1435" s="2" t="n">
        <v>7</v>
      </c>
      <c r="C1435" s="2" t="n">
        <f aca="false">0</f>
        <v>0</v>
      </c>
      <c r="D1435" s="2" t="n">
        <f aca="false">C1435*(1-D$1427)+C1434*D$1427</f>
        <v>0</v>
      </c>
      <c r="E1435" s="2" t="n">
        <f aca="false">D1435*(1-E$1427)+D1434*E$1427</f>
        <v>0</v>
      </c>
      <c r="F1435" s="2" t="n">
        <f aca="false">E1435*(1-F$1427)+E1434*F$1427</f>
        <v>0</v>
      </c>
      <c r="G1435" s="2" t="n">
        <f aca="false">F1435*(1-G$1427)+F1434*G$1427</f>
        <v>0</v>
      </c>
      <c r="H1435" s="2" t="n">
        <f aca="false">G1435*(1-H$1427)+G1434*H$1427</f>
        <v>0</v>
      </c>
      <c r="I1435" s="2" t="n">
        <f aca="false">H1435*(1-I$1427)+H1434*I$1427</f>
        <v>0.00335174106036701</v>
      </c>
      <c r="J1435" s="2" t="n">
        <f aca="false">I1435*(1-J$1427)+I1434*J$1427</f>
        <v>0.0384873096113761</v>
      </c>
      <c r="K1435" s="2" t="n">
        <f aca="false">J1435*(1-K$1427)+J1434*K$1427</f>
        <v>0.140932841859041</v>
      </c>
      <c r="L1435" s="2" t="n">
        <f aca="false">K1435*(1-L$1427)+K1434*L$1427</f>
        <v>0.255358855615885</v>
      </c>
      <c r="M1435" s="2" t="n">
        <f aca="false">L1435*(1-M$1427)+L1434*M$1427</f>
        <v>0.284271205672012</v>
      </c>
      <c r="N1435" s="2" t="n">
        <f aca="false">M1435*(1-N$1427)+M1434*N$1427</f>
        <v>0.250625217765866</v>
      </c>
      <c r="O1435" s="2" t="n">
        <f aca="false">N1435*(1-O$1427)+N1434*O$1427</f>
        <v>0.250625217765866</v>
      </c>
    </row>
    <row r="1436" customFormat="false" ht="15" hidden="false" customHeight="false" outlineLevel="0" collapsed="false">
      <c r="B1436" s="2" t="n">
        <v>8</v>
      </c>
      <c r="C1436" s="2" t="n">
        <f aca="false">0</f>
        <v>0</v>
      </c>
      <c r="D1436" s="2" t="n">
        <f aca="false">C1436*(1-D$1427)+C1435*D$1427</f>
        <v>0</v>
      </c>
      <c r="E1436" s="2" t="n">
        <f aca="false">D1436*(1-E$1427)+D1435*E$1427</f>
        <v>0</v>
      </c>
      <c r="F1436" s="2" t="n">
        <f aca="false">E1436*(1-F$1427)+E1435*F$1427</f>
        <v>0</v>
      </c>
      <c r="G1436" s="2" t="n">
        <f aca="false">F1436*(1-G$1427)+F1435*G$1427</f>
        <v>0</v>
      </c>
      <c r="H1436" s="2" t="n">
        <f aca="false">G1436*(1-H$1427)+G1435*H$1427</f>
        <v>0</v>
      </c>
      <c r="I1436" s="2" t="n">
        <f aca="false">H1436*(1-I$1427)+H1435*I$1427</f>
        <v>0</v>
      </c>
      <c r="J1436" s="2" t="n">
        <f aca="false">I1436*(1-J$1427)+I1435*J$1427</f>
        <v>0.0017260019511791</v>
      </c>
      <c r="K1436" s="2" t="n">
        <f aca="false">J1436*(1-K$1427)+J1435*K$1427</f>
        <v>0.0298062192631073</v>
      </c>
      <c r="L1436" s="2" t="n">
        <f aca="false">K1436*(1-L$1427)+K1435*L$1427</f>
        <v>0.120478861774671</v>
      </c>
      <c r="M1436" s="2" t="n">
        <f aca="false">L1436*(1-M$1427)+L1435*M$1427</f>
        <v>0.226292943378418</v>
      </c>
      <c r="N1436" s="2" t="n">
        <f aca="false">M1436*(1-N$1427)+M1435*N$1427</f>
        <v>0.256004768777693</v>
      </c>
      <c r="O1436" s="2" t="n">
        <f aca="false">N1436*(1-O$1427)+N1435*O$1427</f>
        <v>0.256004768777693</v>
      </c>
    </row>
    <row r="1437" customFormat="false" ht="15" hidden="false" customHeight="false" outlineLevel="0" collapsed="false">
      <c r="B1437" s="2" t="n">
        <v>9</v>
      </c>
      <c r="C1437" s="2" t="n">
        <f aca="false">0</f>
        <v>0</v>
      </c>
      <c r="D1437" s="2" t="n">
        <f aca="false">C1437*(1-D$1427)+C1436*D$1427</f>
        <v>0</v>
      </c>
      <c r="E1437" s="2" t="n">
        <f aca="false">D1437*(1-E$1427)+D1436*E$1427</f>
        <v>0</v>
      </c>
      <c r="F1437" s="2" t="n">
        <f aca="false">E1437*(1-F$1427)+E1436*F$1427</f>
        <v>0</v>
      </c>
      <c r="G1437" s="2" t="n">
        <f aca="false">F1437*(1-G$1427)+F1436*G$1427</f>
        <v>0</v>
      </c>
      <c r="H1437" s="2" t="n">
        <f aca="false">G1437*(1-H$1427)+G1436*H$1427</f>
        <v>0</v>
      </c>
      <c r="I1437" s="2" t="n">
        <f aca="false">H1437*(1-I$1427)+H1436*I$1427</f>
        <v>0</v>
      </c>
      <c r="J1437" s="2" t="n">
        <f aca="false">I1437*(1-J$1427)+I1436*J$1427</f>
        <v>0</v>
      </c>
      <c r="K1437" s="2" t="n">
        <f aca="false">J1437*(1-K$1427)+J1436*K$1427</f>
        <v>0.00131841093134992</v>
      </c>
      <c r="L1437" s="2" t="n">
        <f aca="false">K1437*(1-L$1427)+K1436*L$1427</f>
        <v>0.0245627496907095</v>
      </c>
      <c r="M1437" s="2" t="n">
        <f aca="false">L1437*(1-M$1427)+L1436*M$1427</f>
        <v>0.0998094562046097</v>
      </c>
      <c r="N1437" s="2" t="n">
        <f aca="false">M1437*(1-N$1427)+M1436*N$1427</f>
        <v>0.164627806015948</v>
      </c>
      <c r="O1437" s="2" t="n">
        <f aca="false">N1437*(1-O$1427)+N1436*O$1427</f>
        <v>0.164627806015948</v>
      </c>
    </row>
    <row r="1438" customFormat="false" ht="15" hidden="false" customHeight="false" outlineLevel="0" collapsed="false">
      <c r="B1438" s="2" t="n">
        <v>10</v>
      </c>
      <c r="C1438" s="2" t="n">
        <f aca="false">0</f>
        <v>0</v>
      </c>
      <c r="D1438" s="2" t="n">
        <f aca="false">C1438*(1-D$1427)+C1437*D$1427</f>
        <v>0</v>
      </c>
      <c r="E1438" s="2" t="n">
        <f aca="false">D1438*(1-E$1427)+D1437*E$1427</f>
        <v>0</v>
      </c>
      <c r="F1438" s="2" t="n">
        <f aca="false">E1438*(1-F$1427)+E1437*F$1427</f>
        <v>0</v>
      </c>
      <c r="G1438" s="2" t="n">
        <f aca="false">F1438*(1-G$1427)+F1437*G$1427</f>
        <v>0</v>
      </c>
      <c r="H1438" s="2" t="n">
        <f aca="false">G1438*(1-H$1427)+G1437*H$1427</f>
        <v>0</v>
      </c>
      <c r="I1438" s="2" t="n">
        <f aca="false">H1438*(1-I$1427)+H1437*I$1427</f>
        <v>0</v>
      </c>
      <c r="J1438" s="2" t="n">
        <f aca="false">I1438*(1-J$1427)+I1437*J$1427</f>
        <v>0</v>
      </c>
      <c r="K1438" s="2" t="n">
        <f aca="false">J1438*(1-K$1427)+J1437*K$1427</f>
        <v>0</v>
      </c>
      <c r="L1438" s="2" t="n">
        <f aca="false">K1438*(1-L$1427)+K1437*L$1427</f>
        <v>0.00107574405006712</v>
      </c>
      <c r="M1438" s="2" t="n">
        <f aca="false">L1438*(1-M$1427)+L1437*M$1427</f>
        <v>0.0195014264712299</v>
      </c>
      <c r="N1438" s="2" t="n">
        <f aca="false">M1438*(1-N$1427)+M1437*N$1427</f>
        <v>0.0606564742978639</v>
      </c>
      <c r="O1438" s="2" t="n">
        <f aca="false">N1438*(1-O$1427)+N1437*O$1427</f>
        <v>0.0606564742978639</v>
      </c>
    </row>
    <row r="1439" customFormat="false" ht="15" hidden="false" customHeight="false" outlineLevel="0" collapsed="false">
      <c r="B1439" s="2" t="n">
        <v>11</v>
      </c>
      <c r="C1439" s="2" t="n">
        <f aca="false">0</f>
        <v>0</v>
      </c>
      <c r="D1439" s="2" t="n">
        <f aca="false">C1439*(1-D$1427)+C1438*D$1427</f>
        <v>0</v>
      </c>
      <c r="E1439" s="2" t="n">
        <f aca="false">D1439*(1-E$1427)+D1438*E$1427</f>
        <v>0</v>
      </c>
      <c r="F1439" s="2" t="n">
        <f aca="false">E1439*(1-F$1427)+E1438*F$1427</f>
        <v>0</v>
      </c>
      <c r="G1439" s="2" t="n">
        <f aca="false">F1439*(1-G$1427)+F1438*G$1427</f>
        <v>0</v>
      </c>
      <c r="H1439" s="2" t="n">
        <f aca="false">G1439*(1-H$1427)+G1438*H$1427</f>
        <v>0</v>
      </c>
      <c r="I1439" s="2" t="n">
        <f aca="false">H1439*(1-I$1427)+H1438*I$1427</f>
        <v>0</v>
      </c>
      <c r="J1439" s="2" t="n">
        <f aca="false">I1439*(1-J$1427)+I1438*J$1427</f>
        <v>0</v>
      </c>
      <c r="K1439" s="2" t="n">
        <f aca="false">J1439*(1-K$1427)+J1438*K$1427</f>
        <v>0</v>
      </c>
      <c r="L1439" s="2" t="n">
        <f aca="false">K1439*(1-L$1427)+K1438*L$1427</f>
        <v>0</v>
      </c>
      <c r="M1439" s="2" t="n">
        <f aca="false">L1439*(1-M$1427)+L1438*M$1427</f>
        <v>0.000843927001009141</v>
      </c>
      <c r="N1439" s="2" t="n">
        <f aca="false">M1439*(1-N$1427)+M1438*N$1427</f>
        <v>0.0104052409265478</v>
      </c>
      <c r="O1439" s="2" t="n">
        <f aca="false">N1439*(1-O$1427)+N1438*O$1427</f>
        <v>0.0104052409265478</v>
      </c>
    </row>
    <row r="1440" customFormat="false" ht="15" hidden="false" customHeight="false" outlineLevel="0" collapsed="false">
      <c r="B1440" s="2" t="n">
        <v>12</v>
      </c>
      <c r="C1440" s="2" t="n">
        <f aca="false">0</f>
        <v>0</v>
      </c>
      <c r="D1440" s="2" t="n">
        <f aca="false">C1440*(1-D$1427)+C1439*D$1427</f>
        <v>0</v>
      </c>
      <c r="E1440" s="2" t="n">
        <f aca="false">D1440*(1-E$1427)+D1439*E$1427</f>
        <v>0</v>
      </c>
      <c r="F1440" s="2" t="n">
        <f aca="false">E1440*(1-F$1427)+E1439*F$1427</f>
        <v>0</v>
      </c>
      <c r="G1440" s="2" t="n">
        <f aca="false">F1440*(1-G$1427)+F1439*G$1427</f>
        <v>0</v>
      </c>
      <c r="H1440" s="2" t="n">
        <f aca="false">G1440*(1-H$1427)+G1439*H$1427</f>
        <v>0</v>
      </c>
      <c r="I1440" s="2" t="n">
        <f aca="false">H1440*(1-I$1427)+H1439*I$1427</f>
        <v>0</v>
      </c>
      <c r="J1440" s="2" t="n">
        <f aca="false">I1440*(1-J$1427)+I1439*J$1427</f>
        <v>0</v>
      </c>
      <c r="K1440" s="2" t="n">
        <f aca="false">J1440*(1-K$1427)+J1439*K$1427</f>
        <v>0</v>
      </c>
      <c r="L1440" s="2" t="n">
        <f aca="false">K1440*(1-L$1427)+K1439*L$1427</f>
        <v>0</v>
      </c>
      <c r="M1440" s="2" t="n">
        <f aca="false">L1440*(1-M$1427)+L1439*M$1427</f>
        <v>0</v>
      </c>
      <c r="N1440" s="2" t="n">
        <f aca="false">M1440*(1-N$1427)+M1439*N$1427</f>
        <v>0.000432482980892791</v>
      </c>
      <c r="O1440" s="2" t="n">
        <f aca="false">N1440*(1-O$1427)+N1439*O$1427</f>
        <v>0.000432482980892791</v>
      </c>
    </row>
    <row r="1441" customFormat="false" ht="15" hidden="false" customHeight="false" outlineLevel="0" collapsed="false">
      <c r="B1441" s="2" t="n">
        <v>13</v>
      </c>
      <c r="C1441" s="2" t="n">
        <f aca="false">0</f>
        <v>0</v>
      </c>
      <c r="D1441" s="2" t="n">
        <f aca="false">C1441*(1-D$1427)+C1440*D$1427</f>
        <v>0</v>
      </c>
      <c r="E1441" s="2" t="n">
        <f aca="false">D1441*(1-E$1427)+D1440*E$1427</f>
        <v>0</v>
      </c>
      <c r="F1441" s="2" t="n">
        <f aca="false">E1441*(1-F$1427)+E1440*F$1427</f>
        <v>0</v>
      </c>
      <c r="G1441" s="2" t="n">
        <f aca="false">F1441*(1-G$1427)+F1440*G$1427</f>
        <v>0</v>
      </c>
      <c r="H1441" s="2" t="n">
        <f aca="false">G1441*(1-H$1427)+G1440*H$1427</f>
        <v>0</v>
      </c>
      <c r="I1441" s="2" t="n">
        <f aca="false">H1441*(1-I$1427)+H1440*I$1427</f>
        <v>0</v>
      </c>
      <c r="J1441" s="2" t="n">
        <f aca="false">I1441*(1-J$1427)+I1440*J$1427</f>
        <v>0</v>
      </c>
      <c r="K1441" s="2" t="n">
        <f aca="false">J1441*(1-K$1427)+J1440*K$1427</f>
        <v>0</v>
      </c>
      <c r="L1441" s="2" t="n">
        <f aca="false">K1441*(1-L$1427)+K1440*L$1427</f>
        <v>0</v>
      </c>
      <c r="M1441" s="2" t="n">
        <f aca="false">L1441*(1-M$1427)+L1440*M$1427</f>
        <v>0</v>
      </c>
      <c r="N1441" s="2" t="n">
        <f aca="false">M1441*(1-N$1427)+M1440*N$1427</f>
        <v>0</v>
      </c>
      <c r="O1441" s="2" t="n">
        <f aca="false">N1441*(1-O$1427)+N1440*O$1427</f>
        <v>0</v>
      </c>
    </row>
    <row r="1443" customFormat="false" ht="15" hidden="false" customHeight="false" outlineLevel="0" collapsed="false">
      <c r="A1443" s="1" t="s">
        <v>148</v>
      </c>
      <c r="C1443" s="2" t="n">
        <f aca="false">Schedule!G92</f>
        <v>0.0684414016087538</v>
      </c>
      <c r="D1443" s="2" t="n">
        <f aca="false">Schedule!L92</f>
        <v>0.382088577811047</v>
      </c>
      <c r="E1443" s="2" t="n">
        <f aca="false">Schedule!Q92</f>
        <v>0.752143342435738</v>
      </c>
      <c r="F1443" s="2" t="n">
        <f aca="false">Schedule!V92</f>
        <v>0.897734878378435</v>
      </c>
      <c r="G1443" s="2" t="n">
        <f aca="false">Schedule!AA92</f>
        <v>0.991802464075404</v>
      </c>
      <c r="H1443" s="2" t="n">
        <f aca="false">Schedule!AF92</f>
        <v>0.349193042462858</v>
      </c>
      <c r="I1443" s="2" t="n">
        <f aca="false">Schedule!AK92</f>
        <v>0.767686767612093</v>
      </c>
      <c r="J1443" s="2" t="n">
        <f aca="false">Schedule!AP92</f>
        <v>0.574365688155897</v>
      </c>
      <c r="K1443" s="2" t="n">
        <f aca="false">Schedule!AU92</f>
        <v>0.437917983191705</v>
      </c>
      <c r="L1443" s="2" t="n">
        <f aca="false">Schedule!AZ92</f>
        <v>0.437917983191705</v>
      </c>
      <c r="M1443" s="2" t="n">
        <f aca="false">Schedule!BE92</f>
        <v>0.452736711249588</v>
      </c>
      <c r="N1443" s="2" t="n">
        <f aca="false">Schedule!BJ92</f>
        <v>0.346882811263147</v>
      </c>
      <c r="O1443" s="2" t="n">
        <f aca="false">Schedule!BO92</f>
        <v>0</v>
      </c>
    </row>
    <row r="1444" customFormat="false" ht="15" hidden="false" customHeight="false" outlineLevel="0" collapsed="false">
      <c r="B1444" s="2" t="n">
        <v>0</v>
      </c>
      <c r="C1444" s="2" t="n">
        <f aca="false">1-C$1443</f>
        <v>0.931558598391246</v>
      </c>
      <c r="D1444" s="2" t="n">
        <f aca="false">C1444*(1-D$1443)</f>
        <v>0.575620698384282</v>
      </c>
      <c r="E1444" s="2" t="n">
        <f aca="false">D1444*(1-E$1443)</f>
        <v>0.142671422326335</v>
      </c>
      <c r="F1444" s="2" t="n">
        <f aca="false">E1444*(1-F$1443)</f>
        <v>0.0145903103561242</v>
      </c>
      <c r="G1444" s="2" t="n">
        <f aca="false">F1444*(1-G$1443)</f>
        <v>0.000119604593295336</v>
      </c>
      <c r="H1444" s="2" t="n">
        <f aca="false">G1444*(1-H$1443)</f>
        <v>7.78395014700047E-005</v>
      </c>
      <c r="I1444" s="2" t="n">
        <f aca="false">H1444*(1-I$1443)</f>
        <v>1.808314619396E-005</v>
      </c>
      <c r="J1444" s="2" t="n">
        <f aca="false">I1444*(1-J$1443)</f>
        <v>7.69680748624248E-006</v>
      </c>
      <c r="K1444" s="2" t="n">
        <f aca="false">J1444*(1-K$1443)</f>
        <v>4.32623707485236E-006</v>
      </c>
      <c r="L1444" s="2" t="n">
        <f aca="false">K1444*(1-L$1443)</f>
        <v>2.43170006022383E-006</v>
      </c>
      <c r="M1444" s="2" t="n">
        <f aca="false">L1444*(1-M$1443)</f>
        <v>1.33078017221267E-006</v>
      </c>
      <c r="N1444" s="2" t="n">
        <f aca="false">M1444*(1-N$1443)</f>
        <v>8.69155404902283E-007</v>
      </c>
      <c r="O1444" s="2" t="n">
        <f aca="false">N1444*(1-O$1443)</f>
        <v>8.69155404902283E-007</v>
      </c>
    </row>
    <row r="1445" customFormat="false" ht="15" hidden="false" customHeight="false" outlineLevel="0" collapsed="false">
      <c r="B1445" s="2" t="n">
        <v>1</v>
      </c>
      <c r="C1445" s="2" t="n">
        <f aca="false">C$1443</f>
        <v>0.0684414016087538</v>
      </c>
      <c r="D1445" s="2" t="n">
        <f aca="false">C1445*(1-D$1443)+C1444*D$1443</f>
        <v>0.398228623811634</v>
      </c>
      <c r="E1445" s="2" t="n">
        <f aca="false">D1445*(1-E$1443)+D1444*E$1443</f>
        <v>0.531652891702315</v>
      </c>
      <c r="F1445" s="2" t="n">
        <f aca="false">E1445*(1-F$1443)+E1444*F$1443</f>
        <v>0.182450659600604</v>
      </c>
      <c r="G1445" s="2" t="n">
        <f aca="false">F1445*(1-G$1443)+F1444*G$1443</f>
        <v>0.0159663515993711</v>
      </c>
      <c r="H1445" s="2" t="n">
        <f aca="false">G1445*(1-H$1443)+G1444*H$1443</f>
        <v>0.0104327777991803</v>
      </c>
      <c r="I1445" s="2" t="n">
        <f aca="false">H1445*(1-I$1443)+H1444*I$1443</f>
        <v>0.00248342868858842</v>
      </c>
      <c r="J1445" s="2" t="n">
        <f aca="false">I1445*(1-J$1443)+I1444*J$1443</f>
        <v>0.00106741879958895</v>
      </c>
      <c r="K1445" s="2" t="n">
        <f aca="false">J1445*(1-K$1443)+J1444*K$1443</f>
        <v>0.000603347482063437</v>
      </c>
      <c r="L1445" s="2" t="n">
        <f aca="false">K1445*(1-L$1443)+K1444*L$1443</f>
        <v>0.000341025306569052</v>
      </c>
      <c r="M1445" s="2" t="n">
        <f aca="false">L1445*(1-M$1443)+L1444*M$1443</f>
        <v>0.000187731550708108</v>
      </c>
      <c r="N1445" s="2" t="n">
        <f aca="false">M1445*(1-N$1443)+M1444*N$1443</f>
        <v>0.000123072327403</v>
      </c>
      <c r="O1445" s="2" t="n">
        <f aca="false">N1445*(1-O$1443)+N1444*O$1443</f>
        <v>0.000123072327403</v>
      </c>
    </row>
    <row r="1446" customFormat="false" ht="15" hidden="false" customHeight="false" outlineLevel="0" collapsed="false">
      <c r="B1446" s="2" t="n">
        <v>2</v>
      </c>
      <c r="C1446" s="2" t="n">
        <f aca="false">0</f>
        <v>0</v>
      </c>
      <c r="D1446" s="2" t="n">
        <f aca="false">C1446*(1-D$1443)+C1445*D$1443</f>
        <v>0.0261506778040835</v>
      </c>
      <c r="E1446" s="2" t="n">
        <f aca="false">D1446*(1-E$1443)+D1445*E$1443</f>
        <v>0.306006627760827</v>
      </c>
      <c r="F1446" s="2" t="n">
        <f aca="false">E1446*(1-F$1443)+E1445*F$1443</f>
        <v>0.508577149076887</v>
      </c>
      <c r="G1446" s="2" t="n">
        <f aca="false">F1446*(1-G$1443)+F1445*G$1443</f>
        <v>0.185124093214048</v>
      </c>
      <c r="H1446" s="2" t="n">
        <f aca="false">G1446*(1-H$1443)+G1445*H$1443</f>
        <v>0.126055386763473</v>
      </c>
      <c r="I1446" s="2" t="n">
        <f aca="false">H1446*(1-I$1443)+H1445*I$1443</f>
        <v>0.0372934398247982</v>
      </c>
      <c r="J1446" s="2" t="n">
        <f aca="false">I1446*(1-J$1443)+I1445*J$1443</f>
        <v>0.0172997638238346</v>
      </c>
      <c r="K1446" s="2" t="n">
        <f aca="false">J1446*(1-K$1443)+J1445*K$1443</f>
        <v>0.010191328028345</v>
      </c>
      <c r="L1446" s="2" t="n">
        <f aca="false">K1446*(1-L$1443)+K1445*L$1443</f>
        <v>0.0059925789246361</v>
      </c>
      <c r="M1446" s="2" t="n">
        <f aca="false">L1446*(1-M$1443)+L1445*M$1443</f>
        <v>0.00343391312614172</v>
      </c>
      <c r="N1446" s="2" t="n">
        <f aca="false">M1446*(1-N$1443)+M1445*N$1443</f>
        <v>0.00230786853538468</v>
      </c>
      <c r="O1446" s="2" t="n">
        <f aca="false">N1446*(1-O$1443)+N1445*O$1443</f>
        <v>0.00230786853538468</v>
      </c>
    </row>
    <row r="1447" customFormat="false" ht="15" hidden="false" customHeight="false" outlineLevel="0" collapsed="false">
      <c r="B1447" s="2" t="n">
        <v>3</v>
      </c>
      <c r="C1447" s="2" t="n">
        <f aca="false">0</f>
        <v>0</v>
      </c>
      <c r="D1447" s="2" t="n">
        <f aca="false">C1447*(1-D$1443)+C1446*D$1443</f>
        <v>0</v>
      </c>
      <c r="E1447" s="2" t="n">
        <f aca="false">D1447*(1-E$1443)+D1446*E$1443</f>
        <v>0.0196690582105234</v>
      </c>
      <c r="F1447" s="2" t="n">
        <f aca="false">E1447*(1-F$1443)+E1446*F$1443</f>
        <v>0.276724281385942</v>
      </c>
      <c r="G1447" s="2" t="n">
        <f aca="false">F1447*(1-G$1443)+F1446*G$1443</f>
        <v>0.50667652686477</v>
      </c>
      <c r="H1447" s="2" t="n">
        <f aca="false">G1447*(1-H$1443)+G1446*H$1443</f>
        <v>0.394392654246939</v>
      </c>
      <c r="I1447" s="2" t="n">
        <f aca="false">H1447*(1-I$1443)+H1446*I$1443</f>
        <v>0.188393684742695</v>
      </c>
      <c r="J1447" s="2" t="n">
        <f aca="false">I1447*(1-J$1443)+I1446*J$1443</f>
        <v>0.101606888589903</v>
      </c>
      <c r="K1447" s="2" t="n">
        <f aca="false">J1447*(1-K$1443)+J1446*K$1443</f>
        <v>0.0646872825436547</v>
      </c>
      <c r="L1447" s="2" t="n">
        <f aca="false">K1447*(1-L$1443)+K1446*L$1443</f>
        <v>0.0408225240502034</v>
      </c>
      <c r="M1447" s="2" t="n">
        <f aca="false">L1447*(1-M$1443)+L1446*M$1443</f>
        <v>0.0250537292410505</v>
      </c>
      <c r="N1447" s="2" t="n">
        <f aca="false">M1447*(1-N$1443)+M1446*N$1443</f>
        <v>0.0175541866481186</v>
      </c>
      <c r="O1447" s="2" t="n">
        <f aca="false">N1447*(1-O$1443)+N1446*O$1443</f>
        <v>0.0175541866481186</v>
      </c>
    </row>
    <row r="1448" customFormat="false" ht="15" hidden="false" customHeight="false" outlineLevel="0" collapsed="false">
      <c r="B1448" s="2" t="n">
        <v>4</v>
      </c>
      <c r="C1448" s="2" t="n">
        <f aca="false">0</f>
        <v>0</v>
      </c>
      <c r="D1448" s="2" t="n">
        <f aca="false">C1448*(1-D$1443)+C1447*D$1443</f>
        <v>0</v>
      </c>
      <c r="E1448" s="2" t="n">
        <f aca="false">D1448*(1-E$1443)+D1447*E$1443</f>
        <v>0</v>
      </c>
      <c r="F1448" s="2" t="n">
        <f aca="false">E1448*(1-F$1443)+E1447*F$1443</f>
        <v>0.0176575995804426</v>
      </c>
      <c r="G1448" s="2" t="n">
        <f aca="false">F1448*(1-G$1443)+F1447*G$1443</f>
        <v>0.274600572954975</v>
      </c>
      <c r="H1448" s="2" t="n">
        <f aca="false">G1448*(1-H$1443)+G1447*H$1443</f>
        <v>0.355639881383206</v>
      </c>
      <c r="I1448" s="2" t="n">
        <f aca="false">H1448*(1-I$1443)+H1447*I$1443</f>
        <v>0.385389872318971</v>
      </c>
      <c r="J1448" s="2" t="n">
        <f aca="false">I1448*(1-J$1443)+I1447*J$1443</f>
        <v>0.272242021477635</v>
      </c>
      <c r="K1448" s="2" t="n">
        <f aca="false">J1448*(1-K$1443)+J1447*K$1443</f>
        <v>0.197517828221791</v>
      </c>
      <c r="L1448" s="2" t="n">
        <f aca="false">K1448*(1-L$1443)+K1447*L$1443</f>
        <v>0.139348943552168</v>
      </c>
      <c r="M1448" s="2" t="n">
        <f aca="false">L1448*(1-M$1443)+L1447*M$1443</f>
        <v>0.0947424164156512</v>
      </c>
      <c r="N1448" s="2" t="n">
        <f aca="false">M1448*(1-N$1443)+M1447*N$1443</f>
        <v>0.0705686086952877</v>
      </c>
      <c r="O1448" s="2" t="n">
        <f aca="false">N1448*(1-O$1443)+N1447*O$1443</f>
        <v>0.0705686086952877</v>
      </c>
    </row>
    <row r="1449" customFormat="false" ht="15" hidden="false" customHeight="false" outlineLevel="0" collapsed="false">
      <c r="B1449" s="2" t="n">
        <v>5</v>
      </c>
      <c r="C1449" s="2" t="n">
        <f aca="false">0</f>
        <v>0</v>
      </c>
      <c r="D1449" s="2" t="n">
        <f aca="false">C1449*(1-D$1443)+C1448*D$1443</f>
        <v>0</v>
      </c>
      <c r="E1449" s="2" t="n">
        <f aca="false">D1449*(1-E$1443)+D1448*E$1443</f>
        <v>0</v>
      </c>
      <c r="F1449" s="2" t="n">
        <f aca="false">E1449*(1-F$1443)+E1448*F$1443</f>
        <v>0</v>
      </c>
      <c r="G1449" s="2" t="n">
        <f aca="false">F1449*(1-G$1443)+F1448*G$1443</f>
        <v>0.0175128507735398</v>
      </c>
      <c r="H1449" s="2" t="n">
        <f aca="false">G1449*(1-H$1443)+G1448*H$1443</f>
        <v>0.107286094661921</v>
      </c>
      <c r="I1449" s="2" t="n">
        <f aca="false">H1449*(1-I$1443)+H1448*I$1443</f>
        <v>0.297944010414208</v>
      </c>
      <c r="J1449" s="2" t="n">
        <f aca="false">I1449*(1-J$1443)+I1448*J$1443</f>
        <v>0.348169913063522</v>
      </c>
      <c r="K1449" s="2" t="n">
        <f aca="false">J1449*(1-K$1443)+J1448*K$1443</f>
        <v>0.314919723912232</v>
      </c>
      <c r="L1449" s="2" t="n">
        <f aca="false">K1449*(1-L$1443)+K1448*L$1443</f>
        <v>0.263507322528591</v>
      </c>
      <c r="M1449" s="2" t="n">
        <f aca="false">L1449*(1-M$1443)+L1448*M$1443</f>
        <v>0.207296266356725</v>
      </c>
      <c r="N1449" s="2" t="n">
        <f aca="false">M1449*(1-N$1443)+M1448*N$1443</f>
        <v>0.168253270470675</v>
      </c>
      <c r="O1449" s="2" t="n">
        <f aca="false">N1449*(1-O$1443)+N1448*O$1443</f>
        <v>0.168253270470675</v>
      </c>
    </row>
    <row r="1450" customFormat="false" ht="15" hidden="false" customHeight="false" outlineLevel="0" collapsed="false">
      <c r="B1450" s="2" t="n">
        <v>6</v>
      </c>
      <c r="C1450" s="2" t="n">
        <f aca="false">0</f>
        <v>0</v>
      </c>
      <c r="D1450" s="2" t="n">
        <f aca="false">C1450*(1-D$1443)+C1449*D$1443</f>
        <v>0</v>
      </c>
      <c r="E1450" s="2" t="n">
        <f aca="false">D1450*(1-E$1443)+D1449*E$1443</f>
        <v>0</v>
      </c>
      <c r="F1450" s="2" t="n">
        <f aca="false">E1450*(1-F$1443)+E1449*F$1443</f>
        <v>0</v>
      </c>
      <c r="G1450" s="2" t="n">
        <f aca="false">F1450*(1-G$1443)+F1449*G$1443</f>
        <v>0</v>
      </c>
      <c r="H1450" s="2" t="n">
        <f aca="false">G1450*(1-H$1443)+G1449*H$1443</f>
        <v>0.00611536564381037</v>
      </c>
      <c r="I1450" s="2" t="n">
        <f aca="false">H1450*(1-I$1443)+H1449*I$1443</f>
        <v>0.0837827955806828</v>
      </c>
      <c r="J1450" s="2" t="n">
        <f aca="false">I1450*(1-J$1443)+I1449*J$1443</f>
        <v>0.206789649114843</v>
      </c>
      <c r="K1450" s="2" t="n">
        <f aca="false">J1450*(1-K$1443)+J1449*K$1443</f>
        <v>0.26870260916636</v>
      </c>
      <c r="L1450" s="2" t="n">
        <f aca="false">K1450*(1-L$1443)+K1449*L$1443</f>
        <v>0.288941914844812</v>
      </c>
      <c r="M1450" s="2" t="n">
        <f aca="false">L1450*(1-M$1443)+L1449*M$1443</f>
        <v>0.277426741167592</v>
      </c>
      <c r="N1450" s="2" t="n">
        <f aca="false">M1450*(1-N$1443)+M1449*N$1443</f>
        <v>0.253099684909979</v>
      </c>
      <c r="O1450" s="2" t="n">
        <f aca="false">N1450*(1-O$1443)+N1449*O$1443</f>
        <v>0.253099684909979</v>
      </c>
    </row>
    <row r="1451" customFormat="false" ht="15" hidden="false" customHeight="false" outlineLevel="0" collapsed="false">
      <c r="B1451" s="2" t="n">
        <v>7</v>
      </c>
      <c r="C1451" s="2" t="n">
        <f aca="false">0</f>
        <v>0</v>
      </c>
      <c r="D1451" s="2" t="n">
        <f aca="false">C1451*(1-D$1443)+C1450*D$1443</f>
        <v>0</v>
      </c>
      <c r="E1451" s="2" t="n">
        <f aca="false">D1451*(1-E$1443)+D1450*E$1443</f>
        <v>0</v>
      </c>
      <c r="F1451" s="2" t="n">
        <f aca="false">E1451*(1-F$1443)+E1450*F$1443</f>
        <v>0</v>
      </c>
      <c r="G1451" s="2" t="n">
        <f aca="false">F1451*(1-G$1443)+F1450*G$1443</f>
        <v>0</v>
      </c>
      <c r="H1451" s="2" t="n">
        <f aca="false">G1451*(1-H$1443)+G1450*H$1443</f>
        <v>0</v>
      </c>
      <c r="I1451" s="2" t="n">
        <f aca="false">H1451*(1-I$1443)+H1450*I$1443</f>
        <v>0.00469468528386283</v>
      </c>
      <c r="J1451" s="2" t="n">
        <f aca="false">I1451*(1-J$1443)+I1450*J$1443</f>
        <v>0.0501201821794453</v>
      </c>
      <c r="K1451" s="2" t="n">
        <f aca="false">J1451*(1-K$1443)+J1450*K$1443</f>
        <v>0.118728559167514</v>
      </c>
      <c r="L1451" s="2" t="n">
        <f aca="false">K1451*(1-L$1443)+K1450*L$1443</f>
        <v>0.184404892674101</v>
      </c>
      <c r="M1451" s="2" t="n">
        <f aca="false">L1451*(1-M$1443)+L1450*M$1443</f>
        <v>0.231732640295494</v>
      </c>
      <c r="N1451" s="2" t="n">
        <f aca="false">M1451*(1-N$1443)+M1450*N$1443</f>
        <v>0.247583138464149</v>
      </c>
      <c r="O1451" s="2" t="n">
        <f aca="false">N1451*(1-O$1443)+N1450*O$1443</f>
        <v>0.247583138464149</v>
      </c>
    </row>
    <row r="1452" customFormat="false" ht="15" hidden="false" customHeight="false" outlineLevel="0" collapsed="false">
      <c r="B1452" s="2" t="n">
        <v>8</v>
      </c>
      <c r="C1452" s="2" t="n">
        <f aca="false">0</f>
        <v>0</v>
      </c>
      <c r="D1452" s="2" t="n">
        <f aca="false">C1452*(1-D$1443)+C1451*D$1443</f>
        <v>0</v>
      </c>
      <c r="E1452" s="2" t="n">
        <f aca="false">D1452*(1-E$1443)+D1451*E$1443</f>
        <v>0</v>
      </c>
      <c r="F1452" s="2" t="n">
        <f aca="false">E1452*(1-F$1443)+E1451*F$1443</f>
        <v>0</v>
      </c>
      <c r="G1452" s="2" t="n">
        <f aca="false">F1452*(1-G$1443)+F1451*G$1443</f>
        <v>0</v>
      </c>
      <c r="H1452" s="2" t="n">
        <f aca="false">G1452*(1-H$1443)+G1451*H$1443</f>
        <v>0</v>
      </c>
      <c r="I1452" s="2" t="n">
        <f aca="false">H1452*(1-I$1443)+H1451*I$1443</f>
        <v>0</v>
      </c>
      <c r="J1452" s="2" t="n">
        <f aca="false">I1452*(1-J$1443)+I1451*J$1443</f>
        <v>0.00269646614374124</v>
      </c>
      <c r="K1452" s="2" t="n">
        <f aca="false">J1452*(1-K$1443)+J1451*K$1443</f>
        <v>0.0234641642255529</v>
      </c>
      <c r="L1452" s="2" t="n">
        <f aca="false">K1452*(1-L$1443)+K1451*L$1443</f>
        <v>0.0651821559285147</v>
      </c>
      <c r="M1452" s="2" t="n">
        <f aca="false">L1452*(1-M$1443)+L1451*M$1443</f>
        <v>0.119158665668887</v>
      </c>
      <c r="N1452" s="2" t="n">
        <f aca="false">M1452*(1-N$1443)+M1451*N$1443</f>
        <v>0.15820864246243</v>
      </c>
      <c r="O1452" s="2" t="n">
        <f aca="false">N1452*(1-O$1443)+N1451*O$1443</f>
        <v>0.15820864246243</v>
      </c>
    </row>
    <row r="1453" customFormat="false" ht="15" hidden="false" customHeight="false" outlineLevel="0" collapsed="false">
      <c r="B1453" s="2" t="n">
        <v>9</v>
      </c>
      <c r="C1453" s="2" t="n">
        <f aca="false">0</f>
        <v>0</v>
      </c>
      <c r="D1453" s="2" t="n">
        <f aca="false">C1453*(1-D$1443)+C1452*D$1443</f>
        <v>0</v>
      </c>
      <c r="E1453" s="2" t="n">
        <f aca="false">D1453*(1-E$1443)+D1452*E$1443</f>
        <v>0</v>
      </c>
      <c r="F1453" s="2" t="n">
        <f aca="false">E1453*(1-F$1443)+E1452*F$1443</f>
        <v>0</v>
      </c>
      <c r="G1453" s="2" t="n">
        <f aca="false">F1453*(1-G$1443)+F1452*G$1443</f>
        <v>0</v>
      </c>
      <c r="H1453" s="2" t="n">
        <f aca="false">G1453*(1-H$1443)+G1452*H$1443</f>
        <v>0</v>
      </c>
      <c r="I1453" s="2" t="n">
        <f aca="false">H1453*(1-I$1443)+H1452*I$1443</f>
        <v>0</v>
      </c>
      <c r="J1453" s="2" t="n">
        <f aca="false">I1453*(1-J$1443)+I1452*J$1443</f>
        <v>0</v>
      </c>
      <c r="K1453" s="2" t="n">
        <f aca="false">J1453*(1-K$1443)+J1452*K$1443</f>
        <v>0.00118083101541188</v>
      </c>
      <c r="L1453" s="2" t="n">
        <f aca="false">K1453*(1-L$1443)+K1452*L$1443</f>
        <v>0.0109391033535856</v>
      </c>
      <c r="M1453" s="2" t="n">
        <f aca="false">L1453*(1-M$1443)+L1452*M$1443</f>
        <v>0.0354969245844975</v>
      </c>
      <c r="N1453" s="2" t="n">
        <f aca="false">M1453*(1-N$1443)+M1452*N$1443</f>
        <v>0.0645177445270199</v>
      </c>
      <c r="O1453" s="2" t="n">
        <f aca="false">N1453*(1-O$1443)+N1452*O$1443</f>
        <v>0.0645177445270199</v>
      </c>
    </row>
    <row r="1454" customFormat="false" ht="15" hidden="false" customHeight="false" outlineLevel="0" collapsed="false">
      <c r="B1454" s="2" t="n">
        <v>10</v>
      </c>
      <c r="C1454" s="2" t="n">
        <f aca="false">0</f>
        <v>0</v>
      </c>
      <c r="D1454" s="2" t="n">
        <f aca="false">C1454*(1-D$1443)+C1453*D$1443</f>
        <v>0</v>
      </c>
      <c r="E1454" s="2" t="n">
        <f aca="false">D1454*(1-E$1443)+D1453*E$1443</f>
        <v>0</v>
      </c>
      <c r="F1454" s="2" t="n">
        <f aca="false">E1454*(1-F$1443)+E1453*F$1443</f>
        <v>0</v>
      </c>
      <c r="G1454" s="2" t="n">
        <f aca="false">F1454*(1-G$1443)+F1453*G$1443</f>
        <v>0</v>
      </c>
      <c r="H1454" s="2" t="n">
        <f aca="false">G1454*(1-H$1443)+G1453*H$1443</f>
        <v>0</v>
      </c>
      <c r="I1454" s="2" t="n">
        <f aca="false">H1454*(1-I$1443)+H1453*I$1443</f>
        <v>0</v>
      </c>
      <c r="J1454" s="2" t="n">
        <f aca="false">I1454*(1-J$1443)+I1453*J$1443</f>
        <v>0</v>
      </c>
      <c r="K1454" s="2" t="n">
        <f aca="false">J1454*(1-K$1443)+J1453*K$1443</f>
        <v>0</v>
      </c>
      <c r="L1454" s="2" t="n">
        <f aca="false">K1454*(1-L$1443)+K1453*L$1443</f>
        <v>0.000517107136759382</v>
      </c>
      <c r="M1454" s="2" t="n">
        <f aca="false">L1454*(1-M$1443)+L1453*M$1443</f>
        <v>0.00523552742862092</v>
      </c>
      <c r="N1454" s="2" t="n">
        <f aca="false">M1454*(1-N$1443)+M1453*N$1443</f>
        <v>0.015732685946802</v>
      </c>
      <c r="O1454" s="2" t="n">
        <f aca="false">N1454*(1-O$1443)+N1453*O$1443</f>
        <v>0.015732685946802</v>
      </c>
    </row>
    <row r="1455" customFormat="false" ht="15" hidden="false" customHeight="false" outlineLevel="0" collapsed="false">
      <c r="B1455" s="2" t="n">
        <v>11</v>
      </c>
      <c r="C1455" s="2" t="n">
        <f aca="false">0</f>
        <v>0</v>
      </c>
      <c r="D1455" s="2" t="n">
        <f aca="false">C1455*(1-D$1443)+C1454*D$1443</f>
        <v>0</v>
      </c>
      <c r="E1455" s="2" t="n">
        <f aca="false">D1455*(1-E$1443)+D1454*E$1443</f>
        <v>0</v>
      </c>
      <c r="F1455" s="2" t="n">
        <f aca="false">E1455*(1-F$1443)+E1454*F$1443</f>
        <v>0</v>
      </c>
      <c r="G1455" s="2" t="n">
        <f aca="false">F1455*(1-G$1443)+F1454*G$1443</f>
        <v>0</v>
      </c>
      <c r="H1455" s="2" t="n">
        <f aca="false">G1455*(1-H$1443)+G1454*H$1443</f>
        <v>0</v>
      </c>
      <c r="I1455" s="2" t="n">
        <f aca="false">H1455*(1-I$1443)+H1454*I$1443</f>
        <v>0</v>
      </c>
      <c r="J1455" s="2" t="n">
        <f aca="false">I1455*(1-J$1443)+I1454*J$1443</f>
        <v>0</v>
      </c>
      <c r="K1455" s="2" t="n">
        <f aca="false">J1455*(1-K$1443)+J1454*K$1443</f>
        <v>0</v>
      </c>
      <c r="L1455" s="2" t="n">
        <f aca="false">K1455*(1-L$1443)+K1454*L$1443</f>
        <v>0</v>
      </c>
      <c r="M1455" s="2" t="n">
        <f aca="false">L1455*(1-M$1443)+L1454*M$1443</f>
        <v>0.000234113384460134</v>
      </c>
      <c r="N1455" s="2" t="n">
        <f aca="false">M1455*(1-N$1443)+M1454*N$1443</f>
        <v>0.00196901794838961</v>
      </c>
      <c r="O1455" s="2" t="n">
        <f aca="false">N1455*(1-O$1443)+N1454*O$1443</f>
        <v>0.00196901794838961</v>
      </c>
    </row>
    <row r="1456" customFormat="false" ht="15" hidden="false" customHeight="false" outlineLevel="0" collapsed="false">
      <c r="B1456" s="2" t="n">
        <v>12</v>
      </c>
      <c r="C1456" s="2" t="n">
        <f aca="false">0</f>
        <v>0</v>
      </c>
      <c r="D1456" s="2" t="n">
        <f aca="false">C1456*(1-D$1443)+C1455*D$1443</f>
        <v>0</v>
      </c>
      <c r="E1456" s="2" t="n">
        <f aca="false">D1456*(1-E$1443)+D1455*E$1443</f>
        <v>0</v>
      </c>
      <c r="F1456" s="2" t="n">
        <f aca="false">E1456*(1-F$1443)+E1455*F$1443</f>
        <v>0</v>
      </c>
      <c r="G1456" s="2" t="n">
        <f aca="false">F1456*(1-G$1443)+F1455*G$1443</f>
        <v>0</v>
      </c>
      <c r="H1456" s="2" t="n">
        <f aca="false">G1456*(1-H$1443)+G1455*H$1443</f>
        <v>0</v>
      </c>
      <c r="I1456" s="2" t="n">
        <f aca="false">H1456*(1-I$1443)+H1455*I$1443</f>
        <v>0</v>
      </c>
      <c r="J1456" s="2" t="n">
        <f aca="false">I1456*(1-J$1443)+I1455*J$1443</f>
        <v>0</v>
      </c>
      <c r="K1456" s="2" t="n">
        <f aca="false">J1456*(1-K$1443)+J1455*K$1443</f>
        <v>0</v>
      </c>
      <c r="L1456" s="2" t="n">
        <f aca="false">K1456*(1-L$1443)+K1455*L$1443</f>
        <v>0</v>
      </c>
      <c r="M1456" s="2" t="n">
        <f aca="false">L1456*(1-M$1443)+L1455*M$1443</f>
        <v>0</v>
      </c>
      <c r="N1456" s="2" t="n">
        <f aca="false">M1456*(1-N$1443)+M1455*N$1443</f>
        <v>8.12099089558611E-005</v>
      </c>
      <c r="O1456" s="2" t="n">
        <f aca="false">N1456*(1-O$1443)+N1455*O$1443</f>
        <v>8.12099089558611E-005</v>
      </c>
    </row>
    <row r="1457" customFormat="false" ht="15" hidden="false" customHeight="false" outlineLevel="0" collapsed="false">
      <c r="B1457" s="2" t="n">
        <v>13</v>
      </c>
      <c r="C1457" s="2" t="n">
        <f aca="false">0</f>
        <v>0</v>
      </c>
      <c r="D1457" s="2" t="n">
        <f aca="false">C1457*(1-D$1443)+C1456*D$1443</f>
        <v>0</v>
      </c>
      <c r="E1457" s="2" t="n">
        <f aca="false">D1457*(1-E$1443)+D1456*E$1443</f>
        <v>0</v>
      </c>
      <c r="F1457" s="2" t="n">
        <f aca="false">E1457*(1-F$1443)+E1456*F$1443</f>
        <v>0</v>
      </c>
      <c r="G1457" s="2" t="n">
        <f aca="false">F1457*(1-G$1443)+F1456*G$1443</f>
        <v>0</v>
      </c>
      <c r="H1457" s="2" t="n">
        <f aca="false">G1457*(1-H$1443)+G1456*H$1443</f>
        <v>0</v>
      </c>
      <c r="I1457" s="2" t="n">
        <f aca="false">H1457*(1-I$1443)+H1456*I$1443</f>
        <v>0</v>
      </c>
      <c r="J1457" s="2" t="n">
        <f aca="false">I1457*(1-J$1443)+I1456*J$1443</f>
        <v>0</v>
      </c>
      <c r="K1457" s="2" t="n">
        <f aca="false">J1457*(1-K$1443)+J1456*K$1443</f>
        <v>0</v>
      </c>
      <c r="L1457" s="2" t="n">
        <f aca="false">K1457*(1-L$1443)+K1456*L$1443</f>
        <v>0</v>
      </c>
      <c r="M1457" s="2" t="n">
        <f aca="false">L1457*(1-M$1443)+L1456*M$1443</f>
        <v>0</v>
      </c>
      <c r="N1457" s="2" t="n">
        <f aca="false">M1457*(1-N$1443)+M1456*N$1443</f>
        <v>0</v>
      </c>
      <c r="O1457" s="2" t="n">
        <f aca="false">N1457*(1-O$1443)+N1456*O$1443</f>
        <v>0</v>
      </c>
    </row>
    <row r="1459" customFormat="false" ht="15" hidden="false" customHeight="false" outlineLevel="0" collapsed="false">
      <c r="A1459" s="1" t="s">
        <v>149</v>
      </c>
      <c r="C1459" s="2" t="n">
        <f aca="false">Schedule!G93</f>
        <v>0.255831641347934</v>
      </c>
      <c r="D1459" s="2" t="n">
        <f aca="false">Schedule!L93</f>
        <v>0.861592050714903</v>
      </c>
      <c r="E1459" s="2" t="n">
        <f aca="false">Schedule!Q93</f>
        <v>0.986533931898365</v>
      </c>
      <c r="F1459" s="2" t="n">
        <f aca="false">Schedule!V93</f>
        <v>0.187404883098225</v>
      </c>
      <c r="G1459" s="2" t="n">
        <f aca="false">Schedule!AA93</f>
        <v>0.691462461274013</v>
      </c>
      <c r="H1459" s="2" t="n">
        <f aca="false">Schedule!AF93</f>
        <v>0.270103499001235</v>
      </c>
      <c r="I1459" s="2" t="n">
        <f aca="false">Schedule!AK93</f>
        <v>0.662300575057129</v>
      </c>
      <c r="J1459" s="2" t="n">
        <f aca="false">Schedule!AP93</f>
        <v>0.470107355947105</v>
      </c>
      <c r="K1459" s="2" t="n">
        <f aca="false">Schedule!AU93</f>
        <v>0.394061036152246</v>
      </c>
      <c r="L1459" s="2" t="n">
        <f aca="false">Schedule!AZ93</f>
        <v>0.562082016808295</v>
      </c>
      <c r="M1459" s="2" t="n">
        <f aca="false">Schedule!BE93</f>
        <v>0.899947065522574</v>
      </c>
      <c r="N1459" s="2" t="n">
        <f aca="false">Schedule!BJ93</f>
        <v>0.319624171517118</v>
      </c>
      <c r="O1459" s="2" t="n">
        <f aca="false">Schedule!BO93</f>
        <v>0</v>
      </c>
    </row>
    <row r="1460" customFormat="false" ht="15" hidden="false" customHeight="false" outlineLevel="0" collapsed="false">
      <c r="B1460" s="2" t="n">
        <v>0</v>
      </c>
      <c r="C1460" s="2" t="n">
        <f aca="false">1-C$1459</f>
        <v>0.744168358652066</v>
      </c>
      <c r="D1460" s="2" t="n">
        <f aca="false">C1460*(1-D$1459)</f>
        <v>0.102998816443889</v>
      </c>
      <c r="E1460" s="2" t="n">
        <f aca="false">D1460*(1-E$1459)</f>
        <v>0.00138698907662127</v>
      </c>
      <c r="F1460" s="2" t="n">
        <f aca="false">E1460*(1-F$1459)</f>
        <v>0.00112706055085855</v>
      </c>
      <c r="G1460" s="2" t="n">
        <f aca="false">F1460*(1-G$1459)</f>
        <v>0.000347740488357051</v>
      </c>
      <c r="H1460" s="2" t="n">
        <f aca="false">G1460*(1-H$1459)</f>
        <v>0.000253814565707413</v>
      </c>
      <c r="I1460" s="2" t="n">
        <f aca="false">H1460*(1-I$1459)</f>
        <v>8.57130328815179E-005</v>
      </c>
      <c r="J1460" s="2" t="n">
        <f aca="false">I1460*(1-J$1459)</f>
        <v>4.54187056233802E-005</v>
      </c>
      <c r="K1460" s="2" t="n">
        <f aca="false">J1460*(1-K$1459)</f>
        <v>2.75209634247372E-005</v>
      </c>
      <c r="L1460" s="2" t="n">
        <f aca="false">K1460*(1-L$1459)</f>
        <v>1.20519247984536E-005</v>
      </c>
      <c r="M1460" s="2" t="n">
        <f aca="false">L1460*(1-M$1459)</f>
        <v>1.20583044218654E-006</v>
      </c>
      <c r="N1460" s="2" t="n">
        <f aca="false">M1460*(1-N$1459)</f>
        <v>8.20417886112549E-007</v>
      </c>
      <c r="O1460" s="2" t="n">
        <f aca="false">N1460*(1-O$1459)</f>
        <v>8.20417886112549E-007</v>
      </c>
    </row>
    <row r="1461" customFormat="false" ht="15" hidden="false" customHeight="false" outlineLevel="0" collapsed="false">
      <c r="B1461" s="2" t="n">
        <v>1</v>
      </c>
      <c r="C1461" s="2" t="n">
        <f aca="false">C$1459</f>
        <v>0.255831641347934</v>
      </c>
      <c r="D1461" s="2" t="n">
        <f aca="false">C1461*(1-D$1459)+C1460*D$1459</f>
        <v>0.676578675049385</v>
      </c>
      <c r="E1461" s="2" t="n">
        <f aca="false">D1461*(1-E$1459)+D1460*E$1459</f>
        <v>0.110722681881597</v>
      </c>
      <c r="F1461" s="2" t="n">
        <f aca="false">E1461*(1-F$1459)+E1460*F$1459</f>
        <v>0.0902326391530173</v>
      </c>
      <c r="G1461" s="2" t="n">
        <f aca="false">F1461*(1-G$1459)+F1460*G$1459</f>
        <v>0.0286194764595236</v>
      </c>
      <c r="H1461" s="2" t="n">
        <f aca="false">G1461*(1-H$1459)+G1460*H$1459</f>
        <v>0.0209831816508724</v>
      </c>
      <c r="I1461" s="2" t="n">
        <f aca="false">H1461*(1-I$1459)+H1460*I$1459</f>
        <v>0.00725410990979731</v>
      </c>
      <c r="J1461" s="2" t="n">
        <f aca="false">I1461*(1-J$1459)+I1460*J$1459</f>
        <v>0.00388419380761094</v>
      </c>
      <c r="K1461" s="2" t="n">
        <f aca="false">J1461*(1-K$1459)+J1460*K$1459</f>
        <v>0.00237148211336628</v>
      </c>
      <c r="L1461" s="2" t="n">
        <f aca="false">K1461*(1-L$1459)+K1460*L$1459</f>
        <v>0.00105398370288685</v>
      </c>
      <c r="M1461" s="2" t="n">
        <f aca="false">L1461*(1-M$1459)+L1460*M$1459</f>
        <v>0.00011630025672148</v>
      </c>
      <c r="N1461" s="2" t="n">
        <f aca="false">M1461*(1-N$1459)+M1460*N$1459</f>
        <v>7.95132960757226E-005</v>
      </c>
      <c r="O1461" s="2" t="n">
        <f aca="false">N1461*(1-O$1459)+N1460*O$1459</f>
        <v>7.95132960757226E-005</v>
      </c>
    </row>
    <row r="1462" customFormat="false" ht="15" hidden="false" customHeight="false" outlineLevel="0" collapsed="false">
      <c r="B1462" s="2" t="n">
        <v>2</v>
      </c>
      <c r="C1462" s="2" t="n">
        <f aca="false">0</f>
        <v>0</v>
      </c>
      <c r="D1462" s="2" t="n">
        <f aca="false">C1462*(1-D$1459)+C1461*D$1459</f>
        <v>0.220422508506726</v>
      </c>
      <c r="E1462" s="2" t="n">
        <f aca="false">D1462*(1-E$1459)+D1461*E$1459</f>
        <v>0.67043604504574</v>
      </c>
      <c r="F1462" s="2" t="n">
        <f aca="false">E1462*(1-F$1459)+E1461*F$1459</f>
        <v>0.56554302765345</v>
      </c>
      <c r="G1462" s="2" t="n">
        <f aca="false">F1462*(1-G$1459)+F1461*G$1459</f>
        <v>0.236883736551833</v>
      </c>
      <c r="H1462" s="2" t="n">
        <f aca="false">G1462*(1-H$1459)+G1461*H$1459</f>
        <v>0.180630831183997</v>
      </c>
      <c r="I1462" s="2" t="n">
        <f aca="false">H1462*(1-I$1459)+H1461*I$1459</f>
        <v>0.0748961010916897</v>
      </c>
      <c r="J1462" s="2" t="n">
        <f aca="false">I1462*(1-J$1459)+I1461*J$1459</f>
        <v>0.0430971034661728</v>
      </c>
      <c r="K1462" s="2" t="n">
        <f aca="false">J1462*(1-K$1459)+J1461*K$1459</f>
        <v>0.0276448236555755</v>
      </c>
      <c r="L1462" s="2" t="n">
        <f aca="false">K1462*(1-L$1459)+K1461*L$1459</f>
        <v>0.0134391328700457</v>
      </c>
      <c r="M1462" s="2" t="n">
        <f aca="false">L1462*(1-M$1459)+L1461*M$1459</f>
        <v>0.00229315422100174</v>
      </c>
      <c r="N1462" s="2" t="n">
        <f aca="false">M1462*(1-N$1459)+M1461*N$1459</f>
        <v>0.00159737907615491</v>
      </c>
      <c r="O1462" s="2" t="n">
        <f aca="false">N1462*(1-O$1459)+N1461*O$1459</f>
        <v>0.00159737907615491</v>
      </c>
    </row>
    <row r="1463" customFormat="false" ht="15" hidden="false" customHeight="false" outlineLevel="0" collapsed="false">
      <c r="B1463" s="2" t="n">
        <v>3</v>
      </c>
      <c r="C1463" s="2" t="n">
        <f aca="false">0</f>
        <v>0</v>
      </c>
      <c r="D1463" s="2" t="n">
        <f aca="false">C1463*(1-D$1459)+C1462*D$1459</f>
        <v>0</v>
      </c>
      <c r="E1463" s="2" t="n">
        <f aca="false">D1463*(1-E$1459)+D1462*E$1459</f>
        <v>0.217454283996041</v>
      </c>
      <c r="F1463" s="2" t="n">
        <f aca="false">E1463*(1-F$1459)+E1462*F$1459</f>
        <v>0.302345277971188</v>
      </c>
      <c r="G1463" s="2" t="n">
        <f aca="false">F1463*(1-G$1459)+F1462*G$1459</f>
        <v>0.484336641768266</v>
      </c>
      <c r="H1463" s="2" t="n">
        <f aca="false">G1463*(1-H$1459)+G1462*H$1459</f>
        <v>0.417498746231287</v>
      </c>
      <c r="I1463" s="2" t="n">
        <f aca="false">H1463*(1-I$1459)+H1462*I$1459</f>
        <v>0.260620989882884</v>
      </c>
      <c r="J1463" s="2" t="n">
        <f aca="false">I1463*(1-J$1459)+I1462*J$1459</f>
        <v>0.173310353479685</v>
      </c>
      <c r="K1463" s="2" t="n">
        <f aca="false">J1463*(1-K$1459)+J1462*K$1459</f>
        <v>0.121998385258609</v>
      </c>
      <c r="L1463" s="2" t="n">
        <f aca="false">K1463*(1-L$1459)+K1462*L$1459</f>
        <v>0.0689639450597303</v>
      </c>
      <c r="M1463" s="2" t="n">
        <f aca="false">L1463*(1-M$1459)+L1462*M$1459</f>
        <v>0.0189945532659316</v>
      </c>
      <c r="N1463" s="2" t="n">
        <f aca="false">M1463*(1-N$1459)+M1462*N$1459</f>
        <v>0.0136563824330191</v>
      </c>
      <c r="O1463" s="2" t="n">
        <f aca="false">N1463*(1-O$1459)+N1462*O$1459</f>
        <v>0.0136563824330191</v>
      </c>
    </row>
    <row r="1464" customFormat="false" ht="15" hidden="false" customHeight="false" outlineLevel="0" collapsed="false">
      <c r="B1464" s="2" t="n">
        <v>4</v>
      </c>
      <c r="C1464" s="2" t="n">
        <f aca="false">0</f>
        <v>0</v>
      </c>
      <c r="D1464" s="2" t="n">
        <f aca="false">C1464*(1-D$1459)+C1463*D$1459</f>
        <v>0</v>
      </c>
      <c r="E1464" s="2" t="n">
        <f aca="false">D1464*(1-E$1459)+D1463*E$1459</f>
        <v>0</v>
      </c>
      <c r="F1464" s="2" t="n">
        <f aca="false">E1464*(1-F$1459)+E1463*F$1459</f>
        <v>0.0407519946714862</v>
      </c>
      <c r="G1464" s="2" t="n">
        <f aca="false">F1464*(1-G$1459)+F1463*G$1459</f>
        <v>0.221633930194648</v>
      </c>
      <c r="H1464" s="2" t="n">
        <f aca="false">G1464*(1-H$1459)+G1463*H$1459</f>
        <v>0.292590851787795</v>
      </c>
      <c r="I1464" s="2" t="n">
        <f aca="false">H1464*(1-I$1459)+H1463*I$1459</f>
        <v>0.375317422106895</v>
      </c>
      <c r="J1464" s="2" t="n">
        <f aca="false">I1464*(1-J$1459)+I1463*J$1459</f>
        <v>0.321397785617499</v>
      </c>
      <c r="K1464" s="2" t="n">
        <f aca="false">J1464*(1-K$1459)+J1463*K$1459</f>
        <v>0.263042298668147</v>
      </c>
      <c r="L1464" s="2" t="n">
        <f aca="false">K1464*(1-L$1459)+K1463*L$1459</f>
        <v>0.183764051360379</v>
      </c>
      <c r="M1464" s="2" t="n">
        <f aca="false">L1464*(1-M$1459)+L1463*M$1459</f>
        <v>0.0804500325734307</v>
      </c>
      <c r="N1464" s="2" t="n">
        <f aca="false">M1464*(1-N$1459)+M1463*N$1459</f>
        <v>0.0608073759145839</v>
      </c>
      <c r="O1464" s="2" t="n">
        <f aca="false">N1464*(1-O$1459)+N1463*O$1459</f>
        <v>0.0608073759145839</v>
      </c>
    </row>
    <row r="1465" customFormat="false" ht="15" hidden="false" customHeight="false" outlineLevel="0" collapsed="false">
      <c r="B1465" s="2" t="n">
        <v>5</v>
      </c>
      <c r="C1465" s="2" t="n">
        <f aca="false">0</f>
        <v>0</v>
      </c>
      <c r="D1465" s="2" t="n">
        <f aca="false">C1465*(1-D$1459)+C1464*D$1459</f>
        <v>0</v>
      </c>
      <c r="E1465" s="2" t="n">
        <f aca="false">D1465*(1-E$1459)+D1464*E$1459</f>
        <v>0</v>
      </c>
      <c r="F1465" s="2" t="n">
        <f aca="false">E1465*(1-F$1459)+E1464*F$1459</f>
        <v>0</v>
      </c>
      <c r="G1465" s="2" t="n">
        <f aca="false">F1465*(1-G$1459)+F1464*G$1459</f>
        <v>0.0281784745373713</v>
      </c>
      <c r="H1465" s="2" t="n">
        <f aca="false">G1465*(1-H$1459)+G1464*H$1459</f>
        <v>0.0804314700112801</v>
      </c>
      <c r="I1465" s="2" t="n">
        <f aca="false">H1465*(1-I$1459)+H1464*I$1459</f>
        <v>0.220944750565631</v>
      </c>
      <c r="J1465" s="2" t="n">
        <f aca="false">I1465*(1-J$1459)+I1464*J$1459</f>
        <v>0.293516479014385</v>
      </c>
      <c r="K1465" s="2" t="n">
        <f aca="false">J1465*(1-K$1459)+J1464*K$1459</f>
        <v>0.304503415583687</v>
      </c>
      <c r="L1465" s="2" t="n">
        <f aca="false">K1465*(1-L$1459)+K1464*L$1459</f>
        <v>0.281198867368675</v>
      </c>
      <c r="M1465" s="2" t="n">
        <f aca="false">L1465*(1-M$1459)+L1464*M$1459</f>
        <v>0.193512690622277</v>
      </c>
      <c r="N1465" s="2" t="n">
        <f aca="false">M1465*(1-N$1459)+M1464*N$1459</f>
        <v>0.157375132213892</v>
      </c>
      <c r="O1465" s="2" t="n">
        <f aca="false">N1465*(1-O$1459)+N1464*O$1459</f>
        <v>0.157375132213892</v>
      </c>
    </row>
    <row r="1466" customFormat="false" ht="15" hidden="false" customHeight="false" outlineLevel="0" collapsed="false">
      <c r="B1466" s="2" t="n">
        <v>6</v>
      </c>
      <c r="C1466" s="2" t="n">
        <f aca="false">0</f>
        <v>0</v>
      </c>
      <c r="D1466" s="2" t="n">
        <f aca="false">C1466*(1-D$1459)+C1465*D$1459</f>
        <v>0</v>
      </c>
      <c r="E1466" s="2" t="n">
        <f aca="false">D1466*(1-E$1459)+D1465*E$1459</f>
        <v>0</v>
      </c>
      <c r="F1466" s="2" t="n">
        <f aca="false">E1466*(1-F$1459)+E1465*F$1459</f>
        <v>0</v>
      </c>
      <c r="G1466" s="2" t="n">
        <f aca="false">F1466*(1-G$1459)+F1465*G$1459</f>
        <v>0</v>
      </c>
      <c r="H1466" s="2" t="n">
        <f aca="false">G1466*(1-H$1459)+G1465*H$1459</f>
        <v>0.00761110456906121</v>
      </c>
      <c r="I1466" s="2" t="n">
        <f aca="false">H1466*(1-I$1459)+H1465*I$1459</f>
        <v>0.0558400744773131</v>
      </c>
      <c r="J1466" s="2" t="n">
        <f aca="false">I1466*(1-J$1459)+I1465*J$1459</f>
        <v>0.133456997207695</v>
      </c>
      <c r="K1466" s="2" t="n">
        <f aca="false">J1466*(1-K$1459)+J1465*K$1459</f>
        <v>0.196530202454431</v>
      </c>
      <c r="L1466" s="2" t="n">
        <f aca="false">K1466*(1-L$1459)+K1465*L$1459</f>
        <v>0.257220003851395</v>
      </c>
      <c r="M1466" s="2" t="n">
        <f aca="false">L1466*(1-M$1459)+L1465*M$1459</f>
        <v>0.278799711708338</v>
      </c>
      <c r="N1466" s="2" t="n">
        <f aca="false">M1466*(1-N$1459)+M1465*N$1459</f>
        <v>0.251539918252543</v>
      </c>
      <c r="O1466" s="2" t="n">
        <f aca="false">N1466*(1-O$1459)+N1465*O$1459</f>
        <v>0.251539918252543</v>
      </c>
    </row>
    <row r="1467" customFormat="false" ht="15" hidden="false" customHeight="false" outlineLevel="0" collapsed="false">
      <c r="B1467" s="2" t="n">
        <v>7</v>
      </c>
      <c r="C1467" s="2" t="n">
        <f aca="false">0</f>
        <v>0</v>
      </c>
      <c r="D1467" s="2" t="n">
        <f aca="false">C1467*(1-D$1459)+C1466*D$1459</f>
        <v>0</v>
      </c>
      <c r="E1467" s="2" t="n">
        <f aca="false">D1467*(1-E$1459)+D1466*E$1459</f>
        <v>0</v>
      </c>
      <c r="F1467" s="2" t="n">
        <f aca="false">E1467*(1-F$1459)+E1466*F$1459</f>
        <v>0</v>
      </c>
      <c r="G1467" s="2" t="n">
        <f aca="false">F1467*(1-G$1459)+F1466*G$1459</f>
        <v>0</v>
      </c>
      <c r="H1467" s="2" t="n">
        <f aca="false">G1467*(1-H$1459)+G1466*H$1459</f>
        <v>0</v>
      </c>
      <c r="I1467" s="2" t="n">
        <f aca="false">H1467*(1-I$1459)+H1466*I$1459</f>
        <v>0.00504083893290918</v>
      </c>
      <c r="J1467" s="2" t="n">
        <f aca="false">I1467*(1-J$1459)+I1466*J$1459</f>
        <v>0.0289219332388231</v>
      </c>
      <c r="K1467" s="2" t="n">
        <f aca="false">J1467*(1-K$1459)+J1466*K$1459</f>
        <v>0.0701151288606382</v>
      </c>
      <c r="L1467" s="2" t="n">
        <f aca="false">K1467*(1-L$1459)+K1466*L$1459</f>
        <v>0.141170768381206</v>
      </c>
      <c r="M1467" s="2" t="n">
        <f aca="false">L1467*(1-M$1459)+L1466*M$1459</f>
        <v>0.245608937298741</v>
      </c>
      <c r="N1467" s="2" t="n">
        <f aca="false">M1467*(1-N$1459)+M1466*N$1459</f>
        <v>0.25621751107142</v>
      </c>
      <c r="O1467" s="2" t="n">
        <f aca="false">N1467*(1-O$1459)+N1466*O$1459</f>
        <v>0.25621751107142</v>
      </c>
    </row>
    <row r="1468" customFormat="false" ht="15" hidden="false" customHeight="false" outlineLevel="0" collapsed="false">
      <c r="B1468" s="2" t="n">
        <v>8</v>
      </c>
      <c r="C1468" s="2" t="n">
        <f aca="false">0</f>
        <v>0</v>
      </c>
      <c r="D1468" s="2" t="n">
        <f aca="false">C1468*(1-D$1459)+C1467*D$1459</f>
        <v>0</v>
      </c>
      <c r="E1468" s="2" t="n">
        <f aca="false">D1468*(1-E$1459)+D1467*E$1459</f>
        <v>0</v>
      </c>
      <c r="F1468" s="2" t="n">
        <f aca="false">E1468*(1-F$1459)+E1467*F$1459</f>
        <v>0</v>
      </c>
      <c r="G1468" s="2" t="n">
        <f aca="false">F1468*(1-G$1459)+F1467*G$1459</f>
        <v>0</v>
      </c>
      <c r="H1468" s="2" t="n">
        <f aca="false">G1468*(1-H$1459)+G1467*H$1459</f>
        <v>0</v>
      </c>
      <c r="I1468" s="2" t="n">
        <f aca="false">H1468*(1-I$1459)+H1467*I$1459</f>
        <v>0</v>
      </c>
      <c r="J1468" s="2" t="n">
        <f aca="false">I1468*(1-J$1459)+I1467*J$1459</f>
        <v>0.00236973546250516</v>
      </c>
      <c r="K1468" s="2" t="n">
        <f aca="false">J1468*(1-K$1459)+J1467*K$1459</f>
        <v>0.0128329220303604</v>
      </c>
      <c r="L1468" s="2" t="n">
        <f aca="false">K1468*(1-L$1459)+K1467*L$1459</f>
        <v>0.0450302203727528</v>
      </c>
      <c r="M1468" s="2" t="n">
        <f aca="false">L1468*(1-M$1459)+L1467*M$1459</f>
        <v>0.131551624430693</v>
      </c>
      <c r="N1468" s="2" t="n">
        <f aca="false">M1468*(1-N$1459)+M1467*N$1459</f>
        <v>0.168007098561611</v>
      </c>
      <c r="O1468" s="2" t="n">
        <f aca="false">N1468*(1-O$1459)+N1467*O$1459</f>
        <v>0.168007098561611</v>
      </c>
    </row>
    <row r="1469" customFormat="false" ht="15" hidden="false" customHeight="false" outlineLevel="0" collapsed="false">
      <c r="B1469" s="2" t="n">
        <v>9</v>
      </c>
      <c r="C1469" s="2" t="n">
        <f aca="false">0</f>
        <v>0</v>
      </c>
      <c r="D1469" s="2" t="n">
        <f aca="false">C1469*(1-D$1459)+C1468*D$1459</f>
        <v>0</v>
      </c>
      <c r="E1469" s="2" t="n">
        <f aca="false">D1469*(1-E$1459)+D1468*E$1459</f>
        <v>0</v>
      </c>
      <c r="F1469" s="2" t="n">
        <f aca="false">E1469*(1-F$1459)+E1468*F$1459</f>
        <v>0</v>
      </c>
      <c r="G1469" s="2" t="n">
        <f aca="false">F1469*(1-G$1459)+F1468*G$1459</f>
        <v>0</v>
      </c>
      <c r="H1469" s="2" t="n">
        <f aca="false">G1469*(1-H$1459)+G1468*H$1459</f>
        <v>0</v>
      </c>
      <c r="I1469" s="2" t="n">
        <f aca="false">H1469*(1-I$1459)+H1468*I$1459</f>
        <v>0</v>
      </c>
      <c r="J1469" s="2" t="n">
        <f aca="false">I1469*(1-J$1459)+I1468*J$1459</f>
        <v>0</v>
      </c>
      <c r="K1469" s="2" t="n">
        <f aca="false">J1469*(1-K$1459)+J1468*K$1459</f>
        <v>0.000933820411761505</v>
      </c>
      <c r="L1469" s="2" t="n">
        <f aca="false">K1469*(1-L$1459)+K1468*L$1459</f>
        <v>0.00762209144775039</v>
      </c>
      <c r="M1469" s="2" t="n">
        <f aca="false">L1469*(1-M$1459)+L1468*M$1459</f>
        <v>0.0412874273004964</v>
      </c>
      <c r="N1469" s="2" t="n">
        <f aca="false">M1469*(1-N$1459)+M1468*N$1459</f>
        <v>0.0701380465258932</v>
      </c>
      <c r="O1469" s="2" t="n">
        <f aca="false">N1469*(1-O$1459)+N1468*O$1459</f>
        <v>0.0701380465258932</v>
      </c>
    </row>
    <row r="1470" customFormat="false" ht="15" hidden="false" customHeight="false" outlineLevel="0" collapsed="false">
      <c r="B1470" s="2" t="n">
        <v>10</v>
      </c>
      <c r="C1470" s="2" t="n">
        <f aca="false">0</f>
        <v>0</v>
      </c>
      <c r="D1470" s="2" t="n">
        <f aca="false">C1470*(1-D$1459)+C1469*D$1459</f>
        <v>0</v>
      </c>
      <c r="E1470" s="2" t="n">
        <f aca="false">D1470*(1-E$1459)+D1469*E$1459</f>
        <v>0</v>
      </c>
      <c r="F1470" s="2" t="n">
        <f aca="false">E1470*(1-F$1459)+E1469*F$1459</f>
        <v>0</v>
      </c>
      <c r="G1470" s="2" t="n">
        <f aca="false">F1470*(1-G$1459)+F1469*G$1459</f>
        <v>0</v>
      </c>
      <c r="H1470" s="2" t="n">
        <f aca="false">G1470*(1-H$1459)+G1469*H$1459</f>
        <v>0</v>
      </c>
      <c r="I1470" s="2" t="n">
        <f aca="false">H1470*(1-I$1459)+H1469*I$1459</f>
        <v>0</v>
      </c>
      <c r="J1470" s="2" t="n">
        <f aca="false">I1470*(1-J$1459)+I1469*J$1459</f>
        <v>0</v>
      </c>
      <c r="K1470" s="2" t="n">
        <f aca="false">J1470*(1-K$1459)+J1469*K$1459</f>
        <v>0</v>
      </c>
      <c r="L1470" s="2" t="n">
        <f aca="false">K1470*(1-L$1459)+K1469*L$1459</f>
        <v>0.000524883660379659</v>
      </c>
      <c r="M1470" s="2" t="n">
        <f aca="false">L1470*(1-M$1459)+L1469*M$1459</f>
        <v>0.00691199498202791</v>
      </c>
      <c r="N1470" s="2" t="n">
        <f aca="false">M1470*(1-N$1459)+M1469*N$1459</f>
        <v>0.0178992140573612</v>
      </c>
      <c r="O1470" s="2" t="n">
        <f aca="false">N1470*(1-O$1459)+N1469*O$1459</f>
        <v>0.0178992140573612</v>
      </c>
    </row>
    <row r="1471" customFormat="false" ht="15" hidden="false" customHeight="false" outlineLevel="0" collapsed="false">
      <c r="B1471" s="2" t="n">
        <v>11</v>
      </c>
      <c r="C1471" s="2" t="n">
        <f aca="false">0</f>
        <v>0</v>
      </c>
      <c r="D1471" s="2" t="n">
        <f aca="false">C1471*(1-D$1459)+C1470*D$1459</f>
        <v>0</v>
      </c>
      <c r="E1471" s="2" t="n">
        <f aca="false">D1471*(1-E$1459)+D1470*E$1459</f>
        <v>0</v>
      </c>
      <c r="F1471" s="2" t="n">
        <f aca="false">E1471*(1-F$1459)+E1470*F$1459</f>
        <v>0</v>
      </c>
      <c r="G1471" s="2" t="n">
        <f aca="false">F1471*(1-G$1459)+F1470*G$1459</f>
        <v>0</v>
      </c>
      <c r="H1471" s="2" t="n">
        <f aca="false">G1471*(1-H$1459)+G1470*H$1459</f>
        <v>0</v>
      </c>
      <c r="I1471" s="2" t="n">
        <f aca="false">H1471*(1-I$1459)+H1470*I$1459</f>
        <v>0</v>
      </c>
      <c r="J1471" s="2" t="n">
        <f aca="false">I1471*(1-J$1459)+I1470*J$1459</f>
        <v>0</v>
      </c>
      <c r="K1471" s="2" t="n">
        <f aca="false">J1471*(1-K$1459)+J1470*K$1459</f>
        <v>0</v>
      </c>
      <c r="L1471" s="2" t="n">
        <f aca="false">K1471*(1-L$1459)+K1470*L$1459</f>
        <v>0</v>
      </c>
      <c r="M1471" s="2" t="n">
        <f aca="false">L1471*(1-M$1459)+L1470*M$1459</f>
        <v>0.000472367509899422</v>
      </c>
      <c r="N1471" s="2" t="n">
        <f aca="false">M1471*(1-N$1459)+M1470*N$1459</f>
        <v>0.00253062810555736</v>
      </c>
      <c r="O1471" s="2" t="n">
        <f aca="false">N1471*(1-O$1459)+N1470*O$1459</f>
        <v>0.00253062810555736</v>
      </c>
    </row>
    <row r="1472" customFormat="false" ht="15" hidden="false" customHeight="false" outlineLevel="0" collapsed="false">
      <c r="B1472" s="2" t="n">
        <v>12</v>
      </c>
      <c r="C1472" s="2" t="n">
        <f aca="false">0</f>
        <v>0</v>
      </c>
      <c r="D1472" s="2" t="n">
        <f aca="false">C1472*(1-D$1459)+C1471*D$1459</f>
        <v>0</v>
      </c>
      <c r="E1472" s="2" t="n">
        <f aca="false">D1472*(1-E$1459)+D1471*E$1459</f>
        <v>0</v>
      </c>
      <c r="F1472" s="2" t="n">
        <f aca="false">E1472*(1-F$1459)+E1471*F$1459</f>
        <v>0</v>
      </c>
      <c r="G1472" s="2" t="n">
        <f aca="false">F1472*(1-G$1459)+F1471*G$1459</f>
        <v>0</v>
      </c>
      <c r="H1472" s="2" t="n">
        <f aca="false">G1472*(1-H$1459)+G1471*H$1459</f>
        <v>0</v>
      </c>
      <c r="I1472" s="2" t="n">
        <f aca="false">H1472*(1-I$1459)+H1471*I$1459</f>
        <v>0</v>
      </c>
      <c r="J1472" s="2" t="n">
        <f aca="false">I1472*(1-J$1459)+I1471*J$1459</f>
        <v>0</v>
      </c>
      <c r="K1472" s="2" t="n">
        <f aca="false">J1472*(1-K$1459)+J1471*K$1459</f>
        <v>0</v>
      </c>
      <c r="L1472" s="2" t="n">
        <f aca="false">K1472*(1-L$1459)+K1471*L$1459</f>
        <v>0</v>
      </c>
      <c r="M1472" s="2" t="n">
        <f aca="false">L1472*(1-M$1459)+L1471*M$1459</f>
        <v>0</v>
      </c>
      <c r="N1472" s="2" t="n">
        <f aca="false">M1472*(1-N$1459)+M1471*N$1459</f>
        <v>0.000150980074003207</v>
      </c>
      <c r="O1472" s="2" t="n">
        <f aca="false">N1472*(1-O$1459)+N1471*O$1459</f>
        <v>0.000150980074003207</v>
      </c>
    </row>
    <row r="1473" customFormat="false" ht="15" hidden="false" customHeight="false" outlineLevel="0" collapsed="false">
      <c r="B1473" s="2" t="n">
        <v>13</v>
      </c>
      <c r="C1473" s="2" t="n">
        <f aca="false">0</f>
        <v>0</v>
      </c>
      <c r="D1473" s="2" t="n">
        <f aca="false">C1473*(1-D$1459)+C1472*D$1459</f>
        <v>0</v>
      </c>
      <c r="E1473" s="2" t="n">
        <f aca="false">D1473*(1-E$1459)+D1472*E$1459</f>
        <v>0</v>
      </c>
      <c r="F1473" s="2" t="n">
        <f aca="false">E1473*(1-F$1459)+E1472*F$1459</f>
        <v>0</v>
      </c>
      <c r="G1473" s="2" t="n">
        <f aca="false">F1473*(1-G$1459)+F1472*G$1459</f>
        <v>0</v>
      </c>
      <c r="H1473" s="2" t="n">
        <f aca="false">G1473*(1-H$1459)+G1472*H$1459</f>
        <v>0</v>
      </c>
      <c r="I1473" s="2" t="n">
        <f aca="false">H1473*(1-I$1459)+H1472*I$1459</f>
        <v>0</v>
      </c>
      <c r="J1473" s="2" t="n">
        <f aca="false">I1473*(1-J$1459)+I1472*J$1459</f>
        <v>0</v>
      </c>
      <c r="K1473" s="2" t="n">
        <f aca="false">J1473*(1-K$1459)+J1472*K$1459</f>
        <v>0</v>
      </c>
      <c r="L1473" s="2" t="n">
        <f aca="false">K1473*(1-L$1459)+K1472*L$1459</f>
        <v>0</v>
      </c>
      <c r="M1473" s="2" t="n">
        <f aca="false">L1473*(1-M$1459)+L1472*M$1459</f>
        <v>0</v>
      </c>
      <c r="N1473" s="2" t="n">
        <f aca="false">M1473*(1-N$1459)+M1472*N$1459</f>
        <v>0</v>
      </c>
      <c r="O1473" s="2" t="n">
        <f aca="false">N1473*(1-O$1459)+N1472*O$1459</f>
        <v>0</v>
      </c>
    </row>
    <row r="1475" customFormat="false" ht="15" hidden="false" customHeight="false" outlineLevel="0" collapsed="false">
      <c r="A1475" s="1" t="s">
        <v>150</v>
      </c>
      <c r="C1475" s="2" t="n">
        <f aca="false">Schedule!G94</f>
        <v>0.984710171454427</v>
      </c>
      <c r="D1475" s="2" t="n">
        <f aca="false">Schedule!L94</f>
        <v>0.130294517136809</v>
      </c>
      <c r="E1475" s="2" t="n">
        <f aca="false">Schedule!Q94</f>
        <v>0.447788771872615</v>
      </c>
      <c r="F1475" s="2" t="n">
        <f aca="false">Schedule!V94</f>
        <v>0.413422398858449</v>
      </c>
      <c r="G1475" s="2" t="n">
        <f aca="false">Schedule!AA94</f>
        <v>0.893204206183695</v>
      </c>
      <c r="H1475" s="2" t="n">
        <f aca="false">Schedule!AF94</f>
        <v>0.581702183505625</v>
      </c>
      <c r="I1475" s="2" t="n">
        <f aca="false">Schedule!AK94</f>
        <v>0.655421741610324</v>
      </c>
      <c r="J1475" s="2" t="n">
        <f aca="false">Schedule!AP94</f>
        <v>0.492520270510441</v>
      </c>
      <c r="K1475" s="2" t="n">
        <f aca="false">Schedule!AU94</f>
        <v>0.593865540399242</v>
      </c>
      <c r="L1475" s="2" t="n">
        <f aca="false">Schedule!AZ94</f>
        <v>0.629772172275028</v>
      </c>
      <c r="M1475" s="2" t="n">
        <f aca="false">Schedule!BE94</f>
        <v>0.562082016808295</v>
      </c>
      <c r="N1475" s="2" t="n">
        <f aca="false">Schedule!BJ94</f>
        <v>0.845839165719646</v>
      </c>
      <c r="O1475" s="2" t="n">
        <f aca="false">Schedule!BO94</f>
        <v>0</v>
      </c>
    </row>
    <row r="1476" customFormat="false" ht="15" hidden="false" customHeight="false" outlineLevel="0" collapsed="false">
      <c r="B1476" s="2" t="n">
        <v>0</v>
      </c>
      <c r="C1476" s="2" t="n">
        <f aca="false">1-C$1475</f>
        <v>0.0152898285455734</v>
      </c>
      <c r="D1476" s="2" t="n">
        <f aca="false">C1476*(1-D$1475)</f>
        <v>0.0132976477181233</v>
      </c>
      <c r="E1476" s="2" t="n">
        <f aca="false">D1476*(1-E$1475)</f>
        <v>0.00734311037763018</v>
      </c>
      <c r="F1476" s="2" t="n">
        <f aca="false">E1476*(1-F$1475)</f>
        <v>0.00430730407022794</v>
      </c>
      <c r="G1476" s="2" t="n">
        <f aca="false">F1476*(1-G$1475)</f>
        <v>0.000460001957388195</v>
      </c>
      <c r="H1476" s="2" t="n">
        <f aca="false">G1476*(1-H$1475)</f>
        <v>0.000192417814358621</v>
      </c>
      <c r="I1476" s="2" t="n">
        <f aca="false">H1476*(1-I$1475)</f>
        <v>6.63029953548415E-005</v>
      </c>
      <c r="J1476" s="2" t="n">
        <f aca="false">I1476*(1-J$1475)</f>
        <v>3.36474261470225E-005</v>
      </c>
      <c r="K1476" s="2" t="n">
        <f aca="false">J1476*(1-K$1475)</f>
        <v>1.36653792351774E-005</v>
      </c>
      <c r="L1476" s="2" t="n">
        <f aca="false">K1476*(1-L$1475)</f>
        <v>5.05930366927766E-006</v>
      </c>
      <c r="M1476" s="2" t="n">
        <f aca="false">L1476*(1-M$1475)</f>
        <v>2.21556005920447E-006</v>
      </c>
      <c r="N1476" s="2" t="n">
        <f aca="false">M1476*(1-N$1475)</f>
        <v>3.41552587125191E-007</v>
      </c>
      <c r="O1476" s="2" t="n">
        <f aca="false">N1476*(1-O$1475)</f>
        <v>3.41552587125191E-007</v>
      </c>
    </row>
    <row r="1477" customFormat="false" ht="15" hidden="false" customHeight="false" outlineLevel="0" collapsed="false">
      <c r="B1477" s="2" t="n">
        <v>1</v>
      </c>
      <c r="C1477" s="2" t="n">
        <f aca="false">C$1475</f>
        <v>0.984710171454427</v>
      </c>
      <c r="D1477" s="2" t="n">
        <f aca="false">C1477*(1-D$1475)+C1476*D$1475</f>
        <v>0.858400015972518</v>
      </c>
      <c r="E1477" s="2" t="n">
        <f aca="false">D1477*(1-E$1475)+D1476*E$1475</f>
        <v>0.479972664385244</v>
      </c>
      <c r="F1477" s="2" t="n">
        <f aca="false">E1477*(1-F$1475)+E1476*F$1475</f>
        <v>0.284577020396017</v>
      </c>
      <c r="G1477" s="2" t="n">
        <f aca="false">F1477*(1-G$1475)+F1476*G$1475</f>
        <v>0.0342389309079113</v>
      </c>
      <c r="H1477" s="2" t="n">
        <f aca="false">G1477*(1-H$1475)+G1476*H$1475</f>
        <v>0.0145896541809106</v>
      </c>
      <c r="I1477" s="2" t="n">
        <f aca="false">H1477*(1-I$1475)+H1476*I$1475</f>
        <v>0.00515339244716962</v>
      </c>
      <c r="J1477" s="2" t="n">
        <f aca="false">I1477*(1-J$1475)+I1476*J$1475</f>
        <v>0.002647897774251</v>
      </c>
      <c r="K1477" s="2" t="n">
        <f aca="false">J1477*(1-K$1475)+J1476*K$1475</f>
        <v>0.00109538457853532</v>
      </c>
      <c r="L1477" s="2" t="n">
        <f aca="false">K1477*(1-L$1475)+K1476*L$1475</f>
        <v>0.000414147928600467</v>
      </c>
      <c r="M1477" s="2" t="n">
        <f aca="false">L1477*(1-M$1475)+L1476*M$1475</f>
        <v>0.000184206569245812</v>
      </c>
      <c r="N1477" s="2" t="n">
        <f aca="false">M1477*(1-N$1475)+M1476*N$1475</f>
        <v>3.02714458669354E-005</v>
      </c>
      <c r="O1477" s="2" t="n">
        <f aca="false">N1477*(1-O$1475)+N1476*O$1475</f>
        <v>3.02714458669354E-005</v>
      </c>
    </row>
    <row r="1478" customFormat="false" ht="15" hidden="false" customHeight="false" outlineLevel="0" collapsed="false">
      <c r="B1478" s="2" t="n">
        <v>2</v>
      </c>
      <c r="C1478" s="2" t="n">
        <f aca="false">0</f>
        <v>0</v>
      </c>
      <c r="D1478" s="2" t="n">
        <f aca="false">C1478*(1-D$1475)+C1477*D$1475</f>
        <v>0.128302336309359</v>
      </c>
      <c r="E1478" s="2" t="n">
        <f aca="false">D1478*(1-E$1475)+D1477*E$1475</f>
        <v>0.455231879632771</v>
      </c>
      <c r="F1478" s="2" t="n">
        <f aca="false">E1478*(1-F$1475)+E1477*F$1475</f>
        <v>0.465460274214779</v>
      </c>
      <c r="G1478" s="2" t="n">
        <f aca="false">F1478*(1-G$1475)+F1477*G$1475</f>
        <v>0.303894591075668</v>
      </c>
      <c r="H1478" s="2" t="n">
        <f aca="false">G1478*(1-H$1475)+G1477*H$1475</f>
        <v>0.147035304761433</v>
      </c>
      <c r="I1478" s="2" t="n">
        <f aca="false">H1478*(1-I$1475)+H1477*I$1475</f>
        <v>0.0602275457892347</v>
      </c>
      <c r="J1478" s="2" t="n">
        <f aca="false">I1478*(1-J$1475)+I1477*J$1475</f>
        <v>0.0331024088870673</v>
      </c>
      <c r="K1478" s="2" t="n">
        <f aca="false">J1478*(1-K$1475)+J1477*K$1475</f>
        <v>0.0150165241874599</v>
      </c>
      <c r="L1478" s="2" t="n">
        <f aca="false">K1478*(1-L$1475)+K1477*L$1475</f>
        <v>0.00624937785540355</v>
      </c>
      <c r="M1478" s="2" t="n">
        <f aca="false">L1478*(1-M$1475)+L1477*M$1475</f>
        <v>0.00296950004960595</v>
      </c>
      <c r="N1478" s="2" t="n">
        <f aca="false">M1478*(1-N$1475)+M1477*N$1475</f>
        <v>0.000613589735893761</v>
      </c>
      <c r="O1478" s="2" t="n">
        <f aca="false">N1478*(1-O$1475)+N1477*O$1475</f>
        <v>0.000613589735893761</v>
      </c>
    </row>
    <row r="1479" customFormat="false" ht="15" hidden="false" customHeight="false" outlineLevel="0" collapsed="false">
      <c r="B1479" s="2" t="n">
        <v>3</v>
      </c>
      <c r="C1479" s="2" t="n">
        <f aca="false">0</f>
        <v>0</v>
      </c>
      <c r="D1479" s="2" t="n">
        <f aca="false">C1479*(1-D$1475)+C1478*D$1475</f>
        <v>0</v>
      </c>
      <c r="E1479" s="2" t="n">
        <f aca="false">D1479*(1-E$1475)+D1478*E$1475</f>
        <v>0.057452345604355</v>
      </c>
      <c r="F1479" s="2" t="n">
        <f aca="false">E1479*(1-F$1475)+E1478*F$1475</f>
        <v>0.221903314779179</v>
      </c>
      <c r="G1479" s="2" t="n">
        <f aca="false">F1479*(1-G$1475)+F1478*G$1475</f>
        <v>0.439449415392368</v>
      </c>
      <c r="H1479" s="2" t="n">
        <f aca="false">G1479*(1-H$1475)+G1478*H$1475</f>
        <v>0.360596878102622</v>
      </c>
      <c r="I1479" s="2" t="n">
        <f aca="false">H1479*(1-I$1475)+H1478*I$1475</f>
        <v>0.220623979762299</v>
      </c>
      <c r="J1479" s="2" t="n">
        <f aca="false">I1479*(1-J$1475)+I1478*J$1475</f>
        <v>0.141625484712975</v>
      </c>
      <c r="K1479" s="2" t="n">
        <f aca="false">J1479*(1-K$1475)+J1478*K$1475</f>
        <v>0.0771773696418346</v>
      </c>
      <c r="L1479" s="2" t="n">
        <f aca="false">K1479*(1-L$1475)+K1478*L$1475</f>
        <v>0.0380301989695808</v>
      </c>
      <c r="M1479" s="2" t="n">
        <f aca="false">L1479*(1-M$1475)+L1478*M$1475</f>
        <v>0.0201667709419004</v>
      </c>
      <c r="N1479" s="2" t="n">
        <f aca="false">M1479*(1-N$1475)+M1478*N$1475</f>
        <v>0.00562064567770731</v>
      </c>
      <c r="O1479" s="2" t="n">
        <f aca="false">N1479*(1-O$1475)+N1478*O$1475</f>
        <v>0.00562064567770731</v>
      </c>
    </row>
    <row r="1480" customFormat="false" ht="15" hidden="false" customHeight="false" outlineLevel="0" collapsed="false">
      <c r="B1480" s="2" t="n">
        <v>4</v>
      </c>
      <c r="C1480" s="2" t="n">
        <f aca="false">0</f>
        <v>0</v>
      </c>
      <c r="D1480" s="2" t="n">
        <f aca="false">C1480*(1-D$1475)+C1479*D$1475</f>
        <v>0</v>
      </c>
      <c r="E1480" s="2" t="n">
        <f aca="false">D1480*(1-E$1475)+D1479*E$1475</f>
        <v>0</v>
      </c>
      <c r="F1480" s="2" t="n">
        <f aca="false">E1480*(1-F$1475)+E1479*F$1475</f>
        <v>0.0237520865397971</v>
      </c>
      <c r="G1480" s="2" t="n">
        <f aca="false">F1480*(1-G$1475)+F1479*G$1475</f>
        <v>0.200741597063678</v>
      </c>
      <c r="H1480" s="2" t="n">
        <f aca="false">G1480*(1-H$1475)+G1479*H$1475</f>
        <v>0.339598456205341</v>
      </c>
      <c r="I1480" s="2" t="n">
        <f aca="false">H1480*(1-I$1475)+H1479*I$1475</f>
        <v>0.353361278456326</v>
      </c>
      <c r="J1480" s="2" t="n">
        <f aca="false">I1480*(1-J$1475)+I1479*J$1475</f>
        <v>0.287985468196719</v>
      </c>
      <c r="K1480" s="2" t="n">
        <f aca="false">J1480*(1-K$1475)+J1479*K$1475</f>
        <v>0.201067317512321</v>
      </c>
      <c r="L1480" s="2" t="n">
        <f aca="false">K1480*(1-L$1475)+K1479*L$1475</f>
        <v>0.123044875918885</v>
      </c>
      <c r="M1480" s="2" t="n">
        <f aca="false">L1480*(1-M$1475)+L1479*M$1475</f>
        <v>0.0752596548409144</v>
      </c>
      <c r="N1480" s="2" t="n">
        <f aca="false">M1480*(1-N$1475)+M1479*N$1475</f>
        <v>0.0286599358866831</v>
      </c>
      <c r="O1480" s="2" t="n">
        <f aca="false">N1480*(1-O$1475)+N1479*O$1475</f>
        <v>0.0286599358866831</v>
      </c>
    </row>
    <row r="1481" customFormat="false" ht="15" hidden="false" customHeight="false" outlineLevel="0" collapsed="false">
      <c r="B1481" s="2" t="n">
        <v>5</v>
      </c>
      <c r="C1481" s="2" t="n">
        <f aca="false">0</f>
        <v>0</v>
      </c>
      <c r="D1481" s="2" t="n">
        <f aca="false">C1481*(1-D$1475)+C1480*D$1475</f>
        <v>0</v>
      </c>
      <c r="E1481" s="2" t="n">
        <f aca="false">D1481*(1-E$1475)+D1480*E$1475</f>
        <v>0</v>
      </c>
      <c r="F1481" s="2" t="n">
        <f aca="false">E1481*(1-F$1475)+E1480*F$1475</f>
        <v>0</v>
      </c>
      <c r="G1481" s="2" t="n">
        <f aca="false">F1481*(1-G$1475)+F1480*G$1475</f>
        <v>0.0212154636029859</v>
      </c>
      <c r="H1481" s="2" t="n">
        <f aca="false">G1481*(1-H$1475)+G1480*H$1475</f>
        <v>0.125646207433393</v>
      </c>
      <c r="I1481" s="2" t="n">
        <f aca="false">H1481*(1-I$1475)+H1480*I$1475</f>
        <v>0.265875162944949</v>
      </c>
      <c r="J1481" s="2" t="n">
        <f aca="false">I1481*(1-J$1475)+I1480*J$1475</f>
        <v>0.30896384822252</v>
      </c>
      <c r="K1481" s="2" t="n">
        <f aca="false">J1481*(1-K$1475)+J1480*K$1475</f>
        <v>0.296505511231797</v>
      </c>
      <c r="L1481" s="2" t="n">
        <f aca="false">K1481*(1-L$1475)+K1480*L$1475</f>
        <v>0.236401192655078</v>
      </c>
      <c r="M1481" s="2" t="n">
        <f aca="false">L1481*(1-M$1475)+L1480*M$1475</f>
        <v>0.172685645526039</v>
      </c>
      <c r="N1481" s="2" t="n">
        <f aca="false">M1481*(1-N$1475)+M1480*N$1475</f>
        <v>0.0902789268455231</v>
      </c>
      <c r="O1481" s="2" t="n">
        <f aca="false">N1481*(1-O$1475)+N1480*O$1475</f>
        <v>0.0902789268455231</v>
      </c>
    </row>
    <row r="1482" customFormat="false" ht="15" hidden="false" customHeight="false" outlineLevel="0" collapsed="false">
      <c r="B1482" s="2" t="n">
        <v>6</v>
      </c>
      <c r="C1482" s="2" t="n">
        <f aca="false">0</f>
        <v>0</v>
      </c>
      <c r="D1482" s="2" t="n">
        <f aca="false">C1482*(1-D$1475)+C1481*D$1475</f>
        <v>0</v>
      </c>
      <c r="E1482" s="2" t="n">
        <f aca="false">D1482*(1-E$1475)+D1481*E$1475</f>
        <v>0</v>
      </c>
      <c r="F1482" s="2" t="n">
        <f aca="false">E1482*(1-F$1475)+E1481*F$1475</f>
        <v>0</v>
      </c>
      <c r="G1482" s="2" t="n">
        <f aca="false">F1482*(1-G$1475)+F1481*G$1475</f>
        <v>0</v>
      </c>
      <c r="H1482" s="2" t="n">
        <f aca="false">G1482*(1-H$1475)+G1481*H$1475</f>
        <v>0.012341081501941</v>
      </c>
      <c r="I1482" s="2" t="n">
        <f aca="false">H1482*(1-I$1475)+H1481*I$1475</f>
        <v>0.0866037244733103</v>
      </c>
      <c r="J1482" s="2" t="n">
        <f aca="false">I1482*(1-J$1475)+I1481*J$1475</f>
        <v>0.174898541844157</v>
      </c>
      <c r="K1482" s="2" t="n">
        <f aca="false">J1482*(1-K$1475)+J1481*K$1475</f>
        <v>0.254515307465334</v>
      </c>
      <c r="L1482" s="2" t="n">
        <f aca="false">K1482*(1-L$1475)+K1481*L$1475</f>
        <v>0.28095956930561</v>
      </c>
      <c r="M1482" s="2" t="n">
        <f aca="false">L1482*(1-M$1475)+L1481*M$1475</f>
        <v>0.255914107092175</v>
      </c>
      <c r="N1482" s="2" t="n">
        <f aca="false">M1482*(1-N$1475)+M1481*N$1475</f>
        <v>0.185516214596945</v>
      </c>
      <c r="O1482" s="2" t="n">
        <f aca="false">N1482*(1-O$1475)+N1481*O$1475</f>
        <v>0.185516214596945</v>
      </c>
    </row>
    <row r="1483" customFormat="false" ht="15" hidden="false" customHeight="false" outlineLevel="0" collapsed="false">
      <c r="B1483" s="2" t="n">
        <v>7</v>
      </c>
      <c r="C1483" s="2" t="n">
        <f aca="false">0</f>
        <v>0</v>
      </c>
      <c r="D1483" s="2" t="n">
        <f aca="false">C1483*(1-D$1475)+C1482*D$1475</f>
        <v>0</v>
      </c>
      <c r="E1483" s="2" t="n">
        <f aca="false">D1483*(1-E$1475)+D1482*E$1475</f>
        <v>0</v>
      </c>
      <c r="F1483" s="2" t="n">
        <f aca="false">E1483*(1-F$1475)+E1482*F$1475</f>
        <v>0</v>
      </c>
      <c r="G1483" s="2" t="n">
        <f aca="false">F1483*(1-G$1475)+F1482*G$1475</f>
        <v>0</v>
      </c>
      <c r="H1483" s="2" t="n">
        <f aca="false">G1483*(1-H$1475)+G1482*H$1475</f>
        <v>0</v>
      </c>
      <c r="I1483" s="2" t="n">
        <f aca="false">H1483*(1-I$1475)+H1482*I$1475</f>
        <v>0.00808861313135714</v>
      </c>
      <c r="J1483" s="2" t="n">
        <f aca="false">I1483*(1-J$1475)+I1482*J$1475</f>
        <v>0.0467588970086533</v>
      </c>
      <c r="K1483" s="2" t="n">
        <f aca="false">J1483*(1-K$1475)+J1482*K$1475</f>
        <v>0.122856616435457</v>
      </c>
      <c r="L1483" s="2" t="n">
        <f aca="false">K1483*(1-L$1475)+K1482*L$1475</f>
        <v>0.205771596284229</v>
      </c>
      <c r="M1483" s="2" t="n">
        <f aca="false">L1483*(1-M$1475)+L1482*M$1475</f>
        <v>0.248033403799815</v>
      </c>
      <c r="N1483" s="2" t="n">
        <f aca="false">M1483*(1-N$1475)+M1482*N$1475</f>
        <v>0.254699211297909</v>
      </c>
      <c r="O1483" s="2" t="n">
        <f aca="false">N1483*(1-O$1475)+N1482*O$1475</f>
        <v>0.254699211297909</v>
      </c>
    </row>
    <row r="1484" customFormat="false" ht="15" hidden="false" customHeight="false" outlineLevel="0" collapsed="false">
      <c r="B1484" s="2" t="n">
        <v>8</v>
      </c>
      <c r="C1484" s="2" t="n">
        <f aca="false">0</f>
        <v>0</v>
      </c>
      <c r="D1484" s="2" t="n">
        <f aca="false">C1484*(1-D$1475)+C1483*D$1475</f>
        <v>0</v>
      </c>
      <c r="E1484" s="2" t="n">
        <f aca="false">D1484*(1-E$1475)+D1483*E$1475</f>
        <v>0</v>
      </c>
      <c r="F1484" s="2" t="n">
        <f aca="false">E1484*(1-F$1475)+E1483*F$1475</f>
        <v>0</v>
      </c>
      <c r="G1484" s="2" t="n">
        <f aca="false">F1484*(1-G$1475)+F1483*G$1475</f>
        <v>0</v>
      </c>
      <c r="H1484" s="2" t="n">
        <f aca="false">G1484*(1-H$1475)+G1483*H$1475</f>
        <v>0</v>
      </c>
      <c r="I1484" s="2" t="n">
        <f aca="false">H1484*(1-I$1475)+H1483*I$1475</f>
        <v>0</v>
      </c>
      <c r="J1484" s="2" t="n">
        <f aca="false">I1484*(1-J$1475)+I1483*J$1475</f>
        <v>0.00398380592751032</v>
      </c>
      <c r="K1484" s="2" t="n">
        <f aca="false">J1484*(1-K$1475)+J1483*K$1475</f>
        <v>0.0293864585080401</v>
      </c>
      <c r="L1484" s="2" t="n">
        <f aca="false">K1484*(1-L$1475)+K1483*L$1475</f>
        <v>0.0882513629088793</v>
      </c>
      <c r="M1484" s="2" t="n">
        <f aca="false">L1484*(1-M$1475)+L1483*M$1475</f>
        <v>0.154307372700277</v>
      </c>
      <c r="N1484" s="2" t="n">
        <f aca="false">M1484*(1-N$1475)+M1483*N$1475</f>
        <v>0.233584520651724</v>
      </c>
      <c r="O1484" s="2" t="n">
        <f aca="false">N1484*(1-O$1475)+N1483*O$1475</f>
        <v>0.233584520651724</v>
      </c>
    </row>
    <row r="1485" customFormat="false" ht="15" hidden="false" customHeight="false" outlineLevel="0" collapsed="false">
      <c r="B1485" s="2" t="n">
        <v>9</v>
      </c>
      <c r="C1485" s="2" t="n">
        <f aca="false">0</f>
        <v>0</v>
      </c>
      <c r="D1485" s="2" t="n">
        <f aca="false">C1485*(1-D$1475)+C1484*D$1475</f>
        <v>0</v>
      </c>
      <c r="E1485" s="2" t="n">
        <f aca="false">D1485*(1-E$1475)+D1484*E$1475</f>
        <v>0</v>
      </c>
      <c r="F1485" s="2" t="n">
        <f aca="false">E1485*(1-F$1475)+E1484*F$1475</f>
        <v>0</v>
      </c>
      <c r="G1485" s="2" t="n">
        <f aca="false">F1485*(1-G$1475)+F1484*G$1475</f>
        <v>0</v>
      </c>
      <c r="H1485" s="2" t="n">
        <f aca="false">G1485*(1-H$1475)+G1484*H$1475</f>
        <v>0</v>
      </c>
      <c r="I1485" s="2" t="n">
        <f aca="false">H1485*(1-I$1475)+H1484*I$1475</f>
        <v>0</v>
      </c>
      <c r="J1485" s="2" t="n">
        <f aca="false">I1485*(1-J$1475)+I1484*J$1475</f>
        <v>0</v>
      </c>
      <c r="K1485" s="2" t="n">
        <f aca="false">J1485*(1-K$1475)+J1484*K$1475</f>
        <v>0.00236584505998662</v>
      </c>
      <c r="L1485" s="2" t="n">
        <f aca="false">K1485*(1-L$1475)+K1484*L$1475</f>
        <v>0.0193826754873711</v>
      </c>
      <c r="M1485" s="2" t="n">
        <f aca="false">L1485*(1-M$1475)+L1484*M$1475</f>
        <v>0.0580925262081925</v>
      </c>
      <c r="N1485" s="2" t="n">
        <f aca="false">M1485*(1-N$1475)+M1484*N$1475</f>
        <v>0.139474811694901</v>
      </c>
      <c r="O1485" s="2" t="n">
        <f aca="false">N1485*(1-O$1475)+N1484*O$1475</f>
        <v>0.139474811694901</v>
      </c>
    </row>
    <row r="1486" customFormat="false" ht="15" hidden="false" customHeight="false" outlineLevel="0" collapsed="false">
      <c r="B1486" s="2" t="n">
        <v>10</v>
      </c>
      <c r="C1486" s="2" t="n">
        <f aca="false">0</f>
        <v>0</v>
      </c>
      <c r="D1486" s="2" t="n">
        <f aca="false">C1486*(1-D$1475)+C1485*D$1475</f>
        <v>0</v>
      </c>
      <c r="E1486" s="2" t="n">
        <f aca="false">D1486*(1-E$1475)+D1485*E$1475</f>
        <v>0</v>
      </c>
      <c r="F1486" s="2" t="n">
        <f aca="false">E1486*(1-F$1475)+E1485*F$1475</f>
        <v>0</v>
      </c>
      <c r="G1486" s="2" t="n">
        <f aca="false">F1486*(1-G$1475)+F1485*G$1475</f>
        <v>0</v>
      </c>
      <c r="H1486" s="2" t="n">
        <f aca="false">G1486*(1-H$1475)+G1485*H$1475</f>
        <v>0</v>
      </c>
      <c r="I1486" s="2" t="n">
        <f aca="false">H1486*(1-I$1475)+H1485*I$1475</f>
        <v>0</v>
      </c>
      <c r="J1486" s="2" t="n">
        <f aca="false">I1486*(1-J$1475)+I1485*J$1475</f>
        <v>0</v>
      </c>
      <c r="K1486" s="2" t="n">
        <f aca="false">J1486*(1-K$1475)+J1485*K$1475</f>
        <v>0</v>
      </c>
      <c r="L1486" s="2" t="n">
        <f aca="false">K1486*(1-L$1475)+K1485*L$1475</f>
        <v>0.00148994338269392</v>
      </c>
      <c r="M1486" s="2" t="n">
        <f aca="false">L1486*(1-M$1475)+L1485*M$1475</f>
        <v>0.0115471263303014</v>
      </c>
      <c r="N1486" s="2" t="n">
        <f aca="false">M1486*(1-N$1475)+M1485*N$1475</f>
        <v>0.0509170485311041</v>
      </c>
      <c r="O1486" s="2" t="n">
        <f aca="false">N1486*(1-O$1475)+N1485*O$1475</f>
        <v>0.0509170485311041</v>
      </c>
    </row>
    <row r="1487" customFormat="false" ht="15" hidden="false" customHeight="false" outlineLevel="0" collapsed="false">
      <c r="B1487" s="2" t="n">
        <v>11</v>
      </c>
      <c r="C1487" s="2" t="n">
        <f aca="false">0</f>
        <v>0</v>
      </c>
      <c r="D1487" s="2" t="n">
        <f aca="false">C1487*(1-D$1475)+C1486*D$1475</f>
        <v>0</v>
      </c>
      <c r="E1487" s="2" t="n">
        <f aca="false">D1487*(1-E$1475)+D1486*E$1475</f>
        <v>0</v>
      </c>
      <c r="F1487" s="2" t="n">
        <f aca="false">E1487*(1-F$1475)+E1486*F$1475</f>
        <v>0</v>
      </c>
      <c r="G1487" s="2" t="n">
        <f aca="false">F1487*(1-G$1475)+F1486*G$1475</f>
        <v>0</v>
      </c>
      <c r="H1487" s="2" t="n">
        <f aca="false">G1487*(1-H$1475)+G1486*H$1475</f>
        <v>0</v>
      </c>
      <c r="I1487" s="2" t="n">
        <f aca="false">H1487*(1-I$1475)+H1486*I$1475</f>
        <v>0</v>
      </c>
      <c r="J1487" s="2" t="n">
        <f aca="false">I1487*(1-J$1475)+I1486*J$1475</f>
        <v>0</v>
      </c>
      <c r="K1487" s="2" t="n">
        <f aca="false">J1487*(1-K$1475)+J1486*K$1475</f>
        <v>0</v>
      </c>
      <c r="L1487" s="2" t="n">
        <f aca="false">K1487*(1-L$1475)+K1486*L$1475</f>
        <v>0</v>
      </c>
      <c r="M1487" s="2" t="n">
        <f aca="false">L1487*(1-M$1475)+L1486*M$1475</f>
        <v>0.00083747038147477</v>
      </c>
      <c r="N1487" s="2" t="n">
        <f aca="false">M1487*(1-N$1475)+M1486*N$1475</f>
        <v>0.00989611683437472</v>
      </c>
      <c r="O1487" s="2" t="n">
        <f aca="false">N1487*(1-O$1475)+N1486*O$1475</f>
        <v>0.00989611683437472</v>
      </c>
    </row>
    <row r="1488" customFormat="false" ht="15" hidden="false" customHeight="false" outlineLevel="0" collapsed="false">
      <c r="B1488" s="2" t="n">
        <v>12</v>
      </c>
      <c r="C1488" s="2" t="n">
        <f aca="false">0</f>
        <v>0</v>
      </c>
      <c r="D1488" s="2" t="n">
        <f aca="false">C1488*(1-D$1475)+C1487*D$1475</f>
        <v>0</v>
      </c>
      <c r="E1488" s="2" t="n">
        <f aca="false">D1488*(1-E$1475)+D1487*E$1475</f>
        <v>0</v>
      </c>
      <c r="F1488" s="2" t="n">
        <f aca="false">E1488*(1-F$1475)+E1487*F$1475</f>
        <v>0</v>
      </c>
      <c r="G1488" s="2" t="n">
        <f aca="false">F1488*(1-G$1475)+F1487*G$1475</f>
        <v>0</v>
      </c>
      <c r="H1488" s="2" t="n">
        <f aca="false">G1488*(1-H$1475)+G1487*H$1475</f>
        <v>0</v>
      </c>
      <c r="I1488" s="2" t="n">
        <f aca="false">H1488*(1-I$1475)+H1487*I$1475</f>
        <v>0</v>
      </c>
      <c r="J1488" s="2" t="n">
        <f aca="false">I1488*(1-J$1475)+I1487*J$1475</f>
        <v>0</v>
      </c>
      <c r="K1488" s="2" t="n">
        <f aca="false">J1488*(1-K$1475)+J1487*K$1475</f>
        <v>0</v>
      </c>
      <c r="L1488" s="2" t="n">
        <f aca="false">K1488*(1-L$1475)+K1487*L$1475</f>
        <v>0</v>
      </c>
      <c r="M1488" s="2" t="n">
        <f aca="false">L1488*(1-M$1475)+L1487*M$1475</f>
        <v>0</v>
      </c>
      <c r="N1488" s="2" t="n">
        <f aca="false">M1488*(1-N$1475)+M1487*N$1475</f>
        <v>0.000708365248781534</v>
      </c>
      <c r="O1488" s="2" t="n">
        <f aca="false">N1488*(1-O$1475)+N1487*O$1475</f>
        <v>0.000708365248781534</v>
      </c>
    </row>
    <row r="1489" customFormat="false" ht="15" hidden="false" customHeight="false" outlineLevel="0" collapsed="false">
      <c r="B1489" s="2" t="n">
        <v>13</v>
      </c>
      <c r="C1489" s="2" t="n">
        <f aca="false">0</f>
        <v>0</v>
      </c>
      <c r="D1489" s="2" t="n">
        <f aca="false">C1489*(1-D$1475)+C1488*D$1475</f>
        <v>0</v>
      </c>
      <c r="E1489" s="2" t="n">
        <f aca="false">D1489*(1-E$1475)+D1488*E$1475</f>
        <v>0</v>
      </c>
      <c r="F1489" s="2" t="n">
        <f aca="false">E1489*(1-F$1475)+E1488*F$1475</f>
        <v>0</v>
      </c>
      <c r="G1489" s="2" t="n">
        <f aca="false">F1489*(1-G$1475)+F1488*G$1475</f>
        <v>0</v>
      </c>
      <c r="H1489" s="2" t="n">
        <f aca="false">G1489*(1-H$1475)+G1488*H$1475</f>
        <v>0</v>
      </c>
      <c r="I1489" s="2" t="n">
        <f aca="false">H1489*(1-I$1475)+H1488*I$1475</f>
        <v>0</v>
      </c>
      <c r="J1489" s="2" t="n">
        <f aca="false">I1489*(1-J$1475)+I1488*J$1475</f>
        <v>0</v>
      </c>
      <c r="K1489" s="2" t="n">
        <f aca="false">J1489*(1-K$1475)+J1488*K$1475</f>
        <v>0</v>
      </c>
      <c r="L1489" s="2" t="n">
        <f aca="false">K1489*(1-L$1475)+K1488*L$1475</f>
        <v>0</v>
      </c>
      <c r="M1489" s="2" t="n">
        <f aca="false">L1489*(1-M$1475)+L1488*M$1475</f>
        <v>0</v>
      </c>
      <c r="N1489" s="2" t="n">
        <f aca="false">M1489*(1-N$1475)+M1488*N$1475</f>
        <v>0</v>
      </c>
      <c r="O1489" s="2" t="n">
        <f aca="false">N1489*(1-O$1475)+N1488*O$1475</f>
        <v>0</v>
      </c>
    </row>
    <row r="1491" customFormat="false" ht="15" hidden="false" customHeight="false" outlineLevel="0" collapsed="false">
      <c r="A1491" s="1" t="s">
        <v>151</v>
      </c>
      <c r="C1491" s="2" t="n">
        <f aca="false">Schedule!G95</f>
        <v>0.547263288750412</v>
      </c>
      <c r="D1491" s="2" t="n">
        <f aca="false">Schedule!L95</f>
        <v>0.0118332644193267</v>
      </c>
      <c r="E1491" s="2" t="n">
        <f aca="false">Schedule!Q95</f>
        <v>0.0130406190735396</v>
      </c>
      <c r="F1491" s="2" t="n">
        <f aca="false">Schedule!V95</f>
        <v>0.999312862062084</v>
      </c>
      <c r="G1491" s="2" t="n">
        <f aca="false">Schedule!AA95</f>
        <v>0.706693239916112</v>
      </c>
      <c r="H1491" s="2" t="n">
        <f aca="false">Schedule!AF95</f>
        <v>0.814272166652096</v>
      </c>
      <c r="I1491" s="2" t="n">
        <f aca="false">Schedule!AK95</f>
        <v>0.844350476653232</v>
      </c>
      <c r="J1491" s="2" t="n">
        <f aca="false">Schedule!AP95</f>
        <v>0.693659420714973</v>
      </c>
      <c r="K1491" s="2" t="n">
        <f aca="false">Schedule!AU95</f>
        <v>0.851699464935375</v>
      </c>
      <c r="L1491" s="2" t="n">
        <f aca="false">Schedule!AZ95</f>
        <v>0.574365688155897</v>
      </c>
      <c r="M1491" s="2" t="n">
        <f aca="false">Schedule!BE95</f>
        <v>0.389259328607937</v>
      </c>
      <c r="N1491" s="2" t="n">
        <f aca="false">Schedule!BJ95</f>
        <v>0.693659420714973</v>
      </c>
      <c r="O1491" s="2" t="n">
        <f aca="false">Schedule!BO95</f>
        <v>0</v>
      </c>
    </row>
    <row r="1492" customFormat="false" ht="15" hidden="false" customHeight="false" outlineLevel="0" collapsed="false">
      <c r="B1492" s="2" t="n">
        <v>0</v>
      </c>
      <c r="C1492" s="2" t="n">
        <f aca="false">1-C$1491</f>
        <v>0.452736711249588</v>
      </c>
      <c r="D1492" s="2" t="n">
        <f aca="false">C1492*(1-D$1491)</f>
        <v>0.447379358033035</v>
      </c>
      <c r="E1492" s="2" t="n">
        <f aca="false">D1492*(1-E$1491)</f>
        <v>0.441545254243562</v>
      </c>
      <c r="F1492" s="2" t="n">
        <f aca="false">E1492*(1-F$1491)</f>
        <v>0.000303402495497455</v>
      </c>
      <c r="G1492" s="2" t="n">
        <f aca="false">F1492*(1-G$1491)</f>
        <v>8.89900029557249E-005</v>
      </c>
      <c r="H1492" s="2" t="n">
        <f aca="false">G1492*(1-H$1491)</f>
        <v>1.65279204385904E-005</v>
      </c>
      <c r="I1492" s="2" t="n">
        <f aca="false">H1492*(1-I$1491)</f>
        <v>2.5725629381799E-006</v>
      </c>
      <c r="J1492" s="2" t="n">
        <f aca="false">I1492*(1-J$1491)</f>
        <v>7.88080420729222E-007</v>
      </c>
      <c r="K1492" s="2" t="n">
        <f aca="false">J1492*(1-K$1491)</f>
        <v>1.16872748068098E-007</v>
      </c>
      <c r="L1492" s="2" t="n">
        <f aca="false">K1492*(1-L$1491)</f>
        <v>4.97450516972942E-008</v>
      </c>
      <c r="M1492" s="2" t="n">
        <f aca="false">L1492*(1-M$1491)</f>
        <v>3.03813262720383E-008</v>
      </c>
      <c r="N1492" s="2" t="n">
        <f aca="false">M1492*(1-N$1491)</f>
        <v>9.30703308962363E-009</v>
      </c>
      <c r="O1492" s="2" t="n">
        <f aca="false">N1492*(1-O$1491)</f>
        <v>9.30703308962363E-009</v>
      </c>
    </row>
    <row r="1493" customFormat="false" ht="15" hidden="false" customHeight="false" outlineLevel="0" collapsed="false">
      <c r="B1493" s="2" t="n">
        <v>1</v>
      </c>
      <c r="C1493" s="2" t="n">
        <f aca="false">C$1491</f>
        <v>0.547263288750412</v>
      </c>
      <c r="D1493" s="2" t="n">
        <f aca="false">C1493*(1-D$1491)+C1492*D$1491</f>
        <v>0.546144730764191</v>
      </c>
      <c r="E1493" s="2" t="n">
        <f aca="false">D1493*(1-E$1491)+D1492*E$1491</f>
        <v>0.544856769160748</v>
      </c>
      <c r="F1493" s="2" t="n">
        <f aca="false">E1493*(1-F$1491)+E1492*F$1491</f>
        <v>0.441616243504885</v>
      </c>
      <c r="G1493" s="2" t="n">
        <f aca="false">F1493*(1-G$1491)+F1492*G$1491</f>
        <v>0.129743442075377</v>
      </c>
      <c r="H1493" s="2" t="n">
        <f aca="false">G1493*(1-H$1491)+G1492*H$1491</f>
        <v>0.0241694304702761</v>
      </c>
      <c r="I1493" s="2" t="n">
        <f aca="false">H1493*(1-I$1491)+H1492*I$1491</f>
        <v>0.00377591568976175</v>
      </c>
      <c r="J1493" s="2" t="n">
        <f aca="false">I1493*(1-J$1491)+I1492*J$1491</f>
        <v>0.00115850068225049</v>
      </c>
      <c r="K1493" s="2" t="n">
        <f aca="false">J1493*(1-K$1491)+J1492*K$1491</f>
        <v>0.000172477478723141</v>
      </c>
      <c r="L1493" s="2" t="n">
        <f aca="false">K1493*(1-L$1491)+K1492*L$1491</f>
        <v>7.3479460661301E-005</v>
      </c>
      <c r="M1493" s="2" t="n">
        <f aca="false">L1493*(1-M$1491)+L1492*M$1491</f>
        <v>4.48962588632349E-005</v>
      </c>
      <c r="N1493" s="2" t="n">
        <f aca="false">M1493*(1-N$1491)+M1492*N$1491</f>
        <v>1.37746202410763E-005</v>
      </c>
      <c r="O1493" s="2" t="n">
        <f aca="false">N1493*(1-O$1491)+N1492*O$1491</f>
        <v>1.37746202410763E-005</v>
      </c>
    </row>
    <row r="1494" customFormat="false" ht="15" hidden="false" customHeight="false" outlineLevel="0" collapsed="false">
      <c r="B1494" s="2" t="n">
        <v>2</v>
      </c>
      <c r="C1494" s="2" t="n">
        <f aca="false">0</f>
        <v>0</v>
      </c>
      <c r="D1494" s="2" t="n">
        <f aca="false">C1494*(1-D$1491)+C1493*D$1491</f>
        <v>0.00647591120277398</v>
      </c>
      <c r="E1494" s="2" t="n">
        <f aca="false">D1494*(1-E$1491)+D1493*E$1491</f>
        <v>0.0135135267045412</v>
      </c>
      <c r="F1494" s="2" t="n">
        <f aca="false">E1494*(1-F$1491)+E1493*F$1491</f>
        <v>0.544491663060801</v>
      </c>
      <c r="G1494" s="2" t="n">
        <f aca="false">F1494*(1-G$1491)+F1493*G$1491</f>
        <v>0.471790299507101</v>
      </c>
      <c r="H1494" s="2" t="n">
        <f aca="false">G1494*(1-H$1491)+G1493*H$1491</f>
        <v>0.19327106380963</v>
      </c>
      <c r="I1494" s="2" t="n">
        <f aca="false">H1494*(1-I$1491)+H1493*I$1491</f>
        <v>0.0504900190967066</v>
      </c>
      <c r="J1494" s="2" t="n">
        <f aca="false">I1494*(1-J$1491)+I1493*J$1491</f>
        <v>0.0180863411882259</v>
      </c>
      <c r="K1494" s="2" t="n">
        <f aca="false">J1494*(1-K$1491)+J1493*K$1491</f>
        <v>0.00366890848677527</v>
      </c>
      <c r="L1494" s="2" t="n">
        <f aca="false">K1494*(1-L$1491)+K1493*L$1491</f>
        <v>0.00166067848474579</v>
      </c>
      <c r="M1494" s="2" t="n">
        <f aca="false">L1494*(1-M$1491)+L1493*M$1491</f>
        <v>0.00104284645826349</v>
      </c>
      <c r="N1494" s="2" t="n">
        <f aca="false">M1494*(1-N$1491)+M1493*N$1491</f>
        <v>0.000350608901045117</v>
      </c>
      <c r="O1494" s="2" t="n">
        <f aca="false">N1494*(1-O$1491)+N1493*O$1491</f>
        <v>0.000350608901045117</v>
      </c>
    </row>
    <row r="1495" customFormat="false" ht="15" hidden="false" customHeight="false" outlineLevel="0" collapsed="false">
      <c r="B1495" s="2" t="n">
        <v>3</v>
      </c>
      <c r="C1495" s="2" t="n">
        <f aca="false">0</f>
        <v>0</v>
      </c>
      <c r="D1495" s="2" t="n">
        <f aca="false">C1495*(1-D$1491)+C1494*D$1491</f>
        <v>0</v>
      </c>
      <c r="E1495" s="2" t="n">
        <f aca="false">D1495*(1-E$1491)+D1494*E$1491</f>
        <v>8.44498911494433E-005</v>
      </c>
      <c r="F1495" s="2" t="n">
        <f aca="false">E1495*(1-F$1491)+E1494*F$1491</f>
        <v>0.0135042990763915</v>
      </c>
      <c r="G1495" s="2" t="n">
        <f aca="false">F1495*(1-G$1491)+F1494*G$1491</f>
        <v>0.38874947968505</v>
      </c>
      <c r="H1495" s="2" t="n">
        <f aca="false">G1495*(1-H$1491)+G1494*H$1491</f>
        <v>0.456367307962118</v>
      </c>
      <c r="I1495" s="2" t="n">
        <f aca="false">H1495*(1-I$1491)+H1494*I$1491</f>
        <v>0.23422186880629</v>
      </c>
      <c r="J1495" s="2" t="n">
        <f aca="false">I1495*(1-J$1491)+I1494*J$1491</f>
        <v>0.10677454036985</v>
      </c>
      <c r="K1495" s="2" t="n">
        <f aca="false">J1495*(1-K$1491)+J1494*K$1491</f>
        <v>0.0312388485807788</v>
      </c>
      <c r="L1495" s="2" t="n">
        <f aca="false">K1495*(1-L$1491)+K1494*L$1491</f>
        <v>0.0154036209662696</v>
      </c>
      <c r="M1495" s="2" t="n">
        <f aca="false">L1495*(1-M$1491)+L1494*M$1491</f>
        <v>0.0100540524028141</v>
      </c>
      <c r="N1495" s="2" t="n">
        <f aca="false">M1495*(1-N$1491)+M1494*N$1491</f>
        <v>0.00380334450737381</v>
      </c>
      <c r="O1495" s="2" t="n">
        <f aca="false">N1495*(1-O$1491)+N1494*O$1491</f>
        <v>0.00380334450737381</v>
      </c>
    </row>
    <row r="1496" customFormat="false" ht="15" hidden="false" customHeight="false" outlineLevel="0" collapsed="false">
      <c r="B1496" s="2" t="n">
        <v>4</v>
      </c>
      <c r="C1496" s="2" t="n">
        <f aca="false">0</f>
        <v>0</v>
      </c>
      <c r="D1496" s="2" t="n">
        <f aca="false">C1496*(1-D$1491)+C1495*D$1491</f>
        <v>0</v>
      </c>
      <c r="E1496" s="2" t="n">
        <f aca="false">D1496*(1-E$1491)+D1495*E$1491</f>
        <v>0</v>
      </c>
      <c r="F1496" s="2" t="n">
        <f aca="false">E1496*(1-F$1491)+E1495*F$1491</f>
        <v>8.43918624253817E-005</v>
      </c>
      <c r="G1496" s="2" t="n">
        <f aca="false">F1496*(1-G$1491)+F1495*G$1491</f>
        <v>0.00956814957083673</v>
      </c>
      <c r="H1496" s="2" t="n">
        <f aca="false">G1496*(1-H$1491)+G1495*H$1491</f>
        <v>0.318324952796961</v>
      </c>
      <c r="I1496" s="2" t="n">
        <f aca="false">H1496*(1-I$1491)+H1495*I$1491</f>
        <v>0.434881081178996</v>
      </c>
      <c r="J1496" s="2" t="n">
        <f aca="false">I1496*(1-J$1491)+I1495*J$1491</f>
        <v>0.295691928163422</v>
      </c>
      <c r="K1496" s="2" t="n">
        <f aca="false">J1496*(1-K$1491)+J1495*K$1491</f>
        <v>0.134791090062648</v>
      </c>
      <c r="L1496" s="2" t="n">
        <f aca="false">K1496*(1-L$1491)+K1495*L$1491</f>
        <v>0.0753142356238285</v>
      </c>
      <c r="M1496" s="2" t="n">
        <f aca="false">L1496*(1-M$1491)+L1495*M$1491</f>
        <v>0.0519934699857382</v>
      </c>
      <c r="N1496" s="2" t="n">
        <f aca="false">M1496*(1-N$1491)+M1495*N$1491</f>
        <v>0.0229017978800437</v>
      </c>
      <c r="O1496" s="2" t="n">
        <f aca="false">N1496*(1-O$1491)+N1495*O$1491</f>
        <v>0.0229017978800437</v>
      </c>
    </row>
    <row r="1497" customFormat="false" ht="15" hidden="false" customHeight="false" outlineLevel="0" collapsed="false">
      <c r="B1497" s="2" t="n">
        <v>5</v>
      </c>
      <c r="C1497" s="2" t="n">
        <f aca="false">0</f>
        <v>0</v>
      </c>
      <c r="D1497" s="2" t="n">
        <f aca="false">C1497*(1-D$1491)+C1496*D$1491</f>
        <v>0</v>
      </c>
      <c r="E1497" s="2" t="n">
        <f aca="false">D1497*(1-E$1491)+D1496*E$1491</f>
        <v>0</v>
      </c>
      <c r="F1497" s="2" t="n">
        <f aca="false">E1497*(1-F$1491)+E1496*F$1491</f>
        <v>0</v>
      </c>
      <c r="G1497" s="2" t="n">
        <f aca="false">F1497*(1-G$1491)+F1496*G$1491</f>
        <v>5.96391586799478E-005</v>
      </c>
      <c r="H1497" s="2" t="n">
        <f aca="false">G1497*(1-H$1491)+G1496*H$1491</f>
        <v>0.00780215453362087</v>
      </c>
      <c r="I1497" s="2" t="n">
        <f aca="false">H1497*(1-I$1491)+H1496*I$1491</f>
        <v>0.269992227258967</v>
      </c>
      <c r="J1497" s="2" t="n">
        <f aca="false">I1497*(1-J$1491)+I1496*J$1491</f>
        <v>0.38436893415149</v>
      </c>
      <c r="K1497" s="2" t="n">
        <f aca="false">J1497*(1-K$1491)+J1496*K$1491</f>
        <v>0.308842775599381</v>
      </c>
      <c r="L1497" s="2" t="n">
        <f aca="false">K1497*(1-L$1491)+K1496*L$1491</f>
        <v>0.208873459461382</v>
      </c>
      <c r="M1497" s="2" t="n">
        <f aca="false">L1497*(1-M$1491)+L1496*M$1491</f>
        <v>0.156884285660978</v>
      </c>
      <c r="N1497" s="2" t="n">
        <f aca="false">M1497*(1-N$1491)+M1496*N$1491</f>
        <v>0.0841257832213703</v>
      </c>
      <c r="O1497" s="2" t="n">
        <f aca="false">N1497*(1-O$1491)+N1496*O$1491</f>
        <v>0.0841257832213703</v>
      </c>
    </row>
    <row r="1498" customFormat="false" ht="15" hidden="false" customHeight="false" outlineLevel="0" collapsed="false">
      <c r="B1498" s="2" t="n">
        <v>6</v>
      </c>
      <c r="C1498" s="2" t="n">
        <f aca="false">0</f>
        <v>0</v>
      </c>
      <c r="D1498" s="2" t="n">
        <f aca="false">C1498*(1-D$1491)+C1497*D$1491</f>
        <v>0</v>
      </c>
      <c r="E1498" s="2" t="n">
        <f aca="false">D1498*(1-E$1491)+D1497*E$1491</f>
        <v>0</v>
      </c>
      <c r="F1498" s="2" t="n">
        <f aca="false">E1498*(1-F$1491)+E1497*F$1491</f>
        <v>0</v>
      </c>
      <c r="G1498" s="2" t="n">
        <f aca="false">F1498*(1-G$1491)+F1497*G$1491</f>
        <v>0</v>
      </c>
      <c r="H1498" s="2" t="n">
        <f aca="false">G1498*(1-H$1491)+G1497*H$1491</f>
        <v>4.85625069556292E-005</v>
      </c>
      <c r="I1498" s="2" t="n">
        <f aca="false">H1498*(1-I$1491)+H1497*I$1491</f>
        <v>0.00659531163044512</v>
      </c>
      <c r="J1498" s="2" t="n">
        <f aca="false">I1498*(1-J$1491)+I1497*J$1491</f>
        <v>0.189303063543436</v>
      </c>
      <c r="K1498" s="2" t="n">
        <f aca="false">J1498*(1-K$1491)+J1497*K$1491</f>
        <v>0.355440561167469</v>
      </c>
      <c r="L1498" s="2" t="n">
        <f aca="false">K1498*(1-L$1491)+K1497*L$1491</f>
        <v>0.328676391993113</v>
      </c>
      <c r="M1498" s="2" t="n">
        <f aca="false">L1498*(1-M$1491)+L1497*M$1491</f>
        <v>0.282041982910549</v>
      </c>
      <c r="N1498" s="2" t="n">
        <f aca="false">M1498*(1-N$1491)+M1497*N$1491</f>
        <v>0.195225167138392</v>
      </c>
      <c r="O1498" s="2" t="n">
        <f aca="false">N1498*(1-O$1491)+N1497*O$1491</f>
        <v>0.195225167138392</v>
      </c>
    </row>
    <row r="1499" customFormat="false" ht="15" hidden="false" customHeight="false" outlineLevel="0" collapsed="false">
      <c r="B1499" s="2" t="n">
        <v>7</v>
      </c>
      <c r="C1499" s="2" t="n">
        <f aca="false">0</f>
        <v>0</v>
      </c>
      <c r="D1499" s="2" t="n">
        <f aca="false">C1499*(1-D$1491)+C1498*D$1491</f>
        <v>0</v>
      </c>
      <c r="E1499" s="2" t="n">
        <f aca="false">D1499*(1-E$1491)+D1498*E$1491</f>
        <v>0</v>
      </c>
      <c r="F1499" s="2" t="n">
        <f aca="false">E1499*(1-F$1491)+E1498*F$1491</f>
        <v>0</v>
      </c>
      <c r="G1499" s="2" t="n">
        <f aca="false">F1499*(1-G$1491)+F1498*G$1491</f>
        <v>0</v>
      </c>
      <c r="H1499" s="2" t="n">
        <f aca="false">G1499*(1-H$1491)+G1498*H$1491</f>
        <v>0</v>
      </c>
      <c r="I1499" s="2" t="n">
        <f aca="false">H1499*(1-I$1491)+H1498*I$1491</f>
        <v>4.10037758954614E-005</v>
      </c>
      <c r="J1499" s="2" t="n">
        <f aca="false">I1499*(1-J$1491)+I1498*J$1491</f>
        <v>0.00458746116546998</v>
      </c>
      <c r="K1499" s="2" t="n">
        <f aca="false">J1499*(1-K$1491)+J1498*K$1491</f>
        <v>0.161909640875999</v>
      </c>
      <c r="L1499" s="2" t="n">
        <f aca="false">K1499*(1-L$1491)+K1498*L$1491</f>
        <v>0.273067161088653</v>
      </c>
      <c r="M1499" s="2" t="n">
        <f aca="false">L1499*(1-M$1491)+L1498*M$1491</f>
        <v>0.294713572974927</v>
      </c>
      <c r="N1499" s="2" t="n">
        <f aca="false">M1499*(1-N$1491)+M1498*N$1491</f>
        <v>0.285923805151333</v>
      </c>
      <c r="O1499" s="2" t="n">
        <f aca="false">N1499*(1-O$1491)+N1498*O$1491</f>
        <v>0.285923805151333</v>
      </c>
    </row>
    <row r="1500" customFormat="false" ht="15" hidden="false" customHeight="false" outlineLevel="0" collapsed="false">
      <c r="B1500" s="2" t="n">
        <v>8</v>
      </c>
      <c r="C1500" s="2" t="n">
        <f aca="false">0</f>
        <v>0</v>
      </c>
      <c r="D1500" s="2" t="n">
        <f aca="false">C1500*(1-D$1491)+C1499*D$1491</f>
        <v>0</v>
      </c>
      <c r="E1500" s="2" t="n">
        <f aca="false">D1500*(1-E$1491)+D1499*E$1491</f>
        <v>0</v>
      </c>
      <c r="F1500" s="2" t="n">
        <f aca="false">E1500*(1-F$1491)+E1499*F$1491</f>
        <v>0</v>
      </c>
      <c r="G1500" s="2" t="n">
        <f aca="false">F1500*(1-G$1491)+F1499*G$1491</f>
        <v>0</v>
      </c>
      <c r="H1500" s="2" t="n">
        <f aca="false">G1500*(1-H$1491)+G1499*H$1491</f>
        <v>0</v>
      </c>
      <c r="I1500" s="2" t="n">
        <f aca="false">H1500*(1-I$1491)+H1499*I$1491</f>
        <v>0</v>
      </c>
      <c r="J1500" s="2" t="n">
        <f aca="false">I1500*(1-J$1491)+I1499*J$1491</f>
        <v>2.84426554347724E-005</v>
      </c>
      <c r="K1500" s="2" t="n">
        <f aca="false">J1500*(1-K$1491)+J1499*K$1491</f>
        <v>0.00391135628106223</v>
      </c>
      <c r="L1500" s="2" t="n">
        <f aca="false">K1500*(1-L$1491)+K1499*L$1491</f>
        <v>0.0946601497398846</v>
      </c>
      <c r="M1500" s="2" t="n">
        <f aca="false">L1500*(1-M$1491)+L1499*M$1491</f>
        <v>0.164106743196455</v>
      </c>
      <c r="N1500" s="2" t="n">
        <f aca="false">M1500*(1-N$1491)+M1499*N$1491</f>
        <v>0.254703401082009</v>
      </c>
      <c r="O1500" s="2" t="n">
        <f aca="false">N1500*(1-O$1491)+N1499*O$1491</f>
        <v>0.254703401082009</v>
      </c>
    </row>
    <row r="1501" customFormat="false" ht="15" hidden="false" customHeight="false" outlineLevel="0" collapsed="false">
      <c r="B1501" s="2" t="n">
        <v>9</v>
      </c>
      <c r="C1501" s="2" t="n">
        <f aca="false">0</f>
        <v>0</v>
      </c>
      <c r="D1501" s="2" t="n">
        <f aca="false">C1501*(1-D$1491)+C1500*D$1491</f>
        <v>0</v>
      </c>
      <c r="E1501" s="2" t="n">
        <f aca="false">D1501*(1-E$1491)+D1500*E$1491</f>
        <v>0</v>
      </c>
      <c r="F1501" s="2" t="n">
        <f aca="false">E1501*(1-F$1491)+E1500*F$1491</f>
        <v>0</v>
      </c>
      <c r="G1501" s="2" t="n">
        <f aca="false">F1501*(1-G$1491)+F1500*G$1491</f>
        <v>0</v>
      </c>
      <c r="H1501" s="2" t="n">
        <f aca="false">G1501*(1-H$1491)+G1500*H$1491</f>
        <v>0</v>
      </c>
      <c r="I1501" s="2" t="n">
        <f aca="false">H1501*(1-I$1491)+H1500*I$1491</f>
        <v>0</v>
      </c>
      <c r="J1501" s="2" t="n">
        <f aca="false">I1501*(1-J$1491)+I1500*J$1491</f>
        <v>0</v>
      </c>
      <c r="K1501" s="2" t="n">
        <f aca="false">J1501*(1-K$1491)+J1500*K$1491</f>
        <v>2.42245944151369E-005</v>
      </c>
      <c r="L1501" s="2" t="n">
        <f aca="false">K1501*(1-L$1491)+K1500*L$1491</f>
        <v>0.00225685966056879</v>
      </c>
      <c r="M1501" s="2" t="n">
        <f aca="false">L1501*(1-M$1491)+L1500*M$1491</f>
        <v>0.0382257023180077</v>
      </c>
      <c r="N1501" s="2" t="n">
        <f aca="false">M1501*(1-N$1491)+M1500*N$1491</f>
        <v>0.125544272212749</v>
      </c>
      <c r="O1501" s="2" t="n">
        <f aca="false">N1501*(1-O$1491)+N1500*O$1491</f>
        <v>0.125544272212749</v>
      </c>
    </row>
    <row r="1502" customFormat="false" ht="15" hidden="false" customHeight="false" outlineLevel="0" collapsed="false">
      <c r="B1502" s="2" t="n">
        <v>10</v>
      </c>
      <c r="C1502" s="2" t="n">
        <f aca="false">0</f>
        <v>0</v>
      </c>
      <c r="D1502" s="2" t="n">
        <f aca="false">C1502*(1-D$1491)+C1501*D$1491</f>
        <v>0</v>
      </c>
      <c r="E1502" s="2" t="n">
        <f aca="false">D1502*(1-E$1491)+D1501*E$1491</f>
        <v>0</v>
      </c>
      <c r="F1502" s="2" t="n">
        <f aca="false">E1502*(1-F$1491)+E1501*F$1491</f>
        <v>0</v>
      </c>
      <c r="G1502" s="2" t="n">
        <f aca="false">F1502*(1-G$1491)+F1501*G$1491</f>
        <v>0</v>
      </c>
      <c r="H1502" s="2" t="n">
        <f aca="false">G1502*(1-H$1491)+G1501*H$1491</f>
        <v>0</v>
      </c>
      <c r="I1502" s="2" t="n">
        <f aca="false">H1502*(1-I$1491)+H1501*I$1491</f>
        <v>0</v>
      </c>
      <c r="J1502" s="2" t="n">
        <f aca="false">I1502*(1-J$1491)+I1501*J$1491</f>
        <v>0</v>
      </c>
      <c r="K1502" s="2" t="n">
        <f aca="false">J1502*(1-K$1491)+J1501*K$1491</f>
        <v>0</v>
      </c>
      <c r="L1502" s="2" t="n">
        <f aca="false">K1502*(1-L$1491)+K1501*L$1491</f>
        <v>1.39137758415476E-005</v>
      </c>
      <c r="M1502" s="2" t="n">
        <f aca="false">L1502*(1-M$1491)+L1501*M$1491</f>
        <v>0.000887001385034408</v>
      </c>
      <c r="N1502" s="2" t="n">
        <f aca="false">M1502*(1-N$1491)+M1501*N$1491</f>
        <v>0.0267873430444503</v>
      </c>
      <c r="O1502" s="2" t="n">
        <f aca="false">N1502*(1-O$1491)+N1501*O$1491</f>
        <v>0.0267873430444503</v>
      </c>
    </row>
    <row r="1503" customFormat="false" ht="15" hidden="false" customHeight="false" outlineLevel="0" collapsed="false">
      <c r="B1503" s="2" t="n">
        <v>11</v>
      </c>
      <c r="C1503" s="2" t="n">
        <f aca="false">0</f>
        <v>0</v>
      </c>
      <c r="D1503" s="2" t="n">
        <f aca="false">C1503*(1-D$1491)+C1502*D$1491</f>
        <v>0</v>
      </c>
      <c r="E1503" s="2" t="n">
        <f aca="false">D1503*(1-E$1491)+D1502*E$1491</f>
        <v>0</v>
      </c>
      <c r="F1503" s="2" t="n">
        <f aca="false">E1503*(1-F$1491)+E1502*F$1491</f>
        <v>0</v>
      </c>
      <c r="G1503" s="2" t="n">
        <f aca="false">F1503*(1-G$1491)+F1502*G$1491</f>
        <v>0</v>
      </c>
      <c r="H1503" s="2" t="n">
        <f aca="false">G1503*(1-H$1491)+G1502*H$1491</f>
        <v>0</v>
      </c>
      <c r="I1503" s="2" t="n">
        <f aca="false">H1503*(1-I$1491)+H1502*I$1491</f>
        <v>0</v>
      </c>
      <c r="J1503" s="2" t="n">
        <f aca="false">I1503*(1-J$1491)+I1502*J$1491</f>
        <v>0</v>
      </c>
      <c r="K1503" s="2" t="n">
        <f aca="false">J1503*(1-K$1491)+J1502*K$1491</f>
        <v>0</v>
      </c>
      <c r="L1503" s="2" t="n">
        <f aca="false">K1503*(1-L$1491)+K1502*L$1491</f>
        <v>0</v>
      </c>
      <c r="M1503" s="2" t="n">
        <f aca="false">L1503*(1-M$1491)+L1502*M$1491</f>
        <v>5.41606704248215E-006</v>
      </c>
      <c r="N1503" s="2" t="n">
        <f aca="false">M1503*(1-N$1491)+M1502*N$1491</f>
        <v>0.000616936028031587</v>
      </c>
      <c r="O1503" s="2" t="n">
        <f aca="false">N1503*(1-O$1491)+N1502*O$1491</f>
        <v>0.000616936028031587</v>
      </c>
    </row>
    <row r="1504" customFormat="false" ht="15" hidden="false" customHeight="false" outlineLevel="0" collapsed="false">
      <c r="B1504" s="2" t="n">
        <v>12</v>
      </c>
      <c r="C1504" s="2" t="n">
        <f aca="false">0</f>
        <v>0</v>
      </c>
      <c r="D1504" s="2" t="n">
        <f aca="false">C1504*(1-D$1491)+C1503*D$1491</f>
        <v>0</v>
      </c>
      <c r="E1504" s="2" t="n">
        <f aca="false">D1504*(1-E$1491)+D1503*E$1491</f>
        <v>0</v>
      </c>
      <c r="F1504" s="2" t="n">
        <f aca="false">E1504*(1-F$1491)+E1503*F$1491</f>
        <v>0</v>
      </c>
      <c r="G1504" s="2" t="n">
        <f aca="false">F1504*(1-G$1491)+F1503*G$1491</f>
        <v>0</v>
      </c>
      <c r="H1504" s="2" t="n">
        <f aca="false">G1504*(1-H$1491)+G1503*H$1491</f>
        <v>0</v>
      </c>
      <c r="I1504" s="2" t="n">
        <f aca="false">H1504*(1-I$1491)+H1503*I$1491</f>
        <v>0</v>
      </c>
      <c r="J1504" s="2" t="n">
        <f aca="false">I1504*(1-J$1491)+I1503*J$1491</f>
        <v>0</v>
      </c>
      <c r="K1504" s="2" t="n">
        <f aca="false">J1504*(1-K$1491)+J1503*K$1491</f>
        <v>0</v>
      </c>
      <c r="L1504" s="2" t="n">
        <f aca="false">K1504*(1-L$1491)+K1503*L$1491</f>
        <v>0</v>
      </c>
      <c r="M1504" s="2" t="n">
        <f aca="false">L1504*(1-M$1491)+L1503*M$1491</f>
        <v>0</v>
      </c>
      <c r="N1504" s="2" t="n">
        <f aca="false">M1504*(1-N$1491)+M1503*N$1491</f>
        <v>3.75690592724163E-006</v>
      </c>
      <c r="O1504" s="2" t="n">
        <f aca="false">N1504*(1-O$1491)+N1503*O$1491</f>
        <v>3.75690592724163E-006</v>
      </c>
    </row>
    <row r="1505" customFormat="false" ht="15" hidden="false" customHeight="false" outlineLevel="0" collapsed="false">
      <c r="B1505" s="2" t="n">
        <v>13</v>
      </c>
      <c r="C1505" s="2" t="n">
        <f aca="false">0</f>
        <v>0</v>
      </c>
      <c r="D1505" s="2" t="n">
        <f aca="false">C1505*(1-D$1491)+C1504*D$1491</f>
        <v>0</v>
      </c>
      <c r="E1505" s="2" t="n">
        <f aca="false">D1505*(1-E$1491)+D1504*E$1491</f>
        <v>0</v>
      </c>
      <c r="F1505" s="2" t="n">
        <f aca="false">E1505*(1-F$1491)+E1504*F$1491</f>
        <v>0</v>
      </c>
      <c r="G1505" s="2" t="n">
        <f aca="false">F1505*(1-G$1491)+F1504*G$1491</f>
        <v>0</v>
      </c>
      <c r="H1505" s="2" t="n">
        <f aca="false">G1505*(1-H$1491)+G1504*H$1491</f>
        <v>0</v>
      </c>
      <c r="I1505" s="2" t="n">
        <f aca="false">H1505*(1-I$1491)+H1504*I$1491</f>
        <v>0</v>
      </c>
      <c r="J1505" s="2" t="n">
        <f aca="false">I1505*(1-J$1491)+I1504*J$1491</f>
        <v>0</v>
      </c>
      <c r="K1505" s="2" t="n">
        <f aca="false">J1505*(1-K$1491)+J1504*K$1491</f>
        <v>0</v>
      </c>
      <c r="L1505" s="2" t="n">
        <f aca="false">K1505*(1-L$1491)+K1504*L$1491</f>
        <v>0</v>
      </c>
      <c r="M1505" s="2" t="n">
        <f aca="false">L1505*(1-M$1491)+L1504*M$1491</f>
        <v>0</v>
      </c>
      <c r="N1505" s="2" t="n">
        <f aca="false">M1505*(1-N$1491)+M1504*N$1491</f>
        <v>0</v>
      </c>
      <c r="O1505" s="2" t="n">
        <f aca="false">N1505*(1-O$1491)+N1504*O$1491</f>
        <v>0</v>
      </c>
    </row>
    <row r="1507" customFormat="false" ht="15" hidden="false" customHeight="false" outlineLevel="0" collapsed="false">
      <c r="A1507" s="1" t="s">
        <v>152</v>
      </c>
      <c r="C1507" s="2" t="n">
        <f aca="false">Schedule!G96</f>
        <v>0.297622774366408</v>
      </c>
      <c r="D1507" s="2" t="n">
        <f aca="false">Schedule!L96</f>
        <v>0.958296407485094</v>
      </c>
      <c r="E1507" s="2" t="n">
        <f aca="false">Schedule!Q96</f>
        <v>0.537346124555327</v>
      </c>
      <c r="F1507" s="2" t="n">
        <f aca="false">Schedule!V96</f>
        <v>0.634482847309957</v>
      </c>
      <c r="G1507" s="2" t="n">
        <f aca="false">Schedule!AA96</f>
        <v>0.907414424343205</v>
      </c>
      <c r="H1507" s="2" t="n">
        <f aca="false">Schedule!AF96</f>
        <v>0.564543935862038</v>
      </c>
      <c r="I1507" s="2" t="n">
        <f aca="false">Schedule!AK96</f>
        <v>0.717354351502799</v>
      </c>
      <c r="J1507" s="2" t="n">
        <f aca="false">Schedule!AP96</f>
        <v>0.69584943984712</v>
      </c>
      <c r="K1507" s="2" t="n">
        <f aca="false">Schedule!AU96</f>
        <v>0.902124105765672</v>
      </c>
      <c r="L1507" s="2" t="n">
        <f aca="false">Schedule!AZ96</f>
        <v>0.425634311844103</v>
      </c>
      <c r="M1507" s="2" t="n">
        <f aca="false">Schedule!BE96</f>
        <v>0.805793783456004</v>
      </c>
      <c r="N1507" s="2" t="n">
        <f aca="false">Schedule!BJ96</f>
        <v>0.564543935862038</v>
      </c>
      <c r="O1507" s="2" t="n">
        <f aca="false">Schedule!BO96</f>
        <v>0</v>
      </c>
    </row>
    <row r="1508" customFormat="false" ht="15" hidden="false" customHeight="false" outlineLevel="0" collapsed="false">
      <c r="B1508" s="2" t="n">
        <v>0</v>
      </c>
      <c r="C1508" s="2" t="n">
        <f aca="false">1-C$1507</f>
        <v>0.702377225633592</v>
      </c>
      <c r="D1508" s="2" t="n">
        <f aca="false">C1508*(1-D$1507)</f>
        <v>0.0292916536095738</v>
      </c>
      <c r="E1508" s="2" t="n">
        <f aca="false">D1508*(1-E$1507)</f>
        <v>0.0135518970606523</v>
      </c>
      <c r="F1508" s="2" t="n">
        <f aca="false">E1508*(1-F$1507)</f>
        <v>0.00495345082715818</v>
      </c>
      <c r="G1508" s="2" t="n">
        <f aca="false">F1508*(1-G$1507)</f>
        <v>0.000458618096320067</v>
      </c>
      <c r="H1508" s="2" t="n">
        <f aca="false">G1508*(1-H$1507)</f>
        <v>0.000199708031165981</v>
      </c>
      <c r="I1508" s="2" t="n">
        <f aca="false">H1508*(1-I$1507)</f>
        <v>5.64466059790078E-005</v>
      </c>
      <c r="J1508" s="2" t="n">
        <f aca="false">I1508*(1-J$1507)</f>
        <v>1.71682668272441E-005</v>
      </c>
      <c r="K1508" s="2" t="n">
        <f aca="false">J1508*(1-K$1507)</f>
        <v>1.68035946817006E-006</v>
      </c>
      <c r="L1508" s="2" t="n">
        <f aca="false">K1508*(1-L$1507)</f>
        <v>9.65140822284775E-007</v>
      </c>
      <c r="M1508" s="2" t="n">
        <f aca="false">L1508*(1-M$1507)</f>
        <v>1.87436347528087E-007</v>
      </c>
      <c r="N1508" s="2" t="n">
        <f aca="false">M1508*(1-N$1507)</f>
        <v>8.1620294170976E-008</v>
      </c>
      <c r="O1508" s="2" t="n">
        <f aca="false">N1508*(1-O$1507)</f>
        <v>8.1620294170976E-008</v>
      </c>
    </row>
    <row r="1509" customFormat="false" ht="15" hidden="false" customHeight="false" outlineLevel="0" collapsed="false">
      <c r="B1509" s="2" t="n">
        <v>1</v>
      </c>
      <c r="C1509" s="2" t="n">
        <f aca="false">C$1507</f>
        <v>0.297622774366408</v>
      </c>
      <c r="D1509" s="2" t="n">
        <f aca="false">C1509*(1-D$1507)+C1508*D$1507</f>
        <v>0.685497510929351</v>
      </c>
      <c r="E1509" s="2" t="n">
        <f aca="false">D1509*(1-E$1507)+D1508*E$1507</f>
        <v>0.332887836588063</v>
      </c>
      <c r="F1509" s="2" t="n">
        <f aca="false">E1509*(1-F$1507)+E1508*F$1507</f>
        <v>0.130274660428311</v>
      </c>
      <c r="G1509" s="2" t="n">
        <f aca="false">F1509*(1-G$1507)+F1508*G$1507</f>
        <v>0.0165563871600868</v>
      </c>
      <c r="H1509" s="2" t="n">
        <f aca="false">G1509*(1-H$1507)+G1508*H$1507</f>
        <v>0.00746848925422976</v>
      </c>
      <c r="I1509" s="2" t="n">
        <f aca="false">H1509*(1-I$1507)+H1508*I$1507</f>
        <v>0.00225419741374312</v>
      </c>
      <c r="J1509" s="2" t="n">
        <f aca="false">I1509*(1-J$1507)+I1508*J$1507</f>
        <v>0.000724893745236906</v>
      </c>
      <c r="K1509" s="2" t="n">
        <f aca="false">J1509*(1-K$1507)+J1508*K$1507</f>
        <v>8.64375308990071E-005</v>
      </c>
      <c r="L1509" s="2" t="n">
        <f aca="false">K1509*(1-L$1507)+K1508*L$1507</f>
        <v>5.03619705631901E-005</v>
      </c>
      <c r="M1509" s="2" t="n">
        <f aca="false">L1509*(1-M$1507)+L1508*M$1507</f>
        <v>1.05583122355339E-005</v>
      </c>
      <c r="N1509" s="2" t="n">
        <f aca="false">M1509*(1-N$1507)+M1508*N$1507</f>
        <v>4.7034971433824E-006</v>
      </c>
      <c r="O1509" s="2" t="n">
        <f aca="false">N1509*(1-O$1507)+N1508*O$1507</f>
        <v>4.7034971433824E-006</v>
      </c>
    </row>
    <row r="1510" customFormat="false" ht="15" hidden="false" customHeight="false" outlineLevel="0" collapsed="false">
      <c r="B1510" s="2" t="n">
        <v>2</v>
      </c>
      <c r="C1510" s="2" t="n">
        <f aca="false">0</f>
        <v>0</v>
      </c>
      <c r="D1510" s="2" t="n">
        <f aca="false">C1510*(1-D$1507)+C1509*D$1507</f>
        <v>0.285210835461075</v>
      </c>
      <c r="E1510" s="2" t="n">
        <f aca="false">D1510*(1-E$1507)+D1509*E$1507</f>
        <v>0.500303329235089</v>
      </c>
      <c r="F1510" s="2" t="n">
        <f aca="false">E1510*(1-F$1507)+E1509*F$1507</f>
        <v>0.394081070776605</v>
      </c>
      <c r="G1510" s="2" t="n">
        <f aca="false">F1510*(1-G$1507)+F1509*G$1507</f>
        <v>0.154699328792361</v>
      </c>
      <c r="H1510" s="2" t="n">
        <f aca="false">G1510*(1-H$1507)+G1509*H$1507</f>
        <v>0.0767115688117169</v>
      </c>
      <c r="I1510" s="2" t="n">
        <f aca="false">H1510*(1-I$1507)+H1509*I$1507</f>
        <v>0.027039744379699</v>
      </c>
      <c r="J1510" s="2" t="n">
        <f aca="false">I1510*(1-J$1507)+I1509*J$1507</f>
        <v>0.0097927354071341</v>
      </c>
      <c r="K1510" s="2" t="n">
        <f aca="false">J1510*(1-K$1507)+J1509*K$1507</f>
        <v>0.00161241685667039</v>
      </c>
      <c r="L1510" s="2" t="n">
        <f aca="false">K1510*(1-L$1507)+K1509*L$1507</f>
        <v>0.000962907696457357</v>
      </c>
      <c r="M1510" s="2" t="n">
        <f aca="false">L1510*(1-M$1507)+L1509*M$1507</f>
        <v>0.00022758402341249</v>
      </c>
      <c r="N1510" s="2" t="n">
        <f aca="false">M1510*(1-N$1507)+M1509*N$1507</f>
        <v>0.000105063474241393</v>
      </c>
      <c r="O1510" s="2" t="n">
        <f aca="false">N1510*(1-O$1507)+N1509*O$1507</f>
        <v>0.000105063474241393</v>
      </c>
    </row>
    <row r="1511" customFormat="false" ht="15" hidden="false" customHeight="false" outlineLevel="0" collapsed="false">
      <c r="B1511" s="2" t="n">
        <v>3</v>
      </c>
      <c r="C1511" s="2" t="n">
        <f aca="false">0</f>
        <v>0</v>
      </c>
      <c r="D1511" s="2" t="n">
        <f aca="false">C1511*(1-D$1507)+C1510*D$1507</f>
        <v>0</v>
      </c>
      <c r="E1511" s="2" t="n">
        <f aca="false">D1511*(1-E$1507)+D1510*E$1507</f>
        <v>0.153256937116196</v>
      </c>
      <c r="F1511" s="2" t="n">
        <f aca="false">E1511*(1-F$1507)+E1510*F$1507</f>
        <v>0.373451920136439</v>
      </c>
      <c r="G1511" s="2" t="n">
        <f aca="false">F1511*(1-G$1507)+F1510*G$1507</f>
        <v>0.392171108989274</v>
      </c>
      <c r="H1511" s="2" t="n">
        <f aca="false">G1511*(1-H$1507)+G1510*H$1507</f>
        <v>0.258107855540744</v>
      </c>
      <c r="I1511" s="2" t="n">
        <f aca="false">H1511*(1-I$1507)+H1510*I$1507</f>
        <v>0.127982439909227</v>
      </c>
      <c r="J1511" s="2" t="n">
        <f aca="false">I1511*(1-J$1507)+I1510*J$1507</f>
        <v>0.0577415217683464</v>
      </c>
      <c r="K1511" s="2" t="n">
        <f aca="false">J1511*(1-K$1507)+J1510*K$1507</f>
        <v>0.0144857657496885</v>
      </c>
      <c r="L1511" s="2" t="n">
        <f aca="false">K1511*(1-L$1507)+K1510*L$1507</f>
        <v>0.00900642675247969</v>
      </c>
      <c r="M1511" s="2" t="n">
        <f aca="false">L1511*(1-M$1507)+L1510*M$1507</f>
        <v>0.00252500910002699</v>
      </c>
      <c r="N1511" s="2" t="n">
        <f aca="false">M1511*(1-N$1507)+M1510*N$1507</f>
        <v>0.00122801170492689</v>
      </c>
      <c r="O1511" s="2" t="n">
        <f aca="false">N1511*(1-O$1507)+N1510*O$1507</f>
        <v>0.00122801170492689</v>
      </c>
    </row>
    <row r="1512" customFormat="false" ht="15" hidden="false" customHeight="false" outlineLevel="0" collapsed="false">
      <c r="B1512" s="2" t="n">
        <v>4</v>
      </c>
      <c r="C1512" s="2" t="n">
        <f aca="false">0</f>
        <v>0</v>
      </c>
      <c r="D1512" s="2" t="n">
        <f aca="false">C1512*(1-D$1507)+C1511*D$1507</f>
        <v>0</v>
      </c>
      <c r="E1512" s="2" t="n">
        <f aca="false">D1512*(1-E$1507)+D1511*E$1507</f>
        <v>0</v>
      </c>
      <c r="F1512" s="2" t="n">
        <f aca="false">E1512*(1-F$1507)+E1511*F$1507</f>
        <v>0.097238897831487</v>
      </c>
      <c r="G1512" s="2" t="n">
        <f aca="false">F1512*(1-G$1507)+F1511*G$1507</f>
        <v>0.347878578462432</v>
      </c>
      <c r="H1512" s="2" t="n">
        <f aca="false">G1512*(1-H$1507)+G1511*H$1507</f>
        <v>0.372883657975345</v>
      </c>
      <c r="I1512" s="2" t="n">
        <f aca="false">H1512*(1-I$1507)+H1511*I$1507</f>
        <v>0.290548736651658</v>
      </c>
      <c r="J1512" s="2" t="n">
        <f aca="false">I1512*(1-J$1507)+I1511*J$1507</f>
        <v>0.177427070125417</v>
      </c>
      <c r="K1512" s="2" t="n">
        <f aca="false">J1512*(1-K$1507)+J1511*K$1507</f>
        <v>0.0694558518407206</v>
      </c>
      <c r="L1512" s="2" t="n">
        <f aca="false">K1512*(1-L$1507)+K1511*L$1507</f>
        <v>0.046058697075353</v>
      </c>
      <c r="M1512" s="2" t="n">
        <f aca="false">L1512*(1-M$1507)+L1511*M$1507</f>
        <v>0.0162022079862503</v>
      </c>
      <c r="N1512" s="2" t="n">
        <f aca="false">M1512*(1-N$1507)+M1511*N$1507</f>
        <v>0.0084808282954539</v>
      </c>
      <c r="O1512" s="2" t="n">
        <f aca="false">N1512*(1-O$1507)+N1511*O$1507</f>
        <v>0.0084808282954539</v>
      </c>
    </row>
    <row r="1513" customFormat="false" ht="15" hidden="false" customHeight="false" outlineLevel="0" collapsed="false">
      <c r="B1513" s="2" t="n">
        <v>5</v>
      </c>
      <c r="C1513" s="2" t="n">
        <f aca="false">0</f>
        <v>0</v>
      </c>
      <c r="D1513" s="2" t="n">
        <f aca="false">C1513*(1-D$1507)+C1512*D$1507</f>
        <v>0</v>
      </c>
      <c r="E1513" s="2" t="n">
        <f aca="false">D1513*(1-E$1507)+D1512*E$1507</f>
        <v>0</v>
      </c>
      <c r="F1513" s="2" t="n">
        <f aca="false">E1513*(1-F$1507)+E1512*F$1507</f>
        <v>0</v>
      </c>
      <c r="G1513" s="2" t="n">
        <f aca="false">F1513*(1-G$1507)+F1512*G$1507</f>
        <v>0.0882359784995265</v>
      </c>
      <c r="H1513" s="2" t="n">
        <f aca="false">G1513*(1-H$1507)+G1512*H$1507</f>
        <v>0.234815633800038</v>
      </c>
      <c r="I1513" s="2" t="n">
        <f aca="false">H1513*(1-I$1507)+H1512*I$1507</f>
        <v>0.333859331745588</v>
      </c>
      <c r="J1513" s="2" t="n">
        <f aca="false">I1513*(1-J$1507)+I1512*J$1507</f>
        <v>0.303721678410032</v>
      </c>
      <c r="K1513" s="2" t="n">
        <f aca="false">J1513*(1-K$1507)+J1512*K$1507</f>
        <v>0.189788267848247</v>
      </c>
      <c r="L1513" s="2" t="n">
        <f aca="false">K1513*(1-L$1507)+K1512*L$1507</f>
        <v>0.138570662768345</v>
      </c>
      <c r="M1513" s="2" t="n">
        <f aca="false">L1513*(1-M$1507)+L1512*M$1507</f>
        <v>0.064025095917637</v>
      </c>
      <c r="N1513" s="2" t="n">
        <f aca="false">M1513*(1-N$1507)+M1512*N$1507</f>
        <v>0.0370269745405628</v>
      </c>
      <c r="O1513" s="2" t="n">
        <f aca="false">N1513*(1-O$1507)+N1512*O$1507</f>
        <v>0.0370269745405628</v>
      </c>
    </row>
    <row r="1514" customFormat="false" ht="15" hidden="false" customHeight="false" outlineLevel="0" collapsed="false">
      <c r="B1514" s="2" t="n">
        <v>6</v>
      </c>
      <c r="C1514" s="2" t="n">
        <f aca="false">0</f>
        <v>0</v>
      </c>
      <c r="D1514" s="2" t="n">
        <f aca="false">C1514*(1-D$1507)+C1513*D$1507</f>
        <v>0</v>
      </c>
      <c r="E1514" s="2" t="n">
        <f aca="false">D1514*(1-E$1507)+D1513*E$1507</f>
        <v>0</v>
      </c>
      <c r="F1514" s="2" t="n">
        <f aca="false">E1514*(1-F$1507)+E1513*F$1507</f>
        <v>0</v>
      </c>
      <c r="G1514" s="2" t="n">
        <f aca="false">F1514*(1-G$1507)+F1513*G$1507</f>
        <v>0</v>
      </c>
      <c r="H1514" s="2" t="n">
        <f aca="false">G1514*(1-H$1507)+G1513*H$1507</f>
        <v>0.0498130865867609</v>
      </c>
      <c r="I1514" s="2" t="n">
        <f aca="false">H1514*(1-I$1507)+H1513*I$1507</f>
        <v>0.182525468869307</v>
      </c>
      <c r="J1514" s="2" t="n">
        <f aca="false">I1514*(1-J$1507)+I1513*J$1507</f>
        <v>0.287831052581668</v>
      </c>
      <c r="K1514" s="2" t="n">
        <f aca="false">J1514*(1-K$1507)+J1513*K$1507</f>
        <v>0.302166369197137</v>
      </c>
      <c r="L1514" s="2" t="n">
        <f aca="false">K1514*(1-L$1507)+K1513*L$1507</f>
        <v>0.254334393363156</v>
      </c>
      <c r="M1514" s="2" t="n">
        <f aca="false">L1514*(1-M$1507)+L1513*M$1507</f>
        <v>0.161052698900182</v>
      </c>
      <c r="N1514" s="2" t="n">
        <f aca="false">M1514*(1-N$1507)+M1513*N$1507</f>
        <v>0.106276354025157</v>
      </c>
      <c r="O1514" s="2" t="n">
        <f aca="false">N1514*(1-O$1507)+N1513*O$1507</f>
        <v>0.106276354025157</v>
      </c>
    </row>
    <row r="1515" customFormat="false" ht="15" hidden="false" customHeight="false" outlineLevel="0" collapsed="false">
      <c r="B1515" s="2" t="n">
        <v>7</v>
      </c>
      <c r="C1515" s="2" t="n">
        <f aca="false">0</f>
        <v>0</v>
      </c>
      <c r="D1515" s="2" t="n">
        <f aca="false">C1515*(1-D$1507)+C1514*D$1507</f>
        <v>0</v>
      </c>
      <c r="E1515" s="2" t="n">
        <f aca="false">D1515*(1-E$1507)+D1514*E$1507</f>
        <v>0</v>
      </c>
      <c r="F1515" s="2" t="n">
        <f aca="false">E1515*(1-F$1507)+E1514*F$1507</f>
        <v>0</v>
      </c>
      <c r="G1515" s="2" t="n">
        <f aca="false">F1515*(1-G$1507)+F1514*G$1507</f>
        <v>0</v>
      </c>
      <c r="H1515" s="2" t="n">
        <f aca="false">G1515*(1-H$1507)+G1514*H$1507</f>
        <v>0</v>
      </c>
      <c r="I1515" s="2" t="n">
        <f aca="false">H1515*(1-I$1507)+H1514*I$1507</f>
        <v>0.0357336344247986</v>
      </c>
      <c r="J1515" s="2" t="n">
        <f aca="false">I1515*(1-J$1507)+I1514*J$1507</f>
        <v>0.137878650197141</v>
      </c>
      <c r="K1515" s="2" t="n">
        <f aca="false">J1515*(1-K$1507)+J1514*K$1507</f>
        <v>0.273154327105697</v>
      </c>
      <c r="L1515" s="2" t="n">
        <f aca="false">K1515*(1-L$1507)+K1514*L$1507</f>
        <v>0.285502847676479</v>
      </c>
      <c r="M1515" s="2" t="n">
        <f aca="false">L1515*(1-M$1507)+L1514*M$1507</f>
        <v>0.260387500950871</v>
      </c>
      <c r="N1515" s="2" t="n">
        <f aca="false">M1515*(1-N$1507)+M1514*N$1507</f>
        <v>0.204308640833098</v>
      </c>
      <c r="O1515" s="2" t="n">
        <f aca="false">N1515*(1-O$1507)+N1514*O$1507</f>
        <v>0.204308640833098</v>
      </c>
    </row>
    <row r="1516" customFormat="false" ht="15" hidden="false" customHeight="false" outlineLevel="0" collapsed="false">
      <c r="B1516" s="2" t="n">
        <v>8</v>
      </c>
      <c r="C1516" s="2" t="n">
        <f aca="false">0</f>
        <v>0</v>
      </c>
      <c r="D1516" s="2" t="n">
        <f aca="false">C1516*(1-D$1507)+C1515*D$1507</f>
        <v>0</v>
      </c>
      <c r="E1516" s="2" t="n">
        <f aca="false">D1516*(1-E$1507)+D1515*E$1507</f>
        <v>0</v>
      </c>
      <c r="F1516" s="2" t="n">
        <f aca="false">E1516*(1-F$1507)+E1515*F$1507</f>
        <v>0</v>
      </c>
      <c r="G1516" s="2" t="n">
        <f aca="false">F1516*(1-G$1507)+F1515*G$1507</f>
        <v>0</v>
      </c>
      <c r="H1516" s="2" t="n">
        <f aca="false">G1516*(1-H$1507)+G1515*H$1507</f>
        <v>0</v>
      </c>
      <c r="I1516" s="2" t="n">
        <f aca="false">H1516*(1-I$1507)+H1515*I$1507</f>
        <v>0</v>
      </c>
      <c r="J1516" s="2" t="n">
        <f aca="false">I1516*(1-J$1507)+I1515*J$1507</f>
        <v>0.0248652294981979</v>
      </c>
      <c r="K1516" s="2" t="n">
        <f aca="false">J1516*(1-K$1507)+J1515*K$1507</f>
        <v>0.126817360585752</v>
      </c>
      <c r="L1516" s="2" t="n">
        <f aca="false">K1516*(1-L$1507)+K1515*L$1507</f>
        <v>0.189103394627822</v>
      </c>
      <c r="M1516" s="2" t="n">
        <f aca="false">L1516*(1-M$1507)+L1515*M$1507</f>
        <v>0.266781474622989</v>
      </c>
      <c r="N1516" s="2" t="n">
        <f aca="false">M1516*(1-N$1507)+M1515*N$1507</f>
        <v>0.263171795560333</v>
      </c>
      <c r="O1516" s="2" t="n">
        <f aca="false">N1516*(1-O$1507)+N1515*O$1507</f>
        <v>0.263171795560333</v>
      </c>
    </row>
    <row r="1517" customFormat="false" ht="15" hidden="false" customHeight="false" outlineLevel="0" collapsed="false">
      <c r="B1517" s="2" t="n">
        <v>9</v>
      </c>
      <c r="C1517" s="2" t="n">
        <f aca="false">0</f>
        <v>0</v>
      </c>
      <c r="D1517" s="2" t="n">
        <f aca="false">C1517*(1-D$1507)+C1516*D$1507</f>
        <v>0</v>
      </c>
      <c r="E1517" s="2" t="n">
        <f aca="false">D1517*(1-E$1507)+D1516*E$1507</f>
        <v>0</v>
      </c>
      <c r="F1517" s="2" t="n">
        <f aca="false">E1517*(1-F$1507)+E1516*F$1507</f>
        <v>0</v>
      </c>
      <c r="G1517" s="2" t="n">
        <f aca="false">F1517*(1-G$1507)+F1516*G$1507</f>
        <v>0</v>
      </c>
      <c r="H1517" s="2" t="n">
        <f aca="false">G1517*(1-H$1507)+G1516*H$1507</f>
        <v>0</v>
      </c>
      <c r="I1517" s="2" t="n">
        <f aca="false">H1517*(1-I$1507)+H1516*I$1507</f>
        <v>0</v>
      </c>
      <c r="J1517" s="2" t="n">
        <f aca="false">I1517*(1-J$1507)+I1516*J$1507</f>
        <v>0</v>
      </c>
      <c r="K1517" s="2" t="n">
        <f aca="false">J1517*(1-K$1507)+J1516*K$1507</f>
        <v>0.02243152292572</v>
      </c>
      <c r="L1517" s="2" t="n">
        <f aca="false">K1517*(1-L$1507)+K1516*L$1507</f>
        <v>0.0668617171044179</v>
      </c>
      <c r="M1517" s="2" t="n">
        <f aca="false">L1517*(1-M$1507)+L1516*M$1507</f>
        <v>0.165363300932011</v>
      </c>
      <c r="N1517" s="2" t="n">
        <f aca="false">M1517*(1-N$1507)+M1516*N$1507</f>
        <v>0.222618315875455</v>
      </c>
      <c r="O1517" s="2" t="n">
        <f aca="false">N1517*(1-O$1507)+N1516*O$1507</f>
        <v>0.222618315875455</v>
      </c>
    </row>
    <row r="1518" customFormat="false" ht="15" hidden="false" customHeight="false" outlineLevel="0" collapsed="false">
      <c r="B1518" s="2" t="n">
        <v>10</v>
      </c>
      <c r="C1518" s="2" t="n">
        <f aca="false">0</f>
        <v>0</v>
      </c>
      <c r="D1518" s="2" t="n">
        <f aca="false">C1518*(1-D$1507)+C1517*D$1507</f>
        <v>0</v>
      </c>
      <c r="E1518" s="2" t="n">
        <f aca="false">D1518*(1-E$1507)+D1517*E$1507</f>
        <v>0</v>
      </c>
      <c r="F1518" s="2" t="n">
        <f aca="false">E1518*(1-F$1507)+E1517*F$1507</f>
        <v>0</v>
      </c>
      <c r="G1518" s="2" t="n">
        <f aca="false">F1518*(1-G$1507)+F1517*G$1507</f>
        <v>0</v>
      </c>
      <c r="H1518" s="2" t="n">
        <f aca="false">G1518*(1-H$1507)+G1517*H$1507</f>
        <v>0</v>
      </c>
      <c r="I1518" s="2" t="n">
        <f aca="false">H1518*(1-I$1507)+H1517*I$1507</f>
        <v>0</v>
      </c>
      <c r="J1518" s="2" t="n">
        <f aca="false">I1518*(1-J$1507)+I1517*J$1507</f>
        <v>0</v>
      </c>
      <c r="K1518" s="2" t="n">
        <f aca="false">J1518*(1-K$1507)+J1517*K$1507</f>
        <v>0</v>
      </c>
      <c r="L1518" s="2" t="n">
        <f aca="false">K1518*(1-L$1507)+K1517*L$1507</f>
        <v>0.00954762582410405</v>
      </c>
      <c r="M1518" s="2" t="n">
        <f aca="false">L1518*(1-M$1507)+L1517*M$1507</f>
        <v>0.0557309642822109</v>
      </c>
      <c r="N1518" s="2" t="n">
        <f aca="false">M1518*(1-N$1507)+M1517*N$1507</f>
        <v>0.117623235112241</v>
      </c>
      <c r="O1518" s="2" t="n">
        <f aca="false">N1518*(1-O$1507)+N1517*O$1507</f>
        <v>0.117623235112241</v>
      </c>
    </row>
    <row r="1519" customFormat="false" ht="15" hidden="false" customHeight="false" outlineLevel="0" collapsed="false">
      <c r="B1519" s="2" t="n">
        <v>11</v>
      </c>
      <c r="C1519" s="2" t="n">
        <f aca="false">0</f>
        <v>0</v>
      </c>
      <c r="D1519" s="2" t="n">
        <f aca="false">C1519*(1-D$1507)+C1518*D$1507</f>
        <v>0</v>
      </c>
      <c r="E1519" s="2" t="n">
        <f aca="false">D1519*(1-E$1507)+D1518*E$1507</f>
        <v>0</v>
      </c>
      <c r="F1519" s="2" t="n">
        <f aca="false">E1519*(1-F$1507)+E1518*F$1507</f>
        <v>0</v>
      </c>
      <c r="G1519" s="2" t="n">
        <f aca="false">F1519*(1-G$1507)+F1518*G$1507</f>
        <v>0</v>
      </c>
      <c r="H1519" s="2" t="n">
        <f aca="false">G1519*(1-H$1507)+G1518*H$1507</f>
        <v>0</v>
      </c>
      <c r="I1519" s="2" t="n">
        <f aca="false">H1519*(1-I$1507)+H1518*I$1507</f>
        <v>0</v>
      </c>
      <c r="J1519" s="2" t="n">
        <f aca="false">I1519*(1-J$1507)+I1518*J$1507</f>
        <v>0</v>
      </c>
      <c r="K1519" s="2" t="n">
        <f aca="false">J1519*(1-K$1507)+J1518*K$1507</f>
        <v>0</v>
      </c>
      <c r="L1519" s="2" t="n">
        <f aca="false">K1519*(1-L$1507)+K1518*L$1507</f>
        <v>0</v>
      </c>
      <c r="M1519" s="2" t="n">
        <f aca="false">L1519*(1-M$1507)+L1518*M$1507</f>
        <v>0.00769341753582705</v>
      </c>
      <c r="N1519" s="2" t="n">
        <f aca="false">M1519*(1-N$1507)+M1518*N$1507</f>
        <v>0.0348127232451873</v>
      </c>
      <c r="O1519" s="2" t="n">
        <f aca="false">N1519*(1-O$1507)+N1518*O$1507</f>
        <v>0.0348127232451873</v>
      </c>
    </row>
    <row r="1520" customFormat="false" ht="15" hidden="false" customHeight="false" outlineLevel="0" collapsed="false">
      <c r="B1520" s="2" t="n">
        <v>12</v>
      </c>
      <c r="C1520" s="2" t="n">
        <f aca="false">0</f>
        <v>0</v>
      </c>
      <c r="D1520" s="2" t="n">
        <f aca="false">C1520*(1-D$1507)+C1519*D$1507</f>
        <v>0</v>
      </c>
      <c r="E1520" s="2" t="n">
        <f aca="false">D1520*(1-E$1507)+D1519*E$1507</f>
        <v>0</v>
      </c>
      <c r="F1520" s="2" t="n">
        <f aca="false">E1520*(1-F$1507)+E1519*F$1507</f>
        <v>0</v>
      </c>
      <c r="G1520" s="2" t="n">
        <f aca="false">F1520*(1-G$1507)+F1519*G$1507</f>
        <v>0</v>
      </c>
      <c r="H1520" s="2" t="n">
        <f aca="false">G1520*(1-H$1507)+G1519*H$1507</f>
        <v>0</v>
      </c>
      <c r="I1520" s="2" t="n">
        <f aca="false">H1520*(1-I$1507)+H1519*I$1507</f>
        <v>0</v>
      </c>
      <c r="J1520" s="2" t="n">
        <f aca="false">I1520*(1-J$1507)+I1519*J$1507</f>
        <v>0</v>
      </c>
      <c r="K1520" s="2" t="n">
        <f aca="false">J1520*(1-K$1507)+J1519*K$1507</f>
        <v>0</v>
      </c>
      <c r="L1520" s="2" t="n">
        <f aca="false">K1520*(1-L$1507)+K1519*L$1507</f>
        <v>0</v>
      </c>
      <c r="M1520" s="2" t="n">
        <f aca="false">L1520*(1-M$1507)+L1519*M$1507</f>
        <v>0</v>
      </c>
      <c r="N1520" s="2" t="n">
        <f aca="false">M1520*(1-N$1507)+M1519*N$1507</f>
        <v>0.00434327221590583</v>
      </c>
      <c r="O1520" s="2" t="n">
        <f aca="false">N1520*(1-O$1507)+N1519*O$1507</f>
        <v>0.00434327221590583</v>
      </c>
    </row>
    <row r="1521" customFormat="false" ht="15" hidden="false" customHeight="false" outlineLevel="0" collapsed="false">
      <c r="B1521" s="2" t="n">
        <v>13</v>
      </c>
      <c r="C1521" s="2" t="n">
        <f aca="false">0</f>
        <v>0</v>
      </c>
      <c r="D1521" s="2" t="n">
        <f aca="false">C1521*(1-D$1507)+C1520*D$1507</f>
        <v>0</v>
      </c>
      <c r="E1521" s="2" t="n">
        <f aca="false">D1521*(1-E$1507)+D1520*E$1507</f>
        <v>0</v>
      </c>
      <c r="F1521" s="2" t="n">
        <f aca="false">E1521*(1-F$1507)+E1520*F$1507</f>
        <v>0</v>
      </c>
      <c r="G1521" s="2" t="n">
        <f aca="false">F1521*(1-G$1507)+F1520*G$1507</f>
        <v>0</v>
      </c>
      <c r="H1521" s="2" t="n">
        <f aca="false">G1521*(1-H$1507)+G1520*H$1507</f>
        <v>0</v>
      </c>
      <c r="I1521" s="2" t="n">
        <f aca="false">H1521*(1-I$1507)+H1520*I$1507</f>
        <v>0</v>
      </c>
      <c r="J1521" s="2" t="n">
        <f aca="false">I1521*(1-J$1507)+I1520*J$1507</f>
        <v>0</v>
      </c>
      <c r="K1521" s="2" t="n">
        <f aca="false">J1521*(1-K$1507)+J1520*K$1507</f>
        <v>0</v>
      </c>
      <c r="L1521" s="2" t="n">
        <f aca="false">K1521*(1-L$1507)+K1520*L$1507</f>
        <v>0</v>
      </c>
      <c r="M1521" s="2" t="n">
        <f aca="false">L1521*(1-M$1507)+L1520*M$1507</f>
        <v>0</v>
      </c>
      <c r="N1521" s="2" t="n">
        <f aca="false">M1521*(1-N$1507)+M1520*N$1507</f>
        <v>0</v>
      </c>
      <c r="O1521" s="2" t="n">
        <f aca="false">N1521*(1-O$1507)+N1520*O$1507</f>
        <v>0</v>
      </c>
    </row>
    <row r="1523" customFormat="false" ht="15" hidden="false" customHeight="false" outlineLevel="0" collapsed="false">
      <c r="A1523" s="1" t="s">
        <v>153</v>
      </c>
      <c r="C1523" s="2" t="n">
        <f aca="false">Schedule!G97</f>
        <v>0.864333939053617</v>
      </c>
      <c r="D1523" s="2" t="n">
        <f aca="false">Schedule!L97</f>
        <v>0.0507630194703814</v>
      </c>
      <c r="E1523" s="2" t="n">
        <f aca="false">Schedule!Q97</f>
        <v>0.103384463148161</v>
      </c>
      <c r="F1523" s="2" t="n">
        <f aca="false">Schedule!V97</f>
        <v>0.564543935862038</v>
      </c>
      <c r="G1523" s="2" t="n">
        <f aca="false">Schedule!AA97</f>
        <v>0.166334969492118</v>
      </c>
      <c r="H1523" s="2" t="n">
        <f aca="false">Schedule!AF97</f>
        <v>0.472594309039532</v>
      </c>
      <c r="I1523" s="2" t="n">
        <f aca="false">Schedule!AK97</f>
        <v>0.301967544680181</v>
      </c>
      <c r="J1523" s="2" t="n">
        <f aca="false">Schedule!AP97</f>
        <v>0.650806957537142</v>
      </c>
      <c r="K1523" s="2" t="n">
        <f aca="false">Schedule!AU97</f>
        <v>0.401293674317076</v>
      </c>
      <c r="L1523" s="2" t="n">
        <f aca="false">Schedule!AZ97</f>
        <v>0.243919501888608</v>
      </c>
      <c r="M1523" s="2" t="n">
        <f aca="false">Schedule!BE97</f>
        <v>0.382088577811047</v>
      </c>
      <c r="N1523" s="2" t="n">
        <f aca="false">Schedule!BJ97</f>
        <v>0.255831641347934</v>
      </c>
      <c r="O1523" s="2" t="n">
        <f aca="false">Schedule!BO97</f>
        <v>0</v>
      </c>
    </row>
    <row r="1524" customFormat="false" ht="15" hidden="false" customHeight="false" outlineLevel="0" collapsed="false">
      <c r="B1524" s="2" t="n">
        <v>0</v>
      </c>
      <c r="C1524" s="2" t="n">
        <f aca="false">1-C$1523</f>
        <v>0.135666060946383</v>
      </c>
      <c r="D1524" s="2" t="n">
        <f aca="false">C1524*(1-D$1523)</f>
        <v>0.128779242053092</v>
      </c>
      <c r="E1524" s="2" t="n">
        <f aca="false">D1524*(1-E$1523)</f>
        <v>0.115465469248806</v>
      </c>
      <c r="F1524" s="2" t="n">
        <f aca="false">E1524*(1-F$1523)</f>
        <v>0.0502801387829277</v>
      </c>
      <c r="G1524" s="2" t="n">
        <f aca="false">F1524*(1-G$1523)</f>
        <v>0.04191679343241</v>
      </c>
      <c r="H1524" s="2" t="n">
        <f aca="false">G1524*(1-H$1523)</f>
        <v>0.0221071554030674</v>
      </c>
      <c r="I1524" s="2" t="n">
        <f aca="false">H1524*(1-I$1523)</f>
        <v>0.0154315119661399</v>
      </c>
      <c r="J1524" s="2" t="n">
        <f aca="false">I1524*(1-J$1523)</f>
        <v>0.0053885766132584</v>
      </c>
      <c r="K1524" s="2" t="n">
        <f aca="false">J1524*(1-K$1523)</f>
        <v>0.00322617490478487</v>
      </c>
      <c r="L1524" s="2" t="n">
        <f aca="false">K1524*(1-L$1523)</f>
        <v>0.00243924792900422</v>
      </c>
      <c r="M1524" s="2" t="n">
        <f aca="false">L1524*(1-M$1523)</f>
        <v>0.00150723915688245</v>
      </c>
      <c r="N1524" s="2" t="n">
        <f aca="false">M1524*(1-N$1523)</f>
        <v>0.00112163968947334</v>
      </c>
      <c r="O1524" s="2" t="n">
        <f aca="false">N1524*(1-O$1523)</f>
        <v>0.00112163968947334</v>
      </c>
    </row>
    <row r="1525" customFormat="false" ht="15" hidden="false" customHeight="false" outlineLevel="0" collapsed="false">
      <c r="B1525" s="2" t="n">
        <v>1</v>
      </c>
      <c r="C1525" s="2" t="n">
        <f aca="false">C$1523</f>
        <v>0.864333939053617</v>
      </c>
      <c r="D1525" s="2" t="n">
        <f aca="false">C1525*(1-D$1523)+C1524*D$1523</f>
        <v>0.827344557369818</v>
      </c>
      <c r="E1525" s="2" t="n">
        <f aca="false">D1525*(1-E$1523)+D1524*E$1523</f>
        <v>0.755123757271873</v>
      </c>
      <c r="F1525" s="2" t="n">
        <f aca="false">E1525*(1-F$1523)+E1524*F$1523</f>
        <v>0.394008549744557</v>
      </c>
      <c r="G1525" s="2" t="n">
        <f aca="false">F1525*(1-G$1523)+F1524*G$1523</f>
        <v>0.33683449499368</v>
      </c>
      <c r="H1525" s="2" t="n">
        <f aca="false">G1525*(1-H$1523)+G1524*H$1523</f>
        <v>0.197458067600805</v>
      </c>
      <c r="I1525" s="2" t="n">
        <f aca="false">H1525*(1-I$1523)+H1524*I$1523</f>
        <v>0.144507783187024</v>
      </c>
      <c r="J1525" s="2" t="n">
        <f aca="false">I1525*(1-J$1523)+I1524*J$1523</f>
        <v>0.0605040478235215</v>
      </c>
      <c r="K1525" s="2" t="n">
        <f aca="false">J1525*(1-K$1523)+J1524*K$1523</f>
        <v>0.038386557869838</v>
      </c>
      <c r="L1525" s="2" t="n">
        <f aca="false">K1525*(1-L$1523)+K1524*L$1523</f>
        <v>0.0298102547707895</v>
      </c>
      <c r="M1525" s="2" t="n">
        <f aca="false">L1525*(1-M$1523)+L1524*M$1523</f>
        <v>0.0193521056933553</v>
      </c>
      <c r="N1525" s="2" t="n">
        <f aca="false">M1525*(1-N$1523)+M1524*N$1523</f>
        <v>0.0147868241976947</v>
      </c>
      <c r="O1525" s="2" t="n">
        <f aca="false">N1525*(1-O$1523)+N1524*O$1523</f>
        <v>0.0147868241976947</v>
      </c>
    </row>
    <row r="1526" customFormat="false" ht="15" hidden="false" customHeight="false" outlineLevel="0" collapsed="false">
      <c r="B1526" s="2" t="n">
        <v>2</v>
      </c>
      <c r="C1526" s="2" t="n">
        <f aca="false">0</f>
        <v>0</v>
      </c>
      <c r="D1526" s="2" t="n">
        <f aca="false">C1526*(1-D$1523)+C1525*D$1523</f>
        <v>0.0438762005770902</v>
      </c>
      <c r="E1526" s="2" t="n">
        <f aca="false">D1526*(1-E$1523)+D1525*E$1523</f>
        <v>0.124874656037678</v>
      </c>
      <c r="F1526" s="2" t="n">
        <f aca="false">E1526*(1-F$1523)+E1525*F$1523</f>
        <v>0.480677964221943</v>
      </c>
      <c r="G1526" s="2" t="n">
        <f aca="false">F1526*(1-G$1523)+F1525*G$1523</f>
        <v>0.466261809808947</v>
      </c>
      <c r="H1526" s="2" t="n">
        <f aca="false">G1526*(1-H$1523)+G1525*H$1523</f>
        <v>0.405095197392984</v>
      </c>
      <c r="I1526" s="2" t="n">
        <f aca="false">H1526*(1-I$1523)+H1525*I$1523</f>
        <v>0.3423955231252</v>
      </c>
      <c r="J1526" s="2" t="n">
        <f aca="false">I1526*(1-J$1523)+I1525*J$1523</f>
        <v>0.213608805162134</v>
      </c>
      <c r="K1526" s="2" t="n">
        <f aca="false">J1526*(1-K$1523)+J1525*K$1523</f>
        <v>0.152168834534298</v>
      </c>
      <c r="L1526" s="2" t="n">
        <f aca="false">K1526*(1-L$1523)+K1525*L$1523</f>
        <v>0.124415118286551</v>
      </c>
      <c r="M1526" s="2" t="n">
        <f aca="false">L1526*(1-M$1523)+L1525*M$1523</f>
        <v>0.0882676805318055</v>
      </c>
      <c r="N1526" s="2" t="n">
        <f aca="false">M1526*(1-N$1523)+M1525*N$1523</f>
        <v>0.0706368959064485</v>
      </c>
      <c r="O1526" s="2" t="n">
        <f aca="false">N1526*(1-O$1523)+N1525*O$1523</f>
        <v>0.0706368959064485</v>
      </c>
    </row>
    <row r="1527" customFormat="false" ht="15" hidden="false" customHeight="false" outlineLevel="0" collapsed="false">
      <c r="B1527" s="2" t="n">
        <v>3</v>
      </c>
      <c r="C1527" s="2" t="n">
        <f aca="false">0</f>
        <v>0</v>
      </c>
      <c r="D1527" s="2" t="n">
        <f aca="false">C1527*(1-D$1523)+C1526*D$1523</f>
        <v>0</v>
      </c>
      <c r="E1527" s="2" t="n">
        <f aca="false">D1527*(1-E$1523)+D1526*E$1523</f>
        <v>0.00453611744164348</v>
      </c>
      <c r="F1527" s="2" t="n">
        <f aca="false">E1527*(1-F$1523)+E1526*F$1523</f>
        <v>0.0724725096565346</v>
      </c>
      <c r="G1527" s="2" t="n">
        <f aca="false">F1527*(1-G$1523)+F1526*G$1523</f>
        <v>0.140371351488188</v>
      </c>
      <c r="H1527" s="2" t="n">
        <f aca="false">G1527*(1-H$1523)+G1526*H$1523</f>
        <v>0.294385327460863</v>
      </c>
      <c r="I1527" s="2" t="n">
        <f aca="false">H1527*(1-I$1523)+H1526*I$1523</f>
        <v>0.327816115056128</v>
      </c>
      <c r="J1527" s="2" t="n">
        <f aca="false">I1527*(1-J$1523)+I1526*J$1523</f>
        <v>0.337304495264253</v>
      </c>
      <c r="K1527" s="2" t="n">
        <f aca="false">J1527*(1-K$1523)+J1526*K$1523</f>
        <v>0.287666197285987</v>
      </c>
      <c r="L1527" s="2" t="n">
        <f aca="false">K1527*(1-L$1523)+K1526*L$1523</f>
        <v>0.254615748056375</v>
      </c>
      <c r="M1527" s="2" t="n">
        <f aca="false">L1527*(1-M$1523)+L1526*M$1523</f>
        <v>0.20486757459752</v>
      </c>
      <c r="N1527" s="2" t="n">
        <f aca="false">M1527*(1-N$1523)+M1526*N$1523</f>
        <v>0.175037632317693</v>
      </c>
      <c r="O1527" s="2" t="n">
        <f aca="false">N1527*(1-O$1523)+N1526*O$1523</f>
        <v>0.175037632317693</v>
      </c>
    </row>
    <row r="1528" customFormat="false" ht="15" hidden="false" customHeight="false" outlineLevel="0" collapsed="false">
      <c r="B1528" s="2" t="n">
        <v>4</v>
      </c>
      <c r="C1528" s="2" t="n">
        <f aca="false">0</f>
        <v>0</v>
      </c>
      <c r="D1528" s="2" t="n">
        <f aca="false">C1528*(1-D$1523)+C1527*D$1523</f>
        <v>0</v>
      </c>
      <c r="E1528" s="2" t="n">
        <f aca="false">D1528*(1-E$1523)+D1527*E$1523</f>
        <v>0</v>
      </c>
      <c r="F1528" s="2" t="n">
        <f aca="false">E1528*(1-F$1523)+E1527*F$1523</f>
        <v>0.00256083759403785</v>
      </c>
      <c r="G1528" s="2" t="n">
        <f aca="false">F1528*(1-G$1523)+F1527*G$1523</f>
        <v>0.0141895934336962</v>
      </c>
      <c r="H1528" s="2" t="n">
        <f aca="false">G1528*(1-H$1523)+G1527*H$1523</f>
        <v>0.0738223741948522</v>
      </c>
      <c r="I1528" s="2" t="n">
        <f aca="false">H1528*(1-I$1523)+H1527*I$1523</f>
        <v>0.140425227639999</v>
      </c>
      <c r="J1528" s="2" t="n">
        <f aca="false">I1528*(1-J$1523)+I1527*J$1523</f>
        <v>0.262380520949475</v>
      </c>
      <c r="K1528" s="2" t="n">
        <f aca="false">J1528*(1-K$1523)+J1527*K$1523</f>
        <v>0.292447037896691</v>
      </c>
      <c r="L1528" s="2" t="n">
        <f aca="false">K1528*(1-L$1523)+K1527*L$1523</f>
        <v>0.291280897636319</v>
      </c>
      <c r="M1528" s="2" t="n">
        <f aca="false">L1528*(1-M$1523)+L1527*M$1523</f>
        <v>0.277271562778089</v>
      </c>
      <c r="N1528" s="2" t="n">
        <f aca="false">M1528*(1-N$1523)+M1527*N$1523</f>
        <v>0.258748331641718</v>
      </c>
      <c r="O1528" s="2" t="n">
        <f aca="false">N1528*(1-O$1523)+N1527*O$1523</f>
        <v>0.258748331641718</v>
      </c>
    </row>
    <row r="1529" customFormat="false" ht="15" hidden="false" customHeight="false" outlineLevel="0" collapsed="false">
      <c r="B1529" s="2" t="n">
        <v>5</v>
      </c>
      <c r="C1529" s="2" t="n">
        <f aca="false">0</f>
        <v>0</v>
      </c>
      <c r="D1529" s="2" t="n">
        <f aca="false">C1529*(1-D$1523)+C1528*D$1523</f>
        <v>0</v>
      </c>
      <c r="E1529" s="2" t="n">
        <f aca="false">D1529*(1-E$1523)+D1528*E$1523</f>
        <v>0</v>
      </c>
      <c r="F1529" s="2" t="n">
        <f aca="false">E1529*(1-F$1523)+E1528*F$1523</f>
        <v>0</v>
      </c>
      <c r="G1529" s="2" t="n">
        <f aca="false">F1529*(1-G$1523)+F1528*G$1523</f>
        <v>0.000425956843078556</v>
      </c>
      <c r="H1529" s="2" t="n">
        <f aca="false">G1529*(1-H$1523)+G1528*H$1523</f>
        <v>0.00693057316749273</v>
      </c>
      <c r="I1529" s="2" t="n">
        <f aca="false">H1529*(1-I$1523)+H1528*I$1523</f>
        <v>0.0271297260829597</v>
      </c>
      <c r="J1529" s="2" t="n">
        <f aca="false">I1529*(1-J$1523)+I1528*J$1523</f>
        <v>0.100863226753941</v>
      </c>
      <c r="K1529" s="2" t="n">
        <f aca="false">J1529*(1-K$1523)+J1528*K$1523</f>
        <v>0.165679095207419</v>
      </c>
      <c r="L1529" s="2" t="n">
        <f aca="false">K1529*(1-L$1523)+K1528*L$1523</f>
        <v>0.19660026864363</v>
      </c>
      <c r="M1529" s="2" t="n">
        <f aca="false">L1529*(1-M$1523)+L1528*M$1523</f>
        <v>0.232776655521702</v>
      </c>
      <c r="N1529" s="2" t="n">
        <f aca="false">M1529*(1-N$1523)+M1528*N$1523</f>
        <v>0.244159860676727</v>
      </c>
      <c r="O1529" s="2" t="n">
        <f aca="false">N1529*(1-O$1523)+N1528*O$1523</f>
        <v>0.244159860676727</v>
      </c>
    </row>
    <row r="1530" customFormat="false" ht="15" hidden="false" customHeight="false" outlineLevel="0" collapsed="false">
      <c r="B1530" s="2" t="n">
        <v>6</v>
      </c>
      <c r="C1530" s="2" t="n">
        <f aca="false">0</f>
        <v>0</v>
      </c>
      <c r="D1530" s="2" t="n">
        <f aca="false">C1530*(1-D$1523)+C1529*D$1523</f>
        <v>0</v>
      </c>
      <c r="E1530" s="2" t="n">
        <f aca="false">D1530*(1-E$1523)+D1529*E$1523</f>
        <v>0</v>
      </c>
      <c r="F1530" s="2" t="n">
        <f aca="false">E1530*(1-F$1523)+E1529*F$1523</f>
        <v>0</v>
      </c>
      <c r="G1530" s="2" t="n">
        <f aca="false">F1530*(1-G$1523)+F1529*G$1523</f>
        <v>0</v>
      </c>
      <c r="H1530" s="2" t="n">
        <f aca="false">G1530*(1-H$1523)+G1529*H$1523</f>
        <v>0.00020130477993537</v>
      </c>
      <c r="I1530" s="2" t="n">
        <f aca="false">H1530*(1-I$1523)+H1529*I$1523</f>
        <v>0.00223332543242003</v>
      </c>
      <c r="J1530" s="2" t="n">
        <f aca="false">I1530*(1-J$1523)+I1529*J$1523</f>
        <v>0.0184360761934235</v>
      </c>
      <c r="K1530" s="2" t="n">
        <f aca="false">J1530*(1-K$1523)+J1529*K$1523</f>
        <v>0.0515135703053404</v>
      </c>
      <c r="L1530" s="2" t="n">
        <f aca="false">K1530*(1-L$1523)+K1529*L$1523</f>
        <v>0.0793607682723069</v>
      </c>
      <c r="M1530" s="2" t="n">
        <f aca="false">L1530*(1-M$1523)+L1529*M$1523</f>
        <v>0.124156642232463</v>
      </c>
      <c r="N1530" s="2" t="n">
        <f aca="false">M1530*(1-N$1523)+M1529*N$1523</f>
        <v>0.151945078515484</v>
      </c>
      <c r="O1530" s="2" t="n">
        <f aca="false">N1530*(1-O$1523)+N1529*O$1523</f>
        <v>0.151945078515484</v>
      </c>
    </row>
    <row r="1531" customFormat="false" ht="15" hidden="false" customHeight="false" outlineLevel="0" collapsed="false">
      <c r="B1531" s="2" t="n">
        <v>7</v>
      </c>
      <c r="C1531" s="2" t="n">
        <f aca="false">0</f>
        <v>0</v>
      </c>
      <c r="D1531" s="2" t="n">
        <f aca="false">C1531*(1-D$1523)+C1530*D$1523</f>
        <v>0</v>
      </c>
      <c r="E1531" s="2" t="n">
        <f aca="false">D1531*(1-E$1523)+D1530*E$1523</f>
        <v>0</v>
      </c>
      <c r="F1531" s="2" t="n">
        <f aca="false">E1531*(1-F$1523)+E1530*F$1523</f>
        <v>0</v>
      </c>
      <c r="G1531" s="2" t="n">
        <f aca="false">F1531*(1-G$1523)+F1530*G$1523</f>
        <v>0</v>
      </c>
      <c r="H1531" s="2" t="n">
        <f aca="false">G1531*(1-H$1523)+G1530*H$1523</f>
        <v>0</v>
      </c>
      <c r="I1531" s="2" t="n">
        <f aca="false">H1531*(1-I$1523)+H1530*I$1523</f>
        <v>6.0787510129468E-005</v>
      </c>
      <c r="J1531" s="2" t="n">
        <f aca="false">I1531*(1-J$1523)+I1530*J$1523</f>
        <v>0.00147469030546945</v>
      </c>
      <c r="K1531" s="2" t="n">
        <f aca="false">J1531*(1-K$1523)+J1530*K$1523</f>
        <v>0.00828118716995632</v>
      </c>
      <c r="L1531" s="2" t="n">
        <f aca="false">K1531*(1-L$1523)+K1530*L$1523</f>
        <v>0.0188264085297967</v>
      </c>
      <c r="M1531" s="2" t="n">
        <f aca="false">L1531*(1-M$1523)+L1530*M$1523</f>
        <v>0.0419558959525147</v>
      </c>
      <c r="N1531" s="2" t="n">
        <f aca="false">M1531*(1-N$1523)+M1530*N$1523</f>
        <v>0.0629854477933391</v>
      </c>
      <c r="O1531" s="2" t="n">
        <f aca="false">N1531*(1-O$1523)+N1530*O$1523</f>
        <v>0.0629854477933391</v>
      </c>
    </row>
    <row r="1532" customFormat="false" ht="15" hidden="false" customHeight="false" outlineLevel="0" collapsed="false">
      <c r="B1532" s="2" t="n">
        <v>8</v>
      </c>
      <c r="C1532" s="2" t="n">
        <f aca="false">0</f>
        <v>0</v>
      </c>
      <c r="D1532" s="2" t="n">
        <f aca="false">C1532*(1-D$1523)+C1531*D$1523</f>
        <v>0</v>
      </c>
      <c r="E1532" s="2" t="n">
        <f aca="false">D1532*(1-E$1523)+D1531*E$1523</f>
        <v>0</v>
      </c>
      <c r="F1532" s="2" t="n">
        <f aca="false">E1532*(1-F$1523)+E1531*F$1523</f>
        <v>0</v>
      </c>
      <c r="G1532" s="2" t="n">
        <f aca="false">F1532*(1-G$1523)+F1531*G$1523</f>
        <v>0</v>
      </c>
      <c r="H1532" s="2" t="n">
        <f aca="false">G1532*(1-H$1523)+G1531*H$1523</f>
        <v>0</v>
      </c>
      <c r="I1532" s="2" t="n">
        <f aca="false">H1532*(1-I$1523)+H1531*I$1523</f>
        <v>0</v>
      </c>
      <c r="J1532" s="2" t="n">
        <f aca="false">I1532*(1-J$1523)+I1531*J$1523</f>
        <v>3.95609345236173E-005</v>
      </c>
      <c r="K1532" s="2" t="n">
        <f aca="false">J1532*(1-K$1523)+J1531*K$1523</f>
        <v>0.000615469272910825</v>
      </c>
      <c r="L1532" s="2" t="n">
        <f aca="false">K1532*(1-L$1523)+K1531*L$1523</f>
        <v>0.00248528736397675</v>
      </c>
      <c r="M1532" s="2" t="n">
        <f aca="false">L1532*(1-M$1523)+L1531*M$1523</f>
        <v>0.00872904311006289</v>
      </c>
      <c r="N1532" s="2" t="n">
        <f aca="false">M1532*(1-N$1523)+M1531*N$1523</f>
        <v>0.0172295234095736</v>
      </c>
      <c r="O1532" s="2" t="n">
        <f aca="false">N1532*(1-O$1523)+N1531*O$1523</f>
        <v>0.0172295234095736</v>
      </c>
    </row>
    <row r="1533" customFormat="false" ht="15" hidden="false" customHeight="false" outlineLevel="0" collapsed="false">
      <c r="B1533" s="2" t="n">
        <v>9</v>
      </c>
      <c r="C1533" s="2" t="n">
        <f aca="false">0</f>
        <v>0</v>
      </c>
      <c r="D1533" s="2" t="n">
        <f aca="false">C1533*(1-D$1523)+C1532*D$1523</f>
        <v>0</v>
      </c>
      <c r="E1533" s="2" t="n">
        <f aca="false">D1533*(1-E$1523)+D1532*E$1523</f>
        <v>0</v>
      </c>
      <c r="F1533" s="2" t="n">
        <f aca="false">E1533*(1-F$1523)+E1532*F$1523</f>
        <v>0</v>
      </c>
      <c r="G1533" s="2" t="n">
        <f aca="false">F1533*(1-G$1523)+F1532*G$1523</f>
        <v>0</v>
      </c>
      <c r="H1533" s="2" t="n">
        <f aca="false">G1533*(1-H$1523)+G1532*H$1523</f>
        <v>0</v>
      </c>
      <c r="I1533" s="2" t="n">
        <f aca="false">H1533*(1-I$1523)+H1532*I$1523</f>
        <v>0</v>
      </c>
      <c r="J1533" s="2" t="n">
        <f aca="false">I1533*(1-J$1523)+I1532*J$1523</f>
        <v>0</v>
      </c>
      <c r="K1533" s="2" t="n">
        <f aca="false">J1533*(1-K$1523)+J1532*K$1523</f>
        <v>1.58755527743996E-005</v>
      </c>
      <c r="L1533" s="2" t="n">
        <f aca="false">K1533*(1-L$1523)+K1532*L$1523</f>
        <v>0.000162128154325614</v>
      </c>
      <c r="M1533" s="2" t="n">
        <f aca="false">L1533*(1-M$1523)+L1532*M$1523</f>
        <v>0.00104978075276985</v>
      </c>
      <c r="N1533" s="2" t="n">
        <f aca="false">M1533*(1-N$1523)+M1532*N$1523</f>
        <v>0.00301437904597754</v>
      </c>
      <c r="O1533" s="2" t="n">
        <f aca="false">N1533*(1-O$1523)+N1532*O$1523</f>
        <v>0.00301437904597754</v>
      </c>
    </row>
    <row r="1534" customFormat="false" ht="15" hidden="false" customHeight="false" outlineLevel="0" collapsed="false">
      <c r="B1534" s="2" t="n">
        <v>10</v>
      </c>
      <c r="C1534" s="2" t="n">
        <f aca="false">0</f>
        <v>0</v>
      </c>
      <c r="D1534" s="2" t="n">
        <f aca="false">C1534*(1-D$1523)+C1533*D$1523</f>
        <v>0</v>
      </c>
      <c r="E1534" s="2" t="n">
        <f aca="false">D1534*(1-E$1523)+D1533*E$1523</f>
        <v>0</v>
      </c>
      <c r="F1534" s="2" t="n">
        <f aca="false">E1534*(1-F$1523)+E1533*F$1523</f>
        <v>0</v>
      </c>
      <c r="G1534" s="2" t="n">
        <f aca="false">F1534*(1-G$1523)+F1533*G$1523</f>
        <v>0</v>
      </c>
      <c r="H1534" s="2" t="n">
        <f aca="false">G1534*(1-H$1523)+G1533*H$1523</f>
        <v>0</v>
      </c>
      <c r="I1534" s="2" t="n">
        <f aca="false">H1534*(1-I$1523)+H1533*I$1523</f>
        <v>0</v>
      </c>
      <c r="J1534" s="2" t="n">
        <f aca="false">I1534*(1-J$1523)+I1533*J$1523</f>
        <v>0</v>
      </c>
      <c r="K1534" s="2" t="n">
        <f aca="false">J1534*(1-K$1523)+J1533*K$1523</f>
        <v>0</v>
      </c>
      <c r="L1534" s="2" t="n">
        <f aca="false">K1534*(1-L$1523)+K1533*L$1523</f>
        <v>3.87235692493787E-006</v>
      </c>
      <c r="M1534" s="2" t="n">
        <f aca="false">L1534*(1-M$1523)+L1533*M$1523</f>
        <v>6.43400894841155E-005</v>
      </c>
      <c r="N1534" s="2" t="n">
        <f aca="false">M1534*(1-N$1523)+M1533*N$1523</f>
        <v>0.000316446991823503</v>
      </c>
      <c r="O1534" s="2" t="n">
        <f aca="false">N1534*(1-O$1523)+N1533*O$1523</f>
        <v>0.000316446991823503</v>
      </c>
    </row>
    <row r="1535" customFormat="false" ht="15" hidden="false" customHeight="false" outlineLevel="0" collapsed="false">
      <c r="B1535" s="2" t="n">
        <v>11</v>
      </c>
      <c r="C1535" s="2" t="n">
        <f aca="false">0</f>
        <v>0</v>
      </c>
      <c r="D1535" s="2" t="n">
        <f aca="false">C1535*(1-D$1523)+C1534*D$1523</f>
        <v>0</v>
      </c>
      <c r="E1535" s="2" t="n">
        <f aca="false">D1535*(1-E$1523)+D1534*E$1523</f>
        <v>0</v>
      </c>
      <c r="F1535" s="2" t="n">
        <f aca="false">E1535*(1-F$1523)+E1534*F$1523</f>
        <v>0</v>
      </c>
      <c r="G1535" s="2" t="n">
        <f aca="false">F1535*(1-G$1523)+F1534*G$1523</f>
        <v>0</v>
      </c>
      <c r="H1535" s="2" t="n">
        <f aca="false">G1535*(1-H$1523)+G1534*H$1523</f>
        <v>0</v>
      </c>
      <c r="I1535" s="2" t="n">
        <f aca="false">H1535*(1-I$1523)+H1534*I$1523</f>
        <v>0</v>
      </c>
      <c r="J1535" s="2" t="n">
        <f aca="false">I1535*(1-J$1523)+I1534*J$1523</f>
        <v>0</v>
      </c>
      <c r="K1535" s="2" t="n">
        <f aca="false">J1535*(1-K$1523)+J1534*K$1523</f>
        <v>0</v>
      </c>
      <c r="L1535" s="2" t="n">
        <f aca="false">K1535*(1-L$1523)+K1534*L$1523</f>
        <v>0</v>
      </c>
      <c r="M1535" s="2" t="n">
        <f aca="false">L1535*(1-M$1523)+L1534*M$1523</f>
        <v>1.47958335022627E-006</v>
      </c>
      <c r="N1535" s="2" t="n">
        <f aca="false">M1535*(1-N$1523)+M1534*N$1523</f>
        <v>1.7561289810421E-005</v>
      </c>
      <c r="O1535" s="2" t="n">
        <f aca="false">N1535*(1-O$1523)+N1534*O$1523</f>
        <v>1.7561289810421E-005</v>
      </c>
    </row>
    <row r="1536" customFormat="false" ht="15" hidden="false" customHeight="false" outlineLevel="0" collapsed="false">
      <c r="B1536" s="2" t="n">
        <v>12</v>
      </c>
      <c r="C1536" s="2" t="n">
        <f aca="false">0</f>
        <v>0</v>
      </c>
      <c r="D1536" s="2" t="n">
        <f aca="false">C1536*(1-D$1523)+C1535*D$1523</f>
        <v>0</v>
      </c>
      <c r="E1536" s="2" t="n">
        <f aca="false">D1536*(1-E$1523)+D1535*E$1523</f>
        <v>0</v>
      </c>
      <c r="F1536" s="2" t="n">
        <f aca="false">E1536*(1-F$1523)+E1535*F$1523</f>
        <v>0</v>
      </c>
      <c r="G1536" s="2" t="n">
        <f aca="false">F1536*(1-G$1523)+F1535*G$1523</f>
        <v>0</v>
      </c>
      <c r="H1536" s="2" t="n">
        <f aca="false">G1536*(1-H$1523)+G1535*H$1523</f>
        <v>0</v>
      </c>
      <c r="I1536" s="2" t="n">
        <f aca="false">H1536*(1-I$1523)+H1535*I$1523</f>
        <v>0</v>
      </c>
      <c r="J1536" s="2" t="n">
        <f aca="false">I1536*(1-J$1523)+I1535*J$1523</f>
        <v>0</v>
      </c>
      <c r="K1536" s="2" t="n">
        <f aca="false">J1536*(1-K$1523)+J1535*K$1523</f>
        <v>0</v>
      </c>
      <c r="L1536" s="2" t="n">
        <f aca="false">K1536*(1-L$1523)+K1535*L$1523</f>
        <v>0</v>
      </c>
      <c r="M1536" s="2" t="n">
        <f aca="false">L1536*(1-M$1523)+L1535*M$1523</f>
        <v>0</v>
      </c>
      <c r="N1536" s="2" t="n">
        <f aca="false">M1536*(1-N$1523)+M1535*N$1523</f>
        <v>3.78524236999462E-007</v>
      </c>
      <c r="O1536" s="2" t="n">
        <f aca="false">N1536*(1-O$1523)+N1535*O$1523</f>
        <v>3.78524236999462E-007</v>
      </c>
    </row>
    <row r="1537" customFormat="false" ht="15" hidden="false" customHeight="false" outlineLevel="0" collapsed="false">
      <c r="B1537" s="2" t="n">
        <v>13</v>
      </c>
      <c r="C1537" s="2" t="n">
        <f aca="false">0</f>
        <v>0</v>
      </c>
      <c r="D1537" s="2" t="n">
        <f aca="false">C1537*(1-D$1523)+C1536*D$1523</f>
        <v>0</v>
      </c>
      <c r="E1537" s="2" t="n">
        <f aca="false">D1537*(1-E$1523)+D1536*E$1523</f>
        <v>0</v>
      </c>
      <c r="F1537" s="2" t="n">
        <f aca="false">E1537*(1-F$1523)+E1536*F$1523</f>
        <v>0</v>
      </c>
      <c r="G1537" s="2" t="n">
        <f aca="false">F1537*(1-G$1523)+F1536*G$1523</f>
        <v>0</v>
      </c>
      <c r="H1537" s="2" t="n">
        <f aca="false">G1537*(1-H$1523)+G1536*H$1523</f>
        <v>0</v>
      </c>
      <c r="I1537" s="2" t="n">
        <f aca="false">H1537*(1-I$1523)+H1536*I$1523</f>
        <v>0</v>
      </c>
      <c r="J1537" s="2" t="n">
        <f aca="false">I1537*(1-J$1523)+I1536*J$1523</f>
        <v>0</v>
      </c>
      <c r="K1537" s="2" t="n">
        <f aca="false">J1537*(1-K$1523)+J1536*K$1523</f>
        <v>0</v>
      </c>
      <c r="L1537" s="2" t="n">
        <f aca="false">K1537*(1-L$1523)+K1536*L$1523</f>
        <v>0</v>
      </c>
      <c r="M1537" s="2" t="n">
        <f aca="false">L1537*(1-M$1523)+L1536*M$1523</f>
        <v>0</v>
      </c>
      <c r="N1537" s="2" t="n">
        <f aca="false">M1537*(1-N$1523)+M1536*N$1523</f>
        <v>0</v>
      </c>
      <c r="O1537" s="2" t="n">
        <f aca="false">N1537*(1-O$1523)+N1536*O$1523</f>
        <v>0</v>
      </c>
    </row>
    <row r="1539" customFormat="false" ht="15" hidden="false" customHeight="false" outlineLevel="0" collapsed="false">
      <c r="A1539" s="1" t="s">
        <v>154</v>
      </c>
      <c r="C1539" s="2" t="n">
        <f aca="false">Schedule!G98</f>
        <v>0.899947065522574</v>
      </c>
      <c r="D1539" s="2" t="n">
        <f aca="false">Schedule!L98</f>
        <v>0.98873317121079</v>
      </c>
      <c r="E1539" s="2" t="n">
        <f aca="false">Schedule!Q98</f>
        <v>0.0527505320407448</v>
      </c>
      <c r="F1539" s="2" t="n">
        <f aca="false">Schedule!V98</f>
        <v>0.435456064137962</v>
      </c>
      <c r="G1539" s="2" t="n">
        <f aca="false">Schedule!AA98</f>
        <v>0.828943873691518</v>
      </c>
      <c r="H1539" s="2" t="n">
        <f aca="false">Schedule!AF98</f>
        <v>0.502493373019601</v>
      </c>
      <c r="I1539" s="2" t="n">
        <f aca="false">Schedule!AK98</f>
        <v>0.928197877824584</v>
      </c>
      <c r="J1539" s="2" t="n">
        <f aca="false">Schedule!AP98</f>
        <v>0.274253117750074</v>
      </c>
      <c r="K1539" s="2" t="n">
        <f aca="false">Schedule!AU98</f>
        <v>0.58901036286873</v>
      </c>
      <c r="L1539" s="2" t="n">
        <f aca="false">Schedule!AZ98</f>
        <v>0.601121098652944</v>
      </c>
      <c r="M1539" s="2" t="n">
        <f aca="false">Schedule!BE98</f>
        <v>0.629772172275028</v>
      </c>
      <c r="N1539" s="2" t="n">
        <f aca="false">Schedule!BJ98</f>
        <v>0.527405690960468</v>
      </c>
      <c r="O1539" s="2" t="n">
        <f aca="false">Schedule!BO98</f>
        <v>0</v>
      </c>
    </row>
    <row r="1540" customFormat="false" ht="15" hidden="false" customHeight="false" outlineLevel="0" collapsed="false">
      <c r="B1540" s="2" t="n">
        <v>0</v>
      </c>
      <c r="C1540" s="2" t="n">
        <f aca="false">1-C$1539</f>
        <v>0.100052934477426</v>
      </c>
      <c r="D1540" s="2" t="n">
        <f aca="false">C1540*(1-D$1539)</f>
        <v>0.00112727928261521</v>
      </c>
      <c r="E1540" s="2" t="n">
        <f aca="false">D1540*(1-E$1539)</f>
        <v>0.00106781470069875</v>
      </c>
      <c r="F1540" s="2" t="n">
        <f aca="false">E1540*(1-F$1539)</f>
        <v>0.000602828313903815</v>
      </c>
      <c r="G1540" s="2" t="n">
        <f aca="false">F1540*(1-G$1539)</f>
        <v>0.00010311747620546</v>
      </c>
      <c r="H1540" s="2" t="n">
        <f aca="false">G1540*(1-H$1539)</f>
        <v>5.130162776971E-005</v>
      </c>
      <c r="I1540" s="2" t="n">
        <f aca="false">H1540*(1-I$1539)</f>
        <v>3.68356574491844E-006</v>
      </c>
      <c r="J1540" s="2" t="n">
        <f aca="false">I1540*(1-J$1539)</f>
        <v>2.67333635493718E-006</v>
      </c>
      <c r="K1540" s="2" t="n">
        <f aca="false">J1540*(1-K$1539)</f>
        <v>1.09871353844547E-006</v>
      </c>
      <c r="L1540" s="2" t="n">
        <f aca="false">K1540*(1-L$1539)</f>
        <v>4.38253649110264E-007</v>
      </c>
      <c r="M1540" s="2" t="n">
        <f aca="false">L1540*(1-M$1539)</f>
        <v>1.62253696502635E-007</v>
      </c>
      <c r="N1540" s="2" t="n">
        <f aca="false">M1540*(1-N$1539)</f>
        <v>7.66801735877729E-008</v>
      </c>
      <c r="O1540" s="2" t="n">
        <f aca="false">N1540*(1-O$1539)</f>
        <v>7.66801735877729E-008</v>
      </c>
    </row>
    <row r="1541" customFormat="false" ht="15" hidden="false" customHeight="false" outlineLevel="0" collapsed="false">
      <c r="B1541" s="2" t="n">
        <v>1</v>
      </c>
      <c r="C1541" s="2" t="n">
        <f aca="false">C$1539</f>
        <v>0.899947065522574</v>
      </c>
      <c r="D1541" s="2" t="n">
        <f aca="false">C1541*(1-D$1539)+C1540*D$1539</f>
        <v>0.109065204701406</v>
      </c>
      <c r="E1541" s="2" t="n">
        <f aca="false">D1541*(1-E$1539)+D1540*E$1539</f>
        <v>0.10337142170819</v>
      </c>
      <c r="F1541" s="2" t="n">
        <f aca="false">E1541*(1-F$1539)+E1540*F$1539</f>
        <v>0.0588226956535911</v>
      </c>
      <c r="G1541" s="2" t="n">
        <f aca="false">F1541*(1-G$1539)+F1540*G$1539</f>
        <v>0.0105616932952244</v>
      </c>
      <c r="H1541" s="2" t="n">
        <f aca="false">G1541*(1-H$1539)+G1540*H$1539</f>
        <v>0.00530632825494435</v>
      </c>
      <c r="I1541" s="2" t="n">
        <f aca="false">H1541*(1-I$1539)+H1540*I$1539</f>
        <v>0.000428623691689168</v>
      </c>
      <c r="J1541" s="2" t="n">
        <f aca="false">I1541*(1-J$1539)+I1540*J$1539</f>
        <v>0.000312082537291849</v>
      </c>
      <c r="K1541" s="2" t="n">
        <f aca="false">J1541*(1-K$1539)+J1540*K$1539</f>
        <v>0.000129837311573075</v>
      </c>
      <c r="L1541" s="2" t="n">
        <f aca="false">K1541*(1-L$1539)+K1540*L$1539</f>
        <v>5.24498240834587E-005</v>
      </c>
      <c r="M1541" s="2" t="n">
        <f aca="false">L1541*(1-M$1539)+L1540*M$1539</f>
        <v>1.96943843875835E-005</v>
      </c>
      <c r="N1541" s="2" t="n">
        <f aca="false">M1541*(1-N$1539)+M1540*N$1539</f>
        <v>9.39302750452383E-006</v>
      </c>
      <c r="O1541" s="2" t="n">
        <f aca="false">N1541*(1-O$1539)+N1540*O$1539</f>
        <v>9.39302750452383E-006</v>
      </c>
    </row>
    <row r="1542" customFormat="false" ht="15" hidden="false" customHeight="false" outlineLevel="0" collapsed="false">
      <c r="B1542" s="2" t="n">
        <v>2</v>
      </c>
      <c r="C1542" s="2" t="n">
        <f aca="false">0</f>
        <v>0</v>
      </c>
      <c r="D1542" s="2" t="n">
        <f aca="false">C1542*(1-D$1539)+C1541*D$1539</f>
        <v>0.889807516015979</v>
      </c>
      <c r="E1542" s="2" t="n">
        <f aca="false">D1542*(1-E$1539)+D1541*E$1539</f>
        <v>0.848622943707415</v>
      </c>
      <c r="F1542" s="2" t="n">
        <f aca="false">E1542*(1-F$1539)+E1541*F$1539</f>
        <v>0.524098649144807</v>
      </c>
      <c r="G1542" s="2" t="n">
        <f aca="false">F1542*(1-G$1539)+F1541*G$1539</f>
        <v>0.138410997922284</v>
      </c>
      <c r="H1542" s="2" t="n">
        <f aca="false">G1542*(1-H$1539)+G1541*H$1539</f>
        <v>0.0741675696020223</v>
      </c>
      <c r="I1542" s="2" t="n">
        <f aca="false">H1542*(1-I$1539)+H1541*I$1539</f>
        <v>0.0102507115192981</v>
      </c>
      <c r="J1542" s="2" t="n">
        <f aca="false">I1542*(1-J$1539)+I1541*J$1539</f>
        <v>0.00755697330976127</v>
      </c>
      <c r="K1542" s="2" t="n">
        <f aca="false">J1542*(1-K$1539)+J1541*K$1539</f>
        <v>0.00328965756692475</v>
      </c>
      <c r="L1542" s="2" t="n">
        <f aca="false">K1542*(1-L$1539)+K1541*L$1539</f>
        <v>0.00139022294348192</v>
      </c>
      <c r="M1542" s="2" t="n">
        <f aca="false">L1542*(1-M$1539)+L1541*M$1539</f>
        <v>0.000547730660067213</v>
      </c>
      <c r="N1542" s="2" t="n">
        <f aca="false">M1542*(1-N$1539)+M1541*N$1539</f>
        <v>0.000269241323240206</v>
      </c>
      <c r="O1542" s="2" t="n">
        <f aca="false">N1542*(1-O$1539)+N1541*O$1539</f>
        <v>0.000269241323240206</v>
      </c>
    </row>
    <row r="1543" customFormat="false" ht="15" hidden="false" customHeight="false" outlineLevel="0" collapsed="false">
      <c r="B1543" s="2" t="n">
        <v>3</v>
      </c>
      <c r="C1543" s="2" t="n">
        <f aca="false">0</f>
        <v>0</v>
      </c>
      <c r="D1543" s="2" t="n">
        <f aca="false">C1543*(1-D$1539)+C1542*D$1539</f>
        <v>0</v>
      </c>
      <c r="E1543" s="2" t="n">
        <f aca="false">D1543*(1-E$1539)+D1542*E$1539</f>
        <v>0.0469378198836965</v>
      </c>
      <c r="F1543" s="2" t="n">
        <f aca="false">E1543*(1-F$1539)+E1542*F$1539</f>
        <v>0.396036468581927</v>
      </c>
      <c r="G1543" s="2" t="n">
        <f aca="false">F1543*(1-G$1539)+F1542*G$1539</f>
        <v>0.502192828611103</v>
      </c>
      <c r="H1543" s="2" t="n">
        <f aca="false">G1543*(1-H$1539)+G1542*H$1539</f>
        <v>0.319394869465033</v>
      </c>
      <c r="I1543" s="2" t="n">
        <f aca="false">H1543*(1-I$1539)+H1542*I$1539</f>
        <v>0.0917754101475336</v>
      </c>
      <c r="J1543" s="2" t="n">
        <f aca="false">I1543*(1-J$1539)+I1542*J$1539</f>
        <v>0.0694170073751048</v>
      </c>
      <c r="K1543" s="2" t="n">
        <f aca="false">J1543*(1-K$1539)+J1542*K$1539</f>
        <v>0.0329808062632048</v>
      </c>
      <c r="L1543" s="2" t="n">
        <f aca="false">K1543*(1-L$1539)+K1542*L$1539</f>
        <v>0.015132830338629</v>
      </c>
      <c r="M1543" s="2" t="n">
        <f aca="false">L1543*(1-M$1539)+L1542*M$1539</f>
        <v>0.00647811862666438</v>
      </c>
      <c r="N1543" s="2" t="n">
        <f aca="false">M1543*(1-N$1539)+M1542*N$1539</f>
        <v>0.00335039826347756</v>
      </c>
      <c r="O1543" s="2" t="n">
        <f aca="false">N1543*(1-O$1539)+N1542*O$1539</f>
        <v>0.00335039826347756</v>
      </c>
    </row>
    <row r="1544" customFormat="false" ht="15" hidden="false" customHeight="false" outlineLevel="0" collapsed="false">
      <c r="B1544" s="2" t="n">
        <v>4</v>
      </c>
      <c r="C1544" s="2" t="n">
        <f aca="false">0</f>
        <v>0</v>
      </c>
      <c r="D1544" s="2" t="n">
        <f aca="false">C1544*(1-D$1539)+C1543*D$1539</f>
        <v>0</v>
      </c>
      <c r="E1544" s="2" t="n">
        <f aca="false">D1544*(1-E$1539)+D1543*E$1539</f>
        <v>0</v>
      </c>
      <c r="F1544" s="2" t="n">
        <f aca="false">E1544*(1-F$1539)+E1543*F$1539</f>
        <v>0.020439358305771</v>
      </c>
      <c r="G1544" s="2" t="n">
        <f aca="false">F1544*(1-G$1539)+F1543*G$1539</f>
        <v>0.331788281845428</v>
      </c>
      <c r="H1544" s="2" t="n">
        <f aca="false">G1544*(1-H$1539)+G1543*H$1539</f>
        <v>0.417415437327589</v>
      </c>
      <c r="I1544" s="2" t="n">
        <f aca="false">H1544*(1-I$1539)+H1543*I$1539</f>
        <v>0.326432954254404</v>
      </c>
      <c r="J1544" s="2" t="n">
        <f aca="false">I1544*(1-J$1539)+I1543*J$1539</f>
        <v>0.262077391179519</v>
      </c>
      <c r="K1544" s="2" t="n">
        <f aca="false">J1544*(1-K$1539)+J1543*K$1539</f>
        <v>0.148598428604452</v>
      </c>
      <c r="L1544" s="2" t="n">
        <f aca="false">K1544*(1-L$1539)+K1543*L$1539</f>
        <v>0.0790982364390405</v>
      </c>
      <c r="M1544" s="2" t="n">
        <f aca="false">L1544*(1-M$1539)+L1543*M$1539</f>
        <v>0.0388146036887301</v>
      </c>
      <c r="N1544" s="2" t="n">
        <f aca="false">M1544*(1-N$1539)+M1543*N$1539</f>
        <v>0.0217601574413385</v>
      </c>
      <c r="O1544" s="2" t="n">
        <f aca="false">N1544*(1-O$1539)+N1543*O$1539</f>
        <v>0.0217601574413385</v>
      </c>
    </row>
    <row r="1545" customFormat="false" ht="15" hidden="false" customHeight="false" outlineLevel="0" collapsed="false">
      <c r="B1545" s="2" t="n">
        <v>5</v>
      </c>
      <c r="C1545" s="2" t="n">
        <f aca="false">0</f>
        <v>0</v>
      </c>
      <c r="D1545" s="2" t="n">
        <f aca="false">C1545*(1-D$1539)+C1544*D$1539</f>
        <v>0</v>
      </c>
      <c r="E1545" s="2" t="n">
        <f aca="false">D1545*(1-E$1539)+D1544*E$1539</f>
        <v>0</v>
      </c>
      <c r="F1545" s="2" t="n">
        <f aca="false">E1545*(1-F$1539)+E1544*F$1539</f>
        <v>0</v>
      </c>
      <c r="G1545" s="2" t="n">
        <f aca="false">F1545*(1-G$1539)+F1544*G$1539</f>
        <v>0.0169430808497547</v>
      </c>
      <c r="H1545" s="2" t="n">
        <f aca="false">G1545*(1-H$1539)+G1544*H$1539</f>
        <v>0.175150707877105</v>
      </c>
      <c r="I1545" s="2" t="n">
        <f aca="false">H1545*(1-I$1539)+H1544*I$1539</f>
        <v>0.400020315624791</v>
      </c>
      <c r="J1545" s="2" t="n">
        <f aca="false">I1545*(1-J$1539)+I1544*J$1539</f>
        <v>0.379838752341961</v>
      </c>
      <c r="K1545" s="2" t="n">
        <f aca="false">J1545*(1-K$1539)+J1544*K$1539</f>
        <v>0.310476090271756</v>
      </c>
      <c r="L1545" s="2" t="n">
        <f aca="false">K1545*(1-L$1539)+K1544*L$1539</f>
        <v>0.213168012442937</v>
      </c>
      <c r="M1545" s="2" t="n">
        <f aca="false">L1545*(1-M$1539)+L1544*M$1539</f>
        <v>0.128734598372537</v>
      </c>
      <c r="N1545" s="2" t="n">
        <f aca="false">M1545*(1-N$1539)+M1544*N$1539</f>
        <v>0.081310281445162</v>
      </c>
      <c r="O1545" s="2" t="n">
        <f aca="false">N1545*(1-O$1539)+N1544*O$1539</f>
        <v>0.081310281445162</v>
      </c>
    </row>
    <row r="1546" customFormat="false" ht="15" hidden="false" customHeight="false" outlineLevel="0" collapsed="false">
      <c r="B1546" s="2" t="n">
        <v>6</v>
      </c>
      <c r="C1546" s="2" t="n">
        <f aca="false">0</f>
        <v>0</v>
      </c>
      <c r="D1546" s="2" t="n">
        <f aca="false">C1546*(1-D$1539)+C1545*D$1539</f>
        <v>0</v>
      </c>
      <c r="E1546" s="2" t="n">
        <f aca="false">D1546*(1-E$1539)+D1545*E$1539</f>
        <v>0</v>
      </c>
      <c r="F1546" s="2" t="n">
        <f aca="false">E1546*(1-F$1539)+E1545*F$1539</f>
        <v>0</v>
      </c>
      <c r="G1546" s="2" t="n">
        <f aca="false">F1546*(1-G$1539)+F1545*G$1539</f>
        <v>0</v>
      </c>
      <c r="H1546" s="2" t="n">
        <f aca="false">G1546*(1-H$1539)+G1545*H$1539</f>
        <v>0.00851378584553707</v>
      </c>
      <c r="I1546" s="2" t="n">
        <f aca="false">H1546*(1-I$1539)+H1545*I$1539</f>
        <v>0.163185823242459</v>
      </c>
      <c r="J1546" s="2" t="n">
        <f aca="false">I1546*(1-J$1539)+I1545*J$1539</f>
        <v>0.22813842116907</v>
      </c>
      <c r="K1546" s="2" t="n">
        <f aca="false">J1546*(1-K$1539)+J1545*K$1539</f>
        <v>0.317491488280521</v>
      </c>
      <c r="L1546" s="2" t="n">
        <f aca="false">K1546*(1-L$1539)+K1545*L$1539</f>
        <v>0.313274384522004</v>
      </c>
      <c r="M1546" s="2" t="n">
        <f aca="false">L1546*(1-M$1539)+L1545*M$1539</f>
        <v>0.250230177119198</v>
      </c>
      <c r="N1546" s="2" t="n">
        <f aca="false">M1546*(1-N$1539)+M1545*N$1539</f>
        <v>0.186152717461673</v>
      </c>
      <c r="O1546" s="2" t="n">
        <f aca="false">N1546*(1-O$1539)+N1545*O$1539</f>
        <v>0.186152717461673</v>
      </c>
    </row>
    <row r="1547" customFormat="false" ht="15" hidden="false" customHeight="false" outlineLevel="0" collapsed="false">
      <c r="B1547" s="2" t="n">
        <v>7</v>
      </c>
      <c r="C1547" s="2" t="n">
        <f aca="false">0</f>
        <v>0</v>
      </c>
      <c r="D1547" s="2" t="n">
        <f aca="false">C1547*(1-D$1539)+C1546*D$1539</f>
        <v>0</v>
      </c>
      <c r="E1547" s="2" t="n">
        <f aca="false">D1547*(1-E$1539)+D1546*E$1539</f>
        <v>0</v>
      </c>
      <c r="F1547" s="2" t="n">
        <f aca="false">E1547*(1-F$1539)+E1546*F$1539</f>
        <v>0</v>
      </c>
      <c r="G1547" s="2" t="n">
        <f aca="false">F1547*(1-G$1539)+F1546*G$1539</f>
        <v>0</v>
      </c>
      <c r="H1547" s="2" t="n">
        <f aca="false">G1547*(1-H$1539)+G1546*H$1539</f>
        <v>0</v>
      </c>
      <c r="I1547" s="2" t="n">
        <f aca="false">H1547*(1-I$1539)+H1546*I$1539</f>
        <v>0.00790247795408049</v>
      </c>
      <c r="J1547" s="2" t="n">
        <f aca="false">I1547*(1-J$1539)+I1546*J$1539</f>
        <v>0.0504894195340795</v>
      </c>
      <c r="K1547" s="2" t="n">
        <f aca="false">J1547*(1-K$1539)+J1546*K$1539</f>
        <v>0.155126522450373</v>
      </c>
      <c r="L1547" s="2" t="n">
        <f aca="false">K1547*(1-L$1539)+K1546*L$1539</f>
        <v>0.252727529092939</v>
      </c>
      <c r="M1547" s="2" t="n">
        <f aca="false">L1547*(1-M$1539)+L1546*M$1539</f>
        <v>0.290858253760923</v>
      </c>
      <c r="N1547" s="2" t="n">
        <f aca="false">M1547*(1-N$1539)+M1546*N$1539</f>
        <v>0.269430774927299</v>
      </c>
      <c r="O1547" s="2" t="n">
        <f aca="false">N1547*(1-O$1539)+N1546*O$1539</f>
        <v>0.269430774927299</v>
      </c>
    </row>
    <row r="1548" customFormat="false" ht="15" hidden="false" customHeight="false" outlineLevel="0" collapsed="false">
      <c r="B1548" s="2" t="n">
        <v>8</v>
      </c>
      <c r="C1548" s="2" t="n">
        <f aca="false">0</f>
        <v>0</v>
      </c>
      <c r="D1548" s="2" t="n">
        <f aca="false">C1548*(1-D$1539)+C1547*D$1539</f>
        <v>0</v>
      </c>
      <c r="E1548" s="2" t="n">
        <f aca="false">D1548*(1-E$1539)+D1547*E$1539</f>
        <v>0</v>
      </c>
      <c r="F1548" s="2" t="n">
        <f aca="false">E1548*(1-F$1539)+E1547*F$1539</f>
        <v>0</v>
      </c>
      <c r="G1548" s="2" t="n">
        <f aca="false">F1548*(1-G$1539)+F1547*G$1539</f>
        <v>0</v>
      </c>
      <c r="H1548" s="2" t="n">
        <f aca="false">G1548*(1-H$1539)+G1547*H$1539</f>
        <v>0</v>
      </c>
      <c r="I1548" s="2" t="n">
        <f aca="false">H1548*(1-I$1539)+H1547*I$1539</f>
        <v>0</v>
      </c>
      <c r="J1548" s="2" t="n">
        <f aca="false">I1548*(1-J$1539)+I1547*J$1539</f>
        <v>0.0021672792168578</v>
      </c>
      <c r="K1548" s="2" t="n">
        <f aca="false">J1548*(1-K$1539)+J1547*K$1539</f>
        <v>0.0306295206196982</v>
      </c>
      <c r="L1548" s="2" t="n">
        <f aca="false">K1548*(1-L$1539)+K1547*L$1539</f>
        <v>0.105467295139151</v>
      </c>
      <c r="M1548" s="2" t="n">
        <f aca="false">L1548*(1-M$1539)+L1547*M$1539</f>
        <v>0.198207692565957</v>
      </c>
      <c r="N1548" s="2" t="n">
        <f aca="false">M1548*(1-N$1539)+M1547*N$1539</f>
        <v>0.247072125810863</v>
      </c>
      <c r="O1548" s="2" t="n">
        <f aca="false">N1548*(1-O$1539)+N1547*O$1539</f>
        <v>0.247072125810863</v>
      </c>
    </row>
    <row r="1549" customFormat="false" ht="15" hidden="false" customHeight="false" outlineLevel="0" collapsed="false">
      <c r="B1549" s="2" t="n">
        <v>9</v>
      </c>
      <c r="C1549" s="2" t="n">
        <f aca="false">0</f>
        <v>0</v>
      </c>
      <c r="D1549" s="2" t="n">
        <f aca="false">C1549*(1-D$1539)+C1548*D$1539</f>
        <v>0</v>
      </c>
      <c r="E1549" s="2" t="n">
        <f aca="false">D1549*(1-E$1539)+D1548*E$1539</f>
        <v>0</v>
      </c>
      <c r="F1549" s="2" t="n">
        <f aca="false">E1549*(1-F$1539)+E1548*F$1539</f>
        <v>0</v>
      </c>
      <c r="G1549" s="2" t="n">
        <f aca="false">F1549*(1-G$1539)+F1548*G$1539</f>
        <v>0</v>
      </c>
      <c r="H1549" s="2" t="n">
        <f aca="false">G1549*(1-H$1539)+G1548*H$1539</f>
        <v>0</v>
      </c>
      <c r="I1549" s="2" t="n">
        <f aca="false">H1549*(1-I$1539)+H1548*I$1539</f>
        <v>0</v>
      </c>
      <c r="J1549" s="2" t="n">
        <f aca="false">I1549*(1-J$1539)+I1548*J$1539</f>
        <v>0</v>
      </c>
      <c r="K1549" s="2" t="n">
        <f aca="false">J1549*(1-K$1539)+J1548*K$1539</f>
        <v>0.00127654991795927</v>
      </c>
      <c r="L1549" s="2" t="n">
        <f aca="false">K1549*(1-L$1539)+K1548*L$1539</f>
        <v>0.0189212399149163</v>
      </c>
      <c r="M1549" s="2" t="n">
        <f aca="false">L1549*(1-M$1539)+L1548*M$1539</f>
        <v>0.0734255371153169</v>
      </c>
      <c r="N1549" s="2" t="n">
        <f aca="false">M1549*(1-N$1539)+M1548*N$1539</f>
        <v>0.139236356030298</v>
      </c>
      <c r="O1549" s="2" t="n">
        <f aca="false">N1549*(1-O$1539)+N1548*O$1539</f>
        <v>0.139236356030298</v>
      </c>
    </row>
    <row r="1550" customFormat="false" ht="15" hidden="false" customHeight="false" outlineLevel="0" collapsed="false">
      <c r="B1550" s="2" t="n">
        <v>10</v>
      </c>
      <c r="C1550" s="2" t="n">
        <f aca="false">0</f>
        <v>0</v>
      </c>
      <c r="D1550" s="2" t="n">
        <f aca="false">C1550*(1-D$1539)+C1549*D$1539</f>
        <v>0</v>
      </c>
      <c r="E1550" s="2" t="n">
        <f aca="false">D1550*(1-E$1539)+D1549*E$1539</f>
        <v>0</v>
      </c>
      <c r="F1550" s="2" t="n">
        <f aca="false">E1550*(1-F$1539)+E1549*F$1539</f>
        <v>0</v>
      </c>
      <c r="G1550" s="2" t="n">
        <f aca="false">F1550*(1-G$1539)+F1549*G$1539</f>
        <v>0</v>
      </c>
      <c r="H1550" s="2" t="n">
        <f aca="false">G1550*(1-H$1539)+G1549*H$1539</f>
        <v>0</v>
      </c>
      <c r="I1550" s="2" t="n">
        <f aca="false">H1550*(1-I$1539)+H1549*I$1539</f>
        <v>0</v>
      </c>
      <c r="J1550" s="2" t="n">
        <f aca="false">I1550*(1-J$1539)+I1549*J$1539</f>
        <v>0</v>
      </c>
      <c r="K1550" s="2" t="n">
        <f aca="false">J1550*(1-K$1539)+J1549*K$1539</f>
        <v>0</v>
      </c>
      <c r="L1550" s="2" t="n">
        <f aca="false">K1550*(1-L$1539)+K1549*L$1539</f>
        <v>0.000767361089169</v>
      </c>
      <c r="M1550" s="2" t="n">
        <f aca="false">L1550*(1-M$1539)+L1549*M$1539</f>
        <v>0.0122001687924775</v>
      </c>
      <c r="N1550" s="2" t="n">
        <f aca="false">M1550*(1-N$1539)+M1549*N$1539</f>
        <v>0.0444907764770938</v>
      </c>
      <c r="O1550" s="2" t="n">
        <f aca="false">N1550*(1-O$1539)+N1549*O$1539</f>
        <v>0.0444907764770938</v>
      </c>
    </row>
    <row r="1551" customFormat="false" ht="15" hidden="false" customHeight="false" outlineLevel="0" collapsed="false">
      <c r="B1551" s="2" t="n">
        <v>11</v>
      </c>
      <c r="C1551" s="2" t="n">
        <f aca="false">0</f>
        <v>0</v>
      </c>
      <c r="D1551" s="2" t="n">
        <f aca="false">C1551*(1-D$1539)+C1550*D$1539</f>
        <v>0</v>
      </c>
      <c r="E1551" s="2" t="n">
        <f aca="false">D1551*(1-E$1539)+D1550*E$1539</f>
        <v>0</v>
      </c>
      <c r="F1551" s="2" t="n">
        <f aca="false">E1551*(1-F$1539)+E1550*F$1539</f>
        <v>0</v>
      </c>
      <c r="G1551" s="2" t="n">
        <f aca="false">F1551*(1-G$1539)+F1550*G$1539</f>
        <v>0</v>
      </c>
      <c r="H1551" s="2" t="n">
        <f aca="false">G1551*(1-H$1539)+G1550*H$1539</f>
        <v>0</v>
      </c>
      <c r="I1551" s="2" t="n">
        <f aca="false">H1551*(1-I$1539)+H1550*I$1539</f>
        <v>0</v>
      </c>
      <c r="J1551" s="2" t="n">
        <f aca="false">I1551*(1-J$1539)+I1550*J$1539</f>
        <v>0</v>
      </c>
      <c r="K1551" s="2" t="n">
        <f aca="false">J1551*(1-K$1539)+J1550*K$1539</f>
        <v>0</v>
      </c>
      <c r="L1551" s="2" t="n">
        <f aca="false">K1551*(1-L$1539)+K1550*L$1539</f>
        <v>0</v>
      </c>
      <c r="M1551" s="2" t="n">
        <f aca="false">L1551*(1-M$1539)+L1550*M$1539</f>
        <v>0.000483262660045292</v>
      </c>
      <c r="N1551" s="2" t="n">
        <f aca="false">M1551*(1-N$1539)+M1550*N$1539</f>
        <v>0.00666282563473964</v>
      </c>
      <c r="O1551" s="2" t="n">
        <f aca="false">N1551*(1-O$1539)+N1550*O$1539</f>
        <v>0.00666282563473964</v>
      </c>
    </row>
    <row r="1552" customFormat="false" ht="15" hidden="false" customHeight="false" outlineLevel="0" collapsed="false">
      <c r="B1552" s="2" t="n">
        <v>12</v>
      </c>
      <c r="C1552" s="2" t="n">
        <f aca="false">0</f>
        <v>0</v>
      </c>
      <c r="D1552" s="2" t="n">
        <f aca="false">C1552*(1-D$1539)+C1551*D$1539</f>
        <v>0</v>
      </c>
      <c r="E1552" s="2" t="n">
        <f aca="false">D1552*(1-E$1539)+D1551*E$1539</f>
        <v>0</v>
      </c>
      <c r="F1552" s="2" t="n">
        <f aca="false">E1552*(1-F$1539)+E1551*F$1539</f>
        <v>0</v>
      </c>
      <c r="G1552" s="2" t="n">
        <f aca="false">F1552*(1-G$1539)+F1551*G$1539</f>
        <v>0</v>
      </c>
      <c r="H1552" s="2" t="n">
        <f aca="false">G1552*(1-H$1539)+G1551*H$1539</f>
        <v>0</v>
      </c>
      <c r="I1552" s="2" t="n">
        <f aca="false">H1552*(1-I$1539)+H1551*I$1539</f>
        <v>0</v>
      </c>
      <c r="J1552" s="2" t="n">
        <f aca="false">I1552*(1-J$1539)+I1551*J$1539</f>
        <v>0</v>
      </c>
      <c r="K1552" s="2" t="n">
        <f aca="false">J1552*(1-K$1539)+J1551*K$1539</f>
        <v>0</v>
      </c>
      <c r="L1552" s="2" t="n">
        <f aca="false">K1552*(1-L$1539)+K1551*L$1539</f>
        <v>0</v>
      </c>
      <c r="M1552" s="2" t="n">
        <f aca="false">L1552*(1-M$1539)+L1551*M$1539</f>
        <v>0</v>
      </c>
      <c r="N1552" s="2" t="n">
        <f aca="false">M1552*(1-N$1539)+M1551*N$1539</f>
        <v>0.000254875477136581</v>
      </c>
      <c r="O1552" s="2" t="n">
        <f aca="false">N1552*(1-O$1539)+N1551*O$1539</f>
        <v>0.000254875477136581</v>
      </c>
    </row>
    <row r="1553" customFormat="false" ht="15" hidden="false" customHeight="false" outlineLevel="0" collapsed="false">
      <c r="B1553" s="2" t="n">
        <v>13</v>
      </c>
      <c r="C1553" s="2" t="n">
        <f aca="false">0</f>
        <v>0</v>
      </c>
      <c r="D1553" s="2" t="n">
        <f aca="false">C1553*(1-D$1539)+C1552*D$1539</f>
        <v>0</v>
      </c>
      <c r="E1553" s="2" t="n">
        <f aca="false">D1553*(1-E$1539)+D1552*E$1539</f>
        <v>0</v>
      </c>
      <c r="F1553" s="2" t="n">
        <f aca="false">E1553*(1-F$1539)+E1552*F$1539</f>
        <v>0</v>
      </c>
      <c r="G1553" s="2" t="n">
        <f aca="false">F1553*(1-G$1539)+F1552*G$1539</f>
        <v>0</v>
      </c>
      <c r="H1553" s="2" t="n">
        <f aca="false">G1553*(1-H$1539)+G1552*H$1539</f>
        <v>0</v>
      </c>
      <c r="I1553" s="2" t="n">
        <f aca="false">H1553*(1-I$1539)+H1552*I$1539</f>
        <v>0</v>
      </c>
      <c r="J1553" s="2" t="n">
        <f aca="false">I1553*(1-J$1539)+I1552*J$1539</f>
        <v>0</v>
      </c>
      <c r="K1553" s="2" t="n">
        <f aca="false">J1553*(1-K$1539)+J1552*K$1539</f>
        <v>0</v>
      </c>
      <c r="L1553" s="2" t="n">
        <f aca="false">K1553*(1-L$1539)+K1552*L$1539</f>
        <v>0</v>
      </c>
      <c r="M1553" s="2" t="n">
        <f aca="false">L1553*(1-M$1539)+L1552*M$1539</f>
        <v>0</v>
      </c>
      <c r="N1553" s="2" t="n">
        <f aca="false">M1553*(1-N$1539)+M1552*N$1539</f>
        <v>0</v>
      </c>
      <c r="O1553" s="2" t="n">
        <f aca="false">N1553*(1-O$1539)+N1552*O$1539</f>
        <v>0</v>
      </c>
    </row>
    <row r="1555" customFormat="false" ht="15" hidden="false" customHeight="false" outlineLevel="0" collapsed="false">
      <c r="A1555" s="1" t="s">
        <v>155</v>
      </c>
      <c r="C1555" s="2" t="n">
        <f aca="false">Schedule!G99</f>
        <v>0.0463571826523206</v>
      </c>
      <c r="D1555" s="2" t="n">
        <f aca="false">Schedule!L99</f>
        <v>0.90319951541439</v>
      </c>
      <c r="E1555" s="2" t="n">
        <f aca="false">Schedule!Q99</f>
        <v>0.700208404531304</v>
      </c>
      <c r="F1555" s="2" t="n">
        <f aca="false">Schedule!V99</f>
        <v>0.961532197917867</v>
      </c>
      <c r="G1555" s="2" t="n">
        <f aca="false">Schedule!AA99</f>
        <v>0.270103499001235</v>
      </c>
      <c r="H1555" s="2" t="n">
        <f aca="false">Schedule!AF99</f>
        <v>0.713112298183635</v>
      </c>
      <c r="I1555" s="2" t="n">
        <f aca="false">Schedule!AK99</f>
        <v>0.710980018637507</v>
      </c>
      <c r="J1555" s="2" t="n">
        <f aca="false">Schedule!AP99</f>
        <v>0.406134459600758</v>
      </c>
      <c r="K1555" s="2" t="n">
        <f aca="false">Schedule!AU99</f>
        <v>0.502493373019601</v>
      </c>
      <c r="L1555" s="2" t="n">
        <f aca="false">Schedule!AZ99</f>
        <v>0.669125611959121</v>
      </c>
      <c r="M1555" s="2" t="n">
        <f aca="false">Schedule!BE99</f>
        <v>0.929893728288777</v>
      </c>
      <c r="N1555" s="2" t="n">
        <f aca="false">Schedule!BJ99</f>
        <v>0.872335337703716</v>
      </c>
      <c r="O1555" s="2" t="n">
        <f aca="false">Schedule!BO99</f>
        <v>0</v>
      </c>
    </row>
    <row r="1556" customFormat="false" ht="15" hidden="false" customHeight="false" outlineLevel="0" collapsed="false">
      <c r="B1556" s="2" t="n">
        <v>0</v>
      </c>
      <c r="C1556" s="2" t="n">
        <f aca="false">1-C$1555</f>
        <v>0.953642817347679</v>
      </c>
      <c r="D1556" s="2" t="n">
        <f aca="false">C1556*(1-D$1555)</f>
        <v>0.092313086840842</v>
      </c>
      <c r="E1556" s="2" t="n">
        <f aca="false">D1556*(1-E$1555)</f>
        <v>0.0276746875866563</v>
      </c>
      <c r="F1556" s="2" t="n">
        <f aca="false">E1556*(1-F$1555)</f>
        <v>0.00106458440476835</v>
      </c>
      <c r="G1556" s="2" t="n">
        <f aca="false">F1556*(1-G$1555)</f>
        <v>0.000777036432058269</v>
      </c>
      <c r="H1556" s="2" t="n">
        <f aca="false">G1556*(1-H$1555)</f>
        <v>0.000222922196220785</v>
      </c>
      <c r="I1556" s="2" t="n">
        <f aca="false">H1556*(1-I$1555)</f>
        <v>6.44289689970174E-005</v>
      </c>
      <c r="J1556" s="2" t="n">
        <f aca="false">I1556*(1-J$1555)</f>
        <v>3.82621444907798E-005</v>
      </c>
      <c r="K1556" s="2" t="n">
        <f aca="false">J1556*(1-K$1555)</f>
        <v>1.90356704466445E-005</v>
      </c>
      <c r="L1556" s="2" t="n">
        <f aca="false">K1556*(1-L$1555)</f>
        <v>6.29841580998134E-006</v>
      </c>
      <c r="M1556" s="2" t="n">
        <f aca="false">L1556*(1-M$1555)</f>
        <v>4.41558450124815E-007</v>
      </c>
      <c r="N1556" s="2" t="n">
        <f aca="false">M1556*(1-N$1555)</f>
        <v>5.6371410419255E-008</v>
      </c>
      <c r="O1556" s="2" t="n">
        <f aca="false">N1556*(1-O$1555)</f>
        <v>5.6371410419255E-008</v>
      </c>
    </row>
    <row r="1557" customFormat="false" ht="15" hidden="false" customHeight="false" outlineLevel="0" collapsed="false">
      <c r="B1557" s="2" t="n">
        <v>1</v>
      </c>
      <c r="C1557" s="2" t="n">
        <f aca="false">C$1555</f>
        <v>0.0463571826523206</v>
      </c>
      <c r="D1557" s="2" t="n">
        <f aca="false">C1557*(1-D$1555)+C1556*D$1555</f>
        <v>0.865817128251606</v>
      </c>
      <c r="E1557" s="2" t="n">
        <f aca="false">D1557*(1-E$1555)+D1556*E$1555</f>
        <v>0.324203097516859</v>
      </c>
      <c r="F1557" s="2" t="n">
        <f aca="false">E1557*(1-F$1555)+E1556*F$1555</f>
        <v>0.0390814837715808</v>
      </c>
      <c r="G1557" s="2" t="n">
        <f aca="false">F1557*(1-G$1555)+F1556*G$1555</f>
        <v>0.0288129862314269</v>
      </c>
      <c r="H1557" s="2" t="n">
        <f aca="false">G1557*(1-H$1555)+G1556*H$1555</f>
        <v>0.00882020563823813</v>
      </c>
      <c r="I1557" s="2" t="n">
        <f aca="false">H1557*(1-I$1555)+H1556*I$1555</f>
        <v>0.00270770889640071</v>
      </c>
      <c r="J1557" s="2" t="n">
        <f aca="false">I1557*(1-J$1555)+I1556*J$1555</f>
        <v>0.00163418183151108</v>
      </c>
      <c r="K1557" s="2" t="n">
        <f aca="false">J1557*(1-K$1555)+J1556*K$1555</f>
        <v>0.000832242764911864</v>
      </c>
      <c r="L1557" s="2" t="n">
        <f aca="false">K1557*(1-L$1555)+K1556*L$1555</f>
        <v>0.000288105070178325</v>
      </c>
      <c r="M1557" s="2" t="n">
        <f aca="false">L1557*(1-M$1555)+L1556*M$1555</f>
        <v>2.60548296911592E-005</v>
      </c>
      <c r="N1557" s="2" t="n">
        <f aca="false">M1557*(1-N$1555)+M1556*N$1555</f>
        <v>3.71146807341459E-006</v>
      </c>
      <c r="O1557" s="2" t="n">
        <f aca="false">N1557*(1-O$1555)+N1556*O$1555</f>
        <v>3.71146807341459E-006</v>
      </c>
    </row>
    <row r="1558" customFormat="false" ht="15" hidden="false" customHeight="false" outlineLevel="0" collapsed="false">
      <c r="B1558" s="2" t="n">
        <v>2</v>
      </c>
      <c r="C1558" s="2" t="n">
        <f aca="false">0</f>
        <v>0</v>
      </c>
      <c r="D1558" s="2" t="n">
        <f aca="false">C1558*(1-D$1555)+C1557*D$1555</f>
        <v>0.0418697849075523</v>
      </c>
      <c r="E1558" s="2" t="n">
        <f aca="false">D1558*(1-E$1555)+D1557*E$1555</f>
        <v>0.618804639608299</v>
      </c>
      <c r="F1558" s="2" t="n">
        <f aca="false">E1558*(1-F$1555)+E1557*F$1555</f>
        <v>0.335535771331124</v>
      </c>
      <c r="G1558" s="2" t="n">
        <f aca="false">F1558*(1-G$1555)+F1557*G$1555</f>
        <v>0.255462430967373</v>
      </c>
      <c r="H1558" s="2" t="n">
        <f aca="false">G1558*(1-H$1555)+G1557*H$1555</f>
        <v>0.0938359245496777</v>
      </c>
      <c r="I1558" s="2" t="n">
        <f aca="false">H1558*(1-I$1555)+H1557*I$1555</f>
        <v>0.0333914471335414</v>
      </c>
      <c r="J1558" s="2" t="n">
        <f aca="false">I1558*(1-J$1555)+I1557*J$1555</f>
        <v>0.0209297236860691</v>
      </c>
      <c r="K1558" s="2" t="n">
        <f aca="false">J1558*(1-K$1555)+J1557*K$1555</f>
        <v>0.0112338417753314</v>
      </c>
      <c r="L1558" s="2" t="n">
        <f aca="false">K1558*(1-L$1555)+K1557*L$1555</f>
        <v>0.00427386547213103</v>
      </c>
      <c r="M1558" s="2" t="n">
        <f aca="false">L1558*(1-M$1555)+L1557*M$1555</f>
        <v>0.000567531871893456</v>
      </c>
      <c r="N1558" s="2" t="n">
        <f aca="false">M1558*(1-N$1555)+M1557*N$1555</f>
        <v>9.5182313425106E-005</v>
      </c>
      <c r="O1558" s="2" t="n">
        <f aca="false">N1558*(1-O$1555)+N1557*O$1555</f>
        <v>9.5182313425106E-005</v>
      </c>
    </row>
    <row r="1559" customFormat="false" ht="15" hidden="false" customHeight="false" outlineLevel="0" collapsed="false">
      <c r="B1559" s="2" t="n">
        <v>3</v>
      </c>
      <c r="C1559" s="2" t="n">
        <f aca="false">0</f>
        <v>0</v>
      </c>
      <c r="D1559" s="2" t="n">
        <f aca="false">C1559*(1-D$1555)+C1558*D$1555</f>
        <v>0</v>
      </c>
      <c r="E1559" s="2" t="n">
        <f aca="false">D1559*(1-E$1555)+D1558*E$1555</f>
        <v>0.0293175752881861</v>
      </c>
      <c r="F1559" s="2" t="n">
        <f aca="false">E1559*(1-F$1555)+E1558*F$1555</f>
        <v>0.596128367888055</v>
      </c>
      <c r="G1559" s="2" t="n">
        <f aca="false">F1559*(1-G$1555)+F1558*G$1555</f>
        <v>0.525741395744211</v>
      </c>
      <c r="H1559" s="2" t="n">
        <f aca="false">G1559*(1-H$1555)+G1558*H$1555</f>
        <v>0.333002142021506</v>
      </c>
      <c r="I1559" s="2" t="n">
        <f aca="false">H1559*(1-I$1555)+H1558*I$1555</f>
        <v>0.162959740265924</v>
      </c>
      <c r="J1559" s="2" t="n">
        <f aca="false">I1559*(1-J$1555)+I1558*J$1555</f>
        <v>0.110337591553211</v>
      </c>
      <c r="K1559" s="2" t="n">
        <f aca="false">J1559*(1-K$1555)+J1558*K$1555</f>
        <v>0.06541073045416</v>
      </c>
      <c r="L1559" s="2" t="n">
        <f aca="false">K1559*(1-L$1555)+K1558*L$1555</f>
        <v>0.0291595866628976</v>
      </c>
      <c r="M1559" s="2" t="n">
        <f aca="false">L1559*(1-M$1555)+L1558*M$1555</f>
        <v>0.00601851060366066</v>
      </c>
      <c r="N1559" s="2" t="n">
        <f aca="false">M1559*(1-N$1555)+M1558*N$1555</f>
        <v>0.00126342923086874</v>
      </c>
      <c r="O1559" s="2" t="n">
        <f aca="false">N1559*(1-O$1555)+N1558*O$1555</f>
        <v>0.00126342923086874</v>
      </c>
    </row>
    <row r="1560" customFormat="false" ht="15" hidden="false" customHeight="false" outlineLevel="0" collapsed="false">
      <c r="B1560" s="2" t="n">
        <v>4</v>
      </c>
      <c r="C1560" s="2" t="n">
        <f aca="false">0</f>
        <v>0</v>
      </c>
      <c r="D1560" s="2" t="n">
        <f aca="false">C1560*(1-D$1555)+C1559*D$1555</f>
        <v>0</v>
      </c>
      <c r="E1560" s="2" t="n">
        <f aca="false">D1560*(1-E$1555)+D1559*E$1555</f>
        <v>0</v>
      </c>
      <c r="F1560" s="2" t="n">
        <f aca="false">E1560*(1-F$1555)+E1559*F$1555</f>
        <v>0.0281897926044721</v>
      </c>
      <c r="G1560" s="2" t="n">
        <f aca="false">F1560*(1-G$1555)+F1559*G$1555</f>
        <v>0.181591989006344</v>
      </c>
      <c r="H1560" s="2" t="n">
        <f aca="false">G1560*(1-H$1555)+G1559*H$1555</f>
        <v>0.427009163363719</v>
      </c>
      <c r="I1560" s="2" t="n">
        <f aca="false">H1560*(1-I$1555)+H1559*I$1555</f>
        <v>0.360172049577776</v>
      </c>
      <c r="J1560" s="2" t="n">
        <f aca="false">I1560*(1-J$1555)+I1559*J$1555</f>
        <v>0.280077334908789</v>
      </c>
      <c r="K1560" s="2" t="n">
        <f aca="false">J1560*(1-K$1555)+J1559*K$1555</f>
        <v>0.194784238734563</v>
      </c>
      <c r="L1560" s="2" t="n">
        <f aca="false">K1560*(1-L$1555)+K1559*L$1555</f>
        <v>0.10821711083514</v>
      </c>
      <c r="M1560" s="2" t="n">
        <f aca="false">L1560*(1-M$1555)+L1559*M$1555</f>
        <v>0.0347020149333335</v>
      </c>
      <c r="N1560" s="2" t="n">
        <f aca="false">M1560*(1-N$1555)+M1559*N$1555</f>
        <v>0.00968038049738233</v>
      </c>
      <c r="O1560" s="2" t="n">
        <f aca="false">N1560*(1-O$1555)+N1559*O$1555</f>
        <v>0.00968038049738233</v>
      </c>
    </row>
    <row r="1561" customFormat="false" ht="15" hidden="false" customHeight="false" outlineLevel="0" collapsed="false">
      <c r="B1561" s="2" t="n">
        <v>5</v>
      </c>
      <c r="C1561" s="2" t="n">
        <f aca="false">0</f>
        <v>0</v>
      </c>
      <c r="D1561" s="2" t="n">
        <f aca="false">C1561*(1-D$1555)+C1560*D$1555</f>
        <v>0</v>
      </c>
      <c r="E1561" s="2" t="n">
        <f aca="false">D1561*(1-E$1555)+D1560*E$1555</f>
        <v>0</v>
      </c>
      <c r="F1561" s="2" t="n">
        <f aca="false">E1561*(1-F$1555)+E1560*F$1555</f>
        <v>0</v>
      </c>
      <c r="G1561" s="2" t="n">
        <f aca="false">F1561*(1-G$1555)+F1560*G$1555</f>
        <v>0.00761416161858706</v>
      </c>
      <c r="H1561" s="2" t="n">
        <f aca="false">G1561*(1-H$1555)+G1560*H$1555</f>
        <v>0.131679889940066</v>
      </c>
      <c r="I1561" s="2" t="n">
        <f aca="false">H1561*(1-I$1555)+H1560*I$1555</f>
        <v>0.341653102263016</v>
      </c>
      <c r="J1561" s="2" t="n">
        <f aca="false">I1561*(1-J$1555)+I1560*J$1555</f>
        <v>0.349174284923071</v>
      </c>
      <c r="K1561" s="2" t="n">
        <f aca="false">J1561*(1-K$1555)+J1560*K$1555</f>
        <v>0.314453525445028</v>
      </c>
      <c r="L1561" s="2" t="n">
        <f aca="false">K1561*(1-L$1555)+K1560*L$1555</f>
        <v>0.234379740742177</v>
      </c>
      <c r="M1561" s="2" t="n">
        <f aca="false">L1561*(1-M$1555)+L1560*M$1555</f>
        <v>0.117061902447205</v>
      </c>
      <c r="N1561" s="2" t="n">
        <f aca="false">M1561*(1-N$1555)+M1560*N$1555</f>
        <v>0.0452164621595518</v>
      </c>
      <c r="O1561" s="2" t="n">
        <f aca="false">N1561*(1-O$1555)+N1560*O$1555</f>
        <v>0.0452164621595518</v>
      </c>
    </row>
    <row r="1562" customFormat="false" ht="15" hidden="false" customHeight="false" outlineLevel="0" collapsed="false">
      <c r="B1562" s="2" t="n">
        <v>6</v>
      </c>
      <c r="C1562" s="2" t="n">
        <f aca="false">0</f>
        <v>0</v>
      </c>
      <c r="D1562" s="2" t="n">
        <f aca="false">C1562*(1-D$1555)+C1561*D$1555</f>
        <v>0</v>
      </c>
      <c r="E1562" s="2" t="n">
        <f aca="false">D1562*(1-E$1555)+D1561*E$1555</f>
        <v>0</v>
      </c>
      <c r="F1562" s="2" t="n">
        <f aca="false">E1562*(1-F$1555)+E1561*F$1555</f>
        <v>0</v>
      </c>
      <c r="G1562" s="2" t="n">
        <f aca="false">F1562*(1-G$1555)+F1561*G$1555</f>
        <v>0</v>
      </c>
      <c r="H1562" s="2" t="n">
        <f aca="false">G1562*(1-H$1555)+G1561*H$1555</f>
        <v>0.00542975229057225</v>
      </c>
      <c r="I1562" s="2" t="n">
        <f aca="false">H1562*(1-I$1555)+H1561*I$1555</f>
        <v>0.0951910775095974</v>
      </c>
      <c r="J1562" s="2" t="n">
        <f aca="false">I1562*(1-J$1555)+I1561*J$1555</f>
        <v>0.195287798744936</v>
      </c>
      <c r="K1562" s="2" t="n">
        <f aca="false">J1562*(1-K$1555)+J1561*K$1555</f>
        <v>0.272614738246721</v>
      </c>
      <c r="L1562" s="2" t="n">
        <f aca="false">K1562*(1-L$1555)+K1561*L$1555</f>
        <v>0.300610142334415</v>
      </c>
      <c r="M1562" s="2" t="n">
        <f aca="false">L1562*(1-M$1555)+L1561*M$1555</f>
        <v>0.239022907271746</v>
      </c>
      <c r="N1562" s="2" t="n">
        <f aca="false">M1562*(1-N$1555)+M1561*N$1555</f>
        <v>0.132632012941446</v>
      </c>
      <c r="O1562" s="2" t="n">
        <f aca="false">N1562*(1-O$1555)+N1561*O$1555</f>
        <v>0.132632012941446</v>
      </c>
    </row>
    <row r="1563" customFormat="false" ht="15" hidden="false" customHeight="false" outlineLevel="0" collapsed="false">
      <c r="B1563" s="2" t="n">
        <v>7</v>
      </c>
      <c r="C1563" s="2" t="n">
        <f aca="false">0</f>
        <v>0</v>
      </c>
      <c r="D1563" s="2" t="n">
        <f aca="false">C1563*(1-D$1555)+C1562*D$1555</f>
        <v>0</v>
      </c>
      <c r="E1563" s="2" t="n">
        <f aca="false">D1563*(1-E$1555)+D1562*E$1555</f>
        <v>0</v>
      </c>
      <c r="F1563" s="2" t="n">
        <f aca="false">E1563*(1-F$1555)+E1562*F$1555</f>
        <v>0</v>
      </c>
      <c r="G1563" s="2" t="n">
        <f aca="false">F1563*(1-G$1555)+F1562*G$1555</f>
        <v>0</v>
      </c>
      <c r="H1563" s="2" t="n">
        <f aca="false">G1563*(1-H$1555)+G1562*H$1555</f>
        <v>0</v>
      </c>
      <c r="I1563" s="2" t="n">
        <f aca="false">H1563*(1-I$1555)+H1562*I$1555</f>
        <v>0.0038604453847481</v>
      </c>
      <c r="J1563" s="2" t="n">
        <f aca="false">I1563*(1-J$1555)+I1562*J$1555</f>
        <v>0.0409529623077694</v>
      </c>
      <c r="K1563" s="2" t="n">
        <f aca="false">J1563*(1-K$1555)+J1562*K$1555</f>
        <v>0.118505194843509</v>
      </c>
      <c r="L1563" s="2" t="n">
        <f aca="false">K1563*(1-L$1555)+K1562*L$1555</f>
        <v>0.221623837381924</v>
      </c>
      <c r="M1563" s="2" t="n">
        <f aca="false">L1563*(1-M$1555)+L1562*M$1555</f>
        <v>0.295072706977951</v>
      </c>
      <c r="N1563" s="2" t="n">
        <f aca="false">M1563*(1-N$1555)+M1562*N$1555</f>
        <v>0.246178486023013</v>
      </c>
      <c r="O1563" s="2" t="n">
        <f aca="false">N1563*(1-O$1555)+N1562*O$1555</f>
        <v>0.246178486023013</v>
      </c>
    </row>
    <row r="1564" customFormat="false" ht="15" hidden="false" customHeight="false" outlineLevel="0" collapsed="false">
      <c r="B1564" s="2" t="n">
        <v>8</v>
      </c>
      <c r="C1564" s="2" t="n">
        <f aca="false">0</f>
        <v>0</v>
      </c>
      <c r="D1564" s="2" t="n">
        <f aca="false">C1564*(1-D$1555)+C1563*D$1555</f>
        <v>0</v>
      </c>
      <c r="E1564" s="2" t="n">
        <f aca="false">D1564*(1-E$1555)+D1563*E$1555</f>
        <v>0</v>
      </c>
      <c r="F1564" s="2" t="n">
        <f aca="false">E1564*(1-F$1555)+E1563*F$1555</f>
        <v>0</v>
      </c>
      <c r="G1564" s="2" t="n">
        <f aca="false">F1564*(1-G$1555)+F1563*G$1555</f>
        <v>0</v>
      </c>
      <c r="H1564" s="2" t="n">
        <f aca="false">G1564*(1-H$1555)+G1563*H$1555</f>
        <v>0</v>
      </c>
      <c r="I1564" s="2" t="n">
        <f aca="false">H1564*(1-I$1555)+H1563*I$1555</f>
        <v>0</v>
      </c>
      <c r="J1564" s="2" t="n">
        <f aca="false">I1564*(1-J$1555)+I1563*J$1555</f>
        <v>0.00156785990015291</v>
      </c>
      <c r="K1564" s="2" t="n">
        <f aca="false">J1564*(1-K$1555)+J1563*K$1555</f>
        <v>0.0213586128556785</v>
      </c>
      <c r="L1564" s="2" t="n">
        <f aca="false">K1564*(1-L$1555)+K1563*L$1555</f>
        <v>0.0863618789780228</v>
      </c>
      <c r="M1564" s="2" t="n">
        <f aca="false">L1564*(1-M$1555)+L1563*M$1555</f>
        <v>0.212141125773868</v>
      </c>
      <c r="N1564" s="2" t="n">
        <f aca="false">M1564*(1-N$1555)+M1563*N$1555</f>
        <v>0.284485274669835</v>
      </c>
      <c r="O1564" s="2" t="n">
        <f aca="false">N1564*(1-O$1555)+N1563*O$1555</f>
        <v>0.284485274669835</v>
      </c>
    </row>
    <row r="1565" customFormat="false" ht="15" hidden="false" customHeight="false" outlineLevel="0" collapsed="false">
      <c r="B1565" s="2" t="n">
        <v>9</v>
      </c>
      <c r="C1565" s="2" t="n">
        <f aca="false">0</f>
        <v>0</v>
      </c>
      <c r="D1565" s="2" t="n">
        <f aca="false">C1565*(1-D$1555)+C1564*D$1555</f>
        <v>0</v>
      </c>
      <c r="E1565" s="2" t="n">
        <f aca="false">D1565*(1-E$1555)+D1564*E$1555</f>
        <v>0</v>
      </c>
      <c r="F1565" s="2" t="n">
        <f aca="false">E1565*(1-F$1555)+E1564*F$1555</f>
        <v>0</v>
      </c>
      <c r="G1565" s="2" t="n">
        <f aca="false">F1565*(1-G$1555)+F1564*G$1555</f>
        <v>0</v>
      </c>
      <c r="H1565" s="2" t="n">
        <f aca="false">G1565*(1-H$1555)+G1564*H$1555</f>
        <v>0</v>
      </c>
      <c r="I1565" s="2" t="n">
        <f aca="false">H1565*(1-I$1555)+H1564*I$1555</f>
        <v>0</v>
      </c>
      <c r="J1565" s="2" t="n">
        <f aca="false">I1565*(1-J$1555)+I1564*J$1555</f>
        <v>0</v>
      </c>
      <c r="K1565" s="2" t="n">
        <f aca="false">J1565*(1-K$1555)+J1564*K$1555</f>
        <v>0.00078783920965001</v>
      </c>
      <c r="L1565" s="2" t="n">
        <f aca="false">K1565*(1-L$1555)+K1564*L$1555</f>
        <v>0.0145522707140214</v>
      </c>
      <c r="M1565" s="2" t="n">
        <f aca="false">L1565*(1-M$1555)+L1564*M$1555</f>
        <v>0.0813275750695902</v>
      </c>
      <c r="N1565" s="2" t="n">
        <f aca="false">M1565*(1-N$1555)+M1564*N$1555</f>
        <v>0.195440857999429</v>
      </c>
      <c r="O1565" s="2" t="n">
        <f aca="false">N1565*(1-O$1555)+N1564*O$1555</f>
        <v>0.195440857999429</v>
      </c>
    </row>
    <row r="1566" customFormat="false" ht="15" hidden="false" customHeight="false" outlineLevel="0" collapsed="false">
      <c r="B1566" s="2" t="n">
        <v>10</v>
      </c>
      <c r="C1566" s="2" t="n">
        <f aca="false">0</f>
        <v>0</v>
      </c>
      <c r="D1566" s="2" t="n">
        <f aca="false">C1566*(1-D$1555)+C1565*D$1555</f>
        <v>0</v>
      </c>
      <c r="E1566" s="2" t="n">
        <f aca="false">D1566*(1-E$1555)+D1565*E$1555</f>
        <v>0</v>
      </c>
      <c r="F1566" s="2" t="n">
        <f aca="false">E1566*(1-F$1555)+E1565*F$1555</f>
        <v>0</v>
      </c>
      <c r="G1566" s="2" t="n">
        <f aca="false">F1566*(1-G$1555)+F1565*G$1555</f>
        <v>0</v>
      </c>
      <c r="H1566" s="2" t="n">
        <f aca="false">G1566*(1-H$1555)+G1565*H$1555</f>
        <v>0</v>
      </c>
      <c r="I1566" s="2" t="n">
        <f aca="false">H1566*(1-I$1555)+H1565*I$1555</f>
        <v>0</v>
      </c>
      <c r="J1566" s="2" t="n">
        <f aca="false">I1566*(1-J$1555)+I1565*J$1555</f>
        <v>0</v>
      </c>
      <c r="K1566" s="2" t="n">
        <f aca="false">J1566*(1-K$1555)+J1565*K$1555</f>
        <v>0</v>
      </c>
      <c r="L1566" s="2" t="n">
        <f aca="false">K1566*(1-L$1555)+K1565*L$1555</f>
        <v>0.000527163393282453</v>
      </c>
      <c r="M1566" s="2" t="n">
        <f aca="false">L1566*(1-M$1555)+L1565*M$1555</f>
        <v>0.0135690227294146</v>
      </c>
      <c r="N1566" s="2" t="n">
        <f aca="false">M1566*(1-N$1555)+M1565*N$1555</f>
        <v>0.0726772023673966</v>
      </c>
      <c r="O1566" s="2" t="n">
        <f aca="false">N1566*(1-O$1555)+N1565*O$1555</f>
        <v>0.0726772023673966</v>
      </c>
    </row>
    <row r="1567" customFormat="false" ht="15" hidden="false" customHeight="false" outlineLevel="0" collapsed="false">
      <c r="B1567" s="2" t="n">
        <v>11</v>
      </c>
      <c r="C1567" s="2" t="n">
        <f aca="false">0</f>
        <v>0</v>
      </c>
      <c r="D1567" s="2" t="n">
        <f aca="false">C1567*(1-D$1555)+C1566*D$1555</f>
        <v>0</v>
      </c>
      <c r="E1567" s="2" t="n">
        <f aca="false">D1567*(1-E$1555)+D1566*E$1555</f>
        <v>0</v>
      </c>
      <c r="F1567" s="2" t="n">
        <f aca="false">E1567*(1-F$1555)+E1566*F$1555</f>
        <v>0</v>
      </c>
      <c r="G1567" s="2" t="n">
        <f aca="false">F1567*(1-G$1555)+F1566*G$1555</f>
        <v>0</v>
      </c>
      <c r="H1567" s="2" t="n">
        <f aca="false">G1567*(1-H$1555)+G1566*H$1555</f>
        <v>0</v>
      </c>
      <c r="I1567" s="2" t="n">
        <f aca="false">H1567*(1-I$1555)+H1566*I$1555</f>
        <v>0</v>
      </c>
      <c r="J1567" s="2" t="n">
        <f aca="false">I1567*(1-J$1555)+I1566*J$1555</f>
        <v>0</v>
      </c>
      <c r="K1567" s="2" t="n">
        <f aca="false">J1567*(1-K$1555)+J1566*K$1555</f>
        <v>0</v>
      </c>
      <c r="L1567" s="2" t="n">
        <f aca="false">K1567*(1-L$1555)+K1566*L$1555</f>
        <v>0</v>
      </c>
      <c r="M1567" s="2" t="n">
        <f aca="false">L1567*(1-M$1555)+L1566*M$1555</f>
        <v>0.000490205933196783</v>
      </c>
      <c r="N1567" s="2" t="n">
        <f aca="false">M1567*(1-N$1555)+M1566*N$1555</f>
        <v>0.0118993199998905</v>
      </c>
      <c r="O1567" s="2" t="n">
        <f aca="false">N1567*(1-O$1555)+N1566*O$1555</f>
        <v>0.0118993199998905</v>
      </c>
    </row>
    <row r="1568" customFormat="false" ht="15" hidden="false" customHeight="false" outlineLevel="0" collapsed="false">
      <c r="B1568" s="2" t="n">
        <v>12</v>
      </c>
      <c r="C1568" s="2" t="n">
        <f aca="false">0</f>
        <v>0</v>
      </c>
      <c r="D1568" s="2" t="n">
        <f aca="false">C1568*(1-D$1555)+C1567*D$1555</f>
        <v>0</v>
      </c>
      <c r="E1568" s="2" t="n">
        <f aca="false">D1568*(1-E$1555)+D1567*E$1555</f>
        <v>0</v>
      </c>
      <c r="F1568" s="2" t="n">
        <f aca="false">E1568*(1-F$1555)+E1567*F$1555</f>
        <v>0</v>
      </c>
      <c r="G1568" s="2" t="n">
        <f aca="false">F1568*(1-G$1555)+F1567*G$1555</f>
        <v>0</v>
      </c>
      <c r="H1568" s="2" t="n">
        <f aca="false">G1568*(1-H$1555)+G1567*H$1555</f>
        <v>0</v>
      </c>
      <c r="I1568" s="2" t="n">
        <f aca="false">H1568*(1-I$1555)+H1567*I$1555</f>
        <v>0</v>
      </c>
      <c r="J1568" s="2" t="n">
        <f aca="false">I1568*(1-J$1555)+I1567*J$1555</f>
        <v>0</v>
      </c>
      <c r="K1568" s="2" t="n">
        <f aca="false">J1568*(1-K$1555)+J1567*K$1555</f>
        <v>0</v>
      </c>
      <c r="L1568" s="2" t="n">
        <f aca="false">K1568*(1-L$1555)+K1567*L$1555</f>
        <v>0</v>
      </c>
      <c r="M1568" s="2" t="n">
        <f aca="false">L1568*(1-M$1555)+L1567*M$1555</f>
        <v>0</v>
      </c>
      <c r="N1568" s="2" t="n">
        <f aca="false">M1568*(1-N$1555)+M1567*N$1555</f>
        <v>0.000427623958279581</v>
      </c>
      <c r="O1568" s="2" t="n">
        <f aca="false">N1568*(1-O$1555)+N1567*O$1555</f>
        <v>0.000427623958279581</v>
      </c>
    </row>
    <row r="1569" customFormat="false" ht="15" hidden="false" customHeight="false" outlineLevel="0" collapsed="false">
      <c r="B1569" s="2" t="n">
        <v>13</v>
      </c>
      <c r="C1569" s="2" t="n">
        <f aca="false">0</f>
        <v>0</v>
      </c>
      <c r="D1569" s="2" t="n">
        <f aca="false">C1569*(1-D$1555)+C1568*D$1555</f>
        <v>0</v>
      </c>
      <c r="E1569" s="2" t="n">
        <f aca="false">D1569*(1-E$1555)+D1568*E$1555</f>
        <v>0</v>
      </c>
      <c r="F1569" s="2" t="n">
        <f aca="false">E1569*(1-F$1555)+E1568*F$1555</f>
        <v>0</v>
      </c>
      <c r="G1569" s="2" t="n">
        <f aca="false">F1569*(1-G$1555)+F1568*G$1555</f>
        <v>0</v>
      </c>
      <c r="H1569" s="2" t="n">
        <f aca="false">G1569*(1-H$1555)+G1568*H$1555</f>
        <v>0</v>
      </c>
      <c r="I1569" s="2" t="n">
        <f aca="false">H1569*(1-I$1555)+H1568*I$1555</f>
        <v>0</v>
      </c>
      <c r="J1569" s="2" t="n">
        <f aca="false">I1569*(1-J$1555)+I1568*J$1555</f>
        <v>0</v>
      </c>
      <c r="K1569" s="2" t="n">
        <f aca="false">J1569*(1-K$1555)+J1568*K$1555</f>
        <v>0</v>
      </c>
      <c r="L1569" s="2" t="n">
        <f aca="false">K1569*(1-L$1555)+K1568*L$1555</f>
        <v>0</v>
      </c>
      <c r="M1569" s="2" t="n">
        <f aca="false">L1569*(1-M$1555)+L1568*M$1555</f>
        <v>0</v>
      </c>
      <c r="N1569" s="2" t="n">
        <f aca="false">M1569*(1-N$1555)+M1568*N$1555</f>
        <v>0</v>
      </c>
      <c r="O1569" s="2" t="n">
        <f aca="false">N1569*(1-O$1555)+N1568*O$1555</f>
        <v>0</v>
      </c>
    </row>
    <row r="1571" customFormat="false" ht="15" hidden="false" customHeight="false" outlineLevel="0" collapsed="false">
      <c r="A1571" s="1" t="s">
        <v>156</v>
      </c>
      <c r="C1571" s="2" t="n">
        <f aca="false">Schedule!G100</f>
        <v>0.978566317885847</v>
      </c>
      <c r="D1571" s="2" t="n">
        <f aca="false">Schedule!L100</f>
        <v>0.0227501319481792</v>
      </c>
      <c r="E1571" s="2" t="n">
        <f aca="false">Schedule!Q100</f>
        <v>0.167899251597676</v>
      </c>
      <c r="F1571" s="2" t="n">
        <f aca="false">Schedule!V100</f>
        <v>0.396467992679005</v>
      </c>
      <c r="G1571" s="2" t="n">
        <f aca="false">Schedule!AA100</f>
        <v>0.598706325682924</v>
      </c>
      <c r="H1571" s="2" t="n">
        <f aca="false">Schedule!AF100</f>
        <v>0.860207038932886</v>
      </c>
      <c r="I1571" s="2" t="n">
        <f aca="false">Schedule!AK100</f>
        <v>0.507479729489559</v>
      </c>
      <c r="J1571" s="2" t="n">
        <f aca="false">Schedule!AP100</f>
        <v>0.574365688155897</v>
      </c>
      <c r="K1571" s="2" t="n">
        <f aca="false">Schedule!AU100</f>
        <v>0.41098963713127</v>
      </c>
      <c r="L1571" s="2" t="n">
        <f aca="false">Schedule!AZ100</f>
        <v>0.810908738949218</v>
      </c>
      <c r="M1571" s="2" t="n">
        <f aca="false">Schedule!BE100</f>
        <v>0.622669718470157</v>
      </c>
      <c r="N1571" s="2" t="n">
        <f aca="false">Schedule!BJ100</f>
        <v>0.480061194161628</v>
      </c>
      <c r="O1571" s="2" t="n">
        <f aca="false">Schedule!BO100</f>
        <v>0</v>
      </c>
    </row>
    <row r="1572" customFormat="false" ht="15" hidden="false" customHeight="false" outlineLevel="0" collapsed="false">
      <c r="B1572" s="2" t="n">
        <v>0</v>
      </c>
      <c r="C1572" s="2" t="n">
        <f aca="false">1-C$1571</f>
        <v>0.021433682114153</v>
      </c>
      <c r="D1572" s="2" t="n">
        <f aca="false">C1572*(1-D$1571)</f>
        <v>0.0209460630179207</v>
      </c>
      <c r="E1572" s="2" t="n">
        <f aca="false">D1572*(1-E$1571)</f>
        <v>0.017429234713294</v>
      </c>
      <c r="F1572" s="2" t="n">
        <f aca="false">E1572*(1-F$1571)</f>
        <v>0.0105191010125831</v>
      </c>
      <c r="G1572" s="2" t="n">
        <f aca="false">F1572*(1-G$1571)</f>
        <v>0.00422124869585195</v>
      </c>
      <c r="H1572" s="2" t="n">
        <f aca="false">G1572*(1-H$1571)</f>
        <v>0.000590100854593836</v>
      </c>
      <c r="I1572" s="2" t="n">
        <f aca="false">H1572*(1-I$1571)</f>
        <v>0.000290636632532998</v>
      </c>
      <c r="J1572" s="2" t="n">
        <f aca="false">I1572*(1-J$1571)</f>
        <v>0.00012370492308487</v>
      </c>
      <c r="K1572" s="2" t="n">
        <f aca="false">J1572*(1-K$1571)</f>
        <v>7.28634816348676E-005</v>
      </c>
      <c r="L1572" s="2" t="n">
        <f aca="false">K1572*(1-L$1571)</f>
        <v>1.37778476268876E-005</v>
      </c>
      <c r="M1572" s="2" t="n">
        <f aca="false">L1572*(1-M$1571)</f>
        <v>5.1987991239288E-006</v>
      </c>
      <c r="N1572" s="2" t="n">
        <f aca="false">M1572*(1-N$1571)</f>
        <v>2.70305740828912E-006</v>
      </c>
      <c r="O1572" s="2" t="n">
        <f aca="false">N1572*(1-O$1571)</f>
        <v>2.70305740828912E-006</v>
      </c>
    </row>
    <row r="1573" customFormat="false" ht="15" hidden="false" customHeight="false" outlineLevel="0" collapsed="false">
      <c r="B1573" s="2" t="n">
        <v>1</v>
      </c>
      <c r="C1573" s="2" t="n">
        <f aca="false">C$1571</f>
        <v>0.978566317885847</v>
      </c>
      <c r="D1573" s="2" t="n">
        <f aca="false">C1573*(1-D$1571)+C1572*D$1571</f>
        <v>0.956791424130132</v>
      </c>
      <c r="E1573" s="2" t="n">
        <f aca="false">D1573*(1-E$1571)+D1572*E$1571</f>
        <v>0.799663688388235</v>
      </c>
      <c r="F1573" s="2" t="n">
        <f aca="false">E1573*(1-F$1571)+E1572*F$1571</f>
        <v>0.489532764735373</v>
      </c>
      <c r="G1573" s="2" t="n">
        <f aca="false">F1573*(1-G$1571)+F1572*G$1571</f>
        <v>0.202744254175986</v>
      </c>
      <c r="H1573" s="2" t="n">
        <f aca="false">G1573*(1-H$1571)+G1572*H$1571</f>
        <v>0.0319733674718627</v>
      </c>
      <c r="I1573" s="2" t="n">
        <f aca="false">H1573*(1-I$1571)+H1572*I$1571</f>
        <v>0.0160469958184324</v>
      </c>
      <c r="J1573" s="2" t="n">
        <f aca="false">I1573*(1-J$1571)+I1572*J$1571</f>
        <v>0.00699708373179179</v>
      </c>
      <c r="K1573" s="2" t="n">
        <f aca="false">J1573*(1-K$1571)+J1572*K$1571</f>
        <v>0.00417219626933557</v>
      </c>
      <c r="L1573" s="2" t="n">
        <f aca="false">K1573*(1-L$1571)+K1572*L$1571</f>
        <v>0.000848011487928013</v>
      </c>
      <c r="M1573" s="2" t="n">
        <f aca="false">L1573*(1-M$1571)+L1572*M$1571</f>
        <v>0.000328559461983377</v>
      </c>
      <c r="N1573" s="2" t="n">
        <f aca="false">M1573*(1-N$1571)+M1572*N$1571</f>
        <v>0.000173326556026175</v>
      </c>
      <c r="O1573" s="2" t="n">
        <f aca="false">N1573*(1-O$1571)+N1572*O$1571</f>
        <v>0.000173326556026175</v>
      </c>
    </row>
    <row r="1574" customFormat="false" ht="15" hidden="false" customHeight="false" outlineLevel="0" collapsed="false">
      <c r="B1574" s="2" t="n">
        <v>2</v>
      </c>
      <c r="C1574" s="2" t="n">
        <f aca="false">0</f>
        <v>0</v>
      </c>
      <c r="D1574" s="2" t="n">
        <f aca="false">C1574*(1-D$1571)+C1573*D$1571</f>
        <v>0.0222625128519469</v>
      </c>
      <c r="E1574" s="2" t="n">
        <f aca="false">D1574*(1-E$1571)+D1573*E$1571</f>
        <v>0.179169217651946</v>
      </c>
      <c r="F1574" s="2" t="n">
        <f aca="false">E1574*(1-F$1571)+E1573*F$1571</f>
        <v>0.425175414933184</v>
      </c>
      <c r="G1574" s="2" t="n">
        <f aca="false">F1574*(1-G$1571)+F1573*G$1571</f>
        <v>0.463706567363943</v>
      </c>
      <c r="H1574" s="2" t="n">
        <f aca="false">G1574*(1-H$1571)+G1573*H$1571</f>
        <v>0.239224948663454</v>
      </c>
      <c r="I1574" s="2" t="n">
        <f aca="false">H1574*(1-I$1571)+H1573*I$1571</f>
        <v>0.134048972304062</v>
      </c>
      <c r="J1574" s="2" t="n">
        <f aca="false">I1574*(1-J$1571)+I1573*J$1571</f>
        <v>0.0662726858761372</v>
      </c>
      <c r="K1574" s="2" t="n">
        <f aca="false">J1574*(1-K$1571)+J1573*K$1571</f>
        <v>0.0419110276600951</v>
      </c>
      <c r="L1574" s="2" t="n">
        <f aca="false">K1574*(1-L$1571)+K1573*L$1571</f>
        <v>0.0113082794875971</v>
      </c>
      <c r="M1574" s="2" t="n">
        <f aca="false">L1574*(1-M$1571)+L1573*M$1571</f>
        <v>0.00479498735712077</v>
      </c>
      <c r="N1574" s="2" t="n">
        <f aca="false">M1574*(1-N$1571)+M1573*N$1571</f>
        <v>0.00265082864814431</v>
      </c>
      <c r="O1574" s="2" t="n">
        <f aca="false">N1574*(1-O$1571)+N1573*O$1571</f>
        <v>0.00265082864814431</v>
      </c>
    </row>
    <row r="1575" customFormat="false" ht="15" hidden="false" customHeight="false" outlineLevel="0" collapsed="false">
      <c r="B1575" s="2" t="n">
        <v>3</v>
      </c>
      <c r="C1575" s="2" t="n">
        <f aca="false">0</f>
        <v>0</v>
      </c>
      <c r="D1575" s="2" t="n">
        <f aca="false">C1575*(1-D$1571)+C1574*D$1571</f>
        <v>0</v>
      </c>
      <c r="E1575" s="2" t="n">
        <f aca="false">D1575*(1-E$1571)+D1574*E$1571</f>
        <v>0.00373785924652553</v>
      </c>
      <c r="F1575" s="2" t="n">
        <f aca="false">E1575*(1-F$1571)+E1574*F$1571</f>
        <v>0.0732907777664736</v>
      </c>
      <c r="G1575" s="2" t="n">
        <f aca="false">F1575*(1-G$1571)+F1574*G$1571</f>
        <v>0.283966335948824</v>
      </c>
      <c r="H1575" s="2" t="n">
        <f aca="false">G1575*(1-H$1571)+G1574*H$1571</f>
        <v>0.438580148191535</v>
      </c>
      <c r="I1575" s="2" t="n">
        <f aca="false">H1575*(1-I$1571)+H1574*I$1571</f>
        <v>0.337411425462687</v>
      </c>
      <c r="J1575" s="2" t="n">
        <f aca="false">I1575*(1-J$1571)+I1574*J$1571</f>
        <v>0.220607010109162</v>
      </c>
      <c r="K1575" s="2" t="n">
        <f aca="false">J1575*(1-K$1571)+J1574*K$1571</f>
        <v>0.157177202195731</v>
      </c>
      <c r="L1575" s="2" t="n">
        <f aca="false">K1575*(1-L$1571)+K1574*L$1571</f>
        <v>0.0637068539595381</v>
      </c>
      <c r="M1575" s="2" t="n">
        <f aca="false">L1575*(1-M$1571)+L1574*M$1571</f>
        <v>0.0310798483448571</v>
      </c>
      <c r="N1575" s="2" t="n">
        <f aca="false">M1575*(1-N$1571)+M1574*N$1571</f>
        <v>0.018461506590712</v>
      </c>
      <c r="O1575" s="2" t="n">
        <f aca="false">N1575*(1-O$1571)+N1574*O$1571</f>
        <v>0.018461506590712</v>
      </c>
    </row>
    <row r="1576" customFormat="false" ht="15" hidden="false" customHeight="false" outlineLevel="0" collapsed="false">
      <c r="B1576" s="2" t="n">
        <v>4</v>
      </c>
      <c r="C1576" s="2" t="n">
        <f aca="false">0</f>
        <v>0</v>
      </c>
      <c r="D1576" s="2" t="n">
        <f aca="false">C1576*(1-D$1571)+C1575*D$1571</f>
        <v>0</v>
      </c>
      <c r="E1576" s="2" t="n">
        <f aca="false">D1576*(1-E$1571)+D1575*E$1571</f>
        <v>0</v>
      </c>
      <c r="F1576" s="2" t="n">
        <f aca="false">E1576*(1-F$1571)+E1575*F$1571</f>
        <v>0.00148194155238664</v>
      </c>
      <c r="G1576" s="2" t="n">
        <f aca="false">F1576*(1-G$1571)+F1575*G$1571</f>
        <v>0.0444743460336895</v>
      </c>
      <c r="H1576" s="2" t="n">
        <f aca="false">G1576*(1-H$1571)+G1575*H$1571</f>
        <v>0.250487041526732</v>
      </c>
      <c r="I1576" s="2" t="n">
        <f aca="false">H1576*(1-I$1571)+H1575*I$1571</f>
        <v>0.345940480415837</v>
      </c>
      <c r="J1576" s="2" t="n">
        <f aca="false">I1576*(1-J$1571)+I1575*J$1571</f>
        <v>0.341041683898352</v>
      </c>
      <c r="K1576" s="2" t="n">
        <f aca="false">J1576*(1-K$1571)+J1575*K$1571</f>
        <v>0.29154428101971</v>
      </c>
      <c r="L1576" s="2" t="n">
        <f aca="false">K1576*(1-L$1571)+K1575*L$1571</f>
        <v>0.182584842574267</v>
      </c>
      <c r="M1576" s="2" t="n">
        <f aca="false">L1576*(1-M$1571)+L1575*M$1571</f>
        <v>0.108563118871235</v>
      </c>
      <c r="N1576" s="2" t="n">
        <f aca="false">M1576*(1-N$1571)+M1575*N$1571</f>
        <v>0.0713664074947938</v>
      </c>
      <c r="O1576" s="2" t="n">
        <f aca="false">N1576*(1-O$1571)+N1575*O$1571</f>
        <v>0.0713664074947938</v>
      </c>
    </row>
    <row r="1577" customFormat="false" ht="15" hidden="false" customHeight="false" outlineLevel="0" collapsed="false">
      <c r="B1577" s="2" t="n">
        <v>5</v>
      </c>
      <c r="C1577" s="2" t="n">
        <f aca="false">0</f>
        <v>0</v>
      </c>
      <c r="D1577" s="2" t="n">
        <f aca="false">C1577*(1-D$1571)+C1576*D$1571</f>
        <v>0</v>
      </c>
      <c r="E1577" s="2" t="n">
        <f aca="false">D1577*(1-E$1571)+D1576*E$1571</f>
        <v>0</v>
      </c>
      <c r="F1577" s="2" t="n">
        <f aca="false">E1577*(1-F$1571)+E1576*F$1571</f>
        <v>0</v>
      </c>
      <c r="G1577" s="2" t="n">
        <f aca="false">F1577*(1-G$1571)+F1576*G$1571</f>
        <v>0.000887247781706252</v>
      </c>
      <c r="H1577" s="2" t="n">
        <f aca="false">G1577*(1-H$1571)+G1576*H$1571</f>
        <v>0.0383811765047215</v>
      </c>
      <c r="I1577" s="2" t="n">
        <f aca="false">H1577*(1-I$1571)+H1576*I$1571</f>
        <v>0.14602060350924</v>
      </c>
      <c r="J1577" s="2" t="n">
        <f aca="false">I1577*(1-J$1571)+I1576*J$1571</f>
        <v>0.26084772118474</v>
      </c>
      <c r="K1577" s="2" t="n">
        <f aca="false">J1577*(1-K$1571)+J1576*K$1571</f>
        <v>0.293806608820526</v>
      </c>
      <c r="L1577" s="2" t="n">
        <f aca="false">K1577*(1-L$1571)+K1576*L$1571</f>
        <v>0.291972067436476</v>
      </c>
      <c r="M1577" s="2" t="n">
        <f aca="false">L1577*(1-M$1571)+L1576*M$1571</f>
        <v>0.223859954927293</v>
      </c>
      <c r="N1577" s="2" t="n">
        <f aca="false">M1577*(1-N$1571)+M1576*N$1571</f>
        <v>0.168510418127164</v>
      </c>
      <c r="O1577" s="2" t="n">
        <f aca="false">N1577*(1-O$1571)+N1576*O$1571</f>
        <v>0.168510418127164</v>
      </c>
    </row>
    <row r="1578" customFormat="false" ht="15" hidden="false" customHeight="false" outlineLevel="0" collapsed="false">
      <c r="B1578" s="2" t="n">
        <v>6</v>
      </c>
      <c r="C1578" s="2" t="n">
        <f aca="false">0</f>
        <v>0</v>
      </c>
      <c r="D1578" s="2" t="n">
        <f aca="false">C1578*(1-D$1571)+C1577*D$1571</f>
        <v>0</v>
      </c>
      <c r="E1578" s="2" t="n">
        <f aca="false">D1578*(1-E$1571)+D1577*E$1571</f>
        <v>0</v>
      </c>
      <c r="F1578" s="2" t="n">
        <f aca="false">E1578*(1-F$1571)+E1577*F$1571</f>
        <v>0</v>
      </c>
      <c r="G1578" s="2" t="n">
        <f aca="false">F1578*(1-G$1571)+F1577*G$1571</f>
        <v>0</v>
      </c>
      <c r="H1578" s="2" t="n">
        <f aca="false">G1578*(1-H$1571)+G1577*H$1571</f>
        <v>0.000763216787101307</v>
      </c>
      <c r="I1578" s="2" t="n">
        <f aca="false">H1578*(1-I$1571)+H1577*I$1571</f>
        <v>0.0198535688085484</v>
      </c>
      <c r="J1578" s="2" t="n">
        <f aca="false">I1578*(1-J$1571)+I1577*J$1571</f>
        <v>0.0923195845170002</v>
      </c>
      <c r="K1578" s="2" t="n">
        <f aca="false">J1578*(1-K$1571)+J1577*K$1571</f>
        <v>0.161582902252484</v>
      </c>
      <c r="L1578" s="2" t="n">
        <f aca="false">K1578*(1-L$1571)+K1577*L$1571</f>
        <v>0.268804261404766</v>
      </c>
      <c r="M1578" s="2" t="n">
        <f aca="false">L1578*(1-M$1571)+L1577*M$1571</f>
        <v>0.283230152664102</v>
      </c>
      <c r="N1578" s="2" t="n">
        <f aca="false">M1578*(1-N$1571)+M1577*N$1571</f>
        <v>0.254728824640958</v>
      </c>
      <c r="O1578" s="2" t="n">
        <f aca="false">N1578*(1-O$1571)+N1577*O$1571</f>
        <v>0.254728824640958</v>
      </c>
    </row>
    <row r="1579" customFormat="false" ht="15" hidden="false" customHeight="false" outlineLevel="0" collapsed="false">
      <c r="B1579" s="2" t="n">
        <v>7</v>
      </c>
      <c r="C1579" s="2" t="n">
        <f aca="false">0</f>
        <v>0</v>
      </c>
      <c r="D1579" s="2" t="n">
        <f aca="false">C1579*(1-D$1571)+C1578*D$1571</f>
        <v>0</v>
      </c>
      <c r="E1579" s="2" t="n">
        <f aca="false">D1579*(1-E$1571)+D1578*E$1571</f>
        <v>0</v>
      </c>
      <c r="F1579" s="2" t="n">
        <f aca="false">E1579*(1-F$1571)+E1578*F$1571</f>
        <v>0</v>
      </c>
      <c r="G1579" s="2" t="n">
        <f aca="false">F1579*(1-G$1571)+F1578*G$1571</f>
        <v>0</v>
      </c>
      <c r="H1579" s="2" t="n">
        <f aca="false">G1579*(1-H$1571)+G1578*H$1571</f>
        <v>0</v>
      </c>
      <c r="I1579" s="2" t="n">
        <f aca="false">H1579*(1-I$1571)+H1578*I$1571</f>
        <v>0.000387317048660062</v>
      </c>
      <c r="J1579" s="2" t="n">
        <f aca="false">I1579*(1-J$1571)+I1578*J$1571</f>
        <v>0.0115680641365442</v>
      </c>
      <c r="K1579" s="2" t="n">
        <f aca="false">J1579*(1-K$1571)+J1578*K$1571</f>
        <v>0.0447561021955062</v>
      </c>
      <c r="L1579" s="2" t="n">
        <f aca="false">K1579*(1-L$1571)+K1578*L$1571</f>
        <v>0.139491975305182</v>
      </c>
      <c r="M1579" s="2" t="n">
        <f aca="false">L1579*(1-M$1571)+L1578*M$1571</f>
        <v>0.220010820085543</v>
      </c>
      <c r="N1579" s="2" t="n">
        <f aca="false">M1579*(1-N$1571)+M1578*N$1571</f>
        <v>0.250359968377307</v>
      </c>
      <c r="O1579" s="2" t="n">
        <f aca="false">N1579*(1-O$1571)+N1578*O$1571</f>
        <v>0.250359968377307</v>
      </c>
    </row>
    <row r="1580" customFormat="false" ht="15" hidden="false" customHeight="false" outlineLevel="0" collapsed="false">
      <c r="B1580" s="2" t="n">
        <v>8</v>
      </c>
      <c r="C1580" s="2" t="n">
        <f aca="false">0</f>
        <v>0</v>
      </c>
      <c r="D1580" s="2" t="n">
        <f aca="false">C1580*(1-D$1571)+C1579*D$1571</f>
        <v>0</v>
      </c>
      <c r="E1580" s="2" t="n">
        <f aca="false">D1580*(1-E$1571)+D1579*E$1571</f>
        <v>0</v>
      </c>
      <c r="F1580" s="2" t="n">
        <f aca="false">E1580*(1-F$1571)+E1579*F$1571</f>
        <v>0</v>
      </c>
      <c r="G1580" s="2" t="n">
        <f aca="false">F1580*(1-G$1571)+F1579*G$1571</f>
        <v>0</v>
      </c>
      <c r="H1580" s="2" t="n">
        <f aca="false">G1580*(1-H$1571)+G1579*H$1571</f>
        <v>0</v>
      </c>
      <c r="I1580" s="2" t="n">
        <f aca="false">H1580*(1-I$1571)+H1579*I$1571</f>
        <v>0</v>
      </c>
      <c r="J1580" s="2" t="n">
        <f aca="false">I1580*(1-J$1571)+I1579*J$1571</f>
        <v>0.000222461623188148</v>
      </c>
      <c r="K1580" s="2" t="n">
        <f aca="false">J1580*(1-K$1571)+J1579*K$1571</f>
        <v>0.004885386683188</v>
      </c>
      <c r="L1580" s="2" t="n">
        <f aca="false">K1580*(1-L$1571)+K1579*L$1571</f>
        <v>0.037216898320285</v>
      </c>
      <c r="M1580" s="2" t="n">
        <f aca="false">L1580*(1-M$1571)+L1579*M$1571</f>
        <v>0.100900491712985</v>
      </c>
      <c r="N1580" s="2" t="n">
        <f aca="false">M1580*(1-N$1571)+M1579*N$1571</f>
        <v>0.158080738188498</v>
      </c>
      <c r="O1580" s="2" t="n">
        <f aca="false">N1580*(1-O$1571)+N1579*O$1571</f>
        <v>0.158080738188498</v>
      </c>
    </row>
    <row r="1581" customFormat="false" ht="15" hidden="false" customHeight="false" outlineLevel="0" collapsed="false">
      <c r="B1581" s="2" t="n">
        <v>9</v>
      </c>
      <c r="C1581" s="2" t="n">
        <f aca="false">0</f>
        <v>0</v>
      </c>
      <c r="D1581" s="2" t="n">
        <f aca="false">C1581*(1-D$1571)+C1580*D$1571</f>
        <v>0</v>
      </c>
      <c r="E1581" s="2" t="n">
        <f aca="false">D1581*(1-E$1571)+D1580*E$1571</f>
        <v>0</v>
      </c>
      <c r="F1581" s="2" t="n">
        <f aca="false">E1581*(1-F$1571)+E1580*F$1571</f>
        <v>0</v>
      </c>
      <c r="G1581" s="2" t="n">
        <f aca="false">F1581*(1-G$1571)+F1580*G$1571</f>
        <v>0</v>
      </c>
      <c r="H1581" s="2" t="n">
        <f aca="false">G1581*(1-H$1571)+G1580*H$1571</f>
        <v>0</v>
      </c>
      <c r="I1581" s="2" t="n">
        <f aca="false">H1581*(1-I$1571)+H1580*I$1571</f>
        <v>0</v>
      </c>
      <c r="J1581" s="2" t="n">
        <f aca="false">I1581*(1-J$1571)+I1580*J$1571</f>
        <v>0</v>
      </c>
      <c r="K1581" s="2" t="n">
        <f aca="false">J1581*(1-K$1571)+J1580*K$1571</f>
        <v>9.14294217897302E-005</v>
      </c>
      <c r="L1581" s="2" t="n">
        <f aca="false">K1581*(1-L$1571)+K1580*L$1571</f>
        <v>0.00397889125920665</v>
      </c>
      <c r="M1581" s="2" t="n">
        <f aca="false">L1581*(1-M$1571)+L1580*M$1571</f>
        <v>0.0246751917584374</v>
      </c>
      <c r="N1581" s="2" t="n">
        <f aca="false">M1581*(1-N$1571)+M1580*N$1571</f>
        <v>0.0612680002799456</v>
      </c>
      <c r="O1581" s="2" t="n">
        <f aca="false">N1581*(1-O$1571)+N1580*O$1571</f>
        <v>0.0612680002799456</v>
      </c>
    </row>
    <row r="1582" customFormat="false" ht="15" hidden="false" customHeight="false" outlineLevel="0" collapsed="false">
      <c r="B1582" s="2" t="n">
        <v>10</v>
      </c>
      <c r="C1582" s="2" t="n">
        <f aca="false">0</f>
        <v>0</v>
      </c>
      <c r="D1582" s="2" t="n">
        <f aca="false">C1582*(1-D$1571)+C1581*D$1571</f>
        <v>0</v>
      </c>
      <c r="E1582" s="2" t="n">
        <f aca="false">D1582*(1-E$1571)+D1581*E$1571</f>
        <v>0</v>
      </c>
      <c r="F1582" s="2" t="n">
        <f aca="false">E1582*(1-F$1571)+E1581*F$1571</f>
        <v>0</v>
      </c>
      <c r="G1582" s="2" t="n">
        <f aca="false">F1582*(1-G$1571)+F1581*G$1571</f>
        <v>0</v>
      </c>
      <c r="H1582" s="2" t="n">
        <f aca="false">G1582*(1-H$1571)+G1581*H$1571</f>
        <v>0</v>
      </c>
      <c r="I1582" s="2" t="n">
        <f aca="false">H1582*(1-I$1571)+H1581*I$1571</f>
        <v>0</v>
      </c>
      <c r="J1582" s="2" t="n">
        <f aca="false">I1582*(1-J$1571)+I1581*J$1571</f>
        <v>0</v>
      </c>
      <c r="K1582" s="2" t="n">
        <f aca="false">J1582*(1-K$1571)+J1581*K$1571</f>
        <v>0</v>
      </c>
      <c r="L1582" s="2" t="n">
        <f aca="false">K1582*(1-L$1571)+K1581*L$1571</f>
        <v>7.41409171263662E-005</v>
      </c>
      <c r="M1582" s="2" t="n">
        <f aca="false">L1582*(1-M$1571)+L1581*M$1571</f>
        <v>0.00250551071332574</v>
      </c>
      <c r="N1582" s="2" t="n">
        <f aca="false">M1582*(1-N$1571)+M1581*N$1571</f>
        <v>0.0131483142700244</v>
      </c>
      <c r="O1582" s="2" t="n">
        <f aca="false">N1582*(1-O$1571)+N1581*O$1571</f>
        <v>0.0131483142700244</v>
      </c>
    </row>
    <row r="1583" customFormat="false" ht="15" hidden="false" customHeight="false" outlineLevel="0" collapsed="false">
      <c r="B1583" s="2" t="n">
        <v>11</v>
      </c>
      <c r="C1583" s="2" t="n">
        <f aca="false">0</f>
        <v>0</v>
      </c>
      <c r="D1583" s="2" t="n">
        <f aca="false">C1583*(1-D$1571)+C1582*D$1571</f>
        <v>0</v>
      </c>
      <c r="E1583" s="2" t="n">
        <f aca="false">D1583*(1-E$1571)+D1582*E$1571</f>
        <v>0</v>
      </c>
      <c r="F1583" s="2" t="n">
        <f aca="false">E1583*(1-F$1571)+E1582*F$1571</f>
        <v>0</v>
      </c>
      <c r="G1583" s="2" t="n">
        <f aca="false">F1583*(1-G$1571)+F1582*G$1571</f>
        <v>0</v>
      </c>
      <c r="H1583" s="2" t="n">
        <f aca="false">G1583*(1-H$1571)+G1582*H$1571</f>
        <v>0</v>
      </c>
      <c r="I1583" s="2" t="n">
        <f aca="false">H1583*(1-I$1571)+H1582*I$1571</f>
        <v>0</v>
      </c>
      <c r="J1583" s="2" t="n">
        <f aca="false">I1583*(1-J$1571)+I1582*J$1571</f>
        <v>0</v>
      </c>
      <c r="K1583" s="2" t="n">
        <f aca="false">J1583*(1-K$1571)+J1582*K$1571</f>
        <v>0</v>
      </c>
      <c r="L1583" s="2" t="n">
        <f aca="false">K1583*(1-L$1571)+K1582*L$1571</f>
        <v>0</v>
      </c>
      <c r="M1583" s="2" t="n">
        <f aca="false">L1583*(1-M$1571)+L1582*M$1571</f>
        <v>4.61653039941937E-005</v>
      </c>
      <c r="N1583" s="2" t="n">
        <f aca="false">M1583*(1-N$1571)+M1582*N$1571</f>
        <v>0.00122680159805381</v>
      </c>
      <c r="O1583" s="2" t="n">
        <f aca="false">N1583*(1-O$1571)+N1582*O$1571</f>
        <v>0.00122680159805381</v>
      </c>
    </row>
    <row r="1584" customFormat="false" ht="15" hidden="false" customHeight="false" outlineLevel="0" collapsed="false">
      <c r="B1584" s="2" t="n">
        <v>12</v>
      </c>
      <c r="C1584" s="2" t="n">
        <f aca="false">0</f>
        <v>0</v>
      </c>
      <c r="D1584" s="2" t="n">
        <f aca="false">C1584*(1-D$1571)+C1583*D$1571</f>
        <v>0</v>
      </c>
      <c r="E1584" s="2" t="n">
        <f aca="false">D1584*(1-E$1571)+D1583*E$1571</f>
        <v>0</v>
      </c>
      <c r="F1584" s="2" t="n">
        <f aca="false">E1584*(1-F$1571)+E1583*F$1571</f>
        <v>0</v>
      </c>
      <c r="G1584" s="2" t="n">
        <f aca="false">F1584*(1-G$1571)+F1583*G$1571</f>
        <v>0</v>
      </c>
      <c r="H1584" s="2" t="n">
        <f aca="false">G1584*(1-H$1571)+G1583*H$1571</f>
        <v>0</v>
      </c>
      <c r="I1584" s="2" t="n">
        <f aca="false">H1584*(1-I$1571)+H1583*I$1571</f>
        <v>0</v>
      </c>
      <c r="J1584" s="2" t="n">
        <f aca="false">I1584*(1-J$1571)+I1583*J$1571</f>
        <v>0</v>
      </c>
      <c r="K1584" s="2" t="n">
        <f aca="false">J1584*(1-K$1571)+J1583*K$1571</f>
        <v>0</v>
      </c>
      <c r="L1584" s="2" t="n">
        <f aca="false">K1584*(1-L$1571)+K1583*L$1571</f>
        <v>0</v>
      </c>
      <c r="M1584" s="2" t="n">
        <f aca="false">L1584*(1-M$1571)+L1583*M$1571</f>
        <v>0</v>
      </c>
      <c r="N1584" s="2" t="n">
        <f aca="false">M1584*(1-N$1571)+M1583*N$1571</f>
        <v>2.21621709642872E-005</v>
      </c>
      <c r="O1584" s="2" t="n">
        <f aca="false">N1584*(1-O$1571)+N1583*O$1571</f>
        <v>2.21621709642872E-005</v>
      </c>
    </row>
    <row r="1585" customFormat="false" ht="15" hidden="false" customHeight="false" outlineLevel="0" collapsed="false">
      <c r="B1585" s="2" t="n">
        <v>13</v>
      </c>
      <c r="C1585" s="2" t="n">
        <f aca="false">0</f>
        <v>0</v>
      </c>
      <c r="D1585" s="2" t="n">
        <f aca="false">C1585*(1-D$1571)+C1584*D$1571</f>
        <v>0</v>
      </c>
      <c r="E1585" s="2" t="n">
        <f aca="false">D1585*(1-E$1571)+D1584*E$1571</f>
        <v>0</v>
      </c>
      <c r="F1585" s="2" t="n">
        <f aca="false">E1585*(1-F$1571)+E1584*F$1571</f>
        <v>0</v>
      </c>
      <c r="G1585" s="2" t="n">
        <f aca="false">F1585*(1-G$1571)+F1584*G$1571</f>
        <v>0</v>
      </c>
      <c r="H1585" s="2" t="n">
        <f aca="false">G1585*(1-H$1571)+G1584*H$1571</f>
        <v>0</v>
      </c>
      <c r="I1585" s="2" t="n">
        <f aca="false">H1585*(1-I$1571)+H1584*I$1571</f>
        <v>0</v>
      </c>
      <c r="J1585" s="2" t="n">
        <f aca="false">I1585*(1-J$1571)+I1584*J$1571</f>
        <v>0</v>
      </c>
      <c r="K1585" s="2" t="n">
        <f aca="false">J1585*(1-K$1571)+J1584*K$1571</f>
        <v>0</v>
      </c>
      <c r="L1585" s="2" t="n">
        <f aca="false">K1585*(1-L$1571)+K1584*L$1571</f>
        <v>0</v>
      </c>
      <c r="M1585" s="2" t="n">
        <f aca="false">L1585*(1-M$1571)+L1584*M$1571</f>
        <v>0</v>
      </c>
      <c r="N1585" s="2" t="n">
        <f aca="false">M1585*(1-N$1571)+M1584*N$1571</f>
        <v>0</v>
      </c>
      <c r="O1585" s="2" t="n">
        <f aca="false">N1585*(1-O$1571)+N1584*O$1571</f>
        <v>0</v>
      </c>
    </row>
    <row r="1587" customFormat="false" ht="15" hidden="false" customHeight="false" outlineLevel="0" collapsed="false">
      <c r="A1587" s="1" t="s">
        <v>157</v>
      </c>
      <c r="C1587" s="2" t="n">
        <f aca="false">Schedule!G101</f>
        <v>0.832100748402324</v>
      </c>
      <c r="D1587" s="2" t="n">
        <f aca="false">Schedule!L101</f>
        <v>0.0770786005520719</v>
      </c>
      <c r="E1587" s="2" t="n">
        <f aca="false">Schedule!Q101</f>
        <v>0.437917983191705</v>
      </c>
      <c r="F1587" s="2" t="n">
        <f aca="false">Schedule!V101</f>
        <v>0.396467992679005</v>
      </c>
      <c r="G1587" s="2" t="n">
        <f aca="false">Schedule!AA101</f>
        <v>0.268040532802408</v>
      </c>
      <c r="H1587" s="2" t="n">
        <f aca="false">Schedule!AF101</f>
        <v>0.629772172275028</v>
      </c>
      <c r="I1587" s="2" t="n">
        <f aca="false">Schedule!AK101</f>
        <v>0.862967680695088</v>
      </c>
      <c r="J1587" s="2" t="n">
        <f aca="false">Schedule!AP101</f>
        <v>0.280535986826232</v>
      </c>
      <c r="K1587" s="2" t="n">
        <f aca="false">Schedule!AU101</f>
        <v>0.211855398583397</v>
      </c>
      <c r="L1587" s="2" t="n">
        <f aca="false">Schedule!AZ101</f>
        <v>0.752143342435738</v>
      </c>
      <c r="M1587" s="2" t="n">
        <f aca="false">Schedule!BE101</f>
        <v>0.706693239916112</v>
      </c>
      <c r="N1587" s="2" t="n">
        <f aca="false">Schedule!BJ101</f>
        <v>0.228513867124863</v>
      </c>
      <c r="O1587" s="2" t="n">
        <f aca="false">Schedule!BO101</f>
        <v>0</v>
      </c>
    </row>
    <row r="1588" customFormat="false" ht="15" hidden="false" customHeight="false" outlineLevel="0" collapsed="false">
      <c r="B1588" s="2" t="n">
        <v>0</v>
      </c>
      <c r="C1588" s="2" t="n">
        <f aca="false">1-C$1587</f>
        <v>0.167899251597676</v>
      </c>
      <c r="D1588" s="2" t="n">
        <f aca="false">C1588*(1-D$1587)</f>
        <v>0.154957812250787</v>
      </c>
      <c r="E1588" s="2" t="n">
        <f aca="false">D1588*(1-E$1587)</f>
        <v>0.0870989996301236</v>
      </c>
      <c r="F1588" s="2" t="n">
        <f aca="false">E1588*(1-F$1587)</f>
        <v>0.052567034082419</v>
      </c>
      <c r="G1588" s="2" t="n">
        <f aca="false">F1588*(1-G$1587)</f>
        <v>0.0384769382591251</v>
      </c>
      <c r="H1588" s="2" t="n">
        <f aca="false">G1588*(1-H$1587)</f>
        <v>0.0142452332691838</v>
      </c>
      <c r="I1588" s="2" t="n">
        <f aca="false">H1588*(1-I$1587)</f>
        <v>0.00195205735391574</v>
      </c>
      <c r="J1588" s="2" t="n">
        <f aca="false">I1588*(1-J$1587)</f>
        <v>0.00140443501779359</v>
      </c>
      <c r="K1588" s="2" t="n">
        <f aca="false">J1588*(1-K$1587)</f>
        <v>0.00110689787731445</v>
      </c>
      <c r="L1588" s="2" t="n">
        <f aca="false">K1588*(1-L$1587)</f>
        <v>0.000274352008136135</v>
      </c>
      <c r="M1588" s="2" t="n">
        <f aca="false">L1588*(1-M$1587)</f>
        <v>8.04692986289183E-005</v>
      </c>
      <c r="N1588" s="2" t="n">
        <f aca="false">M1588*(1-N$1587)</f>
        <v>6.20809480143987E-005</v>
      </c>
      <c r="O1588" s="2" t="n">
        <f aca="false">N1588*(1-O$1587)</f>
        <v>6.20809480143987E-005</v>
      </c>
    </row>
    <row r="1589" customFormat="false" ht="15" hidden="false" customHeight="false" outlineLevel="0" collapsed="false">
      <c r="B1589" s="2" t="n">
        <v>1</v>
      </c>
      <c r="C1589" s="2" t="n">
        <f aca="false">C$1587</f>
        <v>0.832100748402324</v>
      </c>
      <c r="D1589" s="2" t="n">
        <f aca="false">C1589*(1-D$1587)+C1588*D$1587</f>
        <v>0.78090502654403</v>
      </c>
      <c r="E1589" s="2" t="n">
        <f aca="false">D1589*(1-E$1587)+D1588*E$1587</f>
        <v>0.506791484876267</v>
      </c>
      <c r="F1589" s="2" t="n">
        <f aca="false">E1589*(1-F$1587)+E1588*F$1587</f>
        <v>0.340396847708265</v>
      </c>
      <c r="G1589" s="2" t="n">
        <f aca="false">F1589*(1-G$1587)+F1588*G$1587</f>
        <v>0.263246791107576</v>
      </c>
      <c r="H1589" s="2" t="n">
        <f aca="false">G1589*(1-H$1587)+G1588*H$1587</f>
        <v>0.121692992617269</v>
      </c>
      <c r="I1589" s="2" t="n">
        <f aca="false">H1589*(1-I$1587)+H1588*I$1587</f>
        <v>0.0289690489367678</v>
      </c>
      <c r="J1589" s="2" t="n">
        <f aca="false">I1589*(1-J$1587)+I1588*J$1587</f>
        <v>0.0213898105419964</v>
      </c>
      <c r="K1589" s="2" t="n">
        <f aca="false">J1589*(1-K$1587)+J1588*K$1587</f>
        <v>0.0171558008444776</v>
      </c>
      <c r="L1589" s="2" t="n">
        <f aca="false">K1589*(1-L$1587)+K1588*L$1587</f>
        <v>0.00508472532432867</v>
      </c>
      <c r="M1589" s="2" t="n">
        <f aca="false">L1589*(1-M$1587)+L1588*M$1587</f>
        <v>0.00168526702030256</v>
      </c>
      <c r="N1589" s="2" t="n">
        <f aca="false">M1589*(1-N$1587)+M1588*N$1587</f>
        <v>0.00131854848696974</v>
      </c>
      <c r="O1589" s="2" t="n">
        <f aca="false">N1589*(1-O$1587)+N1588*O$1587</f>
        <v>0.00131854848696974</v>
      </c>
    </row>
    <row r="1590" customFormat="false" ht="15" hidden="false" customHeight="false" outlineLevel="0" collapsed="false">
      <c r="B1590" s="2" t="n">
        <v>2</v>
      </c>
      <c r="C1590" s="2" t="n">
        <f aca="false">0</f>
        <v>0</v>
      </c>
      <c r="D1590" s="2" t="n">
        <f aca="false">C1590*(1-D$1587)+C1589*D$1587</f>
        <v>0.0641371612051828</v>
      </c>
      <c r="E1590" s="2" t="n">
        <f aca="false">D1590*(1-E$1587)+D1589*E$1587</f>
        <v>0.378022699210995</v>
      </c>
      <c r="F1590" s="2" t="n">
        <f aca="false">E1590*(1-F$1587)+E1589*F$1587</f>
        <v>0.429075401183418</v>
      </c>
      <c r="G1590" s="2" t="n">
        <f aca="false">F1590*(1-G$1587)+F1589*G$1587</f>
        <v>0.405305954461791</v>
      </c>
      <c r="H1590" s="2" t="n">
        <f aca="false">G1590*(1-H$1587)+G1589*H$1587</f>
        <v>0.315841046564634</v>
      </c>
      <c r="I1590" s="2" t="n">
        <f aca="false">H1590*(1-I$1587)+H1589*I$1587</f>
        <v>0.148297550738211</v>
      </c>
      <c r="J1590" s="2" t="n">
        <f aca="false">I1590*(1-J$1587)+I1589*J$1587</f>
        <v>0.114821611728848</v>
      </c>
      <c r="K1590" s="2" t="n">
        <f aca="false">J1590*(1-K$1587)+J1589*K$1587</f>
        <v>0.0950275802480426</v>
      </c>
      <c r="L1590" s="2" t="n">
        <f aca="false">K1590*(1-L$1587)+K1589*L$1587</f>
        <v>0.0364568398060268</v>
      </c>
      <c r="M1590" s="2" t="n">
        <f aca="false">L1590*(1-M$1587)+L1589*M$1587</f>
        <v>0.0142863785799364</v>
      </c>
      <c r="N1590" s="2" t="n">
        <f aca="false">M1590*(1-N$1587)+M1589*N$1587</f>
        <v>0.0114068498473726</v>
      </c>
      <c r="O1590" s="2" t="n">
        <f aca="false">N1590*(1-O$1587)+N1589*O$1587</f>
        <v>0.0114068498473726</v>
      </c>
    </row>
    <row r="1591" customFormat="false" ht="15" hidden="false" customHeight="false" outlineLevel="0" collapsed="false">
      <c r="B1591" s="2" t="n">
        <v>3</v>
      </c>
      <c r="C1591" s="2" t="n">
        <f aca="false">0</f>
        <v>0</v>
      </c>
      <c r="D1591" s="2" t="n">
        <f aca="false">C1591*(1-D$1587)+C1590*D$1587</f>
        <v>0</v>
      </c>
      <c r="E1591" s="2" t="n">
        <f aca="false">D1591*(1-E$1587)+D1590*E$1587</f>
        <v>0.0280868162826149</v>
      </c>
      <c r="F1591" s="2" t="n">
        <f aca="false">E1591*(1-F$1587)+E1590*F$1587</f>
        <v>0.166825193353585</v>
      </c>
      <c r="G1591" s="2" t="n">
        <f aca="false">F1591*(1-G$1587)+F1590*G$1587</f>
        <v>0.237118878787836</v>
      </c>
      <c r="H1591" s="2" t="n">
        <f aca="false">G1591*(1-H$1587)+G1590*H$1587</f>
        <v>0.343038418783607</v>
      </c>
      <c r="I1591" s="2" t="n">
        <f aca="false">H1591*(1-I$1587)+H1590*I$1587</f>
        <v>0.319567965558799</v>
      </c>
      <c r="J1591" s="2" t="n">
        <f aca="false">I1591*(1-J$1587)+I1590*J$1587</f>
        <v>0.271520450722967</v>
      </c>
      <c r="K1591" s="2" t="n">
        <f aca="false">J1591*(1-K$1587)+J1590*K$1587</f>
        <v>0.238322955730313</v>
      </c>
      <c r="L1591" s="2" t="n">
        <f aca="false">K1591*(1-L$1587)+K1590*L$1587</f>
        <v>0.130544293059494</v>
      </c>
      <c r="M1591" s="2" t="n">
        <f aca="false">L1591*(1-M$1587)+L1590*M$1587</f>
        <v>0.0640533258843455</v>
      </c>
      <c r="N1591" s="2" t="n">
        <f aca="false">M1591*(1-N$1587)+M1590*N$1587</f>
        <v>0.0526808883008157</v>
      </c>
      <c r="O1591" s="2" t="n">
        <f aca="false">N1591*(1-O$1587)+N1590*O$1587</f>
        <v>0.0526808883008157</v>
      </c>
    </row>
    <row r="1592" customFormat="false" ht="15" hidden="false" customHeight="false" outlineLevel="0" collapsed="false">
      <c r="B1592" s="2" t="n">
        <v>4</v>
      </c>
      <c r="C1592" s="2" t="n">
        <f aca="false">0</f>
        <v>0</v>
      </c>
      <c r="D1592" s="2" t="n">
        <f aca="false">C1592*(1-D$1587)+C1591*D$1587</f>
        <v>0</v>
      </c>
      <c r="E1592" s="2" t="n">
        <f aca="false">D1592*(1-E$1587)+D1591*E$1587</f>
        <v>0</v>
      </c>
      <c r="F1592" s="2" t="n">
        <f aca="false">E1592*(1-F$1587)+E1591*F$1587</f>
        <v>0.0111355236723123</v>
      </c>
      <c r="G1592" s="2" t="n">
        <f aca="false">F1592*(1-G$1587)+F1591*G$1587</f>
        <v>0.0528666656855116</v>
      </c>
      <c r="H1592" s="2" t="n">
        <f aca="false">G1592*(1-H$1587)+G1591*H$1587</f>
        <v>0.168903582177444</v>
      </c>
      <c r="I1592" s="2" t="n">
        <f aca="false">H1592*(1-I$1587)+H1591*I$1587</f>
        <v>0.319176318251683</v>
      </c>
      <c r="J1592" s="2" t="n">
        <f aca="false">I1592*(1-J$1587)+I1591*J$1587</f>
        <v>0.319286189415472</v>
      </c>
      <c r="K1592" s="2" t="n">
        <f aca="false">J1592*(1-K$1587)+J1591*K$1587</f>
        <v>0.309166759806141</v>
      </c>
      <c r="L1592" s="2" t="n">
        <f aca="false">K1592*(1-L$1587)+K1591*L$1587</f>
        <v>0.255882064217685</v>
      </c>
      <c r="M1592" s="2" t="n">
        <f aca="false">L1592*(1-M$1587)+L1591*M$1587</f>
        <v>0.167306708634039</v>
      </c>
      <c r="N1592" s="2" t="n">
        <f aca="false">M1592*(1-N$1587)+M1591*N$1587</f>
        <v>0.143711878848183</v>
      </c>
      <c r="O1592" s="2" t="n">
        <f aca="false">N1592*(1-O$1587)+N1591*O$1587</f>
        <v>0.143711878848183</v>
      </c>
    </row>
    <row r="1593" customFormat="false" ht="15" hidden="false" customHeight="false" outlineLevel="0" collapsed="false">
      <c r="B1593" s="2" t="n">
        <v>5</v>
      </c>
      <c r="C1593" s="2" t="n">
        <f aca="false">0</f>
        <v>0</v>
      </c>
      <c r="D1593" s="2" t="n">
        <f aca="false">C1593*(1-D$1587)+C1592*D$1587</f>
        <v>0</v>
      </c>
      <c r="E1593" s="2" t="n">
        <f aca="false">D1593*(1-E$1587)+D1592*E$1587</f>
        <v>0</v>
      </c>
      <c r="F1593" s="2" t="n">
        <f aca="false">E1593*(1-F$1587)+E1592*F$1587</f>
        <v>0</v>
      </c>
      <c r="G1593" s="2" t="n">
        <f aca="false">F1593*(1-G$1587)+F1592*G$1587</f>
        <v>0.00298477169816042</v>
      </c>
      <c r="H1593" s="2" t="n">
        <f aca="false">G1593*(1-H$1587)+G1592*H$1587</f>
        <v>0.0343990004317672</v>
      </c>
      <c r="I1593" s="2" t="n">
        <f aca="false">H1593*(1-I$1587)+H1592*I$1587</f>
        <v>0.150472107383696</v>
      </c>
      <c r="J1593" s="2" t="n">
        <f aca="false">I1593*(1-J$1587)+I1592*J$1587</f>
        <v>0.197799709661288</v>
      </c>
      <c r="K1593" s="2" t="n">
        <f aca="false">J1593*(1-K$1587)+J1592*K$1587</f>
        <v>0.223537276252104</v>
      </c>
      <c r="L1593" s="2" t="n">
        <f aca="false">K1593*(1-L$1587)+K1592*L$1587</f>
        <v>0.287942922223484</v>
      </c>
      <c r="M1593" s="2" t="n">
        <f aca="false">L1593*(1-M$1587)+L1592*M$1587</f>
        <v>0.265285730604875</v>
      </c>
      <c r="N1593" s="2" t="n">
        <f aca="false">M1593*(1-N$1587)+M1592*N$1587</f>
        <v>0.242896165397208</v>
      </c>
      <c r="O1593" s="2" t="n">
        <f aca="false">N1593*(1-O$1587)+N1592*O$1587</f>
        <v>0.242896165397208</v>
      </c>
    </row>
    <row r="1594" customFormat="false" ht="15" hidden="false" customHeight="false" outlineLevel="0" collapsed="false">
      <c r="B1594" s="2" t="n">
        <v>6</v>
      </c>
      <c r="C1594" s="2" t="n">
        <f aca="false">0</f>
        <v>0</v>
      </c>
      <c r="D1594" s="2" t="n">
        <f aca="false">C1594*(1-D$1587)+C1593*D$1587</f>
        <v>0</v>
      </c>
      <c r="E1594" s="2" t="n">
        <f aca="false">D1594*(1-E$1587)+D1593*E$1587</f>
        <v>0</v>
      </c>
      <c r="F1594" s="2" t="n">
        <f aca="false">E1594*(1-F$1587)+E1593*F$1587</f>
        <v>0</v>
      </c>
      <c r="G1594" s="2" t="n">
        <f aca="false">F1594*(1-G$1587)+F1593*G$1587</f>
        <v>0</v>
      </c>
      <c r="H1594" s="2" t="n">
        <f aca="false">G1594*(1-H$1587)+G1593*H$1587</f>
        <v>0.00187972615609551</v>
      </c>
      <c r="I1594" s="2" t="n">
        <f aca="false">H1594*(1-I$1587)+H1593*I$1587</f>
        <v>0.0299428088556593</v>
      </c>
      <c r="J1594" s="2" t="n">
        <f aca="false">I1594*(1-J$1587)+I1593*J$1587</f>
        <v>0.0637556145596957</v>
      </c>
      <c r="K1594" s="2" t="n">
        <f aca="false">J1594*(1-K$1587)+J1593*K$1587</f>
        <v>0.0921535797551942</v>
      </c>
      <c r="L1594" s="2" t="n">
        <f aca="false">K1594*(1-L$1587)+K1593*L$1587</f>
        <v>0.190972952379943</v>
      </c>
      <c r="M1594" s="2" t="n">
        <f aca="false">L1594*(1-M$1587)+L1593*M$1587</f>
        <v>0.259500974543242</v>
      </c>
      <c r="N1594" s="2" t="n">
        <f aca="false">M1594*(1-N$1587)+M1593*N$1587</f>
        <v>0.26082287152126</v>
      </c>
      <c r="O1594" s="2" t="n">
        <f aca="false">N1594*(1-O$1587)+N1593*O$1587</f>
        <v>0.26082287152126</v>
      </c>
    </row>
    <row r="1595" customFormat="false" ht="15" hidden="false" customHeight="false" outlineLevel="0" collapsed="false">
      <c r="B1595" s="2" t="n">
        <v>7</v>
      </c>
      <c r="C1595" s="2" t="n">
        <f aca="false">0</f>
        <v>0</v>
      </c>
      <c r="D1595" s="2" t="n">
        <f aca="false">C1595*(1-D$1587)+C1594*D$1587</f>
        <v>0</v>
      </c>
      <c r="E1595" s="2" t="n">
        <f aca="false">D1595*(1-E$1587)+D1594*E$1587</f>
        <v>0</v>
      </c>
      <c r="F1595" s="2" t="n">
        <f aca="false">E1595*(1-F$1587)+E1594*F$1587</f>
        <v>0</v>
      </c>
      <c r="G1595" s="2" t="n">
        <f aca="false">F1595*(1-G$1587)+F1594*G$1587</f>
        <v>0</v>
      </c>
      <c r="H1595" s="2" t="n">
        <f aca="false">G1595*(1-H$1587)+G1594*H$1587</f>
        <v>0</v>
      </c>
      <c r="I1595" s="2" t="n">
        <f aca="false">H1595*(1-I$1587)+H1594*I$1587</f>
        <v>0.00162214292126764</v>
      </c>
      <c r="J1595" s="2" t="n">
        <f aca="false">I1595*(1-J$1587)+I1594*J$1587</f>
        <v>0.00956710888674825</v>
      </c>
      <c r="K1595" s="2" t="n">
        <f aca="false">J1595*(1-K$1587)+J1594*K$1587</f>
        <v>0.0210472363547292</v>
      </c>
      <c r="L1595" s="2" t="n">
        <f aca="false">K1595*(1-L$1587)+K1594*L$1587</f>
        <v>0.0745293991483383</v>
      </c>
      <c r="M1595" s="2" t="n">
        <f aca="false">L1595*(1-M$1587)+L1594*M$1587</f>
        <v>0.156819271048925</v>
      </c>
      <c r="N1595" s="2" t="n">
        <f aca="false">M1595*(1-N$1587)+M1594*N$1587</f>
        <v>0.18028346419738</v>
      </c>
      <c r="O1595" s="2" t="n">
        <f aca="false">N1595*(1-O$1587)+N1594*O$1587</f>
        <v>0.18028346419738</v>
      </c>
    </row>
    <row r="1596" customFormat="false" ht="15" hidden="false" customHeight="false" outlineLevel="0" collapsed="false">
      <c r="B1596" s="2" t="n">
        <v>8</v>
      </c>
      <c r="C1596" s="2" t="n">
        <f aca="false">0</f>
        <v>0</v>
      </c>
      <c r="D1596" s="2" t="n">
        <f aca="false">C1596*(1-D$1587)+C1595*D$1587</f>
        <v>0</v>
      </c>
      <c r="E1596" s="2" t="n">
        <f aca="false">D1596*(1-E$1587)+D1595*E$1587</f>
        <v>0</v>
      </c>
      <c r="F1596" s="2" t="n">
        <f aca="false">E1596*(1-F$1587)+E1595*F$1587</f>
        <v>0</v>
      </c>
      <c r="G1596" s="2" t="n">
        <f aca="false">F1596*(1-G$1587)+F1595*G$1587</f>
        <v>0</v>
      </c>
      <c r="H1596" s="2" t="n">
        <f aca="false">G1596*(1-H$1587)+G1595*H$1587</f>
        <v>0</v>
      </c>
      <c r="I1596" s="2" t="n">
        <f aca="false">H1596*(1-I$1587)+H1595*I$1587</f>
        <v>0</v>
      </c>
      <c r="J1596" s="2" t="n">
        <f aca="false">I1596*(1-J$1587)+I1595*J$1587</f>
        <v>0.000455069465191003</v>
      </c>
      <c r="K1596" s="2" t="n">
        <f aca="false">J1596*(1-K$1587)+J1595*K$1587</f>
        <v>0.00238550420875264</v>
      </c>
      <c r="L1596" s="2" t="n">
        <f aca="false">K1596*(1-L$1587)+K1595*L$1587</f>
        <v>0.0164218018006679</v>
      </c>
      <c r="M1596" s="2" t="n">
        <f aca="false">L1596*(1-M$1587)+L1595*M$1587</f>
        <v>0.057486048034034</v>
      </c>
      <c r="N1596" s="2" t="n">
        <f aca="false">M1596*(1-N$1587)+M1595*N$1587</f>
        <v>0.0801850669591431</v>
      </c>
      <c r="O1596" s="2" t="n">
        <f aca="false">N1596*(1-O$1587)+N1595*O$1587</f>
        <v>0.0801850669591431</v>
      </c>
    </row>
    <row r="1597" customFormat="false" ht="15" hidden="false" customHeight="false" outlineLevel="0" collapsed="false">
      <c r="B1597" s="2" t="n">
        <v>9</v>
      </c>
      <c r="C1597" s="2" t="n">
        <f aca="false">0</f>
        <v>0</v>
      </c>
      <c r="D1597" s="2" t="n">
        <f aca="false">C1597*(1-D$1587)+C1596*D$1587</f>
        <v>0</v>
      </c>
      <c r="E1597" s="2" t="n">
        <f aca="false">D1597*(1-E$1587)+D1596*E$1587</f>
        <v>0</v>
      </c>
      <c r="F1597" s="2" t="n">
        <f aca="false">E1597*(1-F$1587)+E1596*F$1587</f>
        <v>0</v>
      </c>
      <c r="G1597" s="2" t="n">
        <f aca="false">F1597*(1-G$1587)+F1596*G$1587</f>
        <v>0</v>
      </c>
      <c r="H1597" s="2" t="n">
        <f aca="false">G1597*(1-H$1587)+G1596*H$1587</f>
        <v>0</v>
      </c>
      <c r="I1597" s="2" t="n">
        <f aca="false">H1597*(1-I$1587)+H1596*I$1587</f>
        <v>0</v>
      </c>
      <c r="J1597" s="2" t="n">
        <f aca="false">I1597*(1-J$1587)+I1596*J$1587</f>
        <v>0</v>
      </c>
      <c r="K1597" s="2" t="n">
        <f aca="false">J1597*(1-K$1587)+J1596*K$1587</f>
        <v>9.64089229311731E-005</v>
      </c>
      <c r="L1597" s="2" t="n">
        <f aca="false">K1597*(1-L$1587)+K1596*L$1587</f>
        <v>0.00181813670236282</v>
      </c>
      <c r="M1597" s="2" t="n">
        <f aca="false">L1597*(1-M$1587)+L1596*M$1587</f>
        <v>0.0121384481053339</v>
      </c>
      <c r="N1597" s="2" t="n">
        <f aca="false">M1597*(1-N$1587)+M1596*N$1587</f>
        <v>0.0225010035298723</v>
      </c>
      <c r="O1597" s="2" t="n">
        <f aca="false">N1597*(1-O$1587)+N1596*O$1587</f>
        <v>0.0225010035298723</v>
      </c>
    </row>
    <row r="1598" customFormat="false" ht="15" hidden="false" customHeight="false" outlineLevel="0" collapsed="false">
      <c r="B1598" s="2" t="n">
        <v>10</v>
      </c>
      <c r="C1598" s="2" t="n">
        <f aca="false">0</f>
        <v>0</v>
      </c>
      <c r="D1598" s="2" t="n">
        <f aca="false">C1598*(1-D$1587)+C1597*D$1587</f>
        <v>0</v>
      </c>
      <c r="E1598" s="2" t="n">
        <f aca="false">D1598*(1-E$1587)+D1597*E$1587</f>
        <v>0</v>
      </c>
      <c r="F1598" s="2" t="n">
        <f aca="false">E1598*(1-F$1587)+E1597*F$1587</f>
        <v>0</v>
      </c>
      <c r="G1598" s="2" t="n">
        <f aca="false">F1598*(1-G$1587)+F1597*G$1587</f>
        <v>0</v>
      </c>
      <c r="H1598" s="2" t="n">
        <f aca="false">G1598*(1-H$1587)+G1597*H$1587</f>
        <v>0</v>
      </c>
      <c r="I1598" s="2" t="n">
        <f aca="false">H1598*(1-I$1587)+H1597*I$1587</f>
        <v>0</v>
      </c>
      <c r="J1598" s="2" t="n">
        <f aca="false">I1598*(1-J$1587)+I1597*J$1587</f>
        <v>0</v>
      </c>
      <c r="K1598" s="2" t="n">
        <f aca="false">J1598*(1-K$1587)+J1597*K$1587</f>
        <v>0</v>
      </c>
      <c r="L1598" s="2" t="n">
        <f aca="false">K1598*(1-L$1587)+K1597*L$1587</f>
        <v>7.2513329534082E-005</v>
      </c>
      <c r="M1598" s="2" t="n">
        <f aca="false">L1598*(1-M$1587)+L1597*M$1587</f>
        <v>0.00130613356655171</v>
      </c>
      <c r="N1598" s="2" t="n">
        <f aca="false">M1598*(1-N$1587)+M1597*N$1587</f>
        <v>0.0037814676517217</v>
      </c>
      <c r="O1598" s="2" t="n">
        <f aca="false">N1598*(1-O$1587)+N1597*O$1587</f>
        <v>0.0037814676517217</v>
      </c>
    </row>
    <row r="1599" customFormat="false" ht="15" hidden="false" customHeight="false" outlineLevel="0" collapsed="false">
      <c r="B1599" s="2" t="n">
        <v>11</v>
      </c>
      <c r="C1599" s="2" t="n">
        <f aca="false">0</f>
        <v>0</v>
      </c>
      <c r="D1599" s="2" t="n">
        <f aca="false">C1599*(1-D$1587)+C1598*D$1587</f>
        <v>0</v>
      </c>
      <c r="E1599" s="2" t="n">
        <f aca="false">D1599*(1-E$1587)+D1598*E$1587</f>
        <v>0</v>
      </c>
      <c r="F1599" s="2" t="n">
        <f aca="false">E1599*(1-F$1587)+E1598*F$1587</f>
        <v>0</v>
      </c>
      <c r="G1599" s="2" t="n">
        <f aca="false">F1599*(1-G$1587)+F1598*G$1587</f>
        <v>0</v>
      </c>
      <c r="H1599" s="2" t="n">
        <f aca="false">G1599*(1-H$1587)+G1598*H$1587</f>
        <v>0</v>
      </c>
      <c r="I1599" s="2" t="n">
        <f aca="false">H1599*(1-I$1587)+H1598*I$1587</f>
        <v>0</v>
      </c>
      <c r="J1599" s="2" t="n">
        <f aca="false">I1599*(1-J$1587)+I1598*J$1587</f>
        <v>0</v>
      </c>
      <c r="K1599" s="2" t="n">
        <f aca="false">J1599*(1-K$1587)+J1598*K$1587</f>
        <v>0</v>
      </c>
      <c r="L1599" s="2" t="n">
        <f aca="false">K1599*(1-L$1587)+K1598*L$1587</f>
        <v>0</v>
      </c>
      <c r="M1599" s="2" t="n">
        <f aca="false">L1599*(1-M$1587)+L1598*M$1587</f>
        <v>5.12446797855451E-005</v>
      </c>
      <c r="N1599" s="2" t="n">
        <f aca="false">M1599*(1-N$1587)+M1598*N$1587</f>
        <v>0.000338004192112496</v>
      </c>
      <c r="O1599" s="2" t="n">
        <f aca="false">N1599*(1-O$1587)+N1598*O$1587</f>
        <v>0.000338004192112496</v>
      </c>
    </row>
    <row r="1600" customFormat="false" ht="15" hidden="false" customHeight="false" outlineLevel="0" collapsed="false">
      <c r="B1600" s="2" t="n">
        <v>12</v>
      </c>
      <c r="C1600" s="2" t="n">
        <f aca="false">0</f>
        <v>0</v>
      </c>
      <c r="D1600" s="2" t="n">
        <f aca="false">C1600*(1-D$1587)+C1599*D$1587</f>
        <v>0</v>
      </c>
      <c r="E1600" s="2" t="n">
        <f aca="false">D1600*(1-E$1587)+D1599*E$1587</f>
        <v>0</v>
      </c>
      <c r="F1600" s="2" t="n">
        <f aca="false">E1600*(1-F$1587)+E1599*F$1587</f>
        <v>0</v>
      </c>
      <c r="G1600" s="2" t="n">
        <f aca="false">F1600*(1-G$1587)+F1599*G$1587</f>
        <v>0</v>
      </c>
      <c r="H1600" s="2" t="n">
        <f aca="false">G1600*(1-H$1587)+G1599*H$1587</f>
        <v>0</v>
      </c>
      <c r="I1600" s="2" t="n">
        <f aca="false">H1600*(1-I$1587)+H1599*I$1587</f>
        <v>0</v>
      </c>
      <c r="J1600" s="2" t="n">
        <f aca="false">I1600*(1-J$1587)+I1599*J$1587</f>
        <v>0</v>
      </c>
      <c r="K1600" s="2" t="n">
        <f aca="false">J1600*(1-K$1587)+J1599*K$1587</f>
        <v>0</v>
      </c>
      <c r="L1600" s="2" t="n">
        <f aca="false">K1600*(1-L$1587)+K1599*L$1587</f>
        <v>0</v>
      </c>
      <c r="M1600" s="2" t="n">
        <f aca="false">L1600*(1-M$1587)+L1599*M$1587</f>
        <v>0</v>
      </c>
      <c r="N1600" s="2" t="n">
        <f aca="false">M1600*(1-N$1587)+M1599*N$1587</f>
        <v>1.17101199473702E-005</v>
      </c>
      <c r="O1600" s="2" t="n">
        <f aca="false">N1600*(1-O$1587)+N1599*O$1587</f>
        <v>1.17101199473702E-005</v>
      </c>
    </row>
    <row r="1601" customFormat="false" ht="15" hidden="false" customHeight="false" outlineLevel="0" collapsed="false">
      <c r="B1601" s="2" t="n">
        <v>13</v>
      </c>
      <c r="C1601" s="2" t="n">
        <f aca="false">0</f>
        <v>0</v>
      </c>
      <c r="D1601" s="2" t="n">
        <f aca="false">C1601*(1-D$1587)+C1600*D$1587</f>
        <v>0</v>
      </c>
      <c r="E1601" s="2" t="n">
        <f aca="false">D1601*(1-E$1587)+D1600*E$1587</f>
        <v>0</v>
      </c>
      <c r="F1601" s="2" t="n">
        <f aca="false">E1601*(1-F$1587)+E1600*F$1587</f>
        <v>0</v>
      </c>
      <c r="G1601" s="2" t="n">
        <f aca="false">F1601*(1-G$1587)+F1600*G$1587</f>
        <v>0</v>
      </c>
      <c r="H1601" s="2" t="n">
        <f aca="false">G1601*(1-H$1587)+G1600*H$1587</f>
        <v>0</v>
      </c>
      <c r="I1601" s="2" t="n">
        <f aca="false">H1601*(1-I$1587)+H1600*I$1587</f>
        <v>0</v>
      </c>
      <c r="J1601" s="2" t="n">
        <f aca="false">I1601*(1-J$1587)+I1600*J$1587</f>
        <v>0</v>
      </c>
      <c r="K1601" s="2" t="n">
        <f aca="false">J1601*(1-K$1587)+J1600*K$1587</f>
        <v>0</v>
      </c>
      <c r="L1601" s="2" t="n">
        <f aca="false">K1601*(1-L$1587)+K1600*L$1587</f>
        <v>0</v>
      </c>
      <c r="M1601" s="2" t="n">
        <f aca="false">L1601*(1-M$1587)+L1600*M$1587</f>
        <v>0</v>
      </c>
      <c r="N1601" s="2" t="n">
        <f aca="false">M1601*(1-N$1587)+M1600*N$1587</f>
        <v>0</v>
      </c>
      <c r="O1601" s="2" t="n">
        <f aca="false">N1601*(1-O$1587)+N1600*O$1587</f>
        <v>0</v>
      </c>
    </row>
    <row r="1603" customFormat="false" ht="15" hidden="false" customHeight="false" outlineLevel="0" collapsed="false">
      <c r="A1603" s="1" t="s">
        <v>158</v>
      </c>
      <c r="C1603" s="2" t="n">
        <f aca="false">Schedule!G102</f>
        <v>0.194206216543996</v>
      </c>
      <c r="D1603" s="2" t="n">
        <f aca="false">Schedule!L102</f>
        <v>0.995975411457242</v>
      </c>
      <c r="E1603" s="2" t="n">
        <f aca="false">Schedule!Q102</f>
        <v>0.562082016808295</v>
      </c>
      <c r="F1603" s="2" t="n">
        <f aca="false">Schedule!V102</f>
        <v>0.324105107136862</v>
      </c>
      <c r="G1603" s="2" t="n">
        <f aca="false">Schedule!AA102</f>
        <v>0.800595439528627</v>
      </c>
      <c r="H1603" s="2" t="n">
        <f aca="false">Schedule!AF102</f>
        <v>0.648491124483723</v>
      </c>
      <c r="I1603" s="2" t="n">
        <f aca="false">Schedule!AK102</f>
        <v>0.610740671392063</v>
      </c>
      <c r="J1603" s="2" t="n">
        <f aca="false">Schedule!AP102</f>
        <v>0.48504317007409</v>
      </c>
      <c r="K1603" s="2" t="n">
        <f aca="false">Schedule!AU102</f>
        <v>0.769590828396427</v>
      </c>
      <c r="L1603" s="2" t="n">
        <f aca="false">Schedule!AZ102</f>
        <v>0.949886073376253</v>
      </c>
      <c r="M1603" s="2" t="n">
        <f aca="false">Schedule!BE102</f>
        <v>0.700208404531304</v>
      </c>
      <c r="N1603" s="2" t="n">
        <f aca="false">Schedule!BJ102</f>
        <v>0.504986648644038</v>
      </c>
      <c r="O1603" s="2" t="n">
        <f aca="false">Schedule!BO102</f>
        <v>0</v>
      </c>
    </row>
    <row r="1604" customFormat="false" ht="15" hidden="false" customHeight="false" outlineLevel="0" collapsed="false">
      <c r="B1604" s="2" t="n">
        <v>0</v>
      </c>
      <c r="C1604" s="2" t="n">
        <f aca="false">1-C$1603</f>
        <v>0.805793783456004</v>
      </c>
      <c r="D1604" s="2" t="n">
        <f aca="false">C1604*(1-D$1603)</f>
        <v>0.00324298842872293</v>
      </c>
      <c r="E1604" s="2" t="n">
        <f aca="false">D1604*(1-E$1603)</f>
        <v>0.00142016295222038</v>
      </c>
      <c r="F1604" s="2" t="n">
        <f aca="false">E1604*(1-F$1603)</f>
        <v>0.000959880886439192</v>
      </c>
      <c r="G1604" s="2" t="n">
        <f aca="false">F1604*(1-G$1603)</f>
        <v>0.000191404626265279</v>
      </c>
      <c r="H1604" s="2" t="n">
        <f aca="false">G1604*(1-H$1603)</f>
        <v>6.72804249471214E-005</v>
      </c>
      <c r="I1604" s="2" t="n">
        <f aca="false">H1604*(1-I$1603)</f>
        <v>2.61895330433732E-005</v>
      </c>
      <c r="J1604" s="2" t="n">
        <f aca="false">I1604*(1-J$1603)</f>
        <v>1.34864789132553E-005</v>
      </c>
      <c r="K1604" s="2" t="n">
        <f aca="false">J1604*(1-K$1603)</f>
        <v>3.10740843425222E-006</v>
      </c>
      <c r="L1604" s="2" t="n">
        <f aca="false">K1604*(1-L$1603)</f>
        <v>1.55724438264128E-007</v>
      </c>
      <c r="M1604" s="2" t="n">
        <f aca="false">L1604*(1-M$1603)</f>
        <v>4.66848778006692E-008</v>
      </c>
      <c r="N1604" s="2" t="n">
        <f aca="false">M1604*(1-N$1603)</f>
        <v>2.31096378177528E-008</v>
      </c>
      <c r="O1604" s="2" t="n">
        <f aca="false">N1604*(1-O$1603)</f>
        <v>2.31096378177528E-008</v>
      </c>
    </row>
    <row r="1605" customFormat="false" ht="15" hidden="false" customHeight="false" outlineLevel="0" collapsed="false">
      <c r="B1605" s="2" t="n">
        <v>1</v>
      </c>
      <c r="C1605" s="2" t="n">
        <f aca="false">C$1603</f>
        <v>0.194206216543996</v>
      </c>
      <c r="D1605" s="2" t="n">
        <f aca="false">C1605*(1-D$1603)+C1604*D$1603</f>
        <v>0.803332395141317</v>
      </c>
      <c r="E1605" s="2" t="n">
        <f aca="false">D1605*(1-E$1603)+D1604*E$1603</f>
        <v>0.35361652778935</v>
      </c>
      <c r="F1605" s="2" t="n">
        <f aca="false">E1605*(1-F$1603)+E1604*F$1603</f>
        <v>0.239467887230599</v>
      </c>
      <c r="G1605" s="2" t="n">
        <f aca="false">F1605*(1-G$1603)+F1604*G$1603</f>
        <v>0.0485194650603997</v>
      </c>
      <c r="H1605" s="2" t="n">
        <f aca="false">G1605*(1-H$1603)+G1604*H$1603</f>
        <v>0.0171791468053505</v>
      </c>
      <c r="I1605" s="2" t="n">
        <f aca="false">H1605*(1-I$1603)+H1604*I$1603</f>
        <v>0.00672823404341169</v>
      </c>
      <c r="J1605" s="2" t="n">
        <f aca="false">I1605*(1-J$1603)+I1604*J$1603</f>
        <v>0.00347745312812499</v>
      </c>
      <c r="K1605" s="2" t="n">
        <f aca="false">J1605*(1-K$1603)+J1604*K$1603</f>
        <v>0.000811616165020537</v>
      </c>
      <c r="L1605" s="2" t="n">
        <f aca="false">K1605*(1-L$1603)+K1604*L$1603</f>
        <v>4.36249569364741E-005</v>
      </c>
      <c r="M1605" s="2" t="n">
        <f aca="false">L1605*(1-M$1603)+L1604*M$1603</f>
        <v>1.31874350027022E-005</v>
      </c>
      <c r="N1605" s="2" t="n">
        <f aca="false">M1605*(1-N$1603)+M1604*N$1603</f>
        <v>6.55153163645943E-006</v>
      </c>
      <c r="O1605" s="2" t="n">
        <f aca="false">N1605*(1-O$1603)+N1604*O$1603</f>
        <v>6.55153163645943E-006</v>
      </c>
    </row>
    <row r="1606" customFormat="false" ht="15" hidden="false" customHeight="false" outlineLevel="0" collapsed="false">
      <c r="B1606" s="2" t="n">
        <v>2</v>
      </c>
      <c r="C1606" s="2" t="n">
        <f aca="false">0</f>
        <v>0</v>
      </c>
      <c r="D1606" s="2" t="n">
        <f aca="false">C1606*(1-D$1603)+C1605*D$1603</f>
        <v>0.19342461642996</v>
      </c>
      <c r="E1606" s="2" t="n">
        <f aca="false">D1606*(1-E$1603)+D1605*E$1603</f>
        <v>0.536242810755107</v>
      </c>
      <c r="F1606" s="2" t="n">
        <f aca="false">E1606*(1-F$1603)+E1605*F$1603</f>
        <v>0.477052699748483</v>
      </c>
      <c r="G1606" s="2" t="n">
        <f aca="false">F1606*(1-G$1603)+F1605*G$1603</f>
        <v>0.286843382345401</v>
      </c>
      <c r="H1606" s="2" t="n">
        <f aca="false">G1606*(1-H$1603)+G1605*H$1603</f>
        <v>0.132292437233885</v>
      </c>
      <c r="I1606" s="2" t="n">
        <f aca="false">H1606*(1-I$1603)+H1605*I$1603</f>
        <v>0.0619880689514122</v>
      </c>
      <c r="J1606" s="2" t="n">
        <f aca="false">I1606*(1-J$1603)+I1605*J$1603</f>
        <v>0.0351846634498648</v>
      </c>
      <c r="K1606" s="2" t="n">
        <f aca="false">J1606*(1-K$1603)+J1605*K$1603</f>
        <v>0.0107830851922173</v>
      </c>
      <c r="L1606" s="2" t="n">
        <f aca="false">K1606*(1-L$1603)+K1605*L$1603</f>
        <v>0.00131132563218044</v>
      </c>
      <c r="M1606" s="2" t="n">
        <f aca="false">L1606*(1-M$1603)+L1605*M$1603</f>
        <v>0.000423670964944606</v>
      </c>
      <c r="N1606" s="2" t="n">
        <f aca="false">M1606*(1-N$1603)+M1605*N$1603</f>
        <v>0.000216382262835669</v>
      </c>
      <c r="O1606" s="2" t="n">
        <f aca="false">N1606*(1-O$1603)+N1605*O$1603</f>
        <v>0.000216382262835669</v>
      </c>
    </row>
    <row r="1607" customFormat="false" ht="15" hidden="false" customHeight="false" outlineLevel="0" collapsed="false">
      <c r="B1607" s="2" t="n">
        <v>3</v>
      </c>
      <c r="C1607" s="2" t="n">
        <f aca="false">0</f>
        <v>0</v>
      </c>
      <c r="D1607" s="2" t="n">
        <f aca="false">C1607*(1-D$1603)+C1606*D$1603</f>
        <v>0</v>
      </c>
      <c r="E1607" s="2" t="n">
        <f aca="false">D1607*(1-E$1603)+D1606*E$1603</f>
        <v>0.108720498503323</v>
      </c>
      <c r="F1607" s="2" t="n">
        <f aca="false">E1607*(1-F$1603)+E1606*F$1603</f>
        <v>0.247282663319086</v>
      </c>
      <c r="G1607" s="2" t="n">
        <f aca="false">F1607*(1-G$1603)+F1606*G$1603</f>
        <v>0.431235506624788</v>
      </c>
      <c r="H1607" s="2" t="n">
        <f aca="false">G1607*(1-H$1603)+G1606*H$1603</f>
        <v>0.337598495584255</v>
      </c>
      <c r="I1607" s="2" t="n">
        <f aca="false">H1607*(1-I$1603)+H1606*I$1603</f>
        <v>0.212209735666492</v>
      </c>
      <c r="J1607" s="2" t="n">
        <f aca="false">I1607*(1-J$1603)+I1606*J$1603</f>
        <v>0.139345742229196</v>
      </c>
      <c r="K1607" s="2" t="n">
        <f aca="false">J1607*(1-K$1603)+J1606*K$1603</f>
        <v>0.0591843313247451</v>
      </c>
      <c r="L1607" s="2" t="n">
        <f aca="false">K1607*(1-L$1603)+K1606*L$1603</f>
        <v>0.0132086616894007</v>
      </c>
      <c r="M1607" s="2" t="n">
        <f aca="false">L1607*(1-M$1603)+L1606*M$1603</f>
        <v>0.00487804699060176</v>
      </c>
      <c r="N1607" s="2" t="n">
        <f aca="false">M1607*(1-N$1603)+M1606*N$1603</f>
        <v>0.0026286465696048</v>
      </c>
      <c r="O1607" s="2" t="n">
        <f aca="false">N1607*(1-O$1603)+N1606*O$1603</f>
        <v>0.0026286465696048</v>
      </c>
    </row>
    <row r="1608" customFormat="false" ht="15" hidden="false" customHeight="false" outlineLevel="0" collapsed="false">
      <c r="B1608" s="2" t="n">
        <v>4</v>
      </c>
      <c r="C1608" s="2" t="n">
        <f aca="false">0</f>
        <v>0</v>
      </c>
      <c r="D1608" s="2" t="n">
        <f aca="false">C1608*(1-D$1603)+C1607*D$1603</f>
        <v>0</v>
      </c>
      <c r="E1608" s="2" t="n">
        <f aca="false">D1608*(1-E$1603)+D1607*E$1603</f>
        <v>0</v>
      </c>
      <c r="F1608" s="2" t="n">
        <f aca="false">E1608*(1-F$1603)+E1607*F$1603</f>
        <v>0.0352368688153925</v>
      </c>
      <c r="G1608" s="2" t="n">
        <f aca="false">F1608*(1-G$1603)+F1607*G$1603</f>
        <v>0.204999764866274</v>
      </c>
      <c r="H1608" s="2" t="n">
        <f aca="false">G1608*(1-H$1603)+G1607*H$1603</f>
        <v>0.351711635437662</v>
      </c>
      <c r="I1608" s="2" t="n">
        <f aca="false">H1608*(1-I$1603)+H1607*I$1603</f>
        <v>0.343092166928142</v>
      </c>
      <c r="J1608" s="2" t="n">
        <f aca="false">I1608*(1-J$1603)+I1607*J$1603</f>
        <v>0.279608537561987</v>
      </c>
      <c r="K1608" s="2" t="n">
        <f aca="false">J1608*(1-K$1603)+J1607*K$1603</f>
        <v>0.171663576708626</v>
      </c>
      <c r="L1608" s="2" t="n">
        <f aca="false">K1608*(1-L$1603)+K1607*L$1603</f>
        <v>0.0648211079746073</v>
      </c>
      <c r="M1608" s="2" t="n">
        <f aca="false">L1608*(1-M$1603)+L1607*M$1603</f>
        <v>0.0286816393072852</v>
      </c>
      <c r="N1608" s="2" t="n">
        <f aca="false">M1608*(1-N$1603)+M1607*N$1603</f>
        <v>0.0166611429975942</v>
      </c>
      <c r="O1608" s="2" t="n">
        <f aca="false">N1608*(1-O$1603)+N1607*O$1603</f>
        <v>0.0166611429975942</v>
      </c>
    </row>
    <row r="1609" customFormat="false" ht="15" hidden="false" customHeight="false" outlineLevel="0" collapsed="false">
      <c r="B1609" s="2" t="n">
        <v>5</v>
      </c>
      <c r="C1609" s="2" t="n">
        <f aca="false">0</f>
        <v>0</v>
      </c>
      <c r="D1609" s="2" t="n">
        <f aca="false">C1609*(1-D$1603)+C1608*D$1603</f>
        <v>0</v>
      </c>
      <c r="E1609" s="2" t="n">
        <f aca="false">D1609*(1-E$1603)+D1608*E$1603</f>
        <v>0</v>
      </c>
      <c r="F1609" s="2" t="n">
        <f aca="false">E1609*(1-F$1603)+E1608*F$1603</f>
        <v>0</v>
      </c>
      <c r="G1609" s="2" t="n">
        <f aca="false">F1609*(1-G$1603)+F1608*G$1603</f>
        <v>0.0282104764768718</v>
      </c>
      <c r="H1609" s="2" t="n">
        <f aca="false">G1609*(1-H$1603)+G1608*H$1603</f>
        <v>0.142856760901193</v>
      </c>
      <c r="I1609" s="2" t="n">
        <f aca="false">H1609*(1-I$1603)+H1608*I$1603</f>
        <v>0.270412927199101</v>
      </c>
      <c r="J1609" s="2" t="n">
        <f aca="false">I1609*(1-J$1603)+I1608*J$1603</f>
        <v>0.30566549603585</v>
      </c>
      <c r="K1609" s="2" t="n">
        <f aca="false">J1609*(1-K$1603)+J1608*K$1603</f>
        <v>0.285612299778458</v>
      </c>
      <c r="L1609" s="2" t="n">
        <f aca="false">K1609*(1-L$1603)+K1608*L$1603</f>
        <v>0.177373994655417</v>
      </c>
      <c r="M1609" s="2" t="n">
        <f aca="false">L1609*(1-M$1603)+L1608*M$1603</f>
        <v>0.0985635174472546</v>
      </c>
      <c r="N1609" s="2" t="n">
        <f aca="false">M1609*(1-N$1603)+M1608*N$1603</f>
        <v>0.0632741020044004</v>
      </c>
      <c r="O1609" s="2" t="n">
        <f aca="false">N1609*(1-O$1603)+N1608*O$1603</f>
        <v>0.0632741020044004</v>
      </c>
    </row>
    <row r="1610" customFormat="false" ht="15" hidden="false" customHeight="false" outlineLevel="0" collapsed="false">
      <c r="B1610" s="2" t="n">
        <v>6</v>
      </c>
      <c r="C1610" s="2" t="n">
        <f aca="false">0</f>
        <v>0</v>
      </c>
      <c r="D1610" s="2" t="n">
        <f aca="false">C1610*(1-D$1603)+C1609*D$1603</f>
        <v>0</v>
      </c>
      <c r="E1610" s="2" t="n">
        <f aca="false">D1610*(1-E$1603)+D1609*E$1603</f>
        <v>0</v>
      </c>
      <c r="F1610" s="2" t="n">
        <f aca="false">E1610*(1-F$1603)+E1609*F$1603</f>
        <v>0</v>
      </c>
      <c r="G1610" s="2" t="n">
        <f aca="false">F1610*(1-G$1603)+F1609*G$1603</f>
        <v>0</v>
      </c>
      <c r="H1610" s="2" t="n">
        <f aca="false">G1610*(1-H$1603)+G1609*H$1603</f>
        <v>0.0182942436127082</v>
      </c>
      <c r="I1610" s="2" t="n">
        <f aca="false">H1610*(1-I$1603)+H1609*I$1603</f>
        <v>0.0943696390517626</v>
      </c>
      <c r="J1610" s="2" t="n">
        <f aca="false">I1610*(1-J$1603)+I1609*J$1603</f>
        <v>0.179758233605014</v>
      </c>
      <c r="K1610" s="2" t="n">
        <f aca="false">J1610*(1-K$1603)+J1609*K$1603</f>
        <v>0.276655308000287</v>
      </c>
      <c r="L1610" s="2" t="n">
        <f aca="false">K1610*(1-L$1603)+K1609*L$1603</f>
        <v>0.285163429749718</v>
      </c>
      <c r="M1610" s="2" t="n">
        <f aca="false">L1610*(1-M$1603)+L1609*M$1603</f>
        <v>0.209688361377007</v>
      </c>
      <c r="N1610" s="2" t="n">
        <f aca="false">M1610*(1-N$1603)+M1609*N$1603</f>
        <v>0.15357179885983</v>
      </c>
      <c r="O1610" s="2" t="n">
        <f aca="false">N1610*(1-O$1603)+N1609*O$1603</f>
        <v>0.15357179885983</v>
      </c>
    </row>
    <row r="1611" customFormat="false" ht="15" hidden="false" customHeight="false" outlineLevel="0" collapsed="false">
      <c r="B1611" s="2" t="n">
        <v>7</v>
      </c>
      <c r="C1611" s="2" t="n">
        <f aca="false">0</f>
        <v>0</v>
      </c>
      <c r="D1611" s="2" t="n">
        <f aca="false">C1611*(1-D$1603)+C1610*D$1603</f>
        <v>0</v>
      </c>
      <c r="E1611" s="2" t="n">
        <f aca="false">D1611*(1-E$1603)+D1610*E$1603</f>
        <v>0</v>
      </c>
      <c r="F1611" s="2" t="n">
        <f aca="false">E1611*(1-F$1603)+E1610*F$1603</f>
        <v>0</v>
      </c>
      <c r="G1611" s="2" t="n">
        <f aca="false">F1611*(1-G$1603)+F1610*G$1603</f>
        <v>0</v>
      </c>
      <c r="H1611" s="2" t="n">
        <f aca="false">G1611*(1-H$1603)+G1610*H$1603</f>
        <v>0</v>
      </c>
      <c r="I1611" s="2" t="n">
        <f aca="false">H1611*(1-I$1603)+H1610*I$1603</f>
        <v>0.0111730386266354</v>
      </c>
      <c r="J1611" s="2" t="n">
        <f aca="false">I1611*(1-J$1603)+I1610*J$1603</f>
        <v>0.0515269814362265</v>
      </c>
      <c r="K1611" s="2" t="n">
        <f aca="false">J1611*(1-K$1603)+J1610*K$1603</f>
        <v>0.150212577019115</v>
      </c>
      <c r="L1611" s="2" t="n">
        <f aca="false">K1611*(1-L$1603)+K1610*L$1603</f>
        <v>0.270318766257791</v>
      </c>
      <c r="M1611" s="2" t="n">
        <f aca="false">L1611*(1-M$1603)+L1610*M$1603</f>
        <v>0.280713124397277</v>
      </c>
      <c r="N1611" s="2" t="n">
        <f aca="false">M1611*(1-N$1603)+M1610*N$1603</f>
        <v>0.244846567348934</v>
      </c>
      <c r="O1611" s="2" t="n">
        <f aca="false">N1611*(1-O$1603)+N1610*O$1603</f>
        <v>0.244846567348934</v>
      </c>
    </row>
    <row r="1612" customFormat="false" ht="15" hidden="false" customHeight="false" outlineLevel="0" collapsed="false">
      <c r="B1612" s="2" t="n">
        <v>8</v>
      </c>
      <c r="C1612" s="2" t="n">
        <f aca="false">0</f>
        <v>0</v>
      </c>
      <c r="D1612" s="2" t="n">
        <f aca="false">C1612*(1-D$1603)+C1611*D$1603</f>
        <v>0</v>
      </c>
      <c r="E1612" s="2" t="n">
        <f aca="false">D1612*(1-E$1603)+D1611*E$1603</f>
        <v>0</v>
      </c>
      <c r="F1612" s="2" t="n">
        <f aca="false">E1612*(1-F$1603)+E1611*F$1603</f>
        <v>0</v>
      </c>
      <c r="G1612" s="2" t="n">
        <f aca="false">F1612*(1-G$1603)+F1611*G$1603</f>
        <v>0</v>
      </c>
      <c r="H1612" s="2" t="n">
        <f aca="false">G1612*(1-H$1603)+G1611*H$1603</f>
        <v>0</v>
      </c>
      <c r="I1612" s="2" t="n">
        <f aca="false">H1612*(1-I$1603)+H1611*I$1603</f>
        <v>0</v>
      </c>
      <c r="J1612" s="2" t="n">
        <f aca="false">I1612*(1-J$1603)+I1611*J$1603</f>
        <v>0.00541940607482347</v>
      </c>
      <c r="K1612" s="2" t="n">
        <f aca="false">J1612*(1-K$1603)+J1611*K$1603</f>
        <v>0.0409033731925563</v>
      </c>
      <c r="L1612" s="2" t="n">
        <f aca="false">K1612*(1-L$1603)+K1611*L$1603</f>
        <v>0.14473466359925</v>
      </c>
      <c r="M1612" s="2" t="n">
        <f aca="false">L1612*(1-M$1603)+L1611*M$1603</f>
        <v>0.232669707756282</v>
      </c>
      <c r="N1612" s="2" t="n">
        <f aca="false">M1612*(1-N$1603)+M1611*N$1603</f>
        <v>0.256930991715228</v>
      </c>
      <c r="O1612" s="2" t="n">
        <f aca="false">N1612*(1-O$1603)+N1611*O$1603</f>
        <v>0.256930991715228</v>
      </c>
    </row>
    <row r="1613" customFormat="false" ht="15" hidden="false" customHeight="false" outlineLevel="0" collapsed="false">
      <c r="B1613" s="2" t="n">
        <v>9</v>
      </c>
      <c r="C1613" s="2" t="n">
        <f aca="false">0</f>
        <v>0</v>
      </c>
      <c r="D1613" s="2" t="n">
        <f aca="false">C1613*(1-D$1603)+C1612*D$1603</f>
        <v>0</v>
      </c>
      <c r="E1613" s="2" t="n">
        <f aca="false">D1613*(1-E$1603)+D1612*E$1603</f>
        <v>0</v>
      </c>
      <c r="F1613" s="2" t="n">
        <f aca="false">E1613*(1-F$1603)+E1612*F$1603</f>
        <v>0</v>
      </c>
      <c r="G1613" s="2" t="n">
        <f aca="false">F1613*(1-G$1603)+F1612*G$1603</f>
        <v>0</v>
      </c>
      <c r="H1613" s="2" t="n">
        <f aca="false">G1613*(1-H$1603)+G1612*H$1603</f>
        <v>0</v>
      </c>
      <c r="I1613" s="2" t="n">
        <f aca="false">H1613*(1-I$1603)+H1612*I$1603</f>
        <v>0</v>
      </c>
      <c r="J1613" s="2" t="n">
        <f aca="false">I1613*(1-J$1603)+I1612*J$1603</f>
        <v>0</v>
      </c>
      <c r="K1613" s="2" t="n">
        <f aca="false">J1613*(1-K$1603)+J1612*K$1603</f>
        <v>0.00417072521054002</v>
      </c>
      <c r="L1613" s="2" t="n">
        <f aca="false">K1613*(1-L$1603)+K1612*L$1603</f>
        <v>0.0390625559668896</v>
      </c>
      <c r="M1613" s="2" t="n">
        <f aca="false">L1613*(1-M$1603)+L1612*M$1603</f>
        <v>0.113055053855605</v>
      </c>
      <c r="N1613" s="2" t="n">
        <f aca="false">M1613*(1-N$1603)+M1612*N$1603</f>
        <v>0.173458857057625</v>
      </c>
      <c r="O1613" s="2" t="n">
        <f aca="false">N1613*(1-O$1603)+N1612*O$1603</f>
        <v>0.173458857057625</v>
      </c>
    </row>
    <row r="1614" customFormat="false" ht="15" hidden="false" customHeight="false" outlineLevel="0" collapsed="false">
      <c r="B1614" s="2" t="n">
        <v>10</v>
      </c>
      <c r="C1614" s="2" t="n">
        <f aca="false">0</f>
        <v>0</v>
      </c>
      <c r="D1614" s="2" t="n">
        <f aca="false">C1614*(1-D$1603)+C1613*D$1603</f>
        <v>0</v>
      </c>
      <c r="E1614" s="2" t="n">
        <f aca="false">D1614*(1-E$1603)+D1613*E$1603</f>
        <v>0</v>
      </c>
      <c r="F1614" s="2" t="n">
        <f aca="false">E1614*(1-F$1603)+E1613*F$1603</f>
        <v>0</v>
      </c>
      <c r="G1614" s="2" t="n">
        <f aca="false">F1614*(1-G$1603)+F1613*G$1603</f>
        <v>0</v>
      </c>
      <c r="H1614" s="2" t="n">
        <f aca="false">G1614*(1-H$1603)+G1613*H$1603</f>
        <v>0</v>
      </c>
      <c r="I1614" s="2" t="n">
        <f aca="false">H1614*(1-I$1603)+H1613*I$1603</f>
        <v>0</v>
      </c>
      <c r="J1614" s="2" t="n">
        <f aca="false">I1614*(1-J$1603)+I1613*J$1603</f>
        <v>0</v>
      </c>
      <c r="K1614" s="2" t="n">
        <f aca="false">J1614*(1-K$1603)+J1613*K$1603</f>
        <v>0</v>
      </c>
      <c r="L1614" s="2" t="n">
        <f aca="false">K1614*(1-L$1603)+K1613*L$1603</f>
        <v>0.00396171379337121</v>
      </c>
      <c r="M1614" s="2" t="n">
        <f aca="false">L1614*(1-M$1603)+L1613*M$1603</f>
        <v>0.0285396184893956</v>
      </c>
      <c r="N1614" s="2" t="n">
        <f aca="false">M1614*(1-N$1603)+M1613*N$1603</f>
        <v>0.0712187849536696</v>
      </c>
      <c r="O1614" s="2" t="n">
        <f aca="false">N1614*(1-O$1603)+N1613*O$1603</f>
        <v>0.0712187849536696</v>
      </c>
    </row>
    <row r="1615" customFormat="false" ht="15" hidden="false" customHeight="false" outlineLevel="0" collapsed="false">
      <c r="B1615" s="2" t="n">
        <v>11</v>
      </c>
      <c r="C1615" s="2" t="n">
        <f aca="false">0</f>
        <v>0</v>
      </c>
      <c r="D1615" s="2" t="n">
        <f aca="false">C1615*(1-D$1603)+C1614*D$1603</f>
        <v>0</v>
      </c>
      <c r="E1615" s="2" t="n">
        <f aca="false">D1615*(1-E$1603)+D1614*E$1603</f>
        <v>0</v>
      </c>
      <c r="F1615" s="2" t="n">
        <f aca="false">E1615*(1-F$1603)+E1614*F$1603</f>
        <v>0</v>
      </c>
      <c r="G1615" s="2" t="n">
        <f aca="false">F1615*(1-G$1603)+F1614*G$1603</f>
        <v>0</v>
      </c>
      <c r="H1615" s="2" t="n">
        <f aca="false">G1615*(1-H$1603)+G1614*H$1603</f>
        <v>0</v>
      </c>
      <c r="I1615" s="2" t="n">
        <f aca="false">H1615*(1-I$1603)+H1614*I$1603</f>
        <v>0</v>
      </c>
      <c r="J1615" s="2" t="n">
        <f aca="false">I1615*(1-J$1603)+I1614*J$1603</f>
        <v>0</v>
      </c>
      <c r="K1615" s="2" t="n">
        <f aca="false">J1615*(1-K$1603)+J1614*K$1603</f>
        <v>0</v>
      </c>
      <c r="L1615" s="2" t="n">
        <f aca="false">K1615*(1-L$1603)+K1614*L$1603</f>
        <v>0</v>
      </c>
      <c r="M1615" s="2" t="n">
        <f aca="false">L1615*(1-M$1603)+L1614*M$1603</f>
        <v>0.00277402529446611</v>
      </c>
      <c r="N1615" s="2" t="n">
        <f aca="false">M1615*(1-N$1603)+M1614*N$1603</f>
        <v>0.0157853058522992</v>
      </c>
      <c r="O1615" s="2" t="n">
        <f aca="false">N1615*(1-O$1603)+N1614*O$1603</f>
        <v>0.0157853058522992</v>
      </c>
    </row>
    <row r="1616" customFormat="false" ht="15" hidden="false" customHeight="false" outlineLevel="0" collapsed="false">
      <c r="B1616" s="2" t="n">
        <v>12</v>
      </c>
      <c r="C1616" s="2" t="n">
        <f aca="false">0</f>
        <v>0</v>
      </c>
      <c r="D1616" s="2" t="n">
        <f aca="false">C1616*(1-D$1603)+C1615*D$1603</f>
        <v>0</v>
      </c>
      <c r="E1616" s="2" t="n">
        <f aca="false">D1616*(1-E$1603)+D1615*E$1603</f>
        <v>0</v>
      </c>
      <c r="F1616" s="2" t="n">
        <f aca="false">E1616*(1-F$1603)+E1615*F$1603</f>
        <v>0</v>
      </c>
      <c r="G1616" s="2" t="n">
        <f aca="false">F1616*(1-G$1603)+F1615*G$1603</f>
        <v>0</v>
      </c>
      <c r="H1616" s="2" t="n">
        <f aca="false">G1616*(1-H$1603)+G1615*H$1603</f>
        <v>0</v>
      </c>
      <c r="I1616" s="2" t="n">
        <f aca="false">H1616*(1-I$1603)+H1615*I$1603</f>
        <v>0</v>
      </c>
      <c r="J1616" s="2" t="n">
        <f aca="false">I1616*(1-J$1603)+I1615*J$1603</f>
        <v>0</v>
      </c>
      <c r="K1616" s="2" t="n">
        <f aca="false">J1616*(1-K$1603)+J1615*K$1603</f>
        <v>0</v>
      </c>
      <c r="L1616" s="2" t="n">
        <f aca="false">K1616*(1-L$1603)+K1615*L$1603</f>
        <v>0</v>
      </c>
      <c r="M1616" s="2" t="n">
        <f aca="false">L1616*(1-M$1603)+L1615*M$1603</f>
        <v>0</v>
      </c>
      <c r="N1616" s="2" t="n">
        <f aca="false">M1616*(1-N$1603)+M1615*N$1603</f>
        <v>0.00140084573670623</v>
      </c>
      <c r="O1616" s="2" t="n">
        <f aca="false">N1616*(1-O$1603)+N1615*O$1603</f>
        <v>0.00140084573670623</v>
      </c>
    </row>
    <row r="1617" customFormat="false" ht="15" hidden="false" customHeight="false" outlineLevel="0" collapsed="false">
      <c r="B1617" s="2" t="n">
        <v>13</v>
      </c>
      <c r="C1617" s="2" t="n">
        <f aca="false">0</f>
        <v>0</v>
      </c>
      <c r="D1617" s="2" t="n">
        <f aca="false">C1617*(1-D$1603)+C1616*D$1603</f>
        <v>0</v>
      </c>
      <c r="E1617" s="2" t="n">
        <f aca="false">D1617*(1-E$1603)+D1616*E$1603</f>
        <v>0</v>
      </c>
      <c r="F1617" s="2" t="n">
        <f aca="false">E1617*(1-F$1603)+E1616*F$1603</f>
        <v>0</v>
      </c>
      <c r="G1617" s="2" t="n">
        <f aca="false">F1617*(1-G$1603)+F1616*G$1603</f>
        <v>0</v>
      </c>
      <c r="H1617" s="2" t="n">
        <f aca="false">G1617*(1-H$1603)+G1616*H$1603</f>
        <v>0</v>
      </c>
      <c r="I1617" s="2" t="n">
        <f aca="false">H1617*(1-I$1603)+H1616*I$1603</f>
        <v>0</v>
      </c>
      <c r="J1617" s="2" t="n">
        <f aca="false">I1617*(1-J$1603)+I1616*J$1603</f>
        <v>0</v>
      </c>
      <c r="K1617" s="2" t="n">
        <f aca="false">J1617*(1-K$1603)+J1616*K$1603</f>
        <v>0</v>
      </c>
      <c r="L1617" s="2" t="n">
        <f aca="false">K1617*(1-L$1603)+K1616*L$1603</f>
        <v>0</v>
      </c>
      <c r="M1617" s="2" t="n">
        <f aca="false">L1617*(1-M$1603)+L1616*M$1603</f>
        <v>0</v>
      </c>
      <c r="N1617" s="2" t="n">
        <f aca="false">M1617*(1-N$1603)+M1616*N$1603</f>
        <v>0</v>
      </c>
      <c r="O1617" s="2" t="n">
        <f aca="false">N1617*(1-O$1603)+N1616*O$1603</f>
        <v>0</v>
      </c>
    </row>
    <row r="1619" customFormat="false" ht="15" hidden="false" customHeight="false" outlineLevel="0" collapsed="false">
      <c r="A1619" s="1" t="s">
        <v>159</v>
      </c>
      <c r="C1619" s="2" t="n">
        <f aca="false">Schedule!G103</f>
        <v>0.973273928296034</v>
      </c>
      <c r="D1619" s="2" t="n">
        <f aca="false">Schedule!L103</f>
        <v>0.0271146791216497</v>
      </c>
      <c r="E1619" s="2" t="n">
        <f aca="false">Schedule!Q103</f>
        <v>0.721566024768411</v>
      </c>
      <c r="F1619" s="2" t="n">
        <f aca="false">Schedule!V103</f>
        <v>0.754116149619739</v>
      </c>
      <c r="G1619" s="2" t="n">
        <f aca="false">Schedule!AA103</f>
        <v>0.586577601141551</v>
      </c>
      <c r="H1619" s="2" t="n">
        <f aca="false">Schedule!AF103</f>
        <v>0.401293674317076</v>
      </c>
      <c r="I1619" s="2" t="n">
        <f aca="false">Schedule!AK103</f>
        <v>0.497506626980399</v>
      </c>
      <c r="J1619" s="2" t="n">
        <f aca="false">Schedule!AP103</f>
        <v>0.682606513358741</v>
      </c>
      <c r="K1619" s="2" t="n">
        <f aca="false">Schedule!AU103</f>
        <v>0.657720540316049</v>
      </c>
      <c r="L1619" s="2" t="n">
        <f aca="false">Schedule!AZ103</f>
        <v>0.838301208542714</v>
      </c>
      <c r="M1619" s="2" t="n">
        <f aca="false">Schedule!BE103</f>
        <v>0.660013509650861</v>
      </c>
      <c r="N1619" s="2" t="n">
        <f aca="false">Schedule!BJ103</f>
        <v>0.844350476653232</v>
      </c>
      <c r="O1619" s="2" t="n">
        <f aca="false">Schedule!BO103</f>
        <v>0</v>
      </c>
    </row>
    <row r="1620" customFormat="false" ht="15" hidden="false" customHeight="false" outlineLevel="0" collapsed="false">
      <c r="B1620" s="2" t="n">
        <v>0</v>
      </c>
      <c r="C1620" s="2" t="n">
        <f aca="false">1-C$1619</f>
        <v>0.0267260717039663</v>
      </c>
      <c r="D1620" s="2" t="n">
        <f aca="false">C1620*(1-D$1619)</f>
        <v>0.0260014028455311</v>
      </c>
      <c r="E1620" s="2" t="n">
        <f aca="false">D1620*(1-E$1619)</f>
        <v>0.00723967395587917</v>
      </c>
      <c r="F1620" s="2" t="n">
        <f aca="false">E1620*(1-F$1619)</f>
        <v>0.00178011890776927</v>
      </c>
      <c r="G1620" s="2" t="n">
        <f aca="false">F1620*(1-G$1619)</f>
        <v>0.000735941029103254</v>
      </c>
      <c r="H1620" s="2" t="n">
        <f aca="false">G1620*(1-H$1619)</f>
        <v>0.000440612549453719</v>
      </c>
      <c r="I1620" s="2" t="n">
        <f aca="false">H1620*(1-I$1619)</f>
        <v>0.000221404886169765</v>
      </c>
      <c r="J1620" s="2" t="n">
        <f aca="false">I1620*(1-J$1619)</f>
        <v>7.02724687808328E-005</v>
      </c>
      <c r="K1620" s="2" t="n">
        <f aca="false">J1620*(1-K$1619)</f>
        <v>2.40528226449607E-005</v>
      </c>
      <c r="L1620" s="2" t="n">
        <f aca="false">K1620*(1-L$1619)</f>
        <v>3.88931235282659E-006</v>
      </c>
      <c r="M1620" s="2" t="n">
        <f aca="false">L1620*(1-M$1619)</f>
        <v>1.32231365670906E-006</v>
      </c>
      <c r="N1620" s="2" t="n">
        <f aca="false">M1620*(1-N$1619)</f>
        <v>2.05817490381688E-007</v>
      </c>
      <c r="O1620" s="2" t="n">
        <f aca="false">N1620*(1-O$1619)</f>
        <v>2.05817490381688E-007</v>
      </c>
    </row>
    <row r="1621" customFormat="false" ht="15" hidden="false" customHeight="false" outlineLevel="0" collapsed="false">
      <c r="B1621" s="2" t="n">
        <v>1</v>
      </c>
      <c r="C1621" s="2" t="n">
        <f aca="false">C$1619</f>
        <v>0.973273928296034</v>
      </c>
      <c r="D1621" s="2" t="n">
        <f aca="false">C1621*(1-D$1619)+C1620*D$1619</f>
        <v>0.947608586891255</v>
      </c>
      <c r="E1621" s="2" t="n">
        <f aca="false">D1621*(1-E$1619)+D1620*E$1619</f>
        <v>0.282608154701373</v>
      </c>
      <c r="F1621" s="2" t="n">
        <f aca="false">E1621*(1-F$1619)+E1620*F$1619</f>
        <v>0.074948336274944</v>
      </c>
      <c r="G1621" s="2" t="n">
        <f aca="false">F1621*(1-G$1619)+F1620*G$1619</f>
        <v>0.0320294988519031</v>
      </c>
      <c r="H1621" s="2" t="n">
        <f aca="false">G1621*(1-H$1619)+G1620*H$1619</f>
        <v>0.0194715920507378</v>
      </c>
      <c r="I1621" s="2" t="n">
        <f aca="false">H1621*(1-I$1619)+H1620*I$1619</f>
        <v>0.0100035536309209</v>
      </c>
      <c r="J1621" s="2" t="n">
        <f aca="false">I1621*(1-J$1619)+I1620*J$1619</f>
        <v>0.00332619518310973</v>
      </c>
      <c r="K1621" s="2" t="n">
        <f aca="false">J1621*(1-K$1619)+J1620*K$1619</f>
        <v>0.00118470793621403</v>
      </c>
      <c r="L1621" s="2" t="n">
        <f aca="false">K1621*(1-L$1619)+K1620*L$1619</f>
        <v>0.000211729351807798</v>
      </c>
      <c r="M1621" s="2" t="n">
        <f aca="false">L1621*(1-M$1619)+L1620*M$1619</f>
        <v>7.45521179211489E-005</v>
      </c>
      <c r="N1621" s="2" t="n">
        <f aca="false">M1621*(1-N$1619)+M1620*N$1619</f>
        <v>1.27204977852463E-005</v>
      </c>
      <c r="O1621" s="2" t="n">
        <f aca="false">N1621*(1-O$1619)+N1620*O$1619</f>
        <v>1.27204977852463E-005</v>
      </c>
    </row>
    <row r="1622" customFormat="false" ht="15" hidden="false" customHeight="false" outlineLevel="0" collapsed="false">
      <c r="B1622" s="2" t="n">
        <v>2</v>
      </c>
      <c r="C1622" s="2" t="n">
        <f aca="false">0</f>
        <v>0</v>
      </c>
      <c r="D1622" s="2" t="n">
        <f aca="false">C1622*(1-D$1619)+C1621*D$1619</f>
        <v>0.0263900102632144</v>
      </c>
      <c r="E1622" s="2" t="n">
        <f aca="false">D1622*(1-E$1619)+D1621*E$1619</f>
        <v>0.691110036543523</v>
      </c>
      <c r="F1622" s="2" t="n">
        <f aca="false">E1622*(1-F$1619)+E1621*F$1619</f>
        <v>0.383052170296303</v>
      </c>
      <c r="G1622" s="2" t="n">
        <f aca="false">F1622*(1-G$1619)+F1621*G$1619</f>
        <v>0.20232536243354</v>
      </c>
      <c r="H1622" s="2" t="n">
        <f aca="false">G1622*(1-H$1619)+G1621*H$1619</f>
        <v>0.133986709615865</v>
      </c>
      <c r="I1622" s="2" t="n">
        <f aca="false">H1622*(1-I$1619)+H1621*I$1619</f>
        <v>0.0770146797377748</v>
      </c>
      <c r="J1622" s="2" t="n">
        <f aca="false">I1622*(1-J$1619)+I1621*J$1619</f>
        <v>0.0312724485897324</v>
      </c>
      <c r="K1622" s="2" t="n">
        <f aca="false">J1622*(1-K$1619)+J1621*K$1619</f>
        <v>0.0128916236993193</v>
      </c>
      <c r="L1622" s="2" t="n">
        <f aca="false">K1622*(1-L$1619)+K1621*L$1619</f>
        <v>0.0030777020668004</v>
      </c>
      <c r="M1622" s="2" t="n">
        <f aca="false">L1622*(1-M$1619)+L1621*M$1619</f>
        <v>0.00118612135661453</v>
      </c>
      <c r="N1622" s="2" t="n">
        <f aca="false">M1622*(1-N$1619)+M1621*N$1619</f>
        <v>0.000247567340090703</v>
      </c>
      <c r="O1622" s="2" t="n">
        <f aca="false">N1622*(1-O$1619)+N1621*O$1619</f>
        <v>0.000247567340090703</v>
      </c>
    </row>
    <row r="1623" customFormat="false" ht="15" hidden="false" customHeight="false" outlineLevel="0" collapsed="false">
      <c r="B1623" s="2" t="n">
        <v>3</v>
      </c>
      <c r="C1623" s="2" t="n">
        <f aca="false">0</f>
        <v>0</v>
      </c>
      <c r="D1623" s="2" t="n">
        <f aca="false">C1623*(1-D$1619)+C1622*D$1619</f>
        <v>0</v>
      </c>
      <c r="E1623" s="2" t="n">
        <f aca="false">D1623*(1-E$1619)+D1622*E$1619</f>
        <v>0.0190421347992252</v>
      </c>
      <c r="F1623" s="2" t="n">
        <f aca="false">E1623*(1-F$1619)+E1622*F$1619</f>
        <v>0.525859393145652</v>
      </c>
      <c r="G1623" s="2" t="n">
        <f aca="false">F1623*(1-G$1619)+F1622*G$1619</f>
        <v>0.442091874940994</v>
      </c>
      <c r="H1623" s="2" t="n">
        <f aca="false">G1623*(1-H$1619)+G1622*H$1619</f>
        <v>0.345875090158686</v>
      </c>
      <c r="I1623" s="2" t="n">
        <f aca="false">H1623*(1-I$1619)+H1622*I$1619</f>
        <v>0.240459216658488</v>
      </c>
      <c r="J1623" s="2" t="n">
        <f aca="false">I1623*(1-J$1619)+I1622*J$1619</f>
        <v>0.128890911183506</v>
      </c>
      <c r="K1623" s="2" t="n">
        <f aca="false">J1623*(1-K$1619)+J1622*K$1619</f>
        <v>0.0646852432215072</v>
      </c>
      <c r="L1623" s="2" t="n">
        <f aca="false">K1623*(1-L$1619)+K1622*L$1619</f>
        <v>0.0212665893812556</v>
      </c>
      <c r="M1623" s="2" t="n">
        <f aca="false">L1623*(1-M$1619)+L1622*M$1619</f>
        <v>0.00926167802819798</v>
      </c>
      <c r="N1623" s="2" t="n">
        <f aca="false">M1623*(1-N$1619)+M1622*N$1619</f>
        <v>0.00244307790330631</v>
      </c>
      <c r="O1623" s="2" t="n">
        <f aca="false">N1623*(1-O$1619)+N1622*O$1619</f>
        <v>0.00244307790330631</v>
      </c>
    </row>
    <row r="1624" customFormat="false" ht="15" hidden="false" customHeight="false" outlineLevel="0" collapsed="false">
      <c r="B1624" s="2" t="n">
        <v>4</v>
      </c>
      <c r="C1624" s="2" t="n">
        <f aca="false">0</f>
        <v>0</v>
      </c>
      <c r="D1624" s="2" t="n">
        <f aca="false">C1624*(1-D$1619)+C1623*D$1619</f>
        <v>0</v>
      </c>
      <c r="E1624" s="2" t="n">
        <f aca="false">D1624*(1-E$1619)+D1623*E$1619</f>
        <v>0</v>
      </c>
      <c r="F1624" s="2" t="n">
        <f aca="false">E1624*(1-F$1619)+E1623*F$1619</f>
        <v>0.0143599813753317</v>
      </c>
      <c r="G1624" s="2" t="n">
        <f aca="false">F1624*(1-G$1619)+F1623*G$1619</f>
        <v>0.31439407931688</v>
      </c>
      <c r="H1624" s="2" t="n">
        <f aca="false">G1624*(1-H$1619)+G1623*H$1619</f>
        <v>0.365638396925072</v>
      </c>
      <c r="I1624" s="2" t="n">
        <f aca="false">H1624*(1-I$1619)+H1623*I$1619</f>
        <v>0.355806020837749</v>
      </c>
      <c r="J1624" s="2" t="n">
        <f aca="false">I1624*(1-J$1619)+I1623*J$1619</f>
        <v>0.27706954100987</v>
      </c>
      <c r="K1624" s="2" t="n">
        <f aca="false">J1624*(1-K$1619)+J1623*K$1619</f>
        <v>0.179609412537182</v>
      </c>
      <c r="L1624" s="2" t="n">
        <f aca="false">K1624*(1-L$1619)+K1623*L$1619</f>
        <v>0.0832683425090843</v>
      </c>
      <c r="M1624" s="2" t="n">
        <f aca="false">L1624*(1-M$1619)+L1623*M$1619</f>
        <v>0.0423463478226798</v>
      </c>
      <c r="N1624" s="2" t="n">
        <f aca="false">M1624*(1-N$1619)+M1623*N$1619</f>
        <v>0.0144112911117943</v>
      </c>
      <c r="O1624" s="2" t="n">
        <f aca="false">N1624*(1-O$1619)+N1623*O$1619</f>
        <v>0.0144112911117943</v>
      </c>
    </row>
    <row r="1625" customFormat="false" ht="15" hidden="false" customHeight="false" outlineLevel="0" collapsed="false">
      <c r="B1625" s="2" t="n">
        <v>5</v>
      </c>
      <c r="C1625" s="2" t="n">
        <f aca="false">0</f>
        <v>0</v>
      </c>
      <c r="D1625" s="2" t="n">
        <f aca="false">C1625*(1-D$1619)+C1624*D$1619</f>
        <v>0</v>
      </c>
      <c r="E1625" s="2" t="n">
        <f aca="false">D1625*(1-E$1619)+D1624*E$1619</f>
        <v>0</v>
      </c>
      <c r="F1625" s="2" t="n">
        <f aca="false">E1625*(1-F$1619)+E1624*F$1619</f>
        <v>0</v>
      </c>
      <c r="G1625" s="2" t="n">
        <f aca="false">F1625*(1-G$1619)+F1624*G$1619</f>
        <v>0.00842324342757944</v>
      </c>
      <c r="H1625" s="2" t="n">
        <f aca="false">G1625*(1-H$1619)+G1624*H$1619</f>
        <v>0.131207404395464</v>
      </c>
      <c r="I1625" s="2" t="n">
        <f aca="false">H1625*(1-I$1619)+H1624*I$1619</f>
        <v>0.247838376748536</v>
      </c>
      <c r="J1625" s="2" t="n">
        <f aca="false">I1625*(1-J$1619)+I1624*J$1619</f>
        <v>0.321537793835831</v>
      </c>
      <c r="K1625" s="2" t="n">
        <f aca="false">J1625*(1-K$1619)+J1624*K$1619</f>
        <v>0.292290110560229</v>
      </c>
      <c r="L1625" s="2" t="n">
        <f aca="false">K1625*(1-L$1619)+K1624*L$1619</f>
        <v>0.197829745228072</v>
      </c>
      <c r="M1625" s="2" t="n">
        <f aca="false">L1625*(1-M$1619)+L1624*M$1619</f>
        <v>0.122217671748987</v>
      </c>
      <c r="N1625" s="2" t="n">
        <f aca="false">M1625*(1-N$1619)+M1624*N$1619</f>
        <v>0.0547782813208849</v>
      </c>
      <c r="O1625" s="2" t="n">
        <f aca="false">N1625*(1-O$1619)+N1624*O$1619</f>
        <v>0.0547782813208849</v>
      </c>
    </row>
    <row r="1626" customFormat="false" ht="15" hidden="false" customHeight="false" outlineLevel="0" collapsed="false">
      <c r="B1626" s="2" t="n">
        <v>6</v>
      </c>
      <c r="C1626" s="2" t="n">
        <f aca="false">0</f>
        <v>0</v>
      </c>
      <c r="D1626" s="2" t="n">
        <f aca="false">C1626*(1-D$1619)+C1625*D$1619</f>
        <v>0</v>
      </c>
      <c r="E1626" s="2" t="n">
        <f aca="false">D1626*(1-E$1619)+D1625*E$1619</f>
        <v>0</v>
      </c>
      <c r="F1626" s="2" t="n">
        <f aca="false">E1626*(1-F$1619)+E1625*F$1619</f>
        <v>0</v>
      </c>
      <c r="G1626" s="2" t="n">
        <f aca="false">F1626*(1-G$1619)+F1625*G$1619</f>
        <v>0</v>
      </c>
      <c r="H1626" s="2" t="n">
        <f aca="false">G1626*(1-H$1619)+G1625*H$1619</f>
        <v>0.00338019430472052</v>
      </c>
      <c r="I1626" s="2" t="n">
        <f aca="false">H1626*(1-I$1619)+H1625*I$1619</f>
        <v>0.0669750784332812</v>
      </c>
      <c r="J1626" s="2" t="n">
        <f aca="false">I1626*(1-J$1619)+I1625*J$1619</f>
        <v>0.190433543890819</v>
      </c>
      <c r="K1626" s="2" t="n">
        <f aca="false">J1626*(1-K$1619)+J1625*K$1619</f>
        <v>0.276663502002383</v>
      </c>
      <c r="L1626" s="2" t="n">
        <f aca="false">K1626*(1-L$1619)+K1625*L$1619</f>
        <v>0.28976330684185</v>
      </c>
      <c r="M1626" s="2" t="n">
        <f aca="false">L1626*(1-M$1619)+L1625*M$1619</f>
        <v>0.229085914186437</v>
      </c>
      <c r="N1626" s="2" t="n">
        <f aca="false">M1626*(1-N$1619)+M1625*N$1619</f>
        <v>0.138851662745283</v>
      </c>
      <c r="O1626" s="2" t="n">
        <f aca="false">N1626*(1-O$1619)+N1625*O$1619</f>
        <v>0.138851662745283</v>
      </c>
    </row>
    <row r="1627" customFormat="false" ht="15" hidden="false" customHeight="false" outlineLevel="0" collapsed="false">
      <c r="B1627" s="2" t="n">
        <v>7</v>
      </c>
      <c r="C1627" s="2" t="n">
        <f aca="false">0</f>
        <v>0</v>
      </c>
      <c r="D1627" s="2" t="n">
        <f aca="false">C1627*(1-D$1619)+C1626*D$1619</f>
        <v>0</v>
      </c>
      <c r="E1627" s="2" t="n">
        <f aca="false">D1627*(1-E$1619)+D1626*E$1619</f>
        <v>0</v>
      </c>
      <c r="F1627" s="2" t="n">
        <f aca="false">E1627*(1-F$1619)+E1626*F$1619</f>
        <v>0</v>
      </c>
      <c r="G1627" s="2" t="n">
        <f aca="false">F1627*(1-G$1619)+F1626*G$1619</f>
        <v>0</v>
      </c>
      <c r="H1627" s="2" t="n">
        <f aca="false">G1627*(1-H$1619)+G1626*H$1619</f>
        <v>0</v>
      </c>
      <c r="I1627" s="2" t="n">
        <f aca="false">H1627*(1-I$1619)+H1626*I$1619</f>
        <v>0.00168166906707986</v>
      </c>
      <c r="J1627" s="2" t="n">
        <f aca="false">I1627*(1-J$1619)+I1626*J$1619</f>
        <v>0.0462513755798475</v>
      </c>
      <c r="K1627" s="2" t="n">
        <f aca="false">J1627*(1-K$1619)+J1626*K$1619</f>
        <v>0.14108294922528</v>
      </c>
      <c r="L1627" s="2" t="n">
        <f aca="false">K1627*(1-L$1619)+K1626*L$1619</f>
        <v>0.254740290473215</v>
      </c>
      <c r="M1627" s="2" t="n">
        <f aca="false">L1627*(1-M$1619)+L1626*M$1619</f>
        <v>0.277855954425237</v>
      </c>
      <c r="N1627" s="2" t="n">
        <f aca="false">M1627*(1-N$1619)+M1626*N$1619</f>
        <v>0.236676947703209</v>
      </c>
      <c r="O1627" s="2" t="n">
        <f aca="false">N1627*(1-O$1619)+N1626*O$1619</f>
        <v>0.236676947703209</v>
      </c>
    </row>
    <row r="1628" customFormat="false" ht="15" hidden="false" customHeight="false" outlineLevel="0" collapsed="false">
      <c r="B1628" s="2" t="n">
        <v>8</v>
      </c>
      <c r="C1628" s="2" t="n">
        <f aca="false">0</f>
        <v>0</v>
      </c>
      <c r="D1628" s="2" t="n">
        <f aca="false">C1628*(1-D$1619)+C1627*D$1619</f>
        <v>0</v>
      </c>
      <c r="E1628" s="2" t="n">
        <f aca="false">D1628*(1-E$1619)+D1627*E$1619</f>
        <v>0</v>
      </c>
      <c r="F1628" s="2" t="n">
        <f aca="false">E1628*(1-F$1619)+E1627*F$1619</f>
        <v>0</v>
      </c>
      <c r="G1628" s="2" t="n">
        <f aca="false">F1628*(1-G$1619)+F1627*G$1619</f>
        <v>0</v>
      </c>
      <c r="H1628" s="2" t="n">
        <f aca="false">G1628*(1-H$1619)+G1627*H$1619</f>
        <v>0</v>
      </c>
      <c r="I1628" s="2" t="n">
        <f aca="false">H1628*(1-I$1619)+H1627*I$1619</f>
        <v>0</v>
      </c>
      <c r="J1628" s="2" t="n">
        <f aca="false">I1628*(1-J$1619)+I1627*J$1619</f>
        <v>0.00114791825850263</v>
      </c>
      <c r="K1628" s="2" t="n">
        <f aca="false">J1628*(1-K$1619)+J1627*K$1619</f>
        <v>0.0308133885780195</v>
      </c>
      <c r="L1628" s="2" t="n">
        <f aca="false">K1628*(1-L$1619)+K1627*L$1619</f>
        <v>0.123252494534092</v>
      </c>
      <c r="M1628" s="2" t="n">
        <f aca="false">L1628*(1-M$1619)+L1627*M$1619</f>
        <v>0.210036216208128</v>
      </c>
      <c r="N1628" s="2" t="n">
        <f aca="false">M1628*(1-N$1619)+M1627*N$1619</f>
        <v>0.267299844498241</v>
      </c>
      <c r="O1628" s="2" t="n">
        <f aca="false">N1628*(1-O$1619)+N1627*O$1619</f>
        <v>0.267299844498241</v>
      </c>
    </row>
    <row r="1629" customFormat="false" ht="15" hidden="false" customHeight="false" outlineLevel="0" collapsed="false">
      <c r="B1629" s="2" t="n">
        <v>9</v>
      </c>
      <c r="C1629" s="2" t="n">
        <f aca="false">0</f>
        <v>0</v>
      </c>
      <c r="D1629" s="2" t="n">
        <f aca="false">C1629*(1-D$1619)+C1628*D$1619</f>
        <v>0</v>
      </c>
      <c r="E1629" s="2" t="n">
        <f aca="false">D1629*(1-E$1619)+D1628*E$1619</f>
        <v>0</v>
      </c>
      <c r="F1629" s="2" t="n">
        <f aca="false">E1629*(1-F$1619)+E1628*F$1619</f>
        <v>0</v>
      </c>
      <c r="G1629" s="2" t="n">
        <f aca="false">F1629*(1-G$1619)+F1628*G$1619</f>
        <v>0</v>
      </c>
      <c r="H1629" s="2" t="n">
        <f aca="false">G1629*(1-H$1619)+G1628*H$1619</f>
        <v>0</v>
      </c>
      <c r="I1629" s="2" t="n">
        <f aca="false">H1629*(1-I$1619)+H1628*I$1619</f>
        <v>0</v>
      </c>
      <c r="J1629" s="2" t="n">
        <f aca="false">I1629*(1-J$1619)+I1628*J$1619</f>
        <v>0</v>
      </c>
      <c r="K1629" s="2" t="n">
        <f aca="false">J1629*(1-K$1619)+J1628*K$1619</f>
        <v>0.000755009417221007</v>
      </c>
      <c r="L1629" s="2" t="n">
        <f aca="false">K1629*(1-L$1619)+K1628*L$1619</f>
        <v>0.0259529849945535</v>
      </c>
      <c r="M1629" s="2" t="n">
        <f aca="false">L1629*(1-M$1619)+L1628*M$1619</f>
        <v>0.0901719757730516</v>
      </c>
      <c r="N1629" s="2" t="n">
        <f aca="false">M1629*(1-N$1619)+M1628*N$1619</f>
        <v>0.191379404318086</v>
      </c>
      <c r="O1629" s="2" t="n">
        <f aca="false">N1629*(1-O$1619)+N1628*O$1619</f>
        <v>0.191379404318086</v>
      </c>
    </row>
    <row r="1630" customFormat="false" ht="15" hidden="false" customHeight="false" outlineLevel="0" collapsed="false">
      <c r="B1630" s="2" t="n">
        <v>10</v>
      </c>
      <c r="C1630" s="2" t="n">
        <f aca="false">0</f>
        <v>0</v>
      </c>
      <c r="D1630" s="2" t="n">
        <f aca="false">C1630*(1-D$1619)+C1629*D$1619</f>
        <v>0</v>
      </c>
      <c r="E1630" s="2" t="n">
        <f aca="false">D1630*(1-E$1619)+D1629*E$1619</f>
        <v>0</v>
      </c>
      <c r="F1630" s="2" t="n">
        <f aca="false">E1630*(1-F$1619)+E1629*F$1619</f>
        <v>0</v>
      </c>
      <c r="G1630" s="2" t="n">
        <f aca="false">F1630*(1-G$1619)+F1629*G$1619</f>
        <v>0</v>
      </c>
      <c r="H1630" s="2" t="n">
        <f aca="false">G1630*(1-H$1619)+G1629*H$1619</f>
        <v>0</v>
      </c>
      <c r="I1630" s="2" t="n">
        <f aca="false">H1630*(1-I$1619)+H1629*I$1619</f>
        <v>0</v>
      </c>
      <c r="J1630" s="2" t="n">
        <f aca="false">I1630*(1-J$1619)+I1629*J$1619</f>
        <v>0</v>
      </c>
      <c r="K1630" s="2" t="n">
        <f aca="false">J1630*(1-K$1619)+J1629*K$1619</f>
        <v>0</v>
      </c>
      <c r="L1630" s="2" t="n">
        <f aca="false">K1630*(1-L$1619)+K1629*L$1619</f>
        <v>0.000632925306917501</v>
      </c>
      <c r="M1630" s="2" t="n">
        <f aca="false">L1630*(1-M$1619)+L1629*M$1619</f>
        <v>0.0173445067659234</v>
      </c>
      <c r="N1630" s="2" t="n">
        <f aca="false">M1630*(1-N$1619)+M1629*N$1619</f>
        <v>0.0788364149355405</v>
      </c>
      <c r="O1630" s="2" t="n">
        <f aca="false">N1630*(1-O$1619)+N1629*O$1619</f>
        <v>0.0788364149355405</v>
      </c>
    </row>
    <row r="1631" customFormat="false" ht="15" hidden="false" customHeight="false" outlineLevel="0" collapsed="false">
      <c r="B1631" s="2" t="n">
        <v>11</v>
      </c>
      <c r="C1631" s="2" t="n">
        <f aca="false">0</f>
        <v>0</v>
      </c>
      <c r="D1631" s="2" t="n">
        <f aca="false">C1631*(1-D$1619)+C1630*D$1619</f>
        <v>0</v>
      </c>
      <c r="E1631" s="2" t="n">
        <f aca="false">D1631*(1-E$1619)+D1630*E$1619</f>
        <v>0</v>
      </c>
      <c r="F1631" s="2" t="n">
        <f aca="false">E1631*(1-F$1619)+E1630*F$1619</f>
        <v>0</v>
      </c>
      <c r="G1631" s="2" t="n">
        <f aca="false">F1631*(1-G$1619)+F1630*G$1619</f>
        <v>0</v>
      </c>
      <c r="H1631" s="2" t="n">
        <f aca="false">G1631*(1-H$1619)+G1630*H$1619</f>
        <v>0</v>
      </c>
      <c r="I1631" s="2" t="n">
        <f aca="false">H1631*(1-I$1619)+H1630*I$1619</f>
        <v>0</v>
      </c>
      <c r="J1631" s="2" t="n">
        <f aca="false">I1631*(1-J$1619)+I1630*J$1619</f>
        <v>0</v>
      </c>
      <c r="K1631" s="2" t="n">
        <f aca="false">J1631*(1-K$1619)+J1630*K$1619</f>
        <v>0</v>
      </c>
      <c r="L1631" s="2" t="n">
        <f aca="false">K1631*(1-L$1619)+K1630*L$1619</f>
        <v>0</v>
      </c>
      <c r="M1631" s="2" t="n">
        <f aca="false">L1631*(1-M$1619)+L1630*M$1619</f>
        <v>0.000417739253165468</v>
      </c>
      <c r="N1631" s="2" t="n">
        <f aca="false">M1631*(1-N$1619)+M1630*N$1619</f>
        <v>0.0147098634707611</v>
      </c>
      <c r="O1631" s="2" t="n">
        <f aca="false">N1631*(1-O$1619)+N1630*O$1619</f>
        <v>0.0147098634707611</v>
      </c>
    </row>
    <row r="1632" customFormat="false" ht="15" hidden="false" customHeight="false" outlineLevel="0" collapsed="false">
      <c r="B1632" s="2" t="n">
        <v>12</v>
      </c>
      <c r="C1632" s="2" t="n">
        <f aca="false">0</f>
        <v>0</v>
      </c>
      <c r="D1632" s="2" t="n">
        <f aca="false">C1632*(1-D$1619)+C1631*D$1619</f>
        <v>0</v>
      </c>
      <c r="E1632" s="2" t="n">
        <f aca="false">D1632*(1-E$1619)+D1631*E$1619</f>
        <v>0</v>
      </c>
      <c r="F1632" s="2" t="n">
        <f aca="false">E1632*(1-F$1619)+E1631*F$1619</f>
        <v>0</v>
      </c>
      <c r="G1632" s="2" t="n">
        <f aca="false">F1632*(1-G$1619)+F1631*G$1619</f>
        <v>0</v>
      </c>
      <c r="H1632" s="2" t="n">
        <f aca="false">G1632*(1-H$1619)+G1631*H$1619</f>
        <v>0</v>
      </c>
      <c r="I1632" s="2" t="n">
        <f aca="false">H1632*(1-I$1619)+H1631*I$1619</f>
        <v>0</v>
      </c>
      <c r="J1632" s="2" t="n">
        <f aca="false">I1632*(1-J$1619)+I1631*J$1619</f>
        <v>0</v>
      </c>
      <c r="K1632" s="2" t="n">
        <f aca="false">J1632*(1-K$1619)+J1631*K$1619</f>
        <v>0</v>
      </c>
      <c r="L1632" s="2" t="n">
        <f aca="false">K1632*(1-L$1619)+K1631*L$1619</f>
        <v>0</v>
      </c>
      <c r="M1632" s="2" t="n">
        <f aca="false">L1632*(1-M$1619)+L1631*M$1619</f>
        <v>0</v>
      </c>
      <c r="N1632" s="2" t="n">
        <f aca="false">M1632*(1-N$1619)+M1631*N$1619</f>
        <v>0.000352718337527028</v>
      </c>
      <c r="O1632" s="2" t="n">
        <f aca="false">N1632*(1-O$1619)+N1631*O$1619</f>
        <v>0.000352718337527028</v>
      </c>
    </row>
    <row r="1633" customFormat="false" ht="15" hidden="false" customHeight="false" outlineLevel="0" collapsed="false">
      <c r="B1633" s="2" t="n">
        <v>13</v>
      </c>
      <c r="C1633" s="2" t="n">
        <f aca="false">0</f>
        <v>0</v>
      </c>
      <c r="D1633" s="2" t="n">
        <f aca="false">C1633*(1-D$1619)+C1632*D$1619</f>
        <v>0</v>
      </c>
      <c r="E1633" s="2" t="n">
        <f aca="false">D1633*(1-E$1619)+D1632*E$1619</f>
        <v>0</v>
      </c>
      <c r="F1633" s="2" t="n">
        <f aca="false">E1633*(1-F$1619)+E1632*F$1619</f>
        <v>0</v>
      </c>
      <c r="G1633" s="2" t="n">
        <f aca="false">F1633*(1-G$1619)+F1632*G$1619</f>
        <v>0</v>
      </c>
      <c r="H1633" s="2" t="n">
        <f aca="false">G1633*(1-H$1619)+G1632*H$1619</f>
        <v>0</v>
      </c>
      <c r="I1633" s="2" t="n">
        <f aca="false">H1633*(1-I$1619)+H1632*I$1619</f>
        <v>0</v>
      </c>
      <c r="J1633" s="2" t="n">
        <f aca="false">I1633*(1-J$1619)+I1632*J$1619</f>
        <v>0</v>
      </c>
      <c r="K1633" s="2" t="n">
        <f aca="false">J1633*(1-K$1619)+J1632*K$1619</f>
        <v>0</v>
      </c>
      <c r="L1633" s="2" t="n">
        <f aca="false">K1633*(1-L$1619)+K1632*L$1619</f>
        <v>0</v>
      </c>
      <c r="M1633" s="2" t="n">
        <f aca="false">L1633*(1-M$1619)+L1632*M$1619</f>
        <v>0</v>
      </c>
      <c r="N1633" s="2" t="n">
        <f aca="false">M1633*(1-N$1619)+M1632*N$1619</f>
        <v>0</v>
      </c>
      <c r="O1633" s="2" t="n">
        <f aca="false">N1633*(1-O$1619)+N1632*O$1619</f>
        <v>0</v>
      </c>
    </row>
    <row r="1635" customFormat="false" ht="15" hidden="false" customHeight="false" outlineLevel="0" collapsed="false">
      <c r="A1635" s="1" t="s">
        <v>160</v>
      </c>
      <c r="C1635" s="2" t="n">
        <f aca="false">Schedule!G104</f>
        <v>0.945890504286892</v>
      </c>
      <c r="D1635" s="2" t="n">
        <f aca="false">Schedule!L104</f>
        <v>0.0494714680336481</v>
      </c>
      <c r="E1635" s="2" t="n">
        <f aca="false">Schedule!Q104</f>
        <v>0.365517152690043</v>
      </c>
      <c r="F1635" s="2" t="n">
        <f aca="false">Schedule!V104</f>
        <v>0.163234736431131</v>
      </c>
      <c r="G1635" s="2" t="n">
        <f aca="false">Schedule!AA104</f>
        <v>0.534862957283715</v>
      </c>
      <c r="H1635" s="2" t="n">
        <f aca="false">Schedule!AF104</f>
        <v>0.321861401163654</v>
      </c>
      <c r="I1635" s="2" t="n">
        <f aca="false">Schedule!AK104</f>
        <v>0.344578258389676</v>
      </c>
      <c r="J1635" s="2" t="n">
        <f aca="false">Schedule!AP104</f>
        <v>0.608341880846395</v>
      </c>
      <c r="K1635" s="2" t="n">
        <f aca="false">Schedule!AU104</f>
        <v>0.497506626980399</v>
      </c>
      <c r="L1635" s="2" t="n">
        <f aca="false">Schedule!AZ104</f>
        <v>0.841344746068543</v>
      </c>
      <c r="M1635" s="2" t="n">
        <f aca="false">Schedule!BE104</f>
        <v>0.370227827724972</v>
      </c>
      <c r="N1635" s="2" t="n">
        <f aca="false">Schedule!BJ104</f>
        <v>0.519938805838373</v>
      </c>
      <c r="O1635" s="2" t="n">
        <f aca="false">Schedule!BO104</f>
        <v>0</v>
      </c>
    </row>
    <row r="1636" customFormat="false" ht="15" hidden="false" customHeight="false" outlineLevel="0" collapsed="false">
      <c r="B1636" s="2" t="n">
        <v>0</v>
      </c>
      <c r="C1636" s="2" t="n">
        <f aca="false">1-C$1635</f>
        <v>0.0541094957131083</v>
      </c>
      <c r="D1636" s="2" t="n">
        <f aca="false">C1636*(1-D$1635)</f>
        <v>0.0514326195256205</v>
      </c>
      <c r="E1636" s="2" t="n">
        <f aca="false">D1636*(1-E$1635)</f>
        <v>0.0326331148812254</v>
      </c>
      <c r="F1636" s="2" t="n">
        <f aca="false">E1636*(1-F$1635)</f>
        <v>0.0273062569746617</v>
      </c>
      <c r="G1636" s="2" t="n">
        <f aca="false">F1636*(1-G$1635)</f>
        <v>0.0127011516168451</v>
      </c>
      <c r="H1636" s="2" t="n">
        <f aca="false">G1636*(1-H$1635)</f>
        <v>0.00861314116105531</v>
      </c>
      <c r="I1636" s="2" t="n">
        <f aca="false">H1636*(1-I$1635)</f>
        <v>0.00564523998051444</v>
      </c>
      <c r="J1636" s="2" t="n">
        <f aca="false">I1636*(1-J$1635)</f>
        <v>0.00221100407293902</v>
      </c>
      <c r="K1636" s="2" t="n">
        <f aca="false">J1636*(1-K$1635)</f>
        <v>0.00111101489437121</v>
      </c>
      <c r="L1636" s="2" t="n">
        <f aca="false">K1636*(1-L$1635)</f>
        <v>0.000176268350188094</v>
      </c>
      <c r="M1636" s="2" t="n">
        <f aca="false">L1636*(1-M$1635)</f>
        <v>0.000111008901801291</v>
      </c>
      <c r="N1636" s="2" t="n">
        <f aca="false">M1636*(1-N$1635)</f>
        <v>5.32910659612988E-005</v>
      </c>
      <c r="O1636" s="2" t="n">
        <f aca="false">N1636*(1-O$1635)</f>
        <v>5.32910659612988E-005</v>
      </c>
    </row>
    <row r="1637" customFormat="false" ht="15" hidden="false" customHeight="false" outlineLevel="0" collapsed="false">
      <c r="B1637" s="2" t="n">
        <v>1</v>
      </c>
      <c r="C1637" s="2" t="n">
        <f aca="false">C$1635</f>
        <v>0.945890504286892</v>
      </c>
      <c r="D1637" s="2" t="n">
        <f aca="false">C1637*(1-D$1635)+C1636*D$1635</f>
        <v>0.901772788628219</v>
      </c>
      <c r="E1637" s="2" t="n">
        <f aca="false">D1637*(1-E$1635)+D1636*E$1635</f>
        <v>0.590958871199868</v>
      </c>
      <c r="F1637" s="2" t="n">
        <f aca="false">E1637*(1-F$1635)+E1636*F$1635</f>
        <v>0.499820713524482</v>
      </c>
      <c r="G1637" s="2" t="n">
        <f aca="false">F1637*(1-G$1635)+F1636*G$1635</f>
        <v>0.247090233934938</v>
      </c>
      <c r="H1637" s="2" t="n">
        <f aca="false">G1637*(1-H$1635)+G1636*H$1635</f>
        <v>0.171649435482573</v>
      </c>
      <c r="I1637" s="2" t="n">
        <f aca="false">H1637*(1-I$1635)+H1636*I$1635</f>
        <v>0.115470673130958</v>
      </c>
      <c r="J1637" s="2" t="n">
        <f aca="false">I1637*(1-J$1635)+I1636*J$1635</f>
        <v>0.0486592625634472</v>
      </c>
      <c r="K1637" s="2" t="n">
        <f aca="false">J1637*(1-K$1635)+J1636*K$1635</f>
        <v>0.0255509461527208</v>
      </c>
      <c r="L1637" s="2" t="n">
        <f aca="false">K1637*(1-L$1635)+K1636*L$1635</f>
        <v>0.00498853839423201</v>
      </c>
      <c r="M1637" s="2" t="n">
        <f aca="false">L1637*(1-M$1635)+L1636*M$1635</f>
        <v>0.00320690210939968</v>
      </c>
      <c r="N1637" s="2" t="n">
        <f aca="false">M1637*(1-N$1635)+M1636*N$1635</f>
        <v>0.00159722709203784</v>
      </c>
      <c r="O1637" s="2" t="n">
        <f aca="false">N1637*(1-O$1635)+N1636*O$1635</f>
        <v>0.00159722709203784</v>
      </c>
    </row>
    <row r="1638" customFormat="false" ht="15" hidden="false" customHeight="false" outlineLevel="0" collapsed="false">
      <c r="B1638" s="2" t="n">
        <v>2</v>
      </c>
      <c r="C1638" s="2" t="n">
        <f aca="false">0</f>
        <v>0</v>
      </c>
      <c r="D1638" s="2" t="n">
        <f aca="false">C1638*(1-D$1635)+C1637*D$1635</f>
        <v>0.0467945918461603</v>
      </c>
      <c r="E1638" s="2" t="n">
        <f aca="false">D1638*(1-E$1635)+D1637*E$1635</f>
        <v>0.359303787946006</v>
      </c>
      <c r="F1638" s="2" t="n">
        <f aca="false">E1638*(1-F$1635)+E1637*F$1635</f>
        <v>0.397117944403882</v>
      </c>
      <c r="G1638" s="2" t="n">
        <f aca="false">F1638*(1-G$1635)+F1637*G$1635</f>
        <v>0.452049851216953</v>
      </c>
      <c r="H1638" s="2" t="n">
        <f aca="false">G1638*(1-H$1635)+G1637*H$1635</f>
        <v>0.386081261616597</v>
      </c>
      <c r="I1638" s="2" t="n">
        <f aca="false">H1638*(1-I$1635)+H1637*I$1635</f>
        <v>0.312192716424017</v>
      </c>
      <c r="J1638" s="2" t="n">
        <f aca="false">I1638*(1-J$1635)+I1637*J$1635</f>
        <v>0.192518458603172</v>
      </c>
      <c r="K1638" s="2" t="n">
        <f aca="false">J1638*(1-K$1635)+J1637*K$1635</f>
        <v>0.120947555221336</v>
      </c>
      <c r="L1638" s="2" t="n">
        <f aca="false">K1638*(1-L$1635)+K1637*L$1635</f>
        <v>0.040686119388702</v>
      </c>
      <c r="M1638" s="2" t="n">
        <f aca="false">L1638*(1-M$1635)+L1637*M$1635</f>
        <v>0.0274698815220831</v>
      </c>
      <c r="N1638" s="2" t="n">
        <f aca="false">M1638*(1-N$1635)+M1637*N$1635</f>
        <v>0.0148546169801715</v>
      </c>
      <c r="O1638" s="2" t="n">
        <f aca="false">N1638*(1-O$1635)+N1637*O$1635</f>
        <v>0.0148546169801715</v>
      </c>
    </row>
    <row r="1639" customFormat="false" ht="15" hidden="false" customHeight="false" outlineLevel="0" collapsed="false">
      <c r="B1639" s="2" t="n">
        <v>3</v>
      </c>
      <c r="C1639" s="2" t="n">
        <f aca="false">0</f>
        <v>0</v>
      </c>
      <c r="D1639" s="2" t="n">
        <f aca="false">C1639*(1-D$1635)+C1638*D$1635</f>
        <v>0</v>
      </c>
      <c r="E1639" s="2" t="n">
        <f aca="false">D1639*(1-E$1635)+D1638*E$1635</f>
        <v>0.0171042259729012</v>
      </c>
      <c r="F1639" s="2" t="n">
        <f aca="false">E1639*(1-F$1635)+E1638*F$1635</f>
        <v>0.0729630812784294</v>
      </c>
      <c r="G1639" s="2" t="n">
        <f aca="false">F1639*(1-G$1635)+F1638*G$1635</f>
        <v>0.246341509987607</v>
      </c>
      <c r="H1639" s="2" t="n">
        <f aca="false">G1639*(1-H$1635)+G1638*H$1635</f>
        <v>0.312551084926735</v>
      </c>
      <c r="I1639" s="2" t="n">
        <f aca="false">H1639*(1-I$1635)+H1638*I$1635</f>
        <v>0.337887985149613</v>
      </c>
      <c r="J1639" s="2" t="n">
        <f aca="false">I1639*(1-J$1635)+I1638*J$1635</f>
        <v>0.322256477044231</v>
      </c>
      <c r="K1639" s="2" t="n">
        <f aca="false">J1639*(1-K$1635)+J1638*K$1635</f>
        <v>0.257710953098499</v>
      </c>
      <c r="L1639" s="2" t="n">
        <f aca="false">K1639*(1-L$1635)+K1638*L$1635</f>
        <v>0.142645786840067</v>
      </c>
      <c r="M1639" s="2" t="n">
        <f aca="false">L1639*(1-M$1635)+L1638*M$1635</f>
        <v>0.104897480643987</v>
      </c>
      <c r="N1639" s="2" t="n">
        <f aca="false">M1639*(1-N$1635)+M1638*N$1635</f>
        <v>0.0646398672176122</v>
      </c>
      <c r="O1639" s="2" t="n">
        <f aca="false">N1639*(1-O$1635)+N1638*O$1635</f>
        <v>0.0646398672176122</v>
      </c>
    </row>
    <row r="1640" customFormat="false" ht="15" hidden="false" customHeight="false" outlineLevel="0" collapsed="false">
      <c r="B1640" s="2" t="n">
        <v>4</v>
      </c>
      <c r="C1640" s="2" t="n">
        <f aca="false">0</f>
        <v>0</v>
      </c>
      <c r="D1640" s="2" t="n">
        <f aca="false">C1640*(1-D$1635)+C1639*D$1635</f>
        <v>0</v>
      </c>
      <c r="E1640" s="2" t="n">
        <f aca="false">D1640*(1-E$1635)+D1639*E$1635</f>
        <v>0</v>
      </c>
      <c r="F1640" s="2" t="n">
        <f aca="false">E1640*(1-F$1635)+E1639*F$1635</f>
        <v>0.00279200381854503</v>
      </c>
      <c r="G1640" s="2" t="n">
        <f aca="false">F1640*(1-G$1635)+F1639*G$1635</f>
        <v>0.0403239138245234</v>
      </c>
      <c r="H1640" s="2" t="n">
        <f aca="false">G1640*(1-H$1635)+G1639*H$1635</f>
        <v>0.106633025989941</v>
      </c>
      <c r="I1640" s="2" t="n">
        <f aca="false">H1640*(1-I$1635)+H1639*I$1635</f>
        <v>0.177587912109364</v>
      </c>
      <c r="J1640" s="2" t="n">
        <f aca="false">I1640*(1-J$1635)+I1639*J$1635</f>
        <v>0.275105160042484</v>
      </c>
      <c r="K1640" s="2" t="n">
        <f aca="false">J1640*(1-K$1635)+J1639*K$1635</f>
        <v>0.298563252721706</v>
      </c>
      <c r="L1640" s="2" t="n">
        <f aca="false">K1640*(1-L$1635)+K1639*L$1635</f>
        <v>0.264192385068903</v>
      </c>
      <c r="M1640" s="2" t="n">
        <f aca="false">L1640*(1-M$1635)+L1639*M$1635</f>
        <v>0.219192452039281</v>
      </c>
      <c r="N1640" s="2" t="n">
        <f aca="false">M1640*(1-N$1635)+M1639*N$1635</f>
        <v>0.159766061098681</v>
      </c>
      <c r="O1640" s="2" t="n">
        <f aca="false">N1640*(1-O$1635)+N1639*O$1635</f>
        <v>0.159766061098681</v>
      </c>
    </row>
    <row r="1641" customFormat="false" ht="15" hidden="false" customHeight="false" outlineLevel="0" collapsed="false">
      <c r="B1641" s="2" t="n">
        <v>5</v>
      </c>
      <c r="C1641" s="2" t="n">
        <f aca="false">0</f>
        <v>0</v>
      </c>
      <c r="D1641" s="2" t="n">
        <f aca="false">C1641*(1-D$1635)+C1640*D$1635</f>
        <v>0</v>
      </c>
      <c r="E1641" s="2" t="n">
        <f aca="false">D1641*(1-E$1635)+D1640*E$1635</f>
        <v>0</v>
      </c>
      <c r="F1641" s="2" t="n">
        <f aca="false">E1641*(1-F$1635)+E1640*F$1635</f>
        <v>0</v>
      </c>
      <c r="G1641" s="2" t="n">
        <f aca="false">F1641*(1-G$1635)+F1640*G$1635</f>
        <v>0.00149333941913442</v>
      </c>
      <c r="H1641" s="2" t="n">
        <f aca="false">G1641*(1-H$1635)+G1640*H$1635</f>
        <v>0.0139914025052425</v>
      </c>
      <c r="I1641" s="2" t="n">
        <f aca="false">H1641*(1-I$1635)+H1640*I$1635</f>
        <v>0.0459136917799921</v>
      </c>
      <c r="J1641" s="2" t="n">
        <f aca="false">I1641*(1-J$1635)+I1640*J$1635</f>
        <v>0.126016634634145</v>
      </c>
      <c r="K1641" s="2" t="n">
        <f aca="false">J1641*(1-K$1635)+J1640*K$1635</f>
        <v>0.200189164031529</v>
      </c>
      <c r="L1641" s="2" t="n">
        <f aca="false">K1641*(1-L$1635)+K1640*L$1635</f>
        <v>0.282955686700291</v>
      </c>
      <c r="M1641" s="2" t="n">
        <f aca="false">L1641*(1-M$1635)+L1640*M$1635</f>
        <v>0.276008990296353</v>
      </c>
      <c r="N1641" s="2" t="n">
        <f aca="false">M1641*(1-N$1635)+M1640*N$1635</f>
        <v>0.246467867243101</v>
      </c>
      <c r="O1641" s="2" t="n">
        <f aca="false">N1641*(1-O$1635)+N1640*O$1635</f>
        <v>0.246467867243101</v>
      </c>
    </row>
    <row r="1642" customFormat="false" ht="15" hidden="false" customHeight="false" outlineLevel="0" collapsed="false">
      <c r="B1642" s="2" t="n">
        <v>6</v>
      </c>
      <c r="C1642" s="2" t="n">
        <f aca="false">0</f>
        <v>0</v>
      </c>
      <c r="D1642" s="2" t="n">
        <f aca="false">C1642*(1-D$1635)+C1641*D$1635</f>
        <v>0</v>
      </c>
      <c r="E1642" s="2" t="n">
        <f aca="false">D1642*(1-E$1635)+D1641*E$1635</f>
        <v>0</v>
      </c>
      <c r="F1642" s="2" t="n">
        <f aca="false">E1642*(1-F$1635)+E1641*F$1635</f>
        <v>0</v>
      </c>
      <c r="G1642" s="2" t="n">
        <f aca="false">F1642*(1-G$1635)+F1641*G$1635</f>
        <v>0</v>
      </c>
      <c r="H1642" s="2" t="n">
        <f aca="false">G1642*(1-H$1635)+G1641*H$1635</f>
        <v>0.000480648317855522</v>
      </c>
      <c r="I1642" s="2" t="n">
        <f aca="false">H1642*(1-I$1635)+H1641*I$1635</f>
        <v>0.00513616046527633</v>
      </c>
      <c r="J1642" s="2" t="n">
        <f aca="false">I1642*(1-J$1635)+I1641*J$1635</f>
        <v>0.0299428405615433</v>
      </c>
      <c r="K1642" s="2" t="n">
        <f aca="false">J1642*(1-K$1635)+J1641*K$1635</f>
        <v>0.0777401897918128</v>
      </c>
      <c r="L1642" s="2" t="n">
        <f aca="false">K1642*(1-L$1635)+K1641*L$1635</f>
        <v>0.18076199092988</v>
      </c>
      <c r="M1642" s="2" t="n">
        <f aca="false">L1642*(1-M$1635)+L1641*M$1635</f>
        <v>0.218596940922146</v>
      </c>
      <c r="N1642" s="2" t="n">
        <f aca="false">M1642*(1-N$1635)+M1641*N$1635</f>
        <v>0.248447693314505</v>
      </c>
      <c r="O1642" s="2" t="n">
        <f aca="false">N1642*(1-O$1635)+N1641*O$1635</f>
        <v>0.248447693314505</v>
      </c>
    </row>
    <row r="1643" customFormat="false" ht="15" hidden="false" customHeight="false" outlineLevel="0" collapsed="false">
      <c r="B1643" s="2" t="n">
        <v>7</v>
      </c>
      <c r="C1643" s="2" t="n">
        <f aca="false">0</f>
        <v>0</v>
      </c>
      <c r="D1643" s="2" t="n">
        <f aca="false">C1643*(1-D$1635)+C1642*D$1635</f>
        <v>0</v>
      </c>
      <c r="E1643" s="2" t="n">
        <f aca="false">D1643*(1-E$1635)+D1642*E$1635</f>
        <v>0</v>
      </c>
      <c r="F1643" s="2" t="n">
        <f aca="false">E1643*(1-F$1635)+E1642*F$1635</f>
        <v>0</v>
      </c>
      <c r="G1643" s="2" t="n">
        <f aca="false">F1643*(1-G$1635)+F1642*G$1635</f>
        <v>0</v>
      </c>
      <c r="H1643" s="2" t="n">
        <f aca="false">G1643*(1-H$1635)+G1642*H$1635</f>
        <v>0</v>
      </c>
      <c r="I1643" s="2" t="n">
        <f aca="false">H1643*(1-I$1635)+H1642*I$1635</f>
        <v>0.000165620960264583</v>
      </c>
      <c r="J1643" s="2" t="n">
        <f aca="false">I1643*(1-J$1635)+I1642*J$1635</f>
        <v>0.00318940831156474</v>
      </c>
      <c r="K1643" s="2" t="n">
        <f aca="false">J1643*(1-K$1635)+J1642*K$1635</f>
        <v>0.0164994181504002</v>
      </c>
      <c r="L1643" s="2" t="n">
        <f aca="false">K1643*(1-L$1635)+K1642*L$1635</f>
        <v>0.0680240196160861</v>
      </c>
      <c r="M1643" s="2" t="n">
        <f aca="false">L1643*(1-M$1635)+L1642*M$1635</f>
        <v>0.109762753837712</v>
      </c>
      <c r="N1643" s="2" t="n">
        <f aca="false">M1643*(1-N$1635)+M1642*N$1635</f>
        <v>0.166349871104783</v>
      </c>
      <c r="O1643" s="2" t="n">
        <f aca="false">N1643*(1-O$1635)+N1642*O$1635</f>
        <v>0.166349871104783</v>
      </c>
    </row>
    <row r="1644" customFormat="false" ht="15" hidden="false" customHeight="false" outlineLevel="0" collapsed="false">
      <c r="B1644" s="2" t="n">
        <v>8</v>
      </c>
      <c r="C1644" s="2" t="n">
        <f aca="false">0</f>
        <v>0</v>
      </c>
      <c r="D1644" s="2" t="n">
        <f aca="false">C1644*(1-D$1635)+C1643*D$1635</f>
        <v>0</v>
      </c>
      <c r="E1644" s="2" t="n">
        <f aca="false">D1644*(1-E$1635)+D1643*E$1635</f>
        <v>0</v>
      </c>
      <c r="F1644" s="2" t="n">
        <f aca="false">E1644*(1-F$1635)+E1643*F$1635</f>
        <v>0</v>
      </c>
      <c r="G1644" s="2" t="n">
        <f aca="false">F1644*(1-G$1635)+F1643*G$1635</f>
        <v>0</v>
      </c>
      <c r="H1644" s="2" t="n">
        <f aca="false">G1644*(1-H$1635)+G1643*H$1635</f>
        <v>0</v>
      </c>
      <c r="I1644" s="2" t="n">
        <f aca="false">H1644*(1-I$1635)+H1643*I$1635</f>
        <v>0</v>
      </c>
      <c r="J1644" s="2" t="n">
        <f aca="false">I1644*(1-J$1635)+I1643*J$1635</f>
        <v>0.000100754166474942</v>
      </c>
      <c r="K1644" s="2" t="n">
        <f aca="false">J1644*(1-K$1635)+J1643*K$1635</f>
        <v>0.00163738007210759</v>
      </c>
      <c r="L1644" s="2" t="n">
        <f aca="false">K1644*(1-L$1635)+K1643*L$1635</f>
        <v>0.0141414777251497</v>
      </c>
      <c r="M1644" s="2" t="n">
        <f aca="false">L1644*(1-M$1635)+L1643*M$1635</f>
        <v>0.0340902941617309</v>
      </c>
      <c r="N1644" s="2" t="n">
        <f aca="false">M1644*(1-N$1635)+M1643*N$1635</f>
        <v>0.0734353424805131</v>
      </c>
      <c r="O1644" s="2" t="n">
        <f aca="false">N1644*(1-O$1635)+N1643*O$1635</f>
        <v>0.0734353424805131</v>
      </c>
    </row>
    <row r="1645" customFormat="false" ht="15" hidden="false" customHeight="false" outlineLevel="0" collapsed="false">
      <c r="B1645" s="2" t="n">
        <v>9</v>
      </c>
      <c r="C1645" s="2" t="n">
        <f aca="false">0</f>
        <v>0</v>
      </c>
      <c r="D1645" s="2" t="n">
        <f aca="false">C1645*(1-D$1635)+C1644*D$1635</f>
        <v>0</v>
      </c>
      <c r="E1645" s="2" t="n">
        <f aca="false">D1645*(1-E$1635)+D1644*E$1635</f>
        <v>0</v>
      </c>
      <c r="F1645" s="2" t="n">
        <f aca="false">E1645*(1-F$1635)+E1644*F$1635</f>
        <v>0</v>
      </c>
      <c r="G1645" s="2" t="n">
        <f aca="false">F1645*(1-G$1635)+F1644*G$1635</f>
        <v>0</v>
      </c>
      <c r="H1645" s="2" t="n">
        <f aca="false">G1645*(1-H$1635)+G1644*H$1635</f>
        <v>0</v>
      </c>
      <c r="I1645" s="2" t="n">
        <f aca="false">H1645*(1-I$1635)+H1644*I$1635</f>
        <v>0</v>
      </c>
      <c r="J1645" s="2" t="n">
        <f aca="false">I1645*(1-J$1635)+I1644*J$1635</f>
        <v>0</v>
      </c>
      <c r="K1645" s="2" t="n">
        <f aca="false">J1645*(1-K$1635)+J1644*K$1635</f>
        <v>5.01258655171702E-005</v>
      </c>
      <c r="L1645" s="2" t="n">
        <f aca="false">K1645*(1-L$1635)+K1644*L$1635</f>
        <v>0.00138555385290722</v>
      </c>
      <c r="M1645" s="2" t="n">
        <f aca="false">L1645*(1-M$1635)+L1644*M$1635</f>
        <v>0.00610815183875266</v>
      </c>
      <c r="N1645" s="2" t="n">
        <f aca="false">M1645*(1-N$1635)+M1644*N$1635</f>
        <v>0.0206571535029613</v>
      </c>
      <c r="O1645" s="2" t="n">
        <f aca="false">N1645*(1-O$1635)+N1644*O$1635</f>
        <v>0.0206571535029613</v>
      </c>
    </row>
    <row r="1646" customFormat="false" ht="15" hidden="false" customHeight="false" outlineLevel="0" collapsed="false">
      <c r="B1646" s="2" t="n">
        <v>10</v>
      </c>
      <c r="C1646" s="2" t="n">
        <f aca="false">0</f>
        <v>0</v>
      </c>
      <c r="D1646" s="2" t="n">
        <f aca="false">C1646*(1-D$1635)+C1645*D$1635</f>
        <v>0</v>
      </c>
      <c r="E1646" s="2" t="n">
        <f aca="false">D1646*(1-E$1635)+D1645*E$1635</f>
        <v>0</v>
      </c>
      <c r="F1646" s="2" t="n">
        <f aca="false">E1646*(1-F$1635)+E1645*F$1635</f>
        <v>0</v>
      </c>
      <c r="G1646" s="2" t="n">
        <f aca="false">F1646*(1-G$1635)+F1645*G$1635</f>
        <v>0</v>
      </c>
      <c r="H1646" s="2" t="n">
        <f aca="false">G1646*(1-H$1635)+G1645*H$1635</f>
        <v>0</v>
      </c>
      <c r="I1646" s="2" t="n">
        <f aca="false">H1646*(1-I$1635)+H1645*I$1635</f>
        <v>0</v>
      </c>
      <c r="J1646" s="2" t="n">
        <f aca="false">I1646*(1-J$1635)+I1645*J$1635</f>
        <v>0</v>
      </c>
      <c r="K1646" s="2" t="n">
        <f aca="false">J1646*(1-K$1635)+J1645*K$1635</f>
        <v>0</v>
      </c>
      <c r="L1646" s="2" t="n">
        <f aca="false">K1646*(1-L$1635)+K1645*L$1635</f>
        <v>4.21731335950095E-005</v>
      </c>
      <c r="M1646" s="2" t="n">
        <f aca="false">L1646*(1-M$1635)+L1645*M$1635</f>
        <v>0.000539530059113579</v>
      </c>
      <c r="N1646" s="2" t="n">
        <f aca="false">M1646*(1-N$1635)+M1645*N$1635</f>
        <v>0.00343487261738468</v>
      </c>
      <c r="O1646" s="2" t="n">
        <f aca="false">N1646*(1-O$1635)+N1645*O$1635</f>
        <v>0.00343487261738468</v>
      </c>
    </row>
    <row r="1647" customFormat="false" ht="15" hidden="false" customHeight="false" outlineLevel="0" collapsed="false">
      <c r="B1647" s="2" t="n">
        <v>11</v>
      </c>
      <c r="C1647" s="2" t="n">
        <f aca="false">0</f>
        <v>0</v>
      </c>
      <c r="D1647" s="2" t="n">
        <f aca="false">C1647*(1-D$1635)+C1646*D$1635</f>
        <v>0</v>
      </c>
      <c r="E1647" s="2" t="n">
        <f aca="false">D1647*(1-E$1635)+D1646*E$1635</f>
        <v>0</v>
      </c>
      <c r="F1647" s="2" t="n">
        <f aca="false">E1647*(1-F$1635)+E1646*F$1635</f>
        <v>0</v>
      </c>
      <c r="G1647" s="2" t="n">
        <f aca="false">F1647*(1-G$1635)+F1646*G$1635</f>
        <v>0</v>
      </c>
      <c r="H1647" s="2" t="n">
        <f aca="false">G1647*(1-H$1635)+G1646*H$1635</f>
        <v>0</v>
      </c>
      <c r="I1647" s="2" t="n">
        <f aca="false">H1647*(1-I$1635)+H1646*I$1635</f>
        <v>0</v>
      </c>
      <c r="J1647" s="2" t="n">
        <f aca="false">I1647*(1-J$1635)+I1646*J$1635</f>
        <v>0</v>
      </c>
      <c r="K1647" s="2" t="n">
        <f aca="false">J1647*(1-K$1635)+J1646*K$1635</f>
        <v>0</v>
      </c>
      <c r="L1647" s="2" t="n">
        <f aca="false">K1647*(1-L$1635)+K1646*L$1635</f>
        <v>0</v>
      </c>
      <c r="M1647" s="2" t="n">
        <f aca="false">L1647*(1-M$1635)+L1646*M$1635</f>
        <v>1.56136676392354E-005</v>
      </c>
      <c r="N1647" s="2" t="n">
        <f aca="false">M1647*(1-N$1635)+M1646*N$1635</f>
        <v>0.000288018130581555</v>
      </c>
      <c r="O1647" s="2" t="n">
        <f aca="false">N1647*(1-O$1635)+N1646*O$1635</f>
        <v>0.000288018130581555</v>
      </c>
    </row>
    <row r="1648" customFormat="false" ht="15" hidden="false" customHeight="false" outlineLevel="0" collapsed="false">
      <c r="B1648" s="2" t="n">
        <v>12</v>
      </c>
      <c r="C1648" s="2" t="n">
        <f aca="false">0</f>
        <v>0</v>
      </c>
      <c r="D1648" s="2" t="n">
        <f aca="false">C1648*(1-D$1635)+C1647*D$1635</f>
        <v>0</v>
      </c>
      <c r="E1648" s="2" t="n">
        <f aca="false">D1648*(1-E$1635)+D1647*E$1635</f>
        <v>0</v>
      </c>
      <c r="F1648" s="2" t="n">
        <f aca="false">E1648*(1-F$1635)+E1647*F$1635</f>
        <v>0</v>
      </c>
      <c r="G1648" s="2" t="n">
        <f aca="false">F1648*(1-G$1635)+F1647*G$1635</f>
        <v>0</v>
      </c>
      <c r="H1648" s="2" t="n">
        <f aca="false">G1648*(1-H$1635)+G1647*H$1635</f>
        <v>0</v>
      </c>
      <c r="I1648" s="2" t="n">
        <f aca="false">H1648*(1-I$1635)+H1647*I$1635</f>
        <v>0</v>
      </c>
      <c r="J1648" s="2" t="n">
        <f aca="false">I1648*(1-J$1635)+I1647*J$1635</f>
        <v>0</v>
      </c>
      <c r="K1648" s="2" t="n">
        <f aca="false">J1648*(1-K$1635)+J1647*K$1635</f>
        <v>0</v>
      </c>
      <c r="L1648" s="2" t="n">
        <f aca="false">K1648*(1-L$1635)+K1647*L$1635</f>
        <v>0</v>
      </c>
      <c r="M1648" s="2" t="n">
        <f aca="false">L1648*(1-M$1635)+L1647*M$1635</f>
        <v>0</v>
      </c>
      <c r="N1648" s="2" t="n">
        <f aca="false">M1648*(1-N$1635)+M1647*N$1635</f>
        <v>8.11815170710131E-006</v>
      </c>
      <c r="O1648" s="2" t="n">
        <f aca="false">N1648*(1-O$1635)+N1647*O$1635</f>
        <v>8.11815170710131E-006</v>
      </c>
    </row>
    <row r="1649" customFormat="false" ht="15" hidden="false" customHeight="false" outlineLevel="0" collapsed="false">
      <c r="B1649" s="2" t="n">
        <v>13</v>
      </c>
      <c r="C1649" s="2" t="n">
        <f aca="false">0</f>
        <v>0</v>
      </c>
      <c r="D1649" s="2" t="n">
        <f aca="false">C1649*(1-D$1635)+C1648*D$1635</f>
        <v>0</v>
      </c>
      <c r="E1649" s="2" t="n">
        <f aca="false">D1649*(1-E$1635)+D1648*E$1635</f>
        <v>0</v>
      </c>
      <c r="F1649" s="2" t="n">
        <f aca="false">E1649*(1-F$1635)+E1648*F$1635</f>
        <v>0</v>
      </c>
      <c r="G1649" s="2" t="n">
        <f aca="false">F1649*(1-G$1635)+F1648*G$1635</f>
        <v>0</v>
      </c>
      <c r="H1649" s="2" t="n">
        <f aca="false">G1649*(1-H$1635)+G1648*H$1635</f>
        <v>0</v>
      </c>
      <c r="I1649" s="2" t="n">
        <f aca="false">H1649*(1-I$1635)+H1648*I$1635</f>
        <v>0</v>
      </c>
      <c r="J1649" s="2" t="n">
        <f aca="false">I1649*(1-J$1635)+I1648*J$1635</f>
        <v>0</v>
      </c>
      <c r="K1649" s="2" t="n">
        <f aca="false">J1649*(1-K$1635)+J1648*K$1635</f>
        <v>0</v>
      </c>
      <c r="L1649" s="2" t="n">
        <f aca="false">K1649*(1-L$1635)+K1648*L$1635</f>
        <v>0</v>
      </c>
      <c r="M1649" s="2" t="n">
        <f aca="false">L1649*(1-M$1635)+L1648*M$1635</f>
        <v>0</v>
      </c>
      <c r="N1649" s="2" t="n">
        <f aca="false">M1649*(1-N$1635)+M1648*N$1635</f>
        <v>0</v>
      </c>
      <c r="O1649" s="2" t="n">
        <f aca="false">N1649*(1-O$1635)+N1648*O$1635</f>
        <v>0</v>
      </c>
    </row>
    <row r="1651" customFormat="false" ht="15" hidden="false" customHeight="false" outlineLevel="0" collapsed="false">
      <c r="A1651" s="1" t="s">
        <v>161</v>
      </c>
      <c r="C1651" s="2" t="n">
        <f aca="false">Schedule!G105</f>
        <v>0.457692000582065</v>
      </c>
      <c r="D1651" s="2" t="n">
        <f aca="false">Schedule!L105</f>
        <v>0.820886824722654</v>
      </c>
      <c r="E1651" s="2" t="n">
        <f aca="false">Schedule!Q105</f>
        <v>0.544786515128255</v>
      </c>
      <c r="F1651" s="2" t="n">
        <f aca="false">Schedule!V105</f>
        <v>0.360826675149783</v>
      </c>
      <c r="G1651" s="2" t="n">
        <f aca="false">Schedule!AA105</f>
        <v>0.236147484972854</v>
      </c>
      <c r="H1651" s="2" t="n">
        <f aca="false">Schedule!AF105</f>
        <v>0.559617692370243</v>
      </c>
      <c r="I1651" s="2" t="n">
        <f aca="false">Schedule!AK105</f>
        <v>0.710980018637507</v>
      </c>
      <c r="J1651" s="2" t="n">
        <f aca="false">Schedule!AP105</f>
        <v>0.374958048081219</v>
      </c>
      <c r="K1651" s="2" t="n">
        <f aca="false">Schedule!AU105</f>
        <v>0.145427006388604</v>
      </c>
      <c r="L1651" s="2" t="n">
        <f aca="false">Schedule!AZ105</f>
        <v>0.646169766672724</v>
      </c>
      <c r="M1651" s="2" t="n">
        <f aca="false">Schedule!BE105</f>
        <v>0.301967544680181</v>
      </c>
      <c r="N1651" s="2" t="n">
        <f aca="false">Schedule!BJ105</f>
        <v>0.58901036286873</v>
      </c>
      <c r="O1651" s="2" t="n">
        <f aca="false">Schedule!BO105</f>
        <v>0</v>
      </c>
    </row>
    <row r="1652" customFormat="false" ht="15" hidden="false" customHeight="false" outlineLevel="0" collapsed="false">
      <c r="B1652" s="2" t="n">
        <v>0</v>
      </c>
      <c r="C1652" s="2" t="n">
        <f aca="false">1-C$1651</f>
        <v>0.542307999417935</v>
      </c>
      <c r="D1652" s="2" t="n">
        <f aca="false">C1652*(1-D$1651)</f>
        <v>0.0971345077540512</v>
      </c>
      <c r="E1652" s="2" t="n">
        <f aca="false">D1652*(1-E$1651)</f>
        <v>0.0442169377760232</v>
      </c>
      <c r="F1652" s="2" t="n">
        <f aca="false">E1652*(1-F$1651)</f>
        <v>0.0282622871329959</v>
      </c>
      <c r="G1652" s="2" t="n">
        <f aca="false">F1652*(1-G$1651)</f>
        <v>0.0215882191069582</v>
      </c>
      <c r="H1652" s="2" t="n">
        <f aca="false">G1652*(1-H$1651)</f>
        <v>0.0095070697479391</v>
      </c>
      <c r="I1652" s="2" t="n">
        <f aca="false">H1652*(1-I$1651)</f>
        <v>0.00274773312136128</v>
      </c>
      <c r="J1652" s="2" t="n">
        <f aca="false">I1652*(1-J$1651)</f>
        <v>0.00171744847352754</v>
      </c>
      <c r="K1652" s="2" t="n">
        <f aca="false">J1652*(1-K$1651)</f>
        <v>0.00146768508339575</v>
      </c>
      <c r="L1652" s="2" t="n">
        <f aca="false">K1652*(1-L$1651)</f>
        <v>0.000519311355508882</v>
      </c>
      <c r="M1652" s="2" t="n">
        <f aca="false">L1652*(1-M$1651)</f>
        <v>0.000362496180561328</v>
      </c>
      <c r="N1652" s="2" t="n">
        <f aca="false">M1652*(1-N$1651)</f>
        <v>0.000148982173710372</v>
      </c>
      <c r="O1652" s="2" t="n">
        <f aca="false">N1652*(1-O$1651)</f>
        <v>0.000148982173710372</v>
      </c>
    </row>
    <row r="1653" customFormat="false" ht="15" hidden="false" customHeight="false" outlineLevel="0" collapsed="false">
      <c r="B1653" s="2" t="n">
        <v>1</v>
      </c>
      <c r="C1653" s="2" t="n">
        <f aca="false">C$1651</f>
        <v>0.457692000582065</v>
      </c>
      <c r="D1653" s="2" t="n">
        <f aca="false">C1653*(1-D$1651)+C1652*D$1651</f>
        <v>0.527152159187178</v>
      </c>
      <c r="E1653" s="2" t="n">
        <f aca="false">D1653*(1-E$1651)+D1652*E$1651</f>
        <v>0.292884341419288</v>
      </c>
      <c r="F1653" s="2" t="n">
        <f aca="false">E1653*(1-F$1651)+E1652*F$1651</f>
        <v>0.20315850894456</v>
      </c>
      <c r="G1653" s="2" t="n">
        <f aca="false">F1653*(1-G$1651)+F1652*G$1651</f>
        <v>0.161857206032504</v>
      </c>
      <c r="H1653" s="2" t="n">
        <f aca="false">G1653*(1-H$1651)+G1652*H$1651</f>
        <v>0.0833601992581186</v>
      </c>
      <c r="I1653" s="2" t="n">
        <f aca="false">H1653*(1-I$1651)+H1652*I$1651</f>
        <v>0.030852099862533</v>
      </c>
      <c r="J1653" s="2" t="n">
        <f aca="false">I1653*(1-J$1651)+I1652*J$1651</f>
        <v>0.0203141413667045</v>
      </c>
      <c r="K1653" s="2" t="n">
        <f aca="false">J1653*(1-K$1651)+J1652*K$1651</f>
        <v>0.0176096799905216</v>
      </c>
      <c r="L1653" s="2" t="n">
        <f aca="false">K1653*(1-L$1651)+K1652*L$1651</f>
        <v>0.00717921090775178</v>
      </c>
      <c r="M1653" s="2" t="n">
        <f aca="false">L1653*(1-M$1651)+L1652*M$1651</f>
        <v>0.00516813739214436</v>
      </c>
      <c r="N1653" s="2" t="n">
        <f aca="false">M1653*(1-N$1651)+M1652*N$1651</f>
        <v>0.00233756491829292</v>
      </c>
      <c r="O1653" s="2" t="n">
        <f aca="false">N1653*(1-O$1651)+N1652*O$1651</f>
        <v>0.00233756491829292</v>
      </c>
    </row>
    <row r="1654" customFormat="false" ht="15" hidden="false" customHeight="false" outlineLevel="0" collapsed="false">
      <c r="B1654" s="2" t="n">
        <v>2</v>
      </c>
      <c r="C1654" s="2" t="n">
        <f aca="false">0</f>
        <v>0</v>
      </c>
      <c r="D1654" s="2" t="n">
        <f aca="false">C1654*(1-D$1651)+C1653*D$1651</f>
        <v>0.375713333058771</v>
      </c>
      <c r="E1654" s="2" t="n">
        <f aca="false">D1654*(1-E$1651)+D1653*E$1651</f>
        <v>0.45821516340038</v>
      </c>
      <c r="F1654" s="2" t="n">
        <f aca="false">E1654*(1-F$1651)+E1653*F$1651</f>
        <v>0.398559392605162</v>
      </c>
      <c r="G1654" s="2" t="n">
        <f aca="false">F1654*(1-G$1651)+F1653*G$1651</f>
        <v>0.352415965367237</v>
      </c>
      <c r="H1654" s="2" t="n">
        <f aca="false">G1654*(1-H$1651)+G1653*H$1651</f>
        <v>0.245775912207398</v>
      </c>
      <c r="I1654" s="2" t="n">
        <f aca="false">H1654*(1-I$1651)+H1653*I$1651</f>
        <v>0.130301585587695</v>
      </c>
      <c r="J1654" s="2" t="n">
        <f aca="false">I1654*(1-J$1651)+I1653*J$1651</f>
        <v>0.0930122005375074</v>
      </c>
      <c r="K1654" s="2" t="n">
        <f aca="false">J1654*(1-K$1651)+J1653*K$1651</f>
        <v>0.0824399394220359</v>
      </c>
      <c r="L1654" s="2" t="n">
        <f aca="false">K1654*(1-L$1651)+K1653*L$1651</f>
        <v>0.0405485858118421</v>
      </c>
      <c r="M1654" s="2" t="n">
        <f aca="false">L1654*(1-M$1651)+L1653*M$1651</f>
        <v>0.0304721176045415</v>
      </c>
      <c r="N1654" s="2" t="n">
        <f aca="false">M1654*(1-N$1651)+M1653*N$1651</f>
        <v>0.0155678110376143</v>
      </c>
      <c r="O1654" s="2" t="n">
        <f aca="false">N1654*(1-O$1651)+N1653*O$1651</f>
        <v>0.0155678110376143</v>
      </c>
    </row>
    <row r="1655" customFormat="false" ht="15" hidden="false" customHeight="false" outlineLevel="0" collapsed="false">
      <c r="B1655" s="2" t="n">
        <v>3</v>
      </c>
      <c r="C1655" s="2" t="n">
        <f aca="false">0</f>
        <v>0</v>
      </c>
      <c r="D1655" s="2" t="n">
        <f aca="false">C1655*(1-D$1651)+C1654*D$1651</f>
        <v>0</v>
      </c>
      <c r="E1655" s="2" t="n">
        <f aca="false">D1655*(1-E$1651)+D1654*E$1651</f>
        <v>0.204683557404309</v>
      </c>
      <c r="F1655" s="2" t="n">
        <f aca="false">E1655*(1-F$1651)+E1654*F$1651</f>
        <v>0.296164523841256</v>
      </c>
      <c r="G1655" s="2" t="n">
        <f aca="false">F1655*(1-G$1651)+F1654*G$1651</f>
        <v>0.320344814573978</v>
      </c>
      <c r="H1655" s="2" t="n">
        <f aca="false">G1655*(1-H$1651)+G1654*H$1651</f>
        <v>0.33829239797256</v>
      </c>
      <c r="I1655" s="2" t="n">
        <f aca="false">H1655*(1-I$1651)+H1654*I$1651</f>
        <v>0.272515025198968</v>
      </c>
      <c r="J1655" s="2" t="n">
        <f aca="false">I1655*(1-J$1651)+I1654*J$1651</f>
        <v>0.219190951471409</v>
      </c>
      <c r="K1655" s="2" t="n">
        <f aca="false">J1655*(1-K$1651)+J1654*K$1651</f>
        <v>0.200841153453238</v>
      </c>
      <c r="L1655" s="2" t="n">
        <f aca="false">K1655*(1-L$1651)+K1654*L$1651</f>
        <v>0.124333868608929</v>
      </c>
      <c r="M1655" s="2" t="n">
        <f aca="false">L1655*(1-M$1651)+L1654*M$1651</f>
        <v>0.0990334324823581</v>
      </c>
      <c r="N1655" s="2" t="n">
        <f aca="false">M1655*(1-N$1651)+M1654*N$1651</f>
        <v>0.0586501075274181</v>
      </c>
      <c r="O1655" s="2" t="n">
        <f aca="false">N1655*(1-O$1651)+N1654*O$1651</f>
        <v>0.0586501075274181</v>
      </c>
    </row>
    <row r="1656" customFormat="false" ht="15" hidden="false" customHeight="false" outlineLevel="0" collapsed="false">
      <c r="B1656" s="2" t="n">
        <v>4</v>
      </c>
      <c r="C1656" s="2" t="n">
        <f aca="false">0</f>
        <v>0</v>
      </c>
      <c r="D1656" s="2" t="n">
        <f aca="false">C1656*(1-D$1651)+C1655*D$1651</f>
        <v>0</v>
      </c>
      <c r="E1656" s="2" t="n">
        <f aca="false">D1656*(1-E$1651)+D1655*E$1651</f>
        <v>0</v>
      </c>
      <c r="F1656" s="2" t="n">
        <f aca="false">E1656*(1-F$1651)+E1655*F$1651</f>
        <v>0.0738552874760267</v>
      </c>
      <c r="G1656" s="2" t="n">
        <f aca="false">F1656*(1-G$1651)+F1655*G$1651</f>
        <v>0.126353054529911</v>
      </c>
      <c r="H1656" s="2" t="n">
        <f aca="false">G1656*(1-H$1651)+G1655*H$1651</f>
        <v>0.234914275624614</v>
      </c>
      <c r="I1656" s="2" t="n">
        <f aca="false">H1656*(1-I$1651)+H1655*I$1651</f>
        <v>0.308414054978267</v>
      </c>
      <c r="J1656" s="2" t="n">
        <f aca="false">I1656*(1-J$1651)+I1655*J$1651</f>
        <v>0.294953424844211</v>
      </c>
      <c r="K1656" s="2" t="n">
        <f aca="false">J1656*(1-K$1651)+J1655*K$1651</f>
        <v>0.283935515145008</v>
      </c>
      <c r="L1656" s="2" t="n">
        <f aca="false">K1656*(1-L$1651)+K1655*L$1651</f>
        <v>0.230242450838819</v>
      </c>
      <c r="M1656" s="2" t="n">
        <f aca="false">L1656*(1-M$1651)+L1655*M$1651</f>
        <v>0.1982614963023</v>
      </c>
      <c r="N1656" s="2" t="n">
        <f aca="false">M1656*(1-N$1651)+M1655*N$1651</f>
        <v>0.139815138424954</v>
      </c>
      <c r="O1656" s="2" t="n">
        <f aca="false">N1656*(1-O$1651)+N1655*O$1651</f>
        <v>0.139815138424954</v>
      </c>
    </row>
    <row r="1657" customFormat="false" ht="15" hidden="false" customHeight="false" outlineLevel="0" collapsed="false">
      <c r="B1657" s="2" t="n">
        <v>5</v>
      </c>
      <c r="C1657" s="2" t="n">
        <f aca="false">0</f>
        <v>0</v>
      </c>
      <c r="D1657" s="2" t="n">
        <f aca="false">C1657*(1-D$1651)+C1656*D$1651</f>
        <v>0</v>
      </c>
      <c r="E1657" s="2" t="n">
        <f aca="false">D1657*(1-E$1651)+D1656*E$1651</f>
        <v>0</v>
      </c>
      <c r="F1657" s="2" t="n">
        <f aca="false">E1657*(1-F$1651)+E1656*F$1651</f>
        <v>0</v>
      </c>
      <c r="G1657" s="2" t="n">
        <f aca="false">F1657*(1-G$1651)+F1656*G$1651</f>
        <v>0.0174407403894109</v>
      </c>
      <c r="H1657" s="2" t="n">
        <f aca="false">G1657*(1-H$1651)+G1656*H$1651</f>
        <v>0.0783899982994207</v>
      </c>
      <c r="I1657" s="2" t="n">
        <f aca="false">H1657*(1-I$1651)+H1656*I$1651</f>
        <v>0.189675631909309</v>
      </c>
      <c r="J1657" s="2" t="n">
        <f aca="false">I1657*(1-J$1651)+I1656*J$1651</f>
        <v>0.234197559255487</v>
      </c>
      <c r="K1657" s="2" t="n">
        <f aca="false">J1657*(1-K$1651)+J1656*K$1651</f>
        <v>0.243033102908604</v>
      </c>
      <c r="L1657" s="2" t="n">
        <f aca="false">K1657*(1-L$1651)+K1656*L$1651</f>
        <v>0.269463005079753</v>
      </c>
      <c r="M1657" s="2" t="n">
        <f aca="false">L1657*(1-M$1651)+L1656*M$1651</f>
        <v>0.257619670614622</v>
      </c>
      <c r="N1657" s="2" t="n">
        <f aca="false">M1657*(1-N$1651)+M1656*N$1651</f>
        <v>0.222657090823696</v>
      </c>
      <c r="O1657" s="2" t="n">
        <f aca="false">N1657*(1-O$1651)+N1656*O$1651</f>
        <v>0.222657090823696</v>
      </c>
    </row>
    <row r="1658" customFormat="false" ht="15" hidden="false" customHeight="false" outlineLevel="0" collapsed="false">
      <c r="B1658" s="2" t="n">
        <v>6</v>
      </c>
      <c r="C1658" s="2" t="n">
        <f aca="false">0</f>
        <v>0</v>
      </c>
      <c r="D1658" s="2" t="n">
        <f aca="false">C1658*(1-D$1651)+C1657*D$1651</f>
        <v>0</v>
      </c>
      <c r="E1658" s="2" t="n">
        <f aca="false">D1658*(1-E$1651)+D1657*E$1651</f>
        <v>0</v>
      </c>
      <c r="F1658" s="2" t="n">
        <f aca="false">E1658*(1-F$1651)+E1657*F$1651</f>
        <v>0</v>
      </c>
      <c r="G1658" s="2" t="n">
        <f aca="false">F1658*(1-G$1651)+F1657*G$1651</f>
        <v>0</v>
      </c>
      <c r="H1658" s="2" t="n">
        <f aca="false">G1658*(1-H$1651)+G1657*H$1651</f>
        <v>0.00976014688995059</v>
      </c>
      <c r="I1658" s="2" t="n">
        <f aca="false">H1658*(1-I$1651)+H1657*I$1651</f>
        <v>0.058554599924145</v>
      </c>
      <c r="J1658" s="2" t="n">
        <f aca="false">I1658*(1-J$1651)+I1657*J$1651</f>
        <v>0.107719486139697</v>
      </c>
      <c r="K1658" s="2" t="n">
        <f aca="false">J1658*(1-K$1651)+J1657*K$1651</f>
        <v>0.126112813686725</v>
      </c>
      <c r="L1658" s="2" t="n">
        <f aca="false">K1658*(1-L$1651)+K1657*L$1651</f>
        <v>0.201663169692534</v>
      </c>
      <c r="M1658" s="2" t="n">
        <f aca="false">L1658*(1-M$1651)+L1657*M$1651</f>
        <v>0.222136519514133</v>
      </c>
      <c r="N1658" s="2" t="n">
        <f aca="false">M1658*(1-N$1651)+M1657*N$1651</f>
        <v>0.243036463219558</v>
      </c>
      <c r="O1658" s="2" t="n">
        <f aca="false">N1658*(1-O$1651)+N1657*O$1651</f>
        <v>0.243036463219558</v>
      </c>
    </row>
    <row r="1659" customFormat="false" ht="15" hidden="false" customHeight="false" outlineLevel="0" collapsed="false">
      <c r="B1659" s="2" t="n">
        <v>7</v>
      </c>
      <c r="C1659" s="2" t="n">
        <f aca="false">0</f>
        <v>0</v>
      </c>
      <c r="D1659" s="2" t="n">
        <f aca="false">C1659*(1-D$1651)+C1658*D$1651</f>
        <v>0</v>
      </c>
      <c r="E1659" s="2" t="n">
        <f aca="false">D1659*(1-E$1651)+D1658*E$1651</f>
        <v>0</v>
      </c>
      <c r="F1659" s="2" t="n">
        <f aca="false">E1659*(1-F$1651)+E1658*F$1651</f>
        <v>0</v>
      </c>
      <c r="G1659" s="2" t="n">
        <f aca="false">F1659*(1-G$1651)+F1658*G$1651</f>
        <v>0</v>
      </c>
      <c r="H1659" s="2" t="n">
        <f aca="false">G1659*(1-H$1651)+G1658*H$1651</f>
        <v>0</v>
      </c>
      <c r="I1659" s="2" t="n">
        <f aca="false">H1659*(1-I$1651)+H1658*I$1651</f>
        <v>0.00693926941772187</v>
      </c>
      <c r="J1659" s="2" t="n">
        <f aca="false">I1659*(1-J$1651)+I1658*J$1651</f>
        <v>0.0262928529954773</v>
      </c>
      <c r="K1659" s="2" t="n">
        <f aca="false">J1659*(1-K$1651)+J1658*K$1651</f>
        <v>0.0381344844939443</v>
      </c>
      <c r="L1659" s="2" t="n">
        <f aca="false">K1659*(1-L$1651)+K1658*L$1651</f>
        <v>0.0949834209406997</v>
      </c>
      <c r="M1659" s="2" t="n">
        <f aca="false">L1659*(1-M$1651)+L1658*M$1651</f>
        <v>0.12719724273839</v>
      </c>
      <c r="N1659" s="2" t="n">
        <f aca="false">M1659*(1-N$1651)+M1658*N$1651</f>
        <v>0.183117460602565</v>
      </c>
      <c r="O1659" s="2" t="n">
        <f aca="false">N1659*(1-O$1651)+N1658*O$1651</f>
        <v>0.183117460602565</v>
      </c>
    </row>
    <row r="1660" customFormat="false" ht="15" hidden="false" customHeight="false" outlineLevel="0" collapsed="false">
      <c r="B1660" s="2" t="n">
        <v>8</v>
      </c>
      <c r="C1660" s="2" t="n">
        <f aca="false">0</f>
        <v>0</v>
      </c>
      <c r="D1660" s="2" t="n">
        <f aca="false">C1660*(1-D$1651)+C1659*D$1651</f>
        <v>0</v>
      </c>
      <c r="E1660" s="2" t="n">
        <f aca="false">D1660*(1-E$1651)+D1659*E$1651</f>
        <v>0</v>
      </c>
      <c r="F1660" s="2" t="n">
        <f aca="false">E1660*(1-F$1651)+E1659*F$1651</f>
        <v>0</v>
      </c>
      <c r="G1660" s="2" t="n">
        <f aca="false">F1660*(1-G$1651)+F1659*G$1651</f>
        <v>0</v>
      </c>
      <c r="H1660" s="2" t="n">
        <f aca="false">G1660*(1-H$1651)+G1659*H$1651</f>
        <v>0</v>
      </c>
      <c r="I1660" s="2" t="n">
        <f aca="false">H1660*(1-I$1651)+H1659*I$1651</f>
        <v>0</v>
      </c>
      <c r="J1660" s="2" t="n">
        <f aca="false">I1660*(1-J$1651)+I1659*J$1651</f>
        <v>0.00260193491597869</v>
      </c>
      <c r="K1660" s="2" t="n">
        <f aca="false">J1660*(1-K$1651)+J1659*K$1651</f>
        <v>0.00604723421087783</v>
      </c>
      <c r="L1660" s="2" t="n">
        <f aca="false">K1660*(1-L$1651)+K1659*L$1651</f>
        <v>0.0267810452394562</v>
      </c>
      <c r="M1660" s="2" t="n">
        <f aca="false">L1660*(1-M$1651)+L1659*M$1651</f>
        <v>0.0473759491713159</v>
      </c>
      <c r="N1660" s="2" t="n">
        <f aca="false">M1660*(1-N$1651)+M1659*N$1651</f>
        <v>0.0943915182599094</v>
      </c>
      <c r="O1660" s="2" t="n">
        <f aca="false">N1660*(1-O$1651)+N1659*O$1651</f>
        <v>0.0943915182599094</v>
      </c>
    </row>
    <row r="1661" customFormat="false" ht="15" hidden="false" customHeight="false" outlineLevel="0" collapsed="false">
      <c r="B1661" s="2" t="n">
        <v>9</v>
      </c>
      <c r="C1661" s="2" t="n">
        <f aca="false">0</f>
        <v>0</v>
      </c>
      <c r="D1661" s="2" t="n">
        <f aca="false">C1661*(1-D$1651)+C1660*D$1651</f>
        <v>0</v>
      </c>
      <c r="E1661" s="2" t="n">
        <f aca="false">D1661*(1-E$1651)+D1660*E$1651</f>
        <v>0</v>
      </c>
      <c r="F1661" s="2" t="n">
        <f aca="false">E1661*(1-F$1651)+E1660*F$1651</f>
        <v>0</v>
      </c>
      <c r="G1661" s="2" t="n">
        <f aca="false">F1661*(1-G$1651)+F1660*G$1651</f>
        <v>0</v>
      </c>
      <c r="H1661" s="2" t="n">
        <f aca="false">G1661*(1-H$1651)+G1660*H$1651</f>
        <v>0</v>
      </c>
      <c r="I1661" s="2" t="n">
        <f aca="false">H1661*(1-I$1651)+H1660*I$1651</f>
        <v>0</v>
      </c>
      <c r="J1661" s="2" t="n">
        <f aca="false">I1661*(1-J$1651)+I1660*J$1651</f>
        <v>0</v>
      </c>
      <c r="K1661" s="2" t="n">
        <f aca="false">J1661*(1-K$1651)+J1660*K$1651</f>
        <v>0.000378391605648766</v>
      </c>
      <c r="L1661" s="2" t="n">
        <f aca="false">K1661*(1-L$1651)+K1660*L$1651</f>
        <v>0.00404142630917403</v>
      </c>
      <c r="M1661" s="2" t="n">
        <f aca="false">L1661*(1-M$1651)+L1660*M$1651</f>
        <v>0.0109080532045143</v>
      </c>
      <c r="N1661" s="2" t="n">
        <f aca="false">M1661*(1-N$1651)+M1660*N$1651</f>
        <v>0.0323880218409792</v>
      </c>
      <c r="O1661" s="2" t="n">
        <f aca="false">N1661*(1-O$1651)+N1660*O$1651</f>
        <v>0.0323880218409792</v>
      </c>
    </row>
    <row r="1662" customFormat="false" ht="15" hidden="false" customHeight="false" outlineLevel="0" collapsed="false">
      <c r="B1662" s="2" t="n">
        <v>10</v>
      </c>
      <c r="C1662" s="2" t="n">
        <f aca="false">0</f>
        <v>0</v>
      </c>
      <c r="D1662" s="2" t="n">
        <f aca="false">C1662*(1-D$1651)+C1661*D$1651</f>
        <v>0</v>
      </c>
      <c r="E1662" s="2" t="n">
        <f aca="false">D1662*(1-E$1651)+D1661*E$1651</f>
        <v>0</v>
      </c>
      <c r="F1662" s="2" t="n">
        <f aca="false">E1662*(1-F$1651)+E1661*F$1651</f>
        <v>0</v>
      </c>
      <c r="G1662" s="2" t="n">
        <f aca="false">F1662*(1-G$1651)+F1661*G$1651</f>
        <v>0</v>
      </c>
      <c r="H1662" s="2" t="n">
        <f aca="false">G1662*(1-H$1651)+G1661*H$1651</f>
        <v>0</v>
      </c>
      <c r="I1662" s="2" t="n">
        <f aca="false">H1662*(1-I$1651)+H1661*I$1651</f>
        <v>0</v>
      </c>
      <c r="J1662" s="2" t="n">
        <f aca="false">I1662*(1-J$1651)+I1661*J$1651</f>
        <v>0</v>
      </c>
      <c r="K1662" s="2" t="n">
        <f aca="false">J1662*(1-K$1651)+J1661*K$1651</f>
        <v>0</v>
      </c>
      <c r="L1662" s="2" t="n">
        <f aca="false">K1662*(1-L$1651)+K1661*L$1651</f>
        <v>0.00024450521553298</v>
      </c>
      <c r="M1662" s="2" t="n">
        <f aca="false">L1662*(1-M$1651)+L1661*M$1651</f>
        <v>0.00139105215552415</v>
      </c>
      <c r="N1662" s="2" t="n">
        <f aca="false">M1662*(1-N$1651)+M1661*N$1651</f>
        <v>0.00699666439681191</v>
      </c>
      <c r="O1662" s="2" t="n">
        <f aca="false">N1662*(1-O$1651)+N1661*O$1651</f>
        <v>0.00699666439681191</v>
      </c>
    </row>
    <row r="1663" customFormat="false" ht="15" hidden="false" customHeight="false" outlineLevel="0" collapsed="false">
      <c r="B1663" s="2" t="n">
        <v>11</v>
      </c>
      <c r="C1663" s="2" t="n">
        <f aca="false">0</f>
        <v>0</v>
      </c>
      <c r="D1663" s="2" t="n">
        <f aca="false">C1663*(1-D$1651)+C1662*D$1651</f>
        <v>0</v>
      </c>
      <c r="E1663" s="2" t="n">
        <f aca="false">D1663*(1-E$1651)+D1662*E$1651</f>
        <v>0</v>
      </c>
      <c r="F1663" s="2" t="n">
        <f aca="false">E1663*(1-F$1651)+E1662*F$1651</f>
        <v>0</v>
      </c>
      <c r="G1663" s="2" t="n">
        <f aca="false">F1663*(1-G$1651)+F1662*G$1651</f>
        <v>0</v>
      </c>
      <c r="H1663" s="2" t="n">
        <f aca="false">G1663*(1-H$1651)+G1662*H$1651</f>
        <v>0</v>
      </c>
      <c r="I1663" s="2" t="n">
        <f aca="false">H1663*(1-I$1651)+H1662*I$1651</f>
        <v>0</v>
      </c>
      <c r="J1663" s="2" t="n">
        <f aca="false">I1663*(1-J$1651)+I1662*J$1651</f>
        <v>0</v>
      </c>
      <c r="K1663" s="2" t="n">
        <f aca="false">J1663*(1-K$1651)+J1662*K$1651</f>
        <v>0</v>
      </c>
      <c r="L1663" s="2" t="n">
        <f aca="false">K1663*(1-L$1651)+K1662*L$1651</f>
        <v>0</v>
      </c>
      <c r="M1663" s="2" t="n">
        <f aca="false">L1663*(1-M$1651)+L1662*M$1651</f>
        <v>7.38326395959924E-005</v>
      </c>
      <c r="N1663" s="2" t="n">
        <f aca="false">M1663*(1-N$1651)+M1662*N$1651</f>
        <v>0.000849688584650612</v>
      </c>
      <c r="O1663" s="2" t="n">
        <f aca="false">N1663*(1-O$1651)+N1662*O$1651</f>
        <v>0.000849688584650612</v>
      </c>
    </row>
    <row r="1664" customFormat="false" ht="15" hidden="false" customHeight="false" outlineLevel="0" collapsed="false">
      <c r="B1664" s="2" t="n">
        <v>12</v>
      </c>
      <c r="C1664" s="2" t="n">
        <f aca="false">0</f>
        <v>0</v>
      </c>
      <c r="D1664" s="2" t="n">
        <f aca="false">C1664*(1-D$1651)+C1663*D$1651</f>
        <v>0</v>
      </c>
      <c r="E1664" s="2" t="n">
        <f aca="false">D1664*(1-E$1651)+D1663*E$1651</f>
        <v>0</v>
      </c>
      <c r="F1664" s="2" t="n">
        <f aca="false">E1664*(1-F$1651)+E1663*F$1651</f>
        <v>0</v>
      </c>
      <c r="G1664" s="2" t="n">
        <f aca="false">F1664*(1-G$1651)+F1663*G$1651</f>
        <v>0</v>
      </c>
      <c r="H1664" s="2" t="n">
        <f aca="false">G1664*(1-H$1651)+G1663*H$1651</f>
        <v>0</v>
      </c>
      <c r="I1664" s="2" t="n">
        <f aca="false">H1664*(1-I$1651)+H1663*I$1651</f>
        <v>0</v>
      </c>
      <c r="J1664" s="2" t="n">
        <f aca="false">I1664*(1-J$1651)+I1663*J$1651</f>
        <v>0</v>
      </c>
      <c r="K1664" s="2" t="n">
        <f aca="false">J1664*(1-K$1651)+J1663*K$1651</f>
        <v>0</v>
      </c>
      <c r="L1664" s="2" t="n">
        <f aca="false">K1664*(1-L$1651)+K1663*L$1651</f>
        <v>0</v>
      </c>
      <c r="M1664" s="2" t="n">
        <f aca="false">L1664*(1-M$1651)+L1663*M$1651</f>
        <v>0</v>
      </c>
      <c r="N1664" s="2" t="n">
        <f aca="false">M1664*(1-N$1651)+M1663*N$1651</f>
        <v>4.34881898399916E-005</v>
      </c>
      <c r="O1664" s="2" t="n">
        <f aca="false">N1664*(1-O$1651)+N1663*O$1651</f>
        <v>4.34881898399916E-005</v>
      </c>
    </row>
    <row r="1665" customFormat="false" ht="15" hidden="false" customHeight="false" outlineLevel="0" collapsed="false">
      <c r="B1665" s="2" t="n">
        <v>13</v>
      </c>
      <c r="C1665" s="2" t="n">
        <f aca="false">0</f>
        <v>0</v>
      </c>
      <c r="D1665" s="2" t="n">
        <f aca="false">C1665*(1-D$1651)+C1664*D$1651</f>
        <v>0</v>
      </c>
      <c r="E1665" s="2" t="n">
        <f aca="false">D1665*(1-E$1651)+D1664*E$1651</f>
        <v>0</v>
      </c>
      <c r="F1665" s="2" t="n">
        <f aca="false">E1665*(1-F$1651)+E1664*F$1651</f>
        <v>0</v>
      </c>
      <c r="G1665" s="2" t="n">
        <f aca="false">F1665*(1-G$1651)+F1664*G$1651</f>
        <v>0</v>
      </c>
      <c r="H1665" s="2" t="n">
        <f aca="false">G1665*(1-H$1651)+G1664*H$1651</f>
        <v>0</v>
      </c>
      <c r="I1665" s="2" t="n">
        <f aca="false">H1665*(1-I$1651)+H1664*I$1651</f>
        <v>0</v>
      </c>
      <c r="J1665" s="2" t="n">
        <f aca="false">I1665*(1-J$1651)+I1664*J$1651</f>
        <v>0</v>
      </c>
      <c r="K1665" s="2" t="n">
        <f aca="false">J1665*(1-K$1651)+J1664*K$1651</f>
        <v>0</v>
      </c>
      <c r="L1665" s="2" t="n">
        <f aca="false">K1665*(1-L$1651)+K1664*L$1651</f>
        <v>0</v>
      </c>
      <c r="M1665" s="2" t="n">
        <f aca="false">L1665*(1-M$1651)+L1664*M$1651</f>
        <v>0</v>
      </c>
      <c r="N1665" s="2" t="n">
        <f aca="false">M1665*(1-N$1651)+M1664*N$1651</f>
        <v>0</v>
      </c>
      <c r="O1665" s="2" t="n">
        <f aca="false">N1665*(1-O$1651)+N1664*O$1651</f>
        <v>0</v>
      </c>
    </row>
    <row r="1667" customFormat="false" ht="15" hidden="false" customHeight="false" outlineLevel="0" collapsed="false">
      <c r="A1667" s="1" t="s">
        <v>162</v>
      </c>
      <c r="C1667" s="2" t="n">
        <f aca="false">Schedule!G106</f>
        <v>0.00632007683141841</v>
      </c>
      <c r="D1667" s="2" t="n">
        <f aca="false">Schedule!L106</f>
        <v>0.213670492940356</v>
      </c>
      <c r="E1667" s="2" t="n">
        <f aca="false">Schedule!Q106</f>
        <v>0.226627352376868</v>
      </c>
      <c r="F1667" s="2" t="n">
        <f aca="false">Schedule!V106</f>
        <v>0.940175672022986</v>
      </c>
      <c r="G1667" s="2" t="n">
        <f aca="false">Schedule!AA106</f>
        <v>0.308537538725987</v>
      </c>
      <c r="H1667" s="2" t="n">
        <f aca="false">Schedule!AF106</f>
        <v>0.825749288119458</v>
      </c>
      <c r="I1667" s="2" t="n">
        <f aca="false">Schedule!AK106</f>
        <v>0.16947297216772</v>
      </c>
      <c r="J1667" s="2" t="n">
        <f aca="false">Schedule!AP106</f>
        <v>0.425634311844103</v>
      </c>
      <c r="K1667" s="2" t="n">
        <f aca="false">Schedule!AU106</f>
        <v>0.650806957537142</v>
      </c>
      <c r="L1667" s="2" t="n">
        <f aca="false">Schedule!AZ106</f>
        <v>0.208252393288109</v>
      </c>
      <c r="M1667" s="2" t="n">
        <f aca="false">Schedule!BE106</f>
        <v>0.270103499001235</v>
      </c>
      <c r="N1667" s="2" t="n">
        <f aca="false">Schedule!BJ106</f>
        <v>0.700208404531304</v>
      </c>
      <c r="O1667" s="2" t="n">
        <f aca="false">Schedule!BO106</f>
        <v>0</v>
      </c>
    </row>
    <row r="1668" customFormat="false" ht="15" hidden="false" customHeight="false" outlineLevel="0" collapsed="false">
      <c r="B1668" s="2" t="n">
        <v>0</v>
      </c>
      <c r="C1668" s="2" t="n">
        <f aca="false">1-C$1667</f>
        <v>0.993679923168582</v>
      </c>
      <c r="D1668" s="2" t="n">
        <f aca="false">C1668*(1-D$1667)</f>
        <v>0.781359844160216</v>
      </c>
      <c r="E1668" s="2" t="n">
        <f aca="false">D1668*(1-E$1667)</f>
        <v>0.604282331424584</v>
      </c>
      <c r="F1668" s="2" t="n">
        <f aca="false">E1668*(1-F$1667)</f>
        <v>0.036150784385859</v>
      </c>
      <c r="G1668" s="2" t="n">
        <f aca="false">F1668*(1-G$1667)</f>
        <v>0.0249969103484322</v>
      </c>
      <c r="H1668" s="2" t="n">
        <f aca="false">G1668*(1-H$1667)</f>
        <v>0.00435572942302841</v>
      </c>
      <c r="I1668" s="2" t="n">
        <f aca="false">H1668*(1-I$1667)</f>
        <v>0.0036175510117494</v>
      </c>
      <c r="J1668" s="2" t="n">
        <f aca="false">I1668*(1-J$1667)</f>
        <v>0.00207779717630251</v>
      </c>
      <c r="K1668" s="2" t="n">
        <f aca="false">J1668*(1-K$1667)</f>
        <v>0.000725552317613807</v>
      </c>
      <c r="L1668" s="2" t="n">
        <f aca="false">K1668*(1-L$1667)</f>
        <v>0.000574454311014998</v>
      </c>
      <c r="M1668" s="2" t="n">
        <f aca="false">L1668*(1-M$1667)</f>
        <v>0.000419292191593503</v>
      </c>
      <c r="N1668" s="2" t="n">
        <f aca="false">M1668*(1-N$1667)</f>
        <v>0.000125700275085382</v>
      </c>
      <c r="O1668" s="2" t="n">
        <f aca="false">N1668*(1-O$1667)</f>
        <v>0.000125700275085382</v>
      </c>
    </row>
    <row r="1669" customFormat="false" ht="15" hidden="false" customHeight="false" outlineLevel="0" collapsed="false">
      <c r="B1669" s="2" t="n">
        <v>1</v>
      </c>
      <c r="C1669" s="2" t="n">
        <f aca="false">C$1667</f>
        <v>0.00632007683141841</v>
      </c>
      <c r="D1669" s="2" t="n">
        <f aca="false">C1669*(1-D$1667)+C1668*D$1667</f>
        <v>0.217289741907794</v>
      </c>
      <c r="E1669" s="2" t="n">
        <f aca="false">D1669*(1-E$1667)+D1668*E$1667</f>
        <v>0.34512345573621</v>
      </c>
      <c r="F1669" s="2" t="n">
        <f aca="false">E1669*(1-F$1667)+E1668*F$1667</f>
        <v>0.588778325847248</v>
      </c>
      <c r="G1669" s="2" t="n">
        <f aca="false">F1669*(1-G$1667)+F1668*G$1667</f>
        <v>0.418271984372558</v>
      </c>
      <c r="H1669" s="2" t="n">
        <f aca="false">G1669*(1-H$1667)+G1668*H$1667</f>
        <v>0.0935253719620091</v>
      </c>
      <c r="I1669" s="2" t="n">
        <f aca="false">H1669*(1-I$1667)+H1668*I$1667</f>
        <v>0.0784135276137949</v>
      </c>
      <c r="J1669" s="2" t="n">
        <f aca="false">I1669*(1-J$1667)+I1668*J$1667</f>
        <v>0.0465777935840757</v>
      </c>
      <c r="K1669" s="2" t="n">
        <f aca="false">J1669*(1-K$1667)+J1668*K$1667</f>
        <v>0.0176168863115191</v>
      </c>
      <c r="L1669" s="2" t="n">
        <f aca="false">K1669*(1-L$1667)+K1668*L$1667</f>
        <v>0.0140992255814595</v>
      </c>
      <c r="M1669" s="2" t="n">
        <f aca="false">L1669*(1-M$1667)+L1668*M$1667</f>
        <v>0.0104461375381211</v>
      </c>
      <c r="N1669" s="2" t="n">
        <f aca="false">M1669*(1-N$1667)+M1668*N$1667</f>
        <v>0.00342525615554687</v>
      </c>
      <c r="O1669" s="2" t="n">
        <f aca="false">N1669*(1-O$1667)+N1668*O$1667</f>
        <v>0.00342525615554687</v>
      </c>
    </row>
    <row r="1670" customFormat="false" ht="15" hidden="false" customHeight="false" outlineLevel="0" collapsed="false">
      <c r="B1670" s="2" t="n">
        <v>2</v>
      </c>
      <c r="C1670" s="2" t="n">
        <f aca="false">0</f>
        <v>0</v>
      </c>
      <c r="D1670" s="2" t="n">
        <f aca="false">C1670*(1-D$1667)+C1669*D$1667</f>
        <v>0.0013504139319901</v>
      </c>
      <c r="E1670" s="2" t="n">
        <f aca="false">D1670*(1-E$1667)+D1669*E$1667</f>
        <v>0.0502881721051868</v>
      </c>
      <c r="F1670" s="2" t="n">
        <f aca="false">E1670*(1-F$1667)+E1669*F$1667</f>
        <v>0.327485133029072</v>
      </c>
      <c r="G1670" s="2" t="n">
        <f aca="false">F1670*(1-G$1667)+F1669*G$1667</f>
        <v>0.408103891627046</v>
      </c>
      <c r="H1670" s="2" t="n">
        <f aca="false">G1670*(1-H$1667)+G1669*H$1667</f>
        <v>0.416500186973185</v>
      </c>
      <c r="I1670" s="2" t="n">
        <f aca="false">H1670*(1-I$1667)+H1669*I$1667</f>
        <v>0.361764685137922</v>
      </c>
      <c r="J1670" s="2" t="n">
        <f aca="false">I1670*(1-J$1667)+I1669*J$1667</f>
        <v>0.24116071019491</v>
      </c>
      <c r="K1670" s="2" t="n">
        <f aca="false">J1670*(1-K$1667)+J1669*K$1667</f>
        <v>0.114524794246709</v>
      </c>
      <c r="L1670" s="2" t="n">
        <f aca="false">K1670*(1-L$1667)+K1669*L$1667</f>
        <v>0.0943434904906623</v>
      </c>
      <c r="M1670" s="2" t="n">
        <f aca="false">L1670*(1-M$1667)+L1669*M$1667</f>
        <v>0.0726692337639046</v>
      </c>
      <c r="N1670" s="2" t="n">
        <f aca="false">M1670*(1-N$1667)+M1669*N$1667</f>
        <v>0.0291000988306509</v>
      </c>
      <c r="O1670" s="2" t="n">
        <f aca="false">N1670*(1-O$1667)+N1669*O$1667</f>
        <v>0.0291000988306509</v>
      </c>
    </row>
    <row r="1671" customFormat="false" ht="15" hidden="false" customHeight="false" outlineLevel="0" collapsed="false">
      <c r="B1671" s="2" t="n">
        <v>3</v>
      </c>
      <c r="C1671" s="2" t="n">
        <f aca="false">0</f>
        <v>0</v>
      </c>
      <c r="D1671" s="2" t="n">
        <f aca="false">C1671*(1-D$1667)+C1670*D$1667</f>
        <v>0</v>
      </c>
      <c r="E1671" s="2" t="n">
        <f aca="false">D1671*(1-E$1667)+D1670*E$1667</f>
        <v>0.000306040734019752</v>
      </c>
      <c r="F1671" s="2" t="n">
        <f aca="false">E1671*(1-F$1667)+E1670*F$1667</f>
        <v>0.0472980246850479</v>
      </c>
      <c r="G1671" s="2" t="n">
        <f aca="false">F1671*(1-G$1667)+F1670*G$1667</f>
        <v>0.133746265476264</v>
      </c>
      <c r="H1671" s="2" t="n">
        <f aca="false">G1671*(1-H$1667)+G1670*H$1667</f>
        <v>0.360296879960417</v>
      </c>
      <c r="I1671" s="2" t="n">
        <f aca="false">H1671*(1-I$1667)+H1670*I$1667</f>
        <v>0.369821821445526</v>
      </c>
      <c r="J1671" s="2" t="n">
        <f aca="false">I1671*(1-J$1667)+I1670*J$1667</f>
        <v>0.366392427777804</v>
      </c>
      <c r="K1671" s="2" t="n">
        <f aca="false">J1671*(1-K$1667)+J1670*K$1667</f>
        <v>0.28489075467053</v>
      </c>
      <c r="L1671" s="2" t="n">
        <f aca="false">K1671*(1-L$1667)+K1670*L$1667</f>
        <v>0.249411635677442</v>
      </c>
      <c r="M1671" s="2" t="n">
        <f aca="false">L1671*(1-M$1667)+L1670*M$1667</f>
        <v>0.207527187078861</v>
      </c>
      <c r="N1671" s="2" t="n">
        <f aca="false">M1671*(1-N$1667)+M1670*N$1667</f>
        <v>0.113098514749838</v>
      </c>
      <c r="O1671" s="2" t="n">
        <f aca="false">N1671*(1-O$1667)+N1670*O$1667</f>
        <v>0.113098514749838</v>
      </c>
    </row>
    <row r="1672" customFormat="false" ht="15" hidden="false" customHeight="false" outlineLevel="0" collapsed="false">
      <c r="B1672" s="2" t="n">
        <v>4</v>
      </c>
      <c r="C1672" s="2" t="n">
        <f aca="false">0</f>
        <v>0</v>
      </c>
      <c r="D1672" s="2" t="n">
        <f aca="false">C1672*(1-D$1667)+C1671*D$1667</f>
        <v>0</v>
      </c>
      <c r="E1672" s="2" t="n">
        <f aca="false">D1672*(1-E$1667)+D1671*E$1667</f>
        <v>0</v>
      </c>
      <c r="F1672" s="2" t="n">
        <f aca="false">E1672*(1-F$1667)+E1671*F$1667</f>
        <v>0.000287732052773428</v>
      </c>
      <c r="G1672" s="2" t="n">
        <f aca="false">F1672*(1-G$1667)+F1671*G$1667</f>
        <v>0.0147921720363238</v>
      </c>
      <c r="H1672" s="2" t="n">
        <f aca="false">G1672*(1-H$1667)+G1671*H$1667</f>
        <v>0.11301843001325</v>
      </c>
      <c r="I1672" s="2" t="n">
        <f aca="false">H1672*(1-I$1667)+H1671*I$1667</f>
        <v>0.154925443878823</v>
      </c>
      <c r="J1672" s="2" t="n">
        <f aca="false">I1672*(1-J$1667)+I1671*J$1667</f>
        <v>0.246392715662217</v>
      </c>
      <c r="K1672" s="2" t="n">
        <f aca="false">J1672*(1-K$1667)+J1671*K$1667</f>
        <v>0.324489363209496</v>
      </c>
      <c r="L1672" s="2" t="n">
        <f aca="false">K1672*(1-L$1667)+K1671*L$1667</f>
        <v>0.316242858210377</v>
      </c>
      <c r="M1672" s="2" t="n">
        <f aca="false">L1672*(1-M$1667)+L1671*M$1667</f>
        <v>0.298191511161701</v>
      </c>
      <c r="N1672" s="2" t="n">
        <f aca="false">M1672*(1-N$1667)+M1671*N$1667</f>
        <v>0.234707589447747</v>
      </c>
      <c r="O1672" s="2" t="n">
        <f aca="false">N1672*(1-O$1667)+N1671*O$1667</f>
        <v>0.234707589447747</v>
      </c>
    </row>
    <row r="1673" customFormat="false" ht="15" hidden="false" customHeight="false" outlineLevel="0" collapsed="false">
      <c r="B1673" s="2" t="n">
        <v>5</v>
      </c>
      <c r="C1673" s="2" t="n">
        <f aca="false">0</f>
        <v>0</v>
      </c>
      <c r="D1673" s="2" t="n">
        <f aca="false">C1673*(1-D$1667)+C1672*D$1667</f>
        <v>0</v>
      </c>
      <c r="E1673" s="2" t="n">
        <f aca="false">D1673*(1-E$1667)+D1672*E$1667</f>
        <v>0</v>
      </c>
      <c r="F1673" s="2" t="n">
        <f aca="false">E1673*(1-F$1667)+E1672*F$1667</f>
        <v>0</v>
      </c>
      <c r="G1673" s="2" t="n">
        <f aca="false">F1673*(1-G$1667)+F1672*G$1667</f>
        <v>8.87761393752892E-005</v>
      </c>
      <c r="H1673" s="2" t="n">
        <f aca="false">G1673*(1-H$1667)+G1672*H$1667</f>
        <v>0.0122300948342191</v>
      </c>
      <c r="I1673" s="2" t="n">
        <f aca="false">H1673*(1-I$1667)+H1672*I$1667</f>
        <v>0.0293109935568458</v>
      </c>
      <c r="J1673" s="2" t="n">
        <f aca="false">I1673*(1-J$1667)+I1672*J$1667</f>
        <v>0.0827768136773159</v>
      </c>
      <c r="K1673" s="2" t="n">
        <f aca="false">J1673*(1-K$1667)+J1672*K$1667</f>
        <v>0.189259181052805</v>
      </c>
      <c r="L1673" s="2" t="n">
        <f aca="false">K1673*(1-L$1667)+K1672*L$1667</f>
        <v>0.217421190131723</v>
      </c>
      <c r="M1673" s="2" t="n">
        <f aca="false">L1673*(1-M$1667)+L1672*M$1667</f>
        <v>0.244113268456906</v>
      </c>
      <c r="N1673" s="2" t="n">
        <f aca="false">M1673*(1-N$1667)+M1672*N$1667</f>
        <v>0.281979308501087</v>
      </c>
      <c r="O1673" s="2" t="n">
        <f aca="false">N1673*(1-O$1667)+N1672*O$1667</f>
        <v>0.281979308501087</v>
      </c>
    </row>
    <row r="1674" customFormat="false" ht="15" hidden="false" customHeight="false" outlineLevel="0" collapsed="false">
      <c r="B1674" s="2" t="n">
        <v>6</v>
      </c>
      <c r="C1674" s="2" t="n">
        <f aca="false">0</f>
        <v>0</v>
      </c>
      <c r="D1674" s="2" t="n">
        <f aca="false">C1674*(1-D$1667)+C1673*D$1667</f>
        <v>0</v>
      </c>
      <c r="E1674" s="2" t="n">
        <f aca="false">D1674*(1-E$1667)+D1673*E$1667</f>
        <v>0</v>
      </c>
      <c r="F1674" s="2" t="n">
        <f aca="false">E1674*(1-F$1667)+E1673*F$1667</f>
        <v>0</v>
      </c>
      <c r="G1674" s="2" t="n">
        <f aca="false">F1674*(1-G$1667)+F1673*G$1667</f>
        <v>0</v>
      </c>
      <c r="H1674" s="2" t="n">
        <f aca="false">G1674*(1-H$1667)+G1673*H$1667</f>
        <v>7.33068338911388E-005</v>
      </c>
      <c r="I1674" s="2" t="n">
        <f aca="false">H1674*(1-I$1667)+H1673*I$1667</f>
        <v>0.00213355382831958</v>
      </c>
      <c r="J1674" s="2" t="n">
        <f aca="false">I1674*(1-J$1667)+I1673*J$1667</f>
        <v>0.0137012046848554</v>
      </c>
      <c r="K1674" s="2" t="n">
        <f aca="false">J1674*(1-K$1667)+J1673*K$1667</f>
        <v>0.0586560916132639</v>
      </c>
      <c r="L1674" s="2" t="n">
        <f aca="false">K1674*(1-L$1667)+K1673*L$1667</f>
        <v>0.0858544975598692</v>
      </c>
      <c r="M1674" s="2" t="n">
        <f aca="false">L1674*(1-M$1667)+L1673*M$1667</f>
        <v>0.121391121575547</v>
      </c>
      <c r="N1674" s="2" t="n">
        <f aca="false">M1674*(1-N$1667)+M1673*N$1667</f>
        <v>0.207322200244</v>
      </c>
      <c r="O1674" s="2" t="n">
        <f aca="false">N1674*(1-O$1667)+N1673*O$1667</f>
        <v>0.207322200244</v>
      </c>
    </row>
    <row r="1675" customFormat="false" ht="15" hidden="false" customHeight="false" outlineLevel="0" collapsed="false">
      <c r="B1675" s="2" t="n">
        <v>7</v>
      </c>
      <c r="C1675" s="2" t="n">
        <f aca="false">0</f>
        <v>0</v>
      </c>
      <c r="D1675" s="2" t="n">
        <f aca="false">C1675*(1-D$1667)+C1674*D$1667</f>
        <v>0</v>
      </c>
      <c r="E1675" s="2" t="n">
        <f aca="false">D1675*(1-E$1667)+D1674*E$1667</f>
        <v>0</v>
      </c>
      <c r="F1675" s="2" t="n">
        <f aca="false">E1675*(1-F$1667)+E1674*F$1667</f>
        <v>0</v>
      </c>
      <c r="G1675" s="2" t="n">
        <f aca="false">F1675*(1-G$1667)+F1674*G$1667</f>
        <v>0</v>
      </c>
      <c r="H1675" s="2" t="n">
        <f aca="false">G1675*(1-H$1667)+G1674*H$1667</f>
        <v>0</v>
      </c>
      <c r="I1675" s="2" t="n">
        <f aca="false">H1675*(1-I$1667)+H1674*I$1667</f>
        <v>1.24235270197366E-005</v>
      </c>
      <c r="J1675" s="2" t="n">
        <f aca="false">I1675*(1-J$1667)+I1674*J$1667</f>
        <v>0.000915249363145171</v>
      </c>
      <c r="K1675" s="2" t="n">
        <f aca="false">J1675*(1-K$1667)+J1674*K$1667</f>
        <v>0.00923643804527326</v>
      </c>
      <c r="L1675" s="2" t="n">
        <f aca="false">K1675*(1-L$1667)+K1674*L$1667</f>
        <v>0.0195281991762765</v>
      </c>
      <c r="M1675" s="2" t="n">
        <f aca="false">L1675*(1-M$1667)+L1674*M$1667</f>
        <v>0.0374431644454849</v>
      </c>
      <c r="N1675" s="2" t="n">
        <f aca="false">M1675*(1-N$1667)+M1674*N$1667</f>
        <v>0.0962242295711878</v>
      </c>
      <c r="O1675" s="2" t="n">
        <f aca="false">N1675*(1-O$1667)+N1674*O$1667</f>
        <v>0.0962242295711878</v>
      </c>
    </row>
    <row r="1676" customFormat="false" ht="15" hidden="false" customHeight="false" outlineLevel="0" collapsed="false">
      <c r="B1676" s="2" t="n">
        <v>8</v>
      </c>
      <c r="C1676" s="2" t="n">
        <f aca="false">0</f>
        <v>0</v>
      </c>
      <c r="D1676" s="2" t="n">
        <f aca="false">C1676*(1-D$1667)+C1675*D$1667</f>
        <v>0</v>
      </c>
      <c r="E1676" s="2" t="n">
        <f aca="false">D1676*(1-E$1667)+D1675*E$1667</f>
        <v>0</v>
      </c>
      <c r="F1676" s="2" t="n">
        <f aca="false">E1676*(1-F$1667)+E1675*F$1667</f>
        <v>0</v>
      </c>
      <c r="G1676" s="2" t="n">
        <f aca="false">F1676*(1-G$1667)+F1675*G$1667</f>
        <v>0</v>
      </c>
      <c r="H1676" s="2" t="n">
        <f aca="false">G1676*(1-H$1667)+G1675*H$1667</f>
        <v>0</v>
      </c>
      <c r="I1676" s="2" t="n">
        <f aca="false">H1676*(1-I$1667)+H1675*I$1667</f>
        <v>0</v>
      </c>
      <c r="J1676" s="2" t="n">
        <f aca="false">I1676*(1-J$1667)+I1675*J$1667</f>
        <v>5.28787937372222E-006</v>
      </c>
      <c r="K1676" s="2" t="n">
        <f aca="false">J1676*(1-K$1667)+J1675*K$1667</f>
        <v>0.000597497144103003</v>
      </c>
      <c r="L1676" s="2" t="n">
        <f aca="false">K1676*(1-L$1667)+K1675*L$1667</f>
        <v>0.00239657726224624</v>
      </c>
      <c r="M1676" s="2" t="n">
        <f aca="false">L1676*(1-M$1667)+L1675*M$1667</f>
        <v>0.00702388828479206</v>
      </c>
      <c r="N1676" s="2" t="n">
        <f aca="false">M1676*(1-N$1667)+M1675*N$1667</f>
        <v>0.0283237211122679</v>
      </c>
      <c r="O1676" s="2" t="n">
        <f aca="false">N1676*(1-O$1667)+N1675*O$1667</f>
        <v>0.0283237211122679</v>
      </c>
    </row>
    <row r="1677" customFormat="false" ht="15" hidden="false" customHeight="false" outlineLevel="0" collapsed="false">
      <c r="B1677" s="2" t="n">
        <v>9</v>
      </c>
      <c r="C1677" s="2" t="n">
        <f aca="false">0</f>
        <v>0</v>
      </c>
      <c r="D1677" s="2" t="n">
        <f aca="false">C1677*(1-D$1667)+C1676*D$1667</f>
        <v>0</v>
      </c>
      <c r="E1677" s="2" t="n">
        <f aca="false">D1677*(1-E$1667)+D1676*E$1667</f>
        <v>0</v>
      </c>
      <c r="F1677" s="2" t="n">
        <f aca="false">E1677*(1-F$1667)+E1676*F$1667</f>
        <v>0</v>
      </c>
      <c r="G1677" s="2" t="n">
        <f aca="false">F1677*(1-G$1667)+F1676*G$1667</f>
        <v>0</v>
      </c>
      <c r="H1677" s="2" t="n">
        <f aca="false">G1677*(1-H$1667)+G1676*H$1667</f>
        <v>0</v>
      </c>
      <c r="I1677" s="2" t="n">
        <f aca="false">H1677*(1-I$1667)+H1676*I$1667</f>
        <v>0</v>
      </c>
      <c r="J1677" s="2" t="n">
        <f aca="false">I1677*(1-J$1667)+I1676*J$1667</f>
        <v>0</v>
      </c>
      <c r="K1677" s="2" t="n">
        <f aca="false">J1677*(1-K$1667)+J1676*K$1667</f>
        <v>3.44138868703556E-006</v>
      </c>
      <c r="L1677" s="2" t="n">
        <f aca="false">K1677*(1-L$1667)+K1676*L$1667</f>
        <v>0.000127154921498986</v>
      </c>
      <c r="M1677" s="2" t="n">
        <f aca="false">L1677*(1-M$1667)+L1676*M$1667</f>
        <v>0.000740133836446393</v>
      </c>
      <c r="N1677" s="2" t="n">
        <f aca="false">M1677*(1-N$1667)+M1676*N$1667</f>
        <v>0.005140071513189</v>
      </c>
      <c r="O1677" s="2" t="n">
        <f aca="false">N1677*(1-O$1667)+N1676*O$1667</f>
        <v>0.005140071513189</v>
      </c>
    </row>
    <row r="1678" customFormat="false" ht="15" hidden="false" customHeight="false" outlineLevel="0" collapsed="false">
      <c r="B1678" s="2" t="n">
        <v>10</v>
      </c>
      <c r="C1678" s="2" t="n">
        <f aca="false">0</f>
        <v>0</v>
      </c>
      <c r="D1678" s="2" t="n">
        <f aca="false">C1678*(1-D$1667)+C1677*D$1667</f>
        <v>0</v>
      </c>
      <c r="E1678" s="2" t="n">
        <f aca="false">D1678*(1-E$1667)+D1677*E$1667</f>
        <v>0</v>
      </c>
      <c r="F1678" s="2" t="n">
        <f aca="false">E1678*(1-F$1667)+E1677*F$1667</f>
        <v>0</v>
      </c>
      <c r="G1678" s="2" t="n">
        <f aca="false">F1678*(1-G$1667)+F1677*G$1667</f>
        <v>0</v>
      </c>
      <c r="H1678" s="2" t="n">
        <f aca="false">G1678*(1-H$1667)+G1677*H$1667</f>
        <v>0</v>
      </c>
      <c r="I1678" s="2" t="n">
        <f aca="false">H1678*(1-I$1667)+H1677*I$1667</f>
        <v>0</v>
      </c>
      <c r="J1678" s="2" t="n">
        <f aca="false">I1678*(1-J$1667)+I1677*J$1667</f>
        <v>0</v>
      </c>
      <c r="K1678" s="2" t="n">
        <f aca="false">J1678*(1-K$1667)+J1677*K$1667</f>
        <v>0</v>
      </c>
      <c r="L1678" s="2" t="n">
        <f aca="false">K1678*(1-L$1667)+K1677*L$1667</f>
        <v>7.16677430309779E-007</v>
      </c>
      <c r="M1678" s="2" t="n">
        <f aca="false">L1678*(1-M$1667)+L1677*M$1667</f>
        <v>3.48680895608315E-005</v>
      </c>
      <c r="N1678" s="2" t="n">
        <f aca="false">M1678*(1-N$1667)+M1677*N$1667</f>
        <v>0.000528701092958149</v>
      </c>
      <c r="O1678" s="2" t="n">
        <f aca="false">N1678*(1-O$1667)+N1677*O$1667</f>
        <v>0.000528701092958149</v>
      </c>
    </row>
    <row r="1679" customFormat="false" ht="15" hidden="false" customHeight="false" outlineLevel="0" collapsed="false">
      <c r="B1679" s="2" t="n">
        <v>11</v>
      </c>
      <c r="C1679" s="2" t="n">
        <f aca="false">0</f>
        <v>0</v>
      </c>
      <c r="D1679" s="2" t="n">
        <f aca="false">C1679*(1-D$1667)+C1678*D$1667</f>
        <v>0</v>
      </c>
      <c r="E1679" s="2" t="n">
        <f aca="false">D1679*(1-E$1667)+D1678*E$1667</f>
        <v>0</v>
      </c>
      <c r="F1679" s="2" t="n">
        <f aca="false">E1679*(1-F$1667)+E1678*F$1667</f>
        <v>0</v>
      </c>
      <c r="G1679" s="2" t="n">
        <f aca="false">F1679*(1-G$1667)+F1678*G$1667</f>
        <v>0</v>
      </c>
      <c r="H1679" s="2" t="n">
        <f aca="false">G1679*(1-H$1667)+G1678*H$1667</f>
        <v>0</v>
      </c>
      <c r="I1679" s="2" t="n">
        <f aca="false">H1679*(1-I$1667)+H1678*I$1667</f>
        <v>0</v>
      </c>
      <c r="J1679" s="2" t="n">
        <f aca="false">I1679*(1-J$1667)+I1678*J$1667</f>
        <v>0</v>
      </c>
      <c r="K1679" s="2" t="n">
        <f aca="false">J1679*(1-K$1667)+J1678*K$1667</f>
        <v>0</v>
      </c>
      <c r="L1679" s="2" t="n">
        <f aca="false">K1679*(1-L$1667)+K1678*L$1667</f>
        <v>0</v>
      </c>
      <c r="M1679" s="2" t="n">
        <f aca="false">L1679*(1-M$1667)+L1678*M$1667</f>
        <v>1.93577081581885E-007</v>
      </c>
      <c r="N1679" s="2" t="n">
        <f aca="false">M1679*(1-N$1667)+M1678*N$1667</f>
        <v>2.4472962142578E-005</v>
      </c>
      <c r="O1679" s="2" t="n">
        <f aca="false">N1679*(1-O$1667)+N1678*O$1667</f>
        <v>2.4472962142578E-005</v>
      </c>
    </row>
    <row r="1680" customFormat="false" ht="15" hidden="false" customHeight="false" outlineLevel="0" collapsed="false">
      <c r="B1680" s="2" t="n">
        <v>12</v>
      </c>
      <c r="C1680" s="2" t="n">
        <f aca="false">0</f>
        <v>0</v>
      </c>
      <c r="D1680" s="2" t="n">
        <f aca="false">C1680*(1-D$1667)+C1679*D$1667</f>
        <v>0</v>
      </c>
      <c r="E1680" s="2" t="n">
        <f aca="false">D1680*(1-E$1667)+D1679*E$1667</f>
        <v>0</v>
      </c>
      <c r="F1680" s="2" t="n">
        <f aca="false">E1680*(1-F$1667)+E1679*F$1667</f>
        <v>0</v>
      </c>
      <c r="G1680" s="2" t="n">
        <f aca="false">F1680*(1-G$1667)+F1679*G$1667</f>
        <v>0</v>
      </c>
      <c r="H1680" s="2" t="n">
        <f aca="false">G1680*(1-H$1667)+G1679*H$1667</f>
        <v>0</v>
      </c>
      <c r="I1680" s="2" t="n">
        <f aca="false">H1680*(1-I$1667)+H1679*I$1667</f>
        <v>0</v>
      </c>
      <c r="J1680" s="2" t="n">
        <f aca="false">I1680*(1-J$1667)+I1679*J$1667</f>
        <v>0</v>
      </c>
      <c r="K1680" s="2" t="n">
        <f aca="false">J1680*(1-K$1667)+J1679*K$1667</f>
        <v>0</v>
      </c>
      <c r="L1680" s="2" t="n">
        <f aca="false">K1680*(1-L$1667)+K1679*L$1667</f>
        <v>0</v>
      </c>
      <c r="M1680" s="2" t="n">
        <f aca="false">L1680*(1-M$1667)+L1679*M$1667</f>
        <v>0</v>
      </c>
      <c r="N1680" s="2" t="n">
        <f aca="false">M1680*(1-N$1667)+M1679*N$1667</f>
        <v>1.35544299448278E-007</v>
      </c>
      <c r="O1680" s="2" t="n">
        <f aca="false">N1680*(1-O$1667)+N1679*O$1667</f>
        <v>1.35544299448278E-007</v>
      </c>
    </row>
    <row r="1681" customFormat="false" ht="15" hidden="false" customHeight="false" outlineLevel="0" collapsed="false">
      <c r="B1681" s="2" t="n">
        <v>13</v>
      </c>
      <c r="C1681" s="2" t="n">
        <f aca="false">0</f>
        <v>0</v>
      </c>
      <c r="D1681" s="2" t="n">
        <f aca="false">C1681*(1-D$1667)+C1680*D$1667</f>
        <v>0</v>
      </c>
      <c r="E1681" s="2" t="n">
        <f aca="false">D1681*(1-E$1667)+D1680*E$1667</f>
        <v>0</v>
      </c>
      <c r="F1681" s="2" t="n">
        <f aca="false">E1681*(1-F$1667)+E1680*F$1667</f>
        <v>0</v>
      </c>
      <c r="G1681" s="2" t="n">
        <f aca="false">F1681*(1-G$1667)+F1680*G$1667</f>
        <v>0</v>
      </c>
      <c r="H1681" s="2" t="n">
        <f aca="false">G1681*(1-H$1667)+G1680*H$1667</f>
        <v>0</v>
      </c>
      <c r="I1681" s="2" t="n">
        <f aca="false">H1681*(1-I$1667)+H1680*I$1667</f>
        <v>0</v>
      </c>
      <c r="J1681" s="2" t="n">
        <f aca="false">I1681*(1-J$1667)+I1680*J$1667</f>
        <v>0</v>
      </c>
      <c r="K1681" s="2" t="n">
        <f aca="false">J1681*(1-K$1667)+J1680*K$1667</f>
        <v>0</v>
      </c>
      <c r="L1681" s="2" t="n">
        <f aca="false">K1681*(1-L$1667)+K1680*L$1667</f>
        <v>0</v>
      </c>
      <c r="M1681" s="2" t="n">
        <f aca="false">L1681*(1-M$1667)+L1680*M$1667</f>
        <v>0</v>
      </c>
      <c r="N1681" s="2" t="n">
        <f aca="false">M1681*(1-N$1667)+M1680*N$1667</f>
        <v>0</v>
      </c>
      <c r="O1681" s="2" t="n">
        <f aca="false">N1681*(1-O$1667)+N1680*O$1667</f>
        <v>0</v>
      </c>
    </row>
    <row r="1683" customFormat="false" ht="15" hidden="false" customHeight="false" outlineLevel="0" collapsed="false">
      <c r="A1683" s="1" t="s">
        <v>163</v>
      </c>
      <c r="C1683" s="2" t="n">
        <f aca="false">Schedule!G107</f>
        <v>0.184060125346759</v>
      </c>
      <c r="D1683" s="2" t="n">
        <f aca="false">Schedule!L107</f>
        <v>0.987575754456027</v>
      </c>
      <c r="E1683" s="2" t="n">
        <f aca="false">Schedule!Q107</f>
        <v>0.0709503051389903</v>
      </c>
      <c r="F1683" s="2" t="n">
        <f aca="false">Schedule!V107</f>
        <v>0.593865540399242</v>
      </c>
      <c r="G1683" s="2" t="n">
        <f aca="false">Schedule!AA107</f>
        <v>0.413422398858449</v>
      </c>
      <c r="H1683" s="2" t="n">
        <f aca="false">Schedule!AF107</f>
        <v>0.634482847309957</v>
      </c>
      <c r="I1683" s="2" t="n">
        <f aca="false">Schedule!AK107</f>
        <v>0.660013509650861</v>
      </c>
      <c r="J1683" s="2" t="n">
        <f aca="false">Schedule!AP107</f>
        <v>0.89661553685184</v>
      </c>
      <c r="K1683" s="2" t="n">
        <f aca="false">Schedule!AU107</f>
        <v>0.892049242832675</v>
      </c>
      <c r="L1683" s="2" t="n">
        <f aca="false">Schedule!AZ107</f>
        <v>0.51495682992591</v>
      </c>
      <c r="M1683" s="2" t="n">
        <f aca="false">Schedule!BE107</f>
        <v>0.377330281529843</v>
      </c>
      <c r="N1683" s="2" t="n">
        <f aca="false">Schedule!BJ107</f>
        <v>0.472594309039532</v>
      </c>
      <c r="O1683" s="2" t="n">
        <f aca="false">Schedule!BO107</f>
        <v>0</v>
      </c>
    </row>
    <row r="1684" customFormat="false" ht="15" hidden="false" customHeight="false" outlineLevel="0" collapsed="false">
      <c r="B1684" s="2" t="n">
        <v>0</v>
      </c>
      <c r="C1684" s="2" t="n">
        <f aca="false">1-C$1683</f>
        <v>0.815939874653241</v>
      </c>
      <c r="D1684" s="2" t="n">
        <f aca="false">C1684*(1-D$1683)</f>
        <v>0.0101374373518107</v>
      </c>
      <c r="E1684" s="2" t="n">
        <f aca="false">D1684*(1-E$1683)</f>
        <v>0.00941818307837234</v>
      </c>
      <c r="F1684" s="2" t="n">
        <f aca="false">E1684*(1-F$1683)</f>
        <v>0.00382504869495575</v>
      </c>
      <c r="G1684" s="2" t="n">
        <f aca="false">F1684*(1-G$1683)</f>
        <v>0.00224368788773676</v>
      </c>
      <c r="H1684" s="2" t="n">
        <f aca="false">G1684*(1-H$1683)</f>
        <v>0.000820106408250678</v>
      </c>
      <c r="I1684" s="2" t="n">
        <f aca="false">H1684*(1-I$1683)</f>
        <v>0.000278825099453986</v>
      </c>
      <c r="J1684" s="2" t="n">
        <f aca="false">I1684*(1-J$1683)</f>
        <v>2.88261832192828E-005</v>
      </c>
      <c r="K1684" s="2" t="n">
        <f aca="false">J1684*(1-K$1683)</f>
        <v>3.11180830476561E-006</v>
      </c>
      <c r="L1684" s="2" t="n">
        <f aca="false">K1684*(1-L$1683)</f>
        <v>1.50936136480639E-006</v>
      </c>
      <c r="M1684" s="2" t="n">
        <f aca="false">L1684*(1-M$1683)</f>
        <v>9.39833616093728E-007</v>
      </c>
      <c r="N1684" s="2" t="n">
        <f aca="false">M1684*(1-N$1683)</f>
        <v>4.95673597683788E-007</v>
      </c>
      <c r="O1684" s="2" t="n">
        <f aca="false">N1684*(1-O$1683)</f>
        <v>4.95673597683788E-007</v>
      </c>
    </row>
    <row r="1685" customFormat="false" ht="15" hidden="false" customHeight="false" outlineLevel="0" collapsed="false">
      <c r="B1685" s="2" t="n">
        <v>1</v>
      </c>
      <c r="C1685" s="2" t="n">
        <f aca="false">C$1683</f>
        <v>0.184060125346759</v>
      </c>
      <c r="D1685" s="2" t="n">
        <f aca="false">C1685*(1-D$1683)+C1684*D$1683</f>
        <v>0.808089245493592</v>
      </c>
      <c r="E1685" s="2" t="n">
        <f aca="false">D1685*(1-E$1683)+D1684*E$1683</f>
        <v>0.751474321219724</v>
      </c>
      <c r="F1685" s="2" t="n">
        <f aca="false">E1685*(1-F$1683)+E1684*F$1683</f>
        <v>0.310792751735835</v>
      </c>
      <c r="G1685" s="2" t="n">
        <f aca="false">F1685*(1-G$1683)+F1684*G$1683</f>
        <v>0.183885427572607</v>
      </c>
      <c r="H1685" s="2" t="n">
        <f aca="false">G1685*(1-H$1683)+G1684*H$1683</f>
        <v>0.0686368593870164</v>
      </c>
      <c r="I1685" s="2" t="n">
        <f aca="false">H1685*(1-I$1683)+H1684*I$1683</f>
        <v>0.0238768862403757</v>
      </c>
      <c r="J1685" s="2" t="n">
        <f aca="false">I1685*(1-J$1683)+I1684*J$1683</f>
        <v>0.00271849798184565</v>
      </c>
      <c r="K1685" s="2" t="n">
        <f aca="false">J1685*(1-K$1683)+J1684*K$1683</f>
        <v>0.000319178290412599</v>
      </c>
      <c r="L1685" s="2" t="n">
        <f aca="false">K1685*(1-L$1683)+K1684*L$1683</f>
        <v>0.000156417696740515</v>
      </c>
      <c r="M1685" s="2" t="n">
        <f aca="false">L1685*(1-M$1683)+L1684*M$1683</f>
        <v>9.79660909418795E-005</v>
      </c>
      <c r="N1685" s="2" t="n">
        <f aca="false">M1685*(1-N$1683)+M1684*N$1683</f>
        <v>5.2112033902308E-005</v>
      </c>
      <c r="O1685" s="2" t="n">
        <f aca="false">N1685*(1-O$1683)+N1684*O$1683</f>
        <v>5.2112033902308E-005</v>
      </c>
    </row>
    <row r="1686" customFormat="false" ht="15" hidden="false" customHeight="false" outlineLevel="0" collapsed="false">
      <c r="B1686" s="2" t="n">
        <v>2</v>
      </c>
      <c r="C1686" s="2" t="n">
        <f aca="false">0</f>
        <v>0</v>
      </c>
      <c r="D1686" s="2" t="n">
        <f aca="false">C1686*(1-D$1683)+C1685*D$1683</f>
        <v>0.181773317154597</v>
      </c>
      <c r="E1686" s="2" t="n">
        <f aca="false">D1686*(1-E$1683)+D1685*E$1683</f>
        <v>0.226210623383659</v>
      </c>
      <c r="F1686" s="2" t="n">
        <f aca="false">E1686*(1-F$1683)+E1685*F$1683</f>
        <v>0.538146633151178</v>
      </c>
      <c r="G1686" s="2" t="n">
        <f aca="false">F1686*(1-G$1683)+F1685*G$1683</f>
        <v>0.444153446106668</v>
      </c>
      <c r="H1686" s="2" t="n">
        <f aca="false">G1686*(1-H$1683)+G1685*H$1683</f>
        <v>0.279017852643456</v>
      </c>
      <c r="I1686" s="2" t="n">
        <f aca="false">H1686*(1-I$1683)+H1685*I$1683</f>
        <v>0.140163554920439</v>
      </c>
      <c r="J1686" s="2" t="n">
        <f aca="false">I1686*(1-J$1683)+I1685*J$1683</f>
        <v>0.0358991210531521</v>
      </c>
      <c r="K1686" s="2" t="n">
        <f aca="false">J1686*(1-K$1683)+J1685*K$1683</f>
        <v>0.00630037136567678</v>
      </c>
      <c r="L1686" s="2" t="n">
        <f aca="false">K1686*(1-L$1683)+K1685*L$1683</f>
        <v>0.00322031514046394</v>
      </c>
      <c r="M1686" s="2" t="n">
        <f aca="false">L1686*(1-M$1683)+L1685*M$1683</f>
        <v>0.00206421385544521</v>
      </c>
      <c r="N1686" s="2" t="n">
        <f aca="false">M1686*(1-N$1683)+M1685*N$1683</f>
        <v>0.00113497635177923</v>
      </c>
      <c r="O1686" s="2" t="n">
        <f aca="false">N1686*(1-O$1683)+N1685*O$1683</f>
        <v>0.00113497635177923</v>
      </c>
    </row>
    <row r="1687" customFormat="false" ht="15" hidden="false" customHeight="false" outlineLevel="0" collapsed="false">
      <c r="B1687" s="2" t="n">
        <v>3</v>
      </c>
      <c r="C1687" s="2" t="n">
        <f aca="false">0</f>
        <v>0</v>
      </c>
      <c r="D1687" s="2" t="n">
        <f aca="false">C1687*(1-D$1683)+C1686*D$1683</f>
        <v>0</v>
      </c>
      <c r="E1687" s="2" t="n">
        <f aca="false">D1687*(1-E$1683)+D1686*E$1683</f>
        <v>0.0128968723182451</v>
      </c>
      <c r="F1687" s="2" t="n">
        <f aca="false">E1687*(1-F$1683)+E1686*F$1683</f>
        <v>0.139576558369296</v>
      </c>
      <c r="G1687" s="2" t="n">
        <f aca="false">F1687*(1-G$1683)+F1686*G$1683</f>
        <v>0.304354354798813</v>
      </c>
      <c r="H1687" s="2" t="n">
        <f aca="false">G1687*(1-H$1683)+G1686*H$1683</f>
        <v>0.393054480303165</v>
      </c>
      <c r="I1687" s="2" t="n">
        <f aca="false">H1687*(1-I$1683)+H1686*I$1683</f>
        <v>0.317788765452732</v>
      </c>
      <c r="J1687" s="2" t="n">
        <f aca="false">I1687*(1-J$1683)+I1686*J$1683</f>
        <v>0.158527241952899</v>
      </c>
      <c r="K1687" s="2" t="n">
        <f aca="false">J1687*(1-K$1683)+J1686*K$1683</f>
        <v>0.049136919554286</v>
      </c>
      <c r="L1687" s="2" t="n">
        <f aca="false">K1687*(1-L$1683)+K1686*L$1683</f>
        <v>0.0270779464941113</v>
      </c>
      <c r="M1687" s="2" t="n">
        <f aca="false">L1687*(1-M$1683)+L1686*M$1683</f>
        <v>0.0180757397388044</v>
      </c>
      <c r="N1687" s="2" t="n">
        <f aca="false">M1687*(1-N$1683)+M1686*N$1683</f>
        <v>0.0105087837272897</v>
      </c>
      <c r="O1687" s="2" t="n">
        <f aca="false">N1687*(1-O$1683)+N1686*O$1683</f>
        <v>0.0105087837272897</v>
      </c>
    </row>
    <row r="1688" customFormat="false" ht="15" hidden="false" customHeight="false" outlineLevel="0" collapsed="false">
      <c r="B1688" s="2" t="n">
        <v>4</v>
      </c>
      <c r="C1688" s="2" t="n">
        <f aca="false">0</f>
        <v>0</v>
      </c>
      <c r="D1688" s="2" t="n">
        <f aca="false">C1688*(1-D$1683)+C1687*D$1683</f>
        <v>0</v>
      </c>
      <c r="E1688" s="2" t="n">
        <f aca="false">D1688*(1-E$1683)+D1687*E$1683</f>
        <v>0</v>
      </c>
      <c r="F1688" s="2" t="n">
        <f aca="false">E1688*(1-F$1683)+E1687*F$1683</f>
        <v>0.00765900804873466</v>
      </c>
      <c r="G1688" s="2" t="n">
        <f aca="false">F1688*(1-G$1683)+F1687*G$1683</f>
        <v>0.0621966781537914</v>
      </c>
      <c r="H1688" s="2" t="n">
        <f aca="false">G1688*(1-H$1683)+G1687*H$1683</f>
        <v>0.215841570329489</v>
      </c>
      <c r="I1688" s="2" t="n">
        <f aca="false">H1688*(1-I$1683)+H1687*I$1683</f>
        <v>0.332804484996657</v>
      </c>
      <c r="J1688" s="2" t="n">
        <f aca="false">I1688*(1-J$1683)+I1687*J$1683</f>
        <v>0.319341157556564</v>
      </c>
      <c r="K1688" s="2" t="n">
        <f aca="false">J1688*(1-K$1683)+J1687*K$1683</f>
        <v>0.175887225905357</v>
      </c>
      <c r="L1688" s="2" t="n">
        <f aca="false">K1688*(1-L$1683)+K1687*L$1683</f>
        <v>0.110616289954672</v>
      </c>
      <c r="M1688" s="2" t="n">
        <f aca="false">L1688*(1-M$1683)+L1687*M$1683</f>
        <v>0.0790947432981617</v>
      </c>
      <c r="N1688" s="2" t="n">
        <f aca="false">M1688*(1-N$1683)+M1687*N$1683</f>
        <v>0.0502575094727465</v>
      </c>
      <c r="O1688" s="2" t="n">
        <f aca="false">N1688*(1-O$1683)+N1687*O$1683</f>
        <v>0.0502575094727465</v>
      </c>
    </row>
    <row r="1689" customFormat="false" ht="15" hidden="false" customHeight="false" outlineLevel="0" collapsed="false">
      <c r="B1689" s="2" t="n">
        <v>5</v>
      </c>
      <c r="C1689" s="2" t="n">
        <f aca="false">0</f>
        <v>0</v>
      </c>
      <c r="D1689" s="2" t="n">
        <f aca="false">C1689*(1-D$1683)+C1688*D$1683</f>
        <v>0</v>
      </c>
      <c r="E1689" s="2" t="n">
        <f aca="false">D1689*(1-E$1683)+D1688*E$1683</f>
        <v>0</v>
      </c>
      <c r="F1689" s="2" t="n">
        <f aca="false">E1689*(1-F$1683)+E1688*F$1683</f>
        <v>0</v>
      </c>
      <c r="G1689" s="2" t="n">
        <f aca="false">F1689*(1-G$1683)+F1688*G$1683</f>
        <v>0.00316640548038405</v>
      </c>
      <c r="H1689" s="2" t="n">
        <f aca="false">G1689*(1-H$1683)+G1688*H$1683</f>
        <v>0.0406201009636907</v>
      </c>
      <c r="I1689" s="2" t="n">
        <f aca="false">H1689*(1-I$1683)+H1688*I$1683</f>
        <v>0.156268637925992</v>
      </c>
      <c r="J1689" s="2" t="n">
        <f aca="false">I1689*(1-J$1683)+I1688*J$1683</f>
        <v>0.314553421220851</v>
      </c>
      <c r="K1689" s="2" t="n">
        <f aca="false">J1689*(1-K$1683)+J1688*K$1683</f>
        <v>0.318824317794006</v>
      </c>
      <c r="L1689" s="2" t="n">
        <f aca="false">K1689*(1-L$1683)+K1688*L$1683</f>
        <v>0.245217886076199</v>
      </c>
      <c r="M1689" s="2" t="n">
        <f aca="false">L1689*(1-M$1683)+L1688*M$1683</f>
        <v>0.194428627917297</v>
      </c>
      <c r="N1689" s="2" t="n">
        <f aca="false">M1689*(1-N$1683)+M1688*N$1683</f>
        <v>0.139922490406872</v>
      </c>
      <c r="O1689" s="2" t="n">
        <f aca="false">N1689*(1-O$1683)+N1688*O$1683</f>
        <v>0.139922490406872</v>
      </c>
    </row>
    <row r="1690" customFormat="false" ht="15" hidden="false" customHeight="false" outlineLevel="0" collapsed="false">
      <c r="B1690" s="2" t="n">
        <v>6</v>
      </c>
      <c r="C1690" s="2" t="n">
        <f aca="false">0</f>
        <v>0</v>
      </c>
      <c r="D1690" s="2" t="n">
        <f aca="false">C1690*(1-D$1683)+C1689*D$1683</f>
        <v>0</v>
      </c>
      <c r="E1690" s="2" t="n">
        <f aca="false">D1690*(1-E$1683)+D1689*E$1683</f>
        <v>0</v>
      </c>
      <c r="F1690" s="2" t="n">
        <f aca="false">E1690*(1-F$1683)+E1689*F$1683</f>
        <v>0</v>
      </c>
      <c r="G1690" s="2" t="n">
        <f aca="false">F1690*(1-G$1683)+F1689*G$1683</f>
        <v>0</v>
      </c>
      <c r="H1690" s="2" t="n">
        <f aca="false">G1690*(1-H$1683)+G1689*H$1683</f>
        <v>0.00200902996493193</v>
      </c>
      <c r="I1690" s="2" t="n">
        <f aca="false">H1690*(1-I$1683)+H1689*I$1683</f>
        <v>0.0274928584462013</v>
      </c>
      <c r="J1690" s="2" t="n">
        <f aca="false">I1690*(1-J$1683)+I1689*J$1683</f>
        <v>0.142955223097988</v>
      </c>
      <c r="K1690" s="2" t="n">
        <f aca="false">J1690*(1-K$1683)+J1689*K$1683</f>
        <v>0.296029265804939</v>
      </c>
      <c r="L1690" s="2" t="n">
        <f aca="false">K1690*(1-L$1683)+K1689*L$1683</f>
        <v>0.307767733515225</v>
      </c>
      <c r="M1690" s="2" t="n">
        <f aca="false">L1690*(1-M$1683)+L1689*M$1683</f>
        <v>0.284165781971409</v>
      </c>
      <c r="N1690" s="2" t="n">
        <f aca="false">M1690*(1-N$1683)+M1689*N$1683</f>
        <v>0.241756513656032</v>
      </c>
      <c r="O1690" s="2" t="n">
        <f aca="false">N1690*(1-O$1683)+N1689*O$1683</f>
        <v>0.241756513656032</v>
      </c>
    </row>
    <row r="1691" customFormat="false" ht="15" hidden="false" customHeight="false" outlineLevel="0" collapsed="false">
      <c r="B1691" s="2" t="n">
        <v>7</v>
      </c>
      <c r="C1691" s="2" t="n">
        <f aca="false">0</f>
        <v>0</v>
      </c>
      <c r="D1691" s="2" t="n">
        <f aca="false">C1691*(1-D$1683)+C1690*D$1683</f>
        <v>0</v>
      </c>
      <c r="E1691" s="2" t="n">
        <f aca="false">D1691*(1-E$1683)+D1690*E$1683</f>
        <v>0</v>
      </c>
      <c r="F1691" s="2" t="n">
        <f aca="false">E1691*(1-F$1683)+E1690*F$1683</f>
        <v>0</v>
      </c>
      <c r="G1691" s="2" t="n">
        <f aca="false">F1691*(1-G$1683)+F1690*G$1683</f>
        <v>0</v>
      </c>
      <c r="H1691" s="2" t="n">
        <f aca="false">G1691*(1-H$1683)+G1690*H$1683</f>
        <v>0</v>
      </c>
      <c r="I1691" s="2" t="n">
        <f aca="false">H1691*(1-I$1683)+H1690*I$1683</f>
        <v>0.00132598691814847</v>
      </c>
      <c r="J1691" s="2" t="n">
        <f aca="false">I1691*(1-J$1683)+I1690*J$1683</f>
        <v>0.0247876104810067</v>
      </c>
      <c r="K1691" s="2" t="n">
        <f aca="false">J1691*(1-K$1683)+J1690*K$1683</f>
        <v>0.13019893984333</v>
      </c>
      <c r="L1691" s="2" t="n">
        <f aca="false">K1691*(1-L$1683)+K1690*L$1683</f>
        <v>0.2155943988061</v>
      </c>
      <c r="M1691" s="2" t="n">
        <f aca="false">L1691*(1-M$1683)+L1690*M$1683</f>
        <v>0.250374189141439</v>
      </c>
      <c r="N1691" s="2" t="n">
        <f aca="false">M1691*(1-N$1683)+M1690*N$1683</f>
        <v>0.266343903606264</v>
      </c>
      <c r="O1691" s="2" t="n">
        <f aca="false">N1691*(1-O$1683)+N1690*O$1683</f>
        <v>0.266343903606264</v>
      </c>
    </row>
    <row r="1692" customFormat="false" ht="15" hidden="false" customHeight="false" outlineLevel="0" collapsed="false">
      <c r="B1692" s="2" t="n">
        <v>8</v>
      </c>
      <c r="C1692" s="2" t="n">
        <f aca="false">0</f>
        <v>0</v>
      </c>
      <c r="D1692" s="2" t="n">
        <f aca="false">C1692*(1-D$1683)+C1691*D$1683</f>
        <v>0</v>
      </c>
      <c r="E1692" s="2" t="n">
        <f aca="false">D1692*(1-E$1683)+D1691*E$1683</f>
        <v>0</v>
      </c>
      <c r="F1692" s="2" t="n">
        <f aca="false">E1692*(1-F$1683)+E1691*F$1683</f>
        <v>0</v>
      </c>
      <c r="G1692" s="2" t="n">
        <f aca="false">F1692*(1-G$1683)+F1691*G$1683</f>
        <v>0</v>
      </c>
      <c r="H1692" s="2" t="n">
        <f aca="false">G1692*(1-H$1683)+G1691*H$1683</f>
        <v>0</v>
      </c>
      <c r="I1692" s="2" t="n">
        <f aca="false">H1692*(1-I$1683)+H1691*I$1683</f>
        <v>0</v>
      </c>
      <c r="J1692" s="2" t="n">
        <f aca="false">I1692*(1-J$1683)+I1691*J$1683</f>
        <v>0.0011889004724742</v>
      </c>
      <c r="K1692" s="2" t="n">
        <f aca="false">J1692*(1-K$1683)+J1691*K$1683</f>
        <v>0.0222401118674135</v>
      </c>
      <c r="L1692" s="2" t="n">
        <f aca="false">K1692*(1-L$1683)+K1691*L$1683</f>
        <v>0.0778342476844079</v>
      </c>
      <c r="M1692" s="2" t="n">
        <f aca="false">L1692*(1-M$1683)+L1691*M$1683</f>
        <v>0.12981532429075</v>
      </c>
      <c r="N1692" s="2" t="n">
        <f aca="false">M1692*(1-N$1683)+M1691*N$1683</f>
        <v>0.186790757723452</v>
      </c>
      <c r="O1692" s="2" t="n">
        <f aca="false">N1692*(1-O$1683)+N1691*O$1683</f>
        <v>0.186790757723452</v>
      </c>
    </row>
    <row r="1693" customFormat="false" ht="15" hidden="false" customHeight="false" outlineLevel="0" collapsed="false">
      <c r="B1693" s="2" t="n">
        <v>9</v>
      </c>
      <c r="C1693" s="2" t="n">
        <f aca="false">0</f>
        <v>0</v>
      </c>
      <c r="D1693" s="2" t="n">
        <f aca="false">C1693*(1-D$1683)+C1692*D$1683</f>
        <v>0</v>
      </c>
      <c r="E1693" s="2" t="n">
        <f aca="false">D1693*(1-E$1683)+D1692*E$1683</f>
        <v>0</v>
      </c>
      <c r="F1693" s="2" t="n">
        <f aca="false">E1693*(1-F$1683)+E1692*F$1683</f>
        <v>0</v>
      </c>
      <c r="G1693" s="2" t="n">
        <f aca="false">F1693*(1-G$1683)+F1692*G$1683</f>
        <v>0</v>
      </c>
      <c r="H1693" s="2" t="n">
        <f aca="false">G1693*(1-H$1683)+G1692*H$1683</f>
        <v>0</v>
      </c>
      <c r="I1693" s="2" t="n">
        <f aca="false">H1693*(1-I$1683)+H1692*I$1683</f>
        <v>0</v>
      </c>
      <c r="J1693" s="2" t="n">
        <f aca="false">I1693*(1-J$1683)+I1692*J$1683</f>
        <v>0</v>
      </c>
      <c r="K1693" s="2" t="n">
        <f aca="false">J1693*(1-K$1683)+J1692*K$1683</f>
        <v>0.00106055776627402</v>
      </c>
      <c r="L1693" s="2" t="n">
        <f aca="false">K1693*(1-L$1683)+K1692*L$1683</f>
        <v>0.0119671138054411</v>
      </c>
      <c r="M1693" s="2" t="n">
        <f aca="false">L1693*(1-M$1683)+L1692*M$1683</f>
        <v>0.0368207779755555</v>
      </c>
      <c r="N1693" s="2" t="n">
        <f aca="false">M1693*(1-N$1683)+M1692*N$1683</f>
        <v>0.0807694713358295</v>
      </c>
      <c r="O1693" s="2" t="n">
        <f aca="false">N1693*(1-O$1683)+N1692*O$1683</f>
        <v>0.0807694713358295</v>
      </c>
    </row>
    <row r="1694" customFormat="false" ht="15" hidden="false" customHeight="false" outlineLevel="0" collapsed="false">
      <c r="B1694" s="2" t="n">
        <v>10</v>
      </c>
      <c r="C1694" s="2" t="n">
        <f aca="false">0</f>
        <v>0</v>
      </c>
      <c r="D1694" s="2" t="n">
        <f aca="false">C1694*(1-D$1683)+C1693*D$1683</f>
        <v>0</v>
      </c>
      <c r="E1694" s="2" t="n">
        <f aca="false">D1694*(1-E$1683)+D1693*E$1683</f>
        <v>0</v>
      </c>
      <c r="F1694" s="2" t="n">
        <f aca="false">E1694*(1-F$1683)+E1693*F$1683</f>
        <v>0</v>
      </c>
      <c r="G1694" s="2" t="n">
        <f aca="false">F1694*(1-G$1683)+F1693*G$1683</f>
        <v>0</v>
      </c>
      <c r="H1694" s="2" t="n">
        <f aca="false">G1694*(1-H$1683)+G1693*H$1683</f>
        <v>0</v>
      </c>
      <c r="I1694" s="2" t="n">
        <f aca="false">H1694*(1-I$1683)+H1693*I$1683</f>
        <v>0</v>
      </c>
      <c r="J1694" s="2" t="n">
        <f aca="false">I1694*(1-J$1683)+I1693*J$1683</f>
        <v>0</v>
      </c>
      <c r="K1694" s="2" t="n">
        <f aca="false">J1694*(1-K$1683)+J1693*K$1683</f>
        <v>0</v>
      </c>
      <c r="L1694" s="2" t="n">
        <f aca="false">K1694*(1-L$1683)+K1693*L$1683</f>
        <v>0.000546141465273775</v>
      </c>
      <c r="M1694" s="2" t="n">
        <f aca="false">L1694*(1-M$1683)+L1693*M$1683</f>
        <v>0.00485562017373366</v>
      </c>
      <c r="N1694" s="2" t="n">
        <f aca="false">M1694*(1-N$1683)+M1693*N$1683</f>
        <v>0.0199621718384253</v>
      </c>
      <c r="O1694" s="2" t="n">
        <f aca="false">N1694*(1-O$1683)+N1693*O$1683</f>
        <v>0.0199621718384253</v>
      </c>
    </row>
    <row r="1695" customFormat="false" ht="15" hidden="false" customHeight="false" outlineLevel="0" collapsed="false">
      <c r="B1695" s="2" t="n">
        <v>11</v>
      </c>
      <c r="C1695" s="2" t="n">
        <f aca="false">0</f>
        <v>0</v>
      </c>
      <c r="D1695" s="2" t="n">
        <f aca="false">C1695*(1-D$1683)+C1694*D$1683</f>
        <v>0</v>
      </c>
      <c r="E1695" s="2" t="n">
        <f aca="false">D1695*(1-E$1683)+D1694*E$1683</f>
        <v>0</v>
      </c>
      <c r="F1695" s="2" t="n">
        <f aca="false">E1695*(1-F$1683)+E1694*F$1683</f>
        <v>0</v>
      </c>
      <c r="G1695" s="2" t="n">
        <f aca="false">F1695*(1-G$1683)+F1694*G$1683</f>
        <v>0</v>
      </c>
      <c r="H1695" s="2" t="n">
        <f aca="false">G1695*(1-H$1683)+G1694*H$1683</f>
        <v>0</v>
      </c>
      <c r="I1695" s="2" t="n">
        <f aca="false">H1695*(1-I$1683)+H1694*I$1683</f>
        <v>0</v>
      </c>
      <c r="J1695" s="2" t="n">
        <f aca="false">I1695*(1-J$1683)+I1694*J$1683</f>
        <v>0</v>
      </c>
      <c r="K1695" s="2" t="n">
        <f aca="false">J1695*(1-K$1683)+J1694*K$1683</f>
        <v>0</v>
      </c>
      <c r="L1695" s="2" t="n">
        <f aca="false">K1695*(1-L$1683)+K1694*L$1683</f>
        <v>0</v>
      </c>
      <c r="M1695" s="2" t="n">
        <f aca="false">L1695*(1-M$1683)+L1694*M$1683</f>
        <v>0.000206075712846875</v>
      </c>
      <c r="N1695" s="2" t="n">
        <f aca="false">M1695*(1-N$1683)+M1694*N$1683</f>
        <v>0.00240342396468825</v>
      </c>
      <c r="O1695" s="2" t="n">
        <f aca="false">N1695*(1-O$1683)+N1694*O$1683</f>
        <v>0.00240342396468825</v>
      </c>
    </row>
    <row r="1696" customFormat="false" ht="15" hidden="false" customHeight="false" outlineLevel="0" collapsed="false">
      <c r="B1696" s="2" t="n">
        <v>12</v>
      </c>
      <c r="C1696" s="2" t="n">
        <f aca="false">0</f>
        <v>0</v>
      </c>
      <c r="D1696" s="2" t="n">
        <f aca="false">C1696*(1-D$1683)+C1695*D$1683</f>
        <v>0</v>
      </c>
      <c r="E1696" s="2" t="n">
        <f aca="false">D1696*(1-E$1683)+D1695*E$1683</f>
        <v>0</v>
      </c>
      <c r="F1696" s="2" t="n">
        <f aca="false">E1696*(1-F$1683)+E1695*F$1683</f>
        <v>0</v>
      </c>
      <c r="G1696" s="2" t="n">
        <f aca="false">F1696*(1-G$1683)+F1695*G$1683</f>
        <v>0</v>
      </c>
      <c r="H1696" s="2" t="n">
        <f aca="false">G1696*(1-H$1683)+G1695*H$1683</f>
        <v>0</v>
      </c>
      <c r="I1696" s="2" t="n">
        <f aca="false">H1696*(1-I$1683)+H1695*I$1683</f>
        <v>0</v>
      </c>
      <c r="J1696" s="2" t="n">
        <f aca="false">I1696*(1-J$1683)+I1695*J$1683</f>
        <v>0</v>
      </c>
      <c r="K1696" s="2" t="n">
        <f aca="false">J1696*(1-K$1683)+J1695*K$1683</f>
        <v>0</v>
      </c>
      <c r="L1696" s="2" t="n">
        <f aca="false">K1696*(1-L$1683)+K1695*L$1683</f>
        <v>0</v>
      </c>
      <c r="M1696" s="2" t="n">
        <f aca="false">L1696*(1-M$1683)+L1695*M$1683</f>
        <v>0</v>
      </c>
      <c r="N1696" s="2" t="n">
        <f aca="false">M1696*(1-N$1683)+M1695*N$1683</f>
        <v>9.73902091226976E-005</v>
      </c>
      <c r="O1696" s="2" t="n">
        <f aca="false">N1696*(1-O$1683)+N1695*O$1683</f>
        <v>9.73902091226976E-005</v>
      </c>
    </row>
    <row r="1697" customFormat="false" ht="15" hidden="false" customHeight="false" outlineLevel="0" collapsed="false">
      <c r="B1697" s="2" t="n">
        <v>13</v>
      </c>
      <c r="C1697" s="2" t="n">
        <f aca="false">0</f>
        <v>0</v>
      </c>
      <c r="D1697" s="2" t="n">
        <f aca="false">C1697*(1-D$1683)+C1696*D$1683</f>
        <v>0</v>
      </c>
      <c r="E1697" s="2" t="n">
        <f aca="false">D1697*(1-E$1683)+D1696*E$1683</f>
        <v>0</v>
      </c>
      <c r="F1697" s="2" t="n">
        <f aca="false">E1697*(1-F$1683)+E1696*F$1683</f>
        <v>0</v>
      </c>
      <c r="G1697" s="2" t="n">
        <f aca="false">F1697*(1-G$1683)+F1696*G$1683</f>
        <v>0</v>
      </c>
      <c r="H1697" s="2" t="n">
        <f aca="false">G1697*(1-H$1683)+G1696*H$1683</f>
        <v>0</v>
      </c>
      <c r="I1697" s="2" t="n">
        <f aca="false">H1697*(1-I$1683)+H1696*I$1683</f>
        <v>0</v>
      </c>
      <c r="J1697" s="2" t="n">
        <f aca="false">I1697*(1-J$1683)+I1696*J$1683</f>
        <v>0</v>
      </c>
      <c r="K1697" s="2" t="n">
        <f aca="false">J1697*(1-K$1683)+J1696*K$1683</f>
        <v>0</v>
      </c>
      <c r="L1697" s="2" t="n">
        <f aca="false">K1697*(1-L$1683)+K1696*L$1683</f>
        <v>0</v>
      </c>
      <c r="M1697" s="2" t="n">
        <f aca="false">L1697*(1-M$1683)+L1696*M$1683</f>
        <v>0</v>
      </c>
      <c r="N1697" s="2" t="n">
        <f aca="false">M1697*(1-N$1683)+M1696*N$1683</f>
        <v>0</v>
      </c>
      <c r="O1697" s="2" t="n">
        <f aca="false">N1697*(1-O$1683)+N1696*O$1683</f>
        <v>0</v>
      </c>
    </row>
    <row r="1699" customFormat="false" ht="15" hidden="false" customHeight="false" outlineLevel="0" collapsed="false">
      <c r="A1699" s="1" t="s">
        <v>164</v>
      </c>
      <c r="C1699" s="2" t="n">
        <f aca="false">Schedule!G108</f>
        <v>0.542307999417935</v>
      </c>
      <c r="D1699" s="2" t="n">
        <f aca="false">Schedule!L108</f>
        <v>0.932379512719134</v>
      </c>
      <c r="E1699" s="2" t="n">
        <f aca="false">Schedule!Q108</f>
        <v>0.066807201268858</v>
      </c>
      <c r="F1699" s="2" t="n">
        <f aca="false">Schedule!V108</f>
        <v>0.208252393288109</v>
      </c>
      <c r="G1699" s="2" t="n">
        <f aca="false">Schedule!AA108</f>
        <v>0.413422398858449</v>
      </c>
      <c r="H1699" s="2" t="n">
        <f aca="false">Schedule!AF108</f>
        <v>0.226627352376868</v>
      </c>
      <c r="I1699" s="2" t="n">
        <f aca="false">Schedule!AK108</f>
        <v>0.270103499001235</v>
      </c>
      <c r="J1699" s="2" t="n">
        <f aca="false">Schedule!AP108</f>
        <v>0.349193042462858</v>
      </c>
      <c r="K1699" s="2" t="n">
        <f aca="false">Schedule!AU108</f>
        <v>0.187404883098225</v>
      </c>
      <c r="L1699" s="2" t="n">
        <f aca="false">Schedule!AZ108</f>
        <v>0.270103499001235</v>
      </c>
      <c r="M1699" s="2" t="n">
        <f aca="false">Schedule!BE108</f>
        <v>0.213670492940356</v>
      </c>
      <c r="N1699" s="2" t="n">
        <f aca="false">Schedule!BJ108</f>
        <v>0.330874388040879</v>
      </c>
      <c r="O1699" s="2" t="n">
        <f aca="false">Schedule!BO108</f>
        <v>0</v>
      </c>
    </row>
    <row r="1700" customFormat="false" ht="15" hidden="false" customHeight="false" outlineLevel="0" collapsed="false">
      <c r="B1700" s="2" t="n">
        <v>0</v>
      </c>
      <c r="C1700" s="2" t="n">
        <f aca="false">1-C$1699</f>
        <v>0.457692000582065</v>
      </c>
      <c r="D1700" s="2" t="n">
        <f aca="false">C1700*(1-D$1699)</f>
        <v>0.0309493561039137</v>
      </c>
      <c r="E1700" s="2" t="n">
        <f aca="false">D1700*(1-E$1699)</f>
        <v>0.028881716241538</v>
      </c>
      <c r="F1700" s="2" t="n">
        <f aca="false">E1700*(1-F$1699)</f>
        <v>0.0228670297119697</v>
      </c>
      <c r="G1700" s="2" t="n">
        <f aca="false">F1700*(1-G$1699)</f>
        <v>0.0134132874336797</v>
      </c>
      <c r="H1700" s="2" t="n">
        <f aca="false">G1700*(1-H$1699)</f>
        <v>0.010373469615915</v>
      </c>
      <c r="I1700" s="2" t="n">
        <f aca="false">H1700*(1-I$1699)</f>
        <v>0.00757155917587334</v>
      </c>
      <c r="J1700" s="2" t="n">
        <f aca="false">I1700*(1-J$1699)</f>
        <v>0.00492762339106256</v>
      </c>
      <c r="K1700" s="2" t="n">
        <f aca="false">J1700*(1-K$1699)</f>
        <v>0.0040041627055084</v>
      </c>
      <c r="L1700" s="2" t="n">
        <f aca="false">K1700*(1-L$1699)</f>
        <v>0.00292262434818033</v>
      </c>
      <c r="M1700" s="2" t="n">
        <f aca="false">L1700*(1-M$1699)</f>
        <v>0.00229814576302515</v>
      </c>
      <c r="N1700" s="2" t="n">
        <f aca="false">M1700*(1-N$1699)</f>
        <v>0.00153774819005547</v>
      </c>
      <c r="O1700" s="2" t="n">
        <f aca="false">N1700*(1-O$1699)</f>
        <v>0.00153774819005547</v>
      </c>
    </row>
    <row r="1701" customFormat="false" ht="15" hidden="false" customHeight="false" outlineLevel="0" collapsed="false">
      <c r="B1701" s="2" t="n">
        <v>1</v>
      </c>
      <c r="C1701" s="2" t="n">
        <f aca="false">C$1699</f>
        <v>0.542307999417935</v>
      </c>
      <c r="D1701" s="2" t="n">
        <f aca="false">C1701*(1-D$1699)+C1700*D$1699</f>
        <v>0.463413775655104</v>
      </c>
      <c r="E1701" s="2" t="n">
        <f aca="false">D1701*(1-E$1699)+D1700*E$1699</f>
        <v>0.434522038136528</v>
      </c>
      <c r="F1701" s="2" t="n">
        <f aca="false">E1701*(1-F$1699)+E1700*F$1699</f>
        <v>0.350046470287737</v>
      </c>
      <c r="G1701" s="2" t="n">
        <f aca="false">F1701*(1-G$1699)+F1700*G$1699</f>
        <v>0.214783161107738</v>
      </c>
      <c r="H1701" s="2" t="n">
        <f aca="false">G1701*(1-H$1699)+G1700*H$1699</f>
        <v>0.169147239788522</v>
      </c>
      <c r="I1701" s="2" t="n">
        <f aca="false">H1701*(1-I$1699)+H1700*I$1699</f>
        <v>0.126261888915283</v>
      </c>
      <c r="J1701" s="2" t="n">
        <f aca="false">I1701*(1-J$1699)+I1700*J$1699</f>
        <v>0.0848160515626586</v>
      </c>
      <c r="K1701" s="2" t="n">
        <f aca="false">J1701*(1-K$1699)+J1700*K$1699</f>
        <v>0.0698445700202597</v>
      </c>
      <c r="L1701" s="2" t="n">
        <f aca="false">K1701*(1-L$1699)+K1700*L$1699</f>
        <v>0.0520608456288788</v>
      </c>
      <c r="M1701" s="2" t="n">
        <f aca="false">L1701*(1-M$1699)+L1700*M$1699</f>
        <v>0.0415614576656197</v>
      </c>
      <c r="N1701" s="2" t="n">
        <f aca="false">M1701*(1-N$1699)+M1700*N$1699</f>
        <v>0.0285702333673906</v>
      </c>
      <c r="O1701" s="2" t="n">
        <f aca="false">N1701*(1-O$1699)+N1700*O$1699</f>
        <v>0.0285702333673906</v>
      </c>
    </row>
    <row r="1702" customFormat="false" ht="15" hidden="false" customHeight="false" outlineLevel="0" collapsed="false">
      <c r="B1702" s="2" t="n">
        <v>2</v>
      </c>
      <c r="C1702" s="2" t="n">
        <f aca="false">0</f>
        <v>0</v>
      </c>
      <c r="D1702" s="2" t="n">
        <f aca="false">C1702*(1-D$1699)+C1701*D$1699</f>
        <v>0.505636868240982</v>
      </c>
      <c r="E1702" s="2" t="n">
        <f aca="false">D1702*(1-E$1699)+D1701*E$1699</f>
        <v>0.502816061596404</v>
      </c>
      <c r="F1702" s="2" t="n">
        <f aca="false">E1702*(1-F$1699)+E1701*F$1699</f>
        <v>0.48859366776361</v>
      </c>
      <c r="G1702" s="2" t="n">
        <f aca="false">F1702*(1-G$1699)+F1701*G$1699</f>
        <v>0.43131515302802</v>
      </c>
      <c r="H1702" s="2" t="n">
        <f aca="false">G1702*(1-H$1699)+G1701*H$1699</f>
        <v>0.382243080994237</v>
      </c>
      <c r="I1702" s="2" t="n">
        <f aca="false">H1702*(1-I$1699)+H1701*I$1699</f>
        <v>0.324685148661962</v>
      </c>
      <c r="J1702" s="2" t="n">
        <f aca="false">I1702*(1-J$1699)+I1701*J$1699</f>
        <v>0.255397126895621</v>
      </c>
      <c r="K1702" s="2" t="n">
        <f aca="false">J1702*(1-K$1699)+J1701*K$1699</f>
        <v>0.223429400414078</v>
      </c>
      <c r="L1702" s="2" t="n">
        <f aca="false">K1702*(1-L$1699)+K1701*L$1699</f>
        <v>0.181945600331196</v>
      </c>
      <c r="M1702" s="2" t="n">
        <f aca="false">L1702*(1-M$1699)+L1701*M$1699</f>
        <v>0.154193060768515</v>
      </c>
      <c r="N1702" s="2" t="n">
        <f aca="false">M1702*(1-N$1699)+M1701*N$1699</f>
        <v>0.116926148017781</v>
      </c>
      <c r="O1702" s="2" t="n">
        <f aca="false">N1702*(1-O$1699)+N1701*O$1699</f>
        <v>0.116926148017781</v>
      </c>
    </row>
    <row r="1703" customFormat="false" ht="15" hidden="false" customHeight="false" outlineLevel="0" collapsed="false">
      <c r="B1703" s="2" t="n">
        <v>3</v>
      </c>
      <c r="C1703" s="2" t="n">
        <f aca="false">0</f>
        <v>0</v>
      </c>
      <c r="D1703" s="2" t="n">
        <f aca="false">C1703*(1-D$1699)+C1702*D$1699</f>
        <v>0</v>
      </c>
      <c r="E1703" s="2" t="n">
        <f aca="false">D1703*(1-E$1699)+D1702*E$1699</f>
        <v>0.0337801840255304</v>
      </c>
      <c r="F1703" s="2" t="n">
        <f aca="false">E1703*(1-F$1699)+E1702*F$1699</f>
        <v>0.131458028067653</v>
      </c>
      <c r="G1703" s="2" t="n">
        <f aca="false">F1703*(1-G$1699)+F1702*G$1699</f>
        <v>0.279105900948603</v>
      </c>
      <c r="H1703" s="2" t="n">
        <f aca="false">G1703*(1-H$1699)+G1702*H$1699</f>
        <v>0.313600680754624</v>
      </c>
      <c r="I1703" s="2" t="n">
        <f aca="false">H1703*(1-I$1699)+H1702*I$1699</f>
        <v>0.332141233239187</v>
      </c>
      <c r="J1703" s="2" t="n">
        <f aca="false">I1703*(1-J$1699)+I1702*J$1699</f>
        <v>0.329537620380805</v>
      </c>
      <c r="K1703" s="2" t="n">
        <f aca="false">J1703*(1-K$1699)+J1702*K$1699</f>
        <v>0.31564332986637</v>
      </c>
      <c r="L1703" s="2" t="n">
        <f aca="false">K1703*(1-L$1699)+K1702*L$1699</f>
        <v>0.290736024864652</v>
      </c>
      <c r="M1703" s="2" t="n">
        <f aca="false">L1703*(1-M$1699)+L1702*M$1699</f>
        <v>0.267490721227398</v>
      </c>
      <c r="N1703" s="2" t="n">
        <f aca="false">M1703*(1-N$1699)+M1702*N$1699</f>
        <v>0.230003427156602</v>
      </c>
      <c r="O1703" s="2" t="n">
        <f aca="false">N1703*(1-O$1699)+N1702*O$1699</f>
        <v>0.230003427156602</v>
      </c>
    </row>
    <row r="1704" customFormat="false" ht="15" hidden="false" customHeight="false" outlineLevel="0" collapsed="false">
      <c r="B1704" s="2" t="n">
        <v>4</v>
      </c>
      <c r="C1704" s="2" t="n">
        <f aca="false">0</f>
        <v>0</v>
      </c>
      <c r="D1704" s="2" t="n">
        <f aca="false">C1704*(1-D$1699)+C1703*D$1699</f>
        <v>0</v>
      </c>
      <c r="E1704" s="2" t="n">
        <f aca="false">D1704*(1-E$1699)+D1703*E$1699</f>
        <v>0</v>
      </c>
      <c r="F1704" s="2" t="n">
        <f aca="false">E1704*(1-F$1699)+E1703*F$1699</f>
        <v>0.00703480416902944</v>
      </c>
      <c r="G1704" s="2" t="n">
        <f aca="false">F1704*(1-G$1699)+F1703*G$1699</f>
        <v>0.0584741518669004</v>
      </c>
      <c r="H1704" s="2" t="n">
        <f aca="false">G1704*(1-H$1699)+G1703*H$1699</f>
        <v>0.108475341011564</v>
      </c>
      <c r="I1704" s="2" t="n">
        <f aca="false">H1704*(1-I$1699)+H1703*I$1699</f>
        <v>0.163880413009982</v>
      </c>
      <c r="J1704" s="2" t="n">
        <f aca="false">I1704*(1-J$1699)+I1703*J$1699</f>
        <v>0.222635920753114</v>
      </c>
      <c r="K1704" s="2" t="n">
        <f aca="false">J1704*(1-K$1699)+J1703*K$1699</f>
        <v>0.242669821274843</v>
      </c>
      <c r="L1704" s="2" t="n">
        <f aca="false">K1704*(1-L$1699)+K1703*L$1699</f>
        <v>0.262380221279811</v>
      </c>
      <c r="M1704" s="2" t="n">
        <f aca="false">L1704*(1-M$1699)+L1703*M$1699</f>
        <v>0.268439019809504</v>
      </c>
      <c r="N1704" s="2" t="n">
        <f aca="false">M1704*(1-N$1699)+M1703*N$1699</f>
        <v>0.26812525209647</v>
      </c>
      <c r="O1704" s="2" t="n">
        <f aca="false">N1704*(1-O$1699)+N1703*O$1699</f>
        <v>0.26812525209647</v>
      </c>
    </row>
    <row r="1705" customFormat="false" ht="15" hidden="false" customHeight="false" outlineLevel="0" collapsed="false">
      <c r="B1705" s="2" t="n">
        <v>5</v>
      </c>
      <c r="C1705" s="2" t="n">
        <f aca="false">0</f>
        <v>0</v>
      </c>
      <c r="D1705" s="2" t="n">
        <f aca="false">C1705*(1-D$1699)+C1704*D$1699</f>
        <v>0</v>
      </c>
      <c r="E1705" s="2" t="n">
        <f aca="false">D1705*(1-E$1699)+D1704*E$1699</f>
        <v>0</v>
      </c>
      <c r="F1705" s="2" t="n">
        <f aca="false">E1705*(1-F$1699)+E1704*F$1699</f>
        <v>0</v>
      </c>
      <c r="G1705" s="2" t="n">
        <f aca="false">F1705*(1-G$1699)+F1704*G$1699</f>
        <v>0.00290834561505957</v>
      </c>
      <c r="H1705" s="2" t="n">
        <f aca="false">G1705*(1-H$1699)+G1704*H$1699</f>
        <v>0.0155010771686003</v>
      </c>
      <c r="I1705" s="2" t="n">
        <f aca="false">H1705*(1-I$1699)+H1704*I$1699</f>
        <v>0.0406137511496488</v>
      </c>
      <c r="J1705" s="2" t="n">
        <f aca="false">I1705*(1-J$1699)+I1704*J$1699</f>
        <v>0.0836576118388988</v>
      </c>
      <c r="K1705" s="2" t="n">
        <f aca="false">J1705*(1-K$1699)+J1704*K$1699</f>
        <v>0.109702825574156</v>
      </c>
      <c r="L1705" s="2" t="n">
        <f aca="false">K1705*(1-L$1699)+K1704*L$1699</f>
        <v>0.145617676364594</v>
      </c>
      <c r="M1705" s="2" t="n">
        <f aca="false">L1705*(1-M$1699)+L1704*M$1699</f>
        <v>0.170566386893599</v>
      </c>
      <c r="N1705" s="2" t="n">
        <f aca="false">M1705*(1-N$1699)+M1704*N$1699</f>
        <v>0.202949934415599</v>
      </c>
      <c r="O1705" s="2" t="n">
        <f aca="false">N1705*(1-O$1699)+N1704*O$1699</f>
        <v>0.202949934415599</v>
      </c>
    </row>
    <row r="1706" customFormat="false" ht="15" hidden="false" customHeight="false" outlineLevel="0" collapsed="false">
      <c r="B1706" s="2" t="n">
        <v>6</v>
      </c>
      <c r="C1706" s="2" t="n">
        <f aca="false">0</f>
        <v>0</v>
      </c>
      <c r="D1706" s="2" t="n">
        <f aca="false">C1706*(1-D$1699)+C1705*D$1699</f>
        <v>0</v>
      </c>
      <c r="E1706" s="2" t="n">
        <f aca="false">D1706*(1-E$1699)+D1705*E$1699</f>
        <v>0</v>
      </c>
      <c r="F1706" s="2" t="n">
        <f aca="false">E1706*(1-F$1699)+E1705*F$1699</f>
        <v>0</v>
      </c>
      <c r="G1706" s="2" t="n">
        <f aca="false">F1706*(1-G$1699)+F1705*G$1699</f>
        <v>0</v>
      </c>
      <c r="H1706" s="2" t="n">
        <f aca="false">G1706*(1-H$1699)+G1705*H$1699</f>
        <v>0.000659110666537825</v>
      </c>
      <c r="I1706" s="2" t="n">
        <f aca="false">H1706*(1-I$1699)+H1705*I$1699</f>
        <v>0.00466797775080402</v>
      </c>
      <c r="J1706" s="2" t="n">
        <f aca="false">I1706*(1-J$1699)+I1705*J$1699</f>
        <v>0.0172199917276271</v>
      </c>
      <c r="K1706" s="2" t="n">
        <f aca="false">J1706*(1-K$1699)+J1705*K$1699</f>
        <v>0.0296707261579042</v>
      </c>
      <c r="L1706" s="2" t="n">
        <f aca="false">K1706*(1-L$1699)+K1705*L$1699</f>
        <v>0.0512876762426486</v>
      </c>
      <c r="M1706" s="2" t="n">
        <f aca="false">L1706*(1-M$1699)+L1705*M$1699</f>
        <v>0.0714432138677685</v>
      </c>
      <c r="N1706" s="2" t="n">
        <f aca="false">M1706*(1-N$1699)+M1705*N$1699</f>
        <v>0.10424053308336</v>
      </c>
      <c r="O1706" s="2" t="n">
        <f aca="false">N1706*(1-O$1699)+N1705*O$1699</f>
        <v>0.10424053308336</v>
      </c>
    </row>
    <row r="1707" customFormat="false" ht="15" hidden="false" customHeight="false" outlineLevel="0" collapsed="false">
      <c r="B1707" s="2" t="n">
        <v>7</v>
      </c>
      <c r="C1707" s="2" t="n">
        <f aca="false">0</f>
        <v>0</v>
      </c>
      <c r="D1707" s="2" t="n">
        <f aca="false">C1707*(1-D$1699)+C1706*D$1699</f>
        <v>0</v>
      </c>
      <c r="E1707" s="2" t="n">
        <f aca="false">D1707*(1-E$1699)+D1706*E$1699</f>
        <v>0</v>
      </c>
      <c r="F1707" s="2" t="n">
        <f aca="false">E1707*(1-F$1699)+E1706*F$1699</f>
        <v>0</v>
      </c>
      <c r="G1707" s="2" t="n">
        <f aca="false">F1707*(1-G$1699)+F1706*G$1699</f>
        <v>0</v>
      </c>
      <c r="H1707" s="2" t="n">
        <f aca="false">G1707*(1-H$1699)+G1706*H$1699</f>
        <v>0</v>
      </c>
      <c r="I1707" s="2" t="n">
        <f aca="false">H1707*(1-I$1699)+H1706*I$1699</f>
        <v>0.000178028097260903</v>
      </c>
      <c r="J1707" s="2" t="n">
        <f aca="false">I1707*(1-J$1699)+I1706*J$1699</f>
        <v>0.00174588727728668</v>
      </c>
      <c r="K1707" s="2" t="n">
        <f aca="false">J1707*(1-K$1699)+J1706*K$1699</f>
        <v>0.00464581001285244</v>
      </c>
      <c r="L1707" s="2" t="n">
        <f aca="false">K1707*(1-L$1699)+K1706*L$1699</f>
        <v>0.0114051274258434</v>
      </c>
      <c r="M1707" s="2" t="n">
        <f aca="false">L1707*(1-M$1699)+L1706*M$1699</f>
        <v>0.019926851291248</v>
      </c>
      <c r="N1707" s="2" t="n">
        <f aca="false">M1707*(1-N$1699)+M1706*N$1699</f>
        <v>0.0369722962328463</v>
      </c>
      <c r="O1707" s="2" t="n">
        <f aca="false">N1707*(1-O$1699)+N1706*O$1699</f>
        <v>0.0369722962328463</v>
      </c>
    </row>
    <row r="1708" customFormat="false" ht="15" hidden="false" customHeight="false" outlineLevel="0" collapsed="false">
      <c r="B1708" s="2" t="n">
        <v>8</v>
      </c>
      <c r="C1708" s="2" t="n">
        <f aca="false">0</f>
        <v>0</v>
      </c>
      <c r="D1708" s="2" t="n">
        <f aca="false">C1708*(1-D$1699)+C1707*D$1699</f>
        <v>0</v>
      </c>
      <c r="E1708" s="2" t="n">
        <f aca="false">D1708*(1-E$1699)+D1707*E$1699</f>
        <v>0</v>
      </c>
      <c r="F1708" s="2" t="n">
        <f aca="false">E1708*(1-F$1699)+E1707*F$1699</f>
        <v>0</v>
      </c>
      <c r="G1708" s="2" t="n">
        <f aca="false">F1708*(1-G$1699)+F1707*G$1699</f>
        <v>0</v>
      </c>
      <c r="H1708" s="2" t="n">
        <f aca="false">G1708*(1-H$1699)+G1707*H$1699</f>
        <v>0</v>
      </c>
      <c r="I1708" s="2" t="n">
        <f aca="false">H1708*(1-I$1699)+H1707*I$1699</f>
        <v>0</v>
      </c>
      <c r="J1708" s="2" t="n">
        <f aca="false">I1708*(1-J$1699)+I1707*J$1699</f>
        <v>6.21661729264083E-005</v>
      </c>
      <c r="K1708" s="2" t="n">
        <f aca="false">J1708*(1-K$1699)+J1707*K$1699</f>
        <v>0.000377703729659058</v>
      </c>
      <c r="L1708" s="2" t="n">
        <f aca="false">K1708*(1-L$1699)+K1707*L$1699</f>
        <v>0.00153053417085875</v>
      </c>
      <c r="M1708" s="2" t="n">
        <f aca="false">L1708*(1-M$1699)+L1707*M$1699</f>
        <v>0.00364044337923684</v>
      </c>
      <c r="N1708" s="2" t="n">
        <f aca="false">M1708*(1-N$1699)+M1707*N$1699</f>
        <v>0.00902919863050767</v>
      </c>
      <c r="O1708" s="2" t="n">
        <f aca="false">N1708*(1-O$1699)+N1707*O$1699</f>
        <v>0.00902919863050767</v>
      </c>
    </row>
    <row r="1709" customFormat="false" ht="15" hidden="false" customHeight="false" outlineLevel="0" collapsed="false">
      <c r="B1709" s="2" t="n">
        <v>9</v>
      </c>
      <c r="C1709" s="2" t="n">
        <f aca="false">0</f>
        <v>0</v>
      </c>
      <c r="D1709" s="2" t="n">
        <f aca="false">C1709*(1-D$1699)+C1708*D$1699</f>
        <v>0</v>
      </c>
      <c r="E1709" s="2" t="n">
        <f aca="false">D1709*(1-E$1699)+D1708*E$1699</f>
        <v>0</v>
      </c>
      <c r="F1709" s="2" t="n">
        <f aca="false">E1709*(1-F$1699)+E1708*F$1699</f>
        <v>0</v>
      </c>
      <c r="G1709" s="2" t="n">
        <f aca="false">F1709*(1-G$1699)+F1708*G$1699</f>
        <v>0</v>
      </c>
      <c r="H1709" s="2" t="n">
        <f aca="false">G1709*(1-H$1699)+G1708*H$1699</f>
        <v>0</v>
      </c>
      <c r="I1709" s="2" t="n">
        <f aca="false">H1709*(1-I$1699)+H1708*I$1699</f>
        <v>0</v>
      </c>
      <c r="J1709" s="2" t="n">
        <f aca="false">I1709*(1-J$1699)+I1708*J$1699</f>
        <v>0</v>
      </c>
      <c r="K1709" s="2" t="n">
        <f aca="false">J1709*(1-K$1699)+J1708*K$1699</f>
        <v>1.16502443699376E-005</v>
      </c>
      <c r="L1709" s="2" t="n">
        <f aca="false">K1709*(1-L$1699)+K1708*L$1699</f>
        <v>0.000110522571568126</v>
      </c>
      <c r="M1709" s="2" t="n">
        <f aca="false">L1709*(1-M$1699)+L1708*M$1699</f>
        <v>0.000413937149969577</v>
      </c>
      <c r="N1709" s="2" t="n">
        <f aca="false">M1709*(1-N$1699)+M1708*N$1699</f>
        <v>0.00148150542408847</v>
      </c>
      <c r="O1709" s="2" t="n">
        <f aca="false">N1709*(1-O$1699)+N1708*O$1699</f>
        <v>0.00148150542408847</v>
      </c>
    </row>
    <row r="1710" customFormat="false" ht="15" hidden="false" customHeight="false" outlineLevel="0" collapsed="false">
      <c r="B1710" s="2" t="n">
        <v>10</v>
      </c>
      <c r="C1710" s="2" t="n">
        <f aca="false">0</f>
        <v>0</v>
      </c>
      <c r="D1710" s="2" t="n">
        <f aca="false">C1710*(1-D$1699)+C1709*D$1699</f>
        <v>0</v>
      </c>
      <c r="E1710" s="2" t="n">
        <f aca="false">D1710*(1-E$1699)+D1709*E$1699</f>
        <v>0</v>
      </c>
      <c r="F1710" s="2" t="n">
        <f aca="false">E1710*(1-F$1699)+E1709*F$1699</f>
        <v>0</v>
      </c>
      <c r="G1710" s="2" t="n">
        <f aca="false">F1710*(1-G$1699)+F1709*G$1699</f>
        <v>0</v>
      </c>
      <c r="H1710" s="2" t="n">
        <f aca="false">G1710*(1-H$1699)+G1709*H$1699</f>
        <v>0</v>
      </c>
      <c r="I1710" s="2" t="n">
        <f aca="false">H1710*(1-I$1699)+H1709*I$1699</f>
        <v>0</v>
      </c>
      <c r="J1710" s="2" t="n">
        <f aca="false">I1710*(1-J$1699)+I1709*J$1699</f>
        <v>0</v>
      </c>
      <c r="K1710" s="2" t="n">
        <f aca="false">J1710*(1-K$1699)+J1709*K$1699</f>
        <v>0</v>
      </c>
      <c r="L1710" s="2" t="n">
        <f aca="false">K1710*(1-L$1699)+K1709*L$1699</f>
        <v>3.14677176853957E-006</v>
      </c>
      <c r="M1710" s="2" t="n">
        <f aca="false">L1710*(1-M$1699)+L1709*M$1699</f>
        <v>2.60898118415823E-005</v>
      </c>
      <c r="N1710" s="2" t="n">
        <f aca="false">M1710*(1-N$1699)+M1709*N$1699</f>
        <v>0.000154418562497967</v>
      </c>
      <c r="O1710" s="2" t="n">
        <f aca="false">N1710*(1-O$1699)+N1709*O$1699</f>
        <v>0.000154418562497967</v>
      </c>
    </row>
    <row r="1711" customFormat="false" ht="15" hidden="false" customHeight="false" outlineLevel="0" collapsed="false">
      <c r="B1711" s="2" t="n">
        <v>11</v>
      </c>
      <c r="C1711" s="2" t="n">
        <f aca="false">0</f>
        <v>0</v>
      </c>
      <c r="D1711" s="2" t="n">
        <f aca="false">C1711*(1-D$1699)+C1710*D$1699</f>
        <v>0</v>
      </c>
      <c r="E1711" s="2" t="n">
        <f aca="false">D1711*(1-E$1699)+D1710*E$1699</f>
        <v>0</v>
      </c>
      <c r="F1711" s="2" t="n">
        <f aca="false">E1711*(1-F$1699)+E1710*F$1699</f>
        <v>0</v>
      </c>
      <c r="G1711" s="2" t="n">
        <f aca="false">F1711*(1-G$1699)+F1710*G$1699</f>
        <v>0</v>
      </c>
      <c r="H1711" s="2" t="n">
        <f aca="false">G1711*(1-H$1699)+G1710*H$1699</f>
        <v>0</v>
      </c>
      <c r="I1711" s="2" t="n">
        <f aca="false">H1711*(1-I$1699)+H1710*I$1699</f>
        <v>0</v>
      </c>
      <c r="J1711" s="2" t="n">
        <f aca="false">I1711*(1-J$1699)+I1710*J$1699</f>
        <v>0</v>
      </c>
      <c r="K1711" s="2" t="n">
        <f aca="false">J1711*(1-K$1699)+J1710*K$1699</f>
        <v>0</v>
      </c>
      <c r="L1711" s="2" t="n">
        <f aca="false">K1711*(1-L$1699)+K1710*L$1699</f>
        <v>0</v>
      </c>
      <c r="M1711" s="2" t="n">
        <f aca="false">L1711*(1-M$1699)+L1710*M$1699</f>
        <v>6.72372274954647E-007</v>
      </c>
      <c r="N1711" s="2" t="n">
        <f aca="false">M1711*(1-N$1699)+M1710*N$1699</f>
        <v>9.08235203712859E-006</v>
      </c>
      <c r="O1711" s="2" t="n">
        <f aca="false">N1711*(1-O$1699)+N1710*O$1699</f>
        <v>9.08235203712859E-006</v>
      </c>
    </row>
    <row r="1712" customFormat="false" ht="15" hidden="false" customHeight="false" outlineLevel="0" collapsed="false">
      <c r="B1712" s="2" t="n">
        <v>12</v>
      </c>
      <c r="C1712" s="2" t="n">
        <f aca="false">0</f>
        <v>0</v>
      </c>
      <c r="D1712" s="2" t="n">
        <f aca="false">C1712*(1-D$1699)+C1711*D$1699</f>
        <v>0</v>
      </c>
      <c r="E1712" s="2" t="n">
        <f aca="false">D1712*(1-E$1699)+D1711*E$1699</f>
        <v>0</v>
      </c>
      <c r="F1712" s="2" t="n">
        <f aca="false">E1712*(1-F$1699)+E1711*F$1699</f>
        <v>0</v>
      </c>
      <c r="G1712" s="2" t="n">
        <f aca="false">F1712*(1-G$1699)+F1711*G$1699</f>
        <v>0</v>
      </c>
      <c r="H1712" s="2" t="n">
        <f aca="false">G1712*(1-H$1699)+G1711*H$1699</f>
        <v>0</v>
      </c>
      <c r="I1712" s="2" t="n">
        <f aca="false">H1712*(1-I$1699)+H1711*I$1699</f>
        <v>0</v>
      </c>
      <c r="J1712" s="2" t="n">
        <f aca="false">I1712*(1-J$1699)+I1711*J$1699</f>
        <v>0</v>
      </c>
      <c r="K1712" s="2" t="n">
        <f aca="false">J1712*(1-K$1699)+J1711*K$1699</f>
        <v>0</v>
      </c>
      <c r="L1712" s="2" t="n">
        <f aca="false">K1712*(1-L$1699)+K1711*L$1699</f>
        <v>0</v>
      </c>
      <c r="M1712" s="2" t="n">
        <f aca="false">L1712*(1-M$1699)+L1711*M$1699</f>
        <v>0</v>
      </c>
      <c r="N1712" s="2" t="n">
        <f aca="false">M1712*(1-N$1699)+M1711*N$1699</f>
        <v>2.22470765011273E-007</v>
      </c>
      <c r="O1712" s="2" t="n">
        <f aca="false">N1712*(1-O$1699)+N1711*O$1699</f>
        <v>2.22470765011273E-007</v>
      </c>
    </row>
    <row r="1713" customFormat="false" ht="15" hidden="false" customHeight="false" outlineLevel="0" collapsed="false">
      <c r="B1713" s="2" t="n">
        <v>13</v>
      </c>
      <c r="C1713" s="2" t="n">
        <f aca="false">0</f>
        <v>0</v>
      </c>
      <c r="D1713" s="2" t="n">
        <f aca="false">C1713*(1-D$1699)+C1712*D$1699</f>
        <v>0</v>
      </c>
      <c r="E1713" s="2" t="n">
        <f aca="false">D1713*(1-E$1699)+D1712*E$1699</f>
        <v>0</v>
      </c>
      <c r="F1713" s="2" t="n">
        <f aca="false">E1713*(1-F$1699)+E1712*F$1699</f>
        <v>0</v>
      </c>
      <c r="G1713" s="2" t="n">
        <f aca="false">F1713*(1-G$1699)+F1712*G$1699</f>
        <v>0</v>
      </c>
      <c r="H1713" s="2" t="n">
        <f aca="false">G1713*(1-H$1699)+G1712*H$1699</f>
        <v>0</v>
      </c>
      <c r="I1713" s="2" t="n">
        <f aca="false">H1713*(1-I$1699)+H1712*I$1699</f>
        <v>0</v>
      </c>
      <c r="J1713" s="2" t="n">
        <f aca="false">I1713*(1-J$1699)+I1712*J$1699</f>
        <v>0</v>
      </c>
      <c r="K1713" s="2" t="n">
        <f aca="false">J1713*(1-K$1699)+J1712*K$1699</f>
        <v>0</v>
      </c>
      <c r="L1713" s="2" t="n">
        <f aca="false">K1713*(1-L$1699)+K1712*L$1699</f>
        <v>0</v>
      </c>
      <c r="M1713" s="2" t="n">
        <f aca="false">L1713*(1-M$1699)+L1712*M$1699</f>
        <v>0</v>
      </c>
      <c r="N1713" s="2" t="n">
        <f aca="false">M1713*(1-N$1699)+M1712*N$1699</f>
        <v>0</v>
      </c>
      <c r="O1713" s="2" t="n">
        <f aca="false">N1713*(1-O$1699)+N1712*O$1699</f>
        <v>0</v>
      </c>
    </row>
    <row r="1715" customFormat="false" ht="15" hidden="false" customHeight="false" outlineLevel="0" collapsed="false">
      <c r="A1715" s="1" t="s">
        <v>165</v>
      </c>
      <c r="C1715" s="2" t="n">
        <f aca="false">Schedule!G109</f>
        <v>0.452736711249588</v>
      </c>
      <c r="D1715" s="2" t="n">
        <f aca="false">Schedule!L109</f>
        <v>0.641510788235092</v>
      </c>
      <c r="E1715" s="2" t="n">
        <f aca="false">Schedule!Q109</f>
        <v>0.778979131832686</v>
      </c>
      <c r="F1715" s="2" t="n">
        <f aca="false">Schedule!V109</f>
        <v>0.353830233327276</v>
      </c>
      <c r="G1715" s="2" t="n">
        <f aca="false">Schedule!AA109</f>
        <v>0.625041951918781</v>
      </c>
      <c r="H1715" s="2" t="n">
        <f aca="false">Schedule!AF109</f>
        <v>0.219169829793377</v>
      </c>
      <c r="I1715" s="2" t="n">
        <f aca="false">Schedule!AK109</f>
        <v>0.657720540316049</v>
      </c>
      <c r="J1715" s="2" t="n">
        <f aca="false">Schedule!AP109</f>
        <v>0.110287610252851</v>
      </c>
      <c r="K1715" s="2" t="n">
        <f aca="false">Schedule!AU109</f>
        <v>0.282645648497201</v>
      </c>
      <c r="L1715" s="2" t="n">
        <f aca="false">Schedule!AZ109</f>
        <v>0.574365688155897</v>
      </c>
      <c r="M1715" s="2" t="n">
        <f aca="false">Schedule!BE109</f>
        <v>0.339986490349139</v>
      </c>
      <c r="N1715" s="2" t="n">
        <f aca="false">Schedule!BJ109</f>
        <v>0.132961615077904</v>
      </c>
      <c r="O1715" s="2" t="n">
        <f aca="false">Schedule!BO109</f>
        <v>0</v>
      </c>
    </row>
    <row r="1716" customFormat="false" ht="15" hidden="false" customHeight="false" outlineLevel="0" collapsed="false">
      <c r="B1716" s="2" t="n">
        <v>0</v>
      </c>
      <c r="C1716" s="2" t="n">
        <f aca="false">1-C$1715</f>
        <v>0.547263288750412</v>
      </c>
      <c r="D1716" s="2" t="n">
        <f aca="false">C1716*(1-D$1715)</f>
        <v>0.196187985012007</v>
      </c>
      <c r="E1716" s="2" t="n">
        <f aca="false">D1716*(1-E$1715)</f>
        <v>0.0433616387713496</v>
      </c>
      <c r="F1716" s="2" t="n">
        <f aca="false">E1716*(1-F$1715)</f>
        <v>0.0280189800074299</v>
      </c>
      <c r="G1716" s="2" t="n">
        <f aca="false">F1716*(1-G$1715)</f>
        <v>0.0105059420528126</v>
      </c>
      <c r="H1716" s="2" t="n">
        <f aca="false">G1716*(1-H$1715)</f>
        <v>0.00820335652127858</v>
      </c>
      <c r="I1716" s="2" t="n">
        <f aca="false">H1716*(1-I$1715)</f>
        <v>0.00280784043769805</v>
      </c>
      <c r="J1716" s="2" t="n">
        <f aca="false">I1716*(1-J$1715)</f>
        <v>0.00249817042585301</v>
      </c>
      <c r="K1716" s="2" t="n">
        <f aca="false">J1716*(1-K$1715)</f>
        <v>0.00179207342578126</v>
      </c>
      <c r="L1716" s="2" t="n">
        <f aca="false">K1716*(1-L$1715)</f>
        <v>0.00076276793935651</v>
      </c>
      <c r="M1716" s="2" t="n">
        <f aca="false">L1716*(1-M$1715)</f>
        <v>0.000503437144703845</v>
      </c>
      <c r="N1716" s="2" t="n">
        <f aca="false">M1716*(1-N$1715)</f>
        <v>0.000436499328853814</v>
      </c>
      <c r="O1716" s="2" t="n">
        <f aca="false">N1716*(1-O$1715)</f>
        <v>0.000436499328853814</v>
      </c>
    </row>
    <row r="1717" customFormat="false" ht="15" hidden="false" customHeight="false" outlineLevel="0" collapsed="false">
      <c r="B1717" s="2" t="n">
        <v>1</v>
      </c>
      <c r="C1717" s="2" t="n">
        <f aca="false">C$1715</f>
        <v>0.452736711249588</v>
      </c>
      <c r="D1717" s="2" t="n">
        <f aca="false">C1717*(1-D$1715)+C1716*D$1715</f>
        <v>0.513376530491307</v>
      </c>
      <c r="E1717" s="2" t="n">
        <f aca="false">D1717*(1-E$1715)+D1716*E$1715</f>
        <v>0.266293272706569</v>
      </c>
      <c r="F1717" s="2" t="n">
        <f aca="false">E1717*(1-F$1715)+E1716*F$1715</f>
        <v>0.187413320655239</v>
      </c>
      <c r="G1717" s="2" t="n">
        <f aca="false">F1717*(1-G$1715)+F1716*G$1715</f>
        <v>0.0877851708519254</v>
      </c>
      <c r="H1717" s="2" t="n">
        <f aca="false">G1717*(1-H$1715)+G1716*H$1715</f>
        <v>0.0708478954294604</v>
      </c>
      <c r="I1717" s="2" t="n">
        <f aca="false">H1717*(1-I$1715)+H1716*I$1715</f>
        <v>0.0296452954509213</v>
      </c>
      <c r="J1717" s="2" t="n">
        <f aca="false">I1717*(1-J$1715)+I1716*J$1715</f>
        <v>0.0266854566722445</v>
      </c>
      <c r="K1717" s="2" t="n">
        <f aca="false">J1717*(1-K$1715)+J1716*K$1715</f>
        <v>0.0198490254657457</v>
      </c>
      <c r="L1717" s="2" t="n">
        <f aca="false">K1717*(1-L$1715)+K1716*L$1715</f>
        <v>0.00947773178131351</v>
      </c>
      <c r="M1717" s="2" t="n">
        <f aca="false">L1717*(1-M$1715)+L1716*M$1715</f>
        <v>0.00651476181116691</v>
      </c>
      <c r="N1717" s="2" t="n">
        <f aca="false">M1717*(1-N$1715)+M1716*N$1715</f>
        <v>0.00571548637475634</v>
      </c>
      <c r="O1717" s="2" t="n">
        <f aca="false">N1717*(1-O$1715)+N1716*O$1715</f>
        <v>0.00571548637475634</v>
      </c>
    </row>
    <row r="1718" customFormat="false" ht="15" hidden="false" customHeight="false" outlineLevel="0" collapsed="false">
      <c r="B1718" s="2" t="n">
        <v>2</v>
      </c>
      <c r="C1718" s="2" t="n">
        <f aca="false">0</f>
        <v>0</v>
      </c>
      <c r="D1718" s="2" t="n">
        <f aca="false">C1718*(1-D$1715)+C1717*D$1715</f>
        <v>0.290435484496686</v>
      </c>
      <c r="E1718" s="2" t="n">
        <f aca="false">D1718*(1-E$1715)+D1717*E$1715</f>
        <v>0.464101906955447</v>
      </c>
      <c r="F1718" s="2" t="n">
        <f aca="false">E1718*(1-F$1715)+E1717*F$1715</f>
        <v>0.394111231745017</v>
      </c>
      <c r="G1718" s="2" t="n">
        <f aca="false">F1718*(1-G$1715)+F1717*G$1715</f>
        <v>0.264916365939928</v>
      </c>
      <c r="H1718" s="2" t="n">
        <f aca="false">G1718*(1-H$1715)+G1717*H$1715</f>
        <v>0.226094552061393</v>
      </c>
      <c r="I1718" s="2" t="n">
        <f aca="false">H1718*(1-I$1715)+H1717*I$1715</f>
        <v>0.123985637179178</v>
      </c>
      <c r="J1718" s="2" t="n">
        <f aca="false">I1718*(1-J$1715)+I1717*J$1715</f>
        <v>0.113581066339531</v>
      </c>
      <c r="K1718" s="2" t="n">
        <f aca="false">J1718*(1-K$1715)+J1717*K$1715</f>
        <v>0.0890204003935614</v>
      </c>
      <c r="L1718" s="2" t="n">
        <f aca="false">K1718*(1-L$1715)+K1717*L$1715</f>
        <v>0.049290736032457</v>
      </c>
      <c r="M1718" s="2" t="n">
        <f aca="false">L1718*(1-M$1715)+L1717*M$1715</f>
        <v>0.0357548524468554</v>
      </c>
      <c r="N1718" s="2" t="n">
        <f aca="false">M1718*(1-N$1715)+M1717*N$1715</f>
        <v>0.0318670427709099</v>
      </c>
      <c r="O1718" s="2" t="n">
        <f aca="false">N1718*(1-O$1715)+N1717*O$1715</f>
        <v>0.0318670427709099</v>
      </c>
    </row>
    <row r="1719" customFormat="false" ht="15" hidden="false" customHeight="false" outlineLevel="0" collapsed="false">
      <c r="B1719" s="2" t="n">
        <v>3</v>
      </c>
      <c r="C1719" s="2" t="n">
        <f aca="false">0</f>
        <v>0</v>
      </c>
      <c r="D1719" s="2" t="n">
        <f aca="false">C1719*(1-D$1715)+C1718*D$1715</f>
        <v>0</v>
      </c>
      <c r="E1719" s="2" t="n">
        <f aca="false">D1719*(1-E$1715)+D1718*E$1715</f>
        <v>0.226243181566634</v>
      </c>
      <c r="F1719" s="2" t="n">
        <f aca="false">E1719*(1-F$1715)+E1718*F$1715</f>
        <v>0.310404789869886</v>
      </c>
      <c r="G1719" s="2" t="n">
        <f aca="false">F1719*(1-G$1715)+F1718*G$1715</f>
        <v>0.362724827687694</v>
      </c>
      <c r="H1719" s="2" t="n">
        <f aca="false">G1719*(1-H$1715)+G1718*H$1715</f>
        <v>0.341288163774084</v>
      </c>
      <c r="I1719" s="2" t="n">
        <f aca="false">H1719*(1-I$1715)+H1718*I$1715</f>
        <v>0.265522959237455</v>
      </c>
      <c r="J1719" s="2" t="n">
        <f aca="false">I1719*(1-J$1715)+I1718*J$1715</f>
        <v>0.24991314622606</v>
      </c>
      <c r="K1719" s="2" t="n">
        <f aca="false">J1719*(1-K$1715)+J1718*K$1715</f>
        <v>0.21137947709556</v>
      </c>
      <c r="L1719" s="2" t="n">
        <f aca="false">K1719*(1-L$1715)+K1718*L$1715</f>
        <v>0.141100621803496</v>
      </c>
      <c r="M1719" s="2" t="n">
        <f aca="false">L1719*(1-M$1715)+L1718*M$1715</f>
        <v>0.109886500960845</v>
      </c>
      <c r="N1719" s="2" t="n">
        <f aca="false">M1719*(1-N$1715)+M1718*N$1715</f>
        <v>0.100029837246038</v>
      </c>
      <c r="O1719" s="2" t="n">
        <f aca="false">N1719*(1-O$1715)+N1718*O$1715</f>
        <v>0.100029837246038</v>
      </c>
    </row>
    <row r="1720" customFormat="false" ht="15" hidden="false" customHeight="false" outlineLevel="0" collapsed="false">
      <c r="B1720" s="2" t="n">
        <v>4</v>
      </c>
      <c r="C1720" s="2" t="n">
        <f aca="false">0</f>
        <v>0</v>
      </c>
      <c r="D1720" s="2" t="n">
        <f aca="false">C1720*(1-D$1715)+C1719*D$1715</f>
        <v>0</v>
      </c>
      <c r="E1720" s="2" t="n">
        <f aca="false">D1720*(1-E$1715)+D1719*E$1715</f>
        <v>0</v>
      </c>
      <c r="F1720" s="2" t="n">
        <f aca="false">E1720*(1-F$1715)+E1719*F$1715</f>
        <v>0.0800516777224276</v>
      </c>
      <c r="G1720" s="2" t="n">
        <f aca="false">F1720*(1-G$1715)+F1719*G$1715</f>
        <v>0.224032036569641</v>
      </c>
      <c r="H1720" s="2" t="n">
        <f aca="false">G1720*(1-H$1715)+G1719*H$1715</f>
        <v>0.254429311992553</v>
      </c>
      <c r="I1720" s="2" t="n">
        <f aca="false">H1720*(1-I$1715)+H1719*I$1715</f>
        <v>0.311558162917533</v>
      </c>
      <c r="J1720" s="2" t="n">
        <f aca="false">I1720*(1-J$1715)+I1719*J$1715</f>
        <v>0.306481050316154</v>
      </c>
      <c r="K1720" s="2" t="n">
        <f aca="false">J1720*(1-K$1715)+J1719*K$1715</f>
        <v>0.290492378380482</v>
      </c>
      <c r="L1720" s="2" t="n">
        <f aca="false">K1720*(1-L$1715)+K1719*L$1715</f>
        <v>0.245052642391958</v>
      </c>
      <c r="M1720" s="2" t="n">
        <f aca="false">L1720*(1-M$1715)+L1719*M$1715</f>
        <v>0.209710359747386</v>
      </c>
      <c r="N1720" s="2" t="n">
        <f aca="false">M1720*(1-N$1715)+M1719*N$1715</f>
        <v>0.196437618259819</v>
      </c>
      <c r="O1720" s="2" t="n">
        <f aca="false">N1720*(1-O$1715)+N1719*O$1715</f>
        <v>0.196437618259819</v>
      </c>
    </row>
    <row r="1721" customFormat="false" ht="15" hidden="false" customHeight="false" outlineLevel="0" collapsed="false">
      <c r="B1721" s="2" t="n">
        <v>5</v>
      </c>
      <c r="C1721" s="2" t="n">
        <f aca="false">0</f>
        <v>0</v>
      </c>
      <c r="D1721" s="2" t="n">
        <f aca="false">C1721*(1-D$1715)+C1720*D$1715</f>
        <v>0</v>
      </c>
      <c r="E1721" s="2" t="n">
        <f aca="false">D1721*(1-E$1715)+D1720*E$1715</f>
        <v>0</v>
      </c>
      <c r="F1721" s="2" t="n">
        <f aca="false">E1721*(1-F$1715)+E1720*F$1715</f>
        <v>0</v>
      </c>
      <c r="G1721" s="2" t="n">
        <f aca="false">F1721*(1-G$1715)+F1720*G$1715</f>
        <v>0.0500356568979993</v>
      </c>
      <c r="H1721" s="2" t="n">
        <f aca="false">G1721*(1-H$1715)+G1720*H$1715</f>
        <v>0.088170413815297</v>
      </c>
      <c r="I1721" s="2" t="n">
        <f aca="false">H1721*(1-I$1715)+H1720*I$1715</f>
        <v>0.197522306156793</v>
      </c>
      <c r="J1721" s="2" t="n">
        <f aca="false">I1721*(1-J$1715)+I1720*J$1715</f>
        <v>0.210099048282071</v>
      </c>
      <c r="K1721" s="2" t="n">
        <f aca="false">J1721*(1-K$1715)+J1720*K$1715</f>
        <v>0.237341001750453</v>
      </c>
      <c r="L1721" s="2" t="n">
        <f aca="false">K1721*(1-L$1715)+K1720*L$1715</f>
        <v>0.267869328764993</v>
      </c>
      <c r="M1721" s="2" t="n">
        <f aca="false">L1721*(1-M$1715)+L1720*M$1715</f>
        <v>0.260111963643628</v>
      </c>
      <c r="N1721" s="2" t="n">
        <f aca="false">M1721*(1-N$1715)+M1720*N$1715</f>
        <v>0.253410484987067</v>
      </c>
      <c r="O1721" s="2" t="n">
        <f aca="false">N1721*(1-O$1715)+N1720*O$1715</f>
        <v>0.253410484987067</v>
      </c>
    </row>
    <row r="1722" customFormat="false" ht="15" hidden="false" customHeight="false" outlineLevel="0" collapsed="false">
      <c r="B1722" s="2" t="n">
        <v>6</v>
      </c>
      <c r="C1722" s="2" t="n">
        <f aca="false">0</f>
        <v>0</v>
      </c>
      <c r="D1722" s="2" t="n">
        <f aca="false">C1722*(1-D$1715)+C1721*D$1715</f>
        <v>0</v>
      </c>
      <c r="E1722" s="2" t="n">
        <f aca="false">D1722*(1-E$1715)+D1721*E$1715</f>
        <v>0</v>
      </c>
      <c r="F1722" s="2" t="n">
        <f aca="false">E1722*(1-F$1715)+E1721*F$1715</f>
        <v>0</v>
      </c>
      <c r="G1722" s="2" t="n">
        <f aca="false">F1722*(1-G$1715)+F1721*G$1715</f>
        <v>0</v>
      </c>
      <c r="H1722" s="2" t="n">
        <f aca="false">G1722*(1-H$1715)+G1721*H$1715</f>
        <v>0.0109663064059343</v>
      </c>
      <c r="I1722" s="2" t="n">
        <f aca="false">H1722*(1-I$1715)+H1721*I$1715</f>
        <v>0.0617450336458386</v>
      </c>
      <c r="J1722" s="2" t="n">
        <f aca="false">I1722*(1-J$1715)+I1721*J$1715</f>
        <v>0.0767195845577219</v>
      </c>
      <c r="K1722" s="2" t="n">
        <f aca="false">J1722*(1-K$1715)+J1721*K$1715</f>
        <v>0.1144187095783</v>
      </c>
      <c r="L1722" s="2" t="n">
        <f aca="false">K1722*(1-L$1715)+K1721*L$1715</f>
        <v>0.185021056511459</v>
      </c>
      <c r="M1722" s="2" t="n">
        <f aca="false">L1722*(1-M$1715)+L1721*M$1715</f>
        <v>0.213188349826428</v>
      </c>
      <c r="N1722" s="2" t="n">
        <f aca="false">M1722*(1-N$1715)+M1721*N$1715</f>
        <v>0.219427389304855</v>
      </c>
      <c r="O1722" s="2" t="n">
        <f aca="false">N1722*(1-O$1715)+N1721*O$1715</f>
        <v>0.219427389304855</v>
      </c>
    </row>
    <row r="1723" customFormat="false" ht="15" hidden="false" customHeight="false" outlineLevel="0" collapsed="false">
      <c r="B1723" s="2" t="n">
        <v>7</v>
      </c>
      <c r="C1723" s="2" t="n">
        <f aca="false">0</f>
        <v>0</v>
      </c>
      <c r="D1723" s="2" t="n">
        <f aca="false">C1723*(1-D$1715)+C1722*D$1715</f>
        <v>0</v>
      </c>
      <c r="E1723" s="2" t="n">
        <f aca="false">D1723*(1-E$1715)+D1722*E$1715</f>
        <v>0</v>
      </c>
      <c r="F1723" s="2" t="n">
        <f aca="false">E1723*(1-F$1715)+E1722*F$1715</f>
        <v>0</v>
      </c>
      <c r="G1723" s="2" t="n">
        <f aca="false">F1723*(1-G$1715)+F1722*G$1715</f>
        <v>0</v>
      </c>
      <c r="H1723" s="2" t="n">
        <f aca="false">G1723*(1-H$1715)+G1722*H$1715</f>
        <v>0</v>
      </c>
      <c r="I1723" s="2" t="n">
        <f aca="false">H1723*(1-I$1715)+H1722*I$1715</f>
        <v>0.00721276497458249</v>
      </c>
      <c r="J1723" s="2" t="n">
        <f aca="false">I1723*(1-J$1715)+I1722*J$1715</f>
        <v>0.0132269985680018</v>
      </c>
      <c r="K1723" s="2" t="n">
        <f aca="false">J1723*(1-K$1715)+J1722*K$1715</f>
        <v>0.0311729017098305</v>
      </c>
      <c r="L1723" s="2" t="n">
        <f aca="false">K1723*(1-L$1715)+K1722*L$1715</f>
        <v>0.0789864374322973</v>
      </c>
      <c r="M1723" s="2" t="n">
        <f aca="false">L1723*(1-M$1715)+L1722*M$1715</f>
        <v>0.115036775428529</v>
      </c>
      <c r="N1723" s="2" t="n">
        <f aca="false">M1723*(1-N$1715)+M1722*N$1715</f>
        <v>0.128087167282913</v>
      </c>
      <c r="O1723" s="2" t="n">
        <f aca="false">N1723*(1-O$1715)+N1722*O$1715</f>
        <v>0.128087167282913</v>
      </c>
    </row>
    <row r="1724" customFormat="false" ht="15" hidden="false" customHeight="false" outlineLevel="0" collapsed="false">
      <c r="B1724" s="2" t="n">
        <v>8</v>
      </c>
      <c r="C1724" s="2" t="n">
        <f aca="false">0</f>
        <v>0</v>
      </c>
      <c r="D1724" s="2" t="n">
        <f aca="false">C1724*(1-D$1715)+C1723*D$1715</f>
        <v>0</v>
      </c>
      <c r="E1724" s="2" t="n">
        <f aca="false">D1724*(1-E$1715)+D1723*E$1715</f>
        <v>0</v>
      </c>
      <c r="F1724" s="2" t="n">
        <f aca="false">E1724*(1-F$1715)+E1723*F$1715</f>
        <v>0</v>
      </c>
      <c r="G1724" s="2" t="n">
        <f aca="false">F1724*(1-G$1715)+F1723*G$1715</f>
        <v>0</v>
      </c>
      <c r="H1724" s="2" t="n">
        <f aca="false">G1724*(1-H$1715)+G1723*H$1715</f>
        <v>0</v>
      </c>
      <c r="I1724" s="2" t="n">
        <f aca="false">H1724*(1-I$1715)+H1723*I$1715</f>
        <v>0</v>
      </c>
      <c r="J1724" s="2" t="n">
        <f aca="false">I1724*(1-J$1715)+I1723*J$1715</f>
        <v>0.00079547861236217</v>
      </c>
      <c r="K1724" s="2" t="n">
        <f aca="false">J1724*(1-K$1715)+J1723*K$1715</f>
        <v>0.00430919363202981</v>
      </c>
      <c r="L1724" s="2" t="n">
        <f aca="false">K1724*(1-L$1715)+K1723*L$1715</f>
        <v>0.0197387858085549</v>
      </c>
      <c r="M1724" s="2" t="n">
        <f aca="false">L1724*(1-M$1715)+L1723*M$1715</f>
        <v>0.0398821869455396</v>
      </c>
      <c r="N1724" s="2" t="n">
        <f aca="false">M1724*(1-N$1715)+M1723*N$1715</f>
        <v>0.0498748624107531</v>
      </c>
      <c r="O1724" s="2" t="n">
        <f aca="false">N1724*(1-O$1715)+N1723*O$1715</f>
        <v>0.0498748624107531</v>
      </c>
    </row>
    <row r="1725" customFormat="false" ht="15" hidden="false" customHeight="false" outlineLevel="0" collapsed="false">
      <c r="B1725" s="2" t="n">
        <v>9</v>
      </c>
      <c r="C1725" s="2" t="n">
        <f aca="false">0</f>
        <v>0</v>
      </c>
      <c r="D1725" s="2" t="n">
        <f aca="false">C1725*(1-D$1715)+C1724*D$1715</f>
        <v>0</v>
      </c>
      <c r="E1725" s="2" t="n">
        <f aca="false">D1725*(1-E$1715)+D1724*E$1715</f>
        <v>0</v>
      </c>
      <c r="F1725" s="2" t="n">
        <f aca="false">E1725*(1-F$1715)+E1724*F$1715</f>
        <v>0</v>
      </c>
      <c r="G1725" s="2" t="n">
        <f aca="false">F1725*(1-G$1715)+F1724*G$1715</f>
        <v>0</v>
      </c>
      <c r="H1725" s="2" t="n">
        <f aca="false">G1725*(1-H$1715)+G1724*H$1715</f>
        <v>0</v>
      </c>
      <c r="I1725" s="2" t="n">
        <f aca="false">H1725*(1-I$1715)+H1724*I$1715</f>
        <v>0</v>
      </c>
      <c r="J1725" s="2" t="n">
        <f aca="false">I1725*(1-J$1715)+I1724*J$1715</f>
        <v>0</v>
      </c>
      <c r="K1725" s="2" t="n">
        <f aca="false">J1725*(1-K$1715)+J1724*K$1715</f>
        <v>0.000224838568256759</v>
      </c>
      <c r="L1725" s="2" t="n">
        <f aca="false">K1725*(1-L$1715)+K1724*L$1715</f>
        <v>0.00257075197513379</v>
      </c>
      <c r="M1725" s="2" t="n">
        <f aca="false">L1725*(1-M$1715)+L1724*M$1715</f>
        <v>0.00840765154435391</v>
      </c>
      <c r="N1725" s="2" t="n">
        <f aca="false">M1725*(1-N$1715)+M1724*N$1715</f>
        <v>0.0125925566051222</v>
      </c>
      <c r="O1725" s="2" t="n">
        <f aca="false">N1725*(1-O$1715)+N1724*O$1715</f>
        <v>0.0125925566051222</v>
      </c>
    </row>
    <row r="1726" customFormat="false" ht="15" hidden="false" customHeight="false" outlineLevel="0" collapsed="false">
      <c r="B1726" s="2" t="n">
        <v>10</v>
      </c>
      <c r="C1726" s="2" t="n">
        <f aca="false">0</f>
        <v>0</v>
      </c>
      <c r="D1726" s="2" t="n">
        <f aca="false">C1726*(1-D$1715)+C1725*D$1715</f>
        <v>0</v>
      </c>
      <c r="E1726" s="2" t="n">
        <f aca="false">D1726*(1-E$1715)+D1725*E$1715</f>
        <v>0</v>
      </c>
      <c r="F1726" s="2" t="n">
        <f aca="false">E1726*(1-F$1715)+E1725*F$1715</f>
        <v>0</v>
      </c>
      <c r="G1726" s="2" t="n">
        <f aca="false">F1726*(1-G$1715)+F1725*G$1715</f>
        <v>0</v>
      </c>
      <c r="H1726" s="2" t="n">
        <f aca="false">G1726*(1-H$1715)+G1725*H$1715</f>
        <v>0</v>
      </c>
      <c r="I1726" s="2" t="n">
        <f aca="false">H1726*(1-I$1715)+H1725*I$1715</f>
        <v>0</v>
      </c>
      <c r="J1726" s="2" t="n">
        <f aca="false">I1726*(1-J$1715)+I1725*J$1715</f>
        <v>0</v>
      </c>
      <c r="K1726" s="2" t="n">
        <f aca="false">J1726*(1-K$1715)+J1725*K$1715</f>
        <v>0</v>
      </c>
      <c r="L1726" s="2" t="n">
        <f aca="false">K1726*(1-L$1715)+K1725*L$1715</f>
        <v>0.00012913955898078</v>
      </c>
      <c r="M1726" s="2" t="n">
        <f aca="false">L1726*(1-M$1715)+L1725*M$1715</f>
        <v>0.000959254795141523</v>
      </c>
      <c r="N1726" s="2" t="n">
        <f aca="false">M1726*(1-N$1715)+M1725*N$1715</f>
        <v>0.00194960565665781</v>
      </c>
      <c r="O1726" s="2" t="n">
        <f aca="false">N1726*(1-O$1715)+N1725*O$1715</f>
        <v>0.00194960565665781</v>
      </c>
    </row>
    <row r="1727" customFormat="false" ht="15" hidden="false" customHeight="false" outlineLevel="0" collapsed="false">
      <c r="B1727" s="2" t="n">
        <v>11</v>
      </c>
      <c r="C1727" s="2" t="n">
        <f aca="false">0</f>
        <v>0</v>
      </c>
      <c r="D1727" s="2" t="n">
        <f aca="false">C1727*(1-D$1715)+C1726*D$1715</f>
        <v>0</v>
      </c>
      <c r="E1727" s="2" t="n">
        <f aca="false">D1727*(1-E$1715)+D1726*E$1715</f>
        <v>0</v>
      </c>
      <c r="F1727" s="2" t="n">
        <f aca="false">E1727*(1-F$1715)+E1726*F$1715</f>
        <v>0</v>
      </c>
      <c r="G1727" s="2" t="n">
        <f aca="false">F1727*(1-G$1715)+F1726*G$1715</f>
        <v>0</v>
      </c>
      <c r="H1727" s="2" t="n">
        <f aca="false">G1727*(1-H$1715)+G1726*H$1715</f>
        <v>0</v>
      </c>
      <c r="I1727" s="2" t="n">
        <f aca="false">H1727*(1-I$1715)+H1726*I$1715</f>
        <v>0</v>
      </c>
      <c r="J1727" s="2" t="n">
        <f aca="false">I1727*(1-J$1715)+I1726*J$1715</f>
        <v>0</v>
      </c>
      <c r="K1727" s="2" t="n">
        <f aca="false">J1727*(1-K$1715)+J1726*K$1715</f>
        <v>0</v>
      </c>
      <c r="L1727" s="2" t="n">
        <f aca="false">K1727*(1-L$1715)+K1726*L$1715</f>
        <v>0</v>
      </c>
      <c r="M1727" s="2" t="n">
        <f aca="false">L1727*(1-M$1715)+L1726*M$1715</f>
        <v>4.3905705423111E-005</v>
      </c>
      <c r="N1727" s="2" t="n">
        <f aca="false">M1727*(1-N$1715)+M1726*N$1715</f>
        <v>0.00016561199875216</v>
      </c>
      <c r="O1727" s="2" t="n">
        <f aca="false">N1727*(1-O$1715)+N1726*O$1715</f>
        <v>0.00016561199875216</v>
      </c>
    </row>
    <row r="1728" customFormat="false" ht="15" hidden="false" customHeight="false" outlineLevel="0" collapsed="false">
      <c r="B1728" s="2" t="n">
        <v>12</v>
      </c>
      <c r="C1728" s="2" t="n">
        <f aca="false">0</f>
        <v>0</v>
      </c>
      <c r="D1728" s="2" t="n">
        <f aca="false">C1728*(1-D$1715)+C1727*D$1715</f>
        <v>0</v>
      </c>
      <c r="E1728" s="2" t="n">
        <f aca="false">D1728*(1-E$1715)+D1727*E$1715</f>
        <v>0</v>
      </c>
      <c r="F1728" s="2" t="n">
        <f aca="false">E1728*(1-F$1715)+E1727*F$1715</f>
        <v>0</v>
      </c>
      <c r="G1728" s="2" t="n">
        <f aca="false">F1728*(1-G$1715)+F1727*G$1715</f>
        <v>0</v>
      </c>
      <c r="H1728" s="2" t="n">
        <f aca="false">G1728*(1-H$1715)+G1727*H$1715</f>
        <v>0</v>
      </c>
      <c r="I1728" s="2" t="n">
        <f aca="false">H1728*(1-I$1715)+H1727*I$1715</f>
        <v>0</v>
      </c>
      <c r="J1728" s="2" t="n">
        <f aca="false">I1728*(1-J$1715)+I1727*J$1715</f>
        <v>0</v>
      </c>
      <c r="K1728" s="2" t="n">
        <f aca="false">J1728*(1-K$1715)+J1727*K$1715</f>
        <v>0</v>
      </c>
      <c r="L1728" s="2" t="n">
        <f aca="false">K1728*(1-L$1715)+K1727*L$1715</f>
        <v>0</v>
      </c>
      <c r="M1728" s="2" t="n">
        <f aca="false">L1728*(1-M$1715)+L1727*M$1715</f>
        <v>0</v>
      </c>
      <c r="N1728" s="2" t="n">
        <f aca="false">M1728*(1-N$1715)+M1727*N$1715</f>
        <v>5.83777350419152E-006</v>
      </c>
      <c r="O1728" s="2" t="n">
        <f aca="false">N1728*(1-O$1715)+N1727*O$1715</f>
        <v>5.83777350419152E-006</v>
      </c>
    </row>
    <row r="1729" customFormat="false" ht="15" hidden="false" customHeight="false" outlineLevel="0" collapsed="false">
      <c r="B1729" s="2" t="n">
        <v>13</v>
      </c>
      <c r="C1729" s="2" t="n">
        <f aca="false">0</f>
        <v>0</v>
      </c>
      <c r="D1729" s="2" t="n">
        <f aca="false">C1729*(1-D$1715)+C1728*D$1715</f>
        <v>0</v>
      </c>
      <c r="E1729" s="2" t="n">
        <f aca="false">D1729*(1-E$1715)+D1728*E$1715</f>
        <v>0</v>
      </c>
      <c r="F1729" s="2" t="n">
        <f aca="false">E1729*(1-F$1715)+E1728*F$1715</f>
        <v>0</v>
      </c>
      <c r="G1729" s="2" t="n">
        <f aca="false">F1729*(1-G$1715)+F1728*G$1715</f>
        <v>0</v>
      </c>
      <c r="H1729" s="2" t="n">
        <f aca="false">G1729*(1-H$1715)+G1728*H$1715</f>
        <v>0</v>
      </c>
      <c r="I1729" s="2" t="n">
        <f aca="false">H1729*(1-I$1715)+H1728*I$1715</f>
        <v>0</v>
      </c>
      <c r="J1729" s="2" t="n">
        <f aca="false">I1729*(1-J$1715)+I1728*J$1715</f>
        <v>0</v>
      </c>
      <c r="K1729" s="2" t="n">
        <f aca="false">J1729*(1-K$1715)+J1728*K$1715</f>
        <v>0</v>
      </c>
      <c r="L1729" s="2" t="n">
        <f aca="false">K1729*(1-L$1715)+K1728*L$1715</f>
        <v>0</v>
      </c>
      <c r="M1729" s="2" t="n">
        <f aca="false">L1729*(1-M$1715)+L1728*M$1715</f>
        <v>0</v>
      </c>
      <c r="N1729" s="2" t="n">
        <f aca="false">M1729*(1-N$1715)+M1728*N$1715</f>
        <v>0</v>
      </c>
      <c r="O1729" s="2" t="n">
        <f aca="false">N1729*(1-O$1715)+N1728*O$1715</f>
        <v>0</v>
      </c>
    </row>
    <row r="1731" customFormat="false" ht="15" hidden="false" customHeight="false" outlineLevel="0" collapsed="false">
      <c r="A1731" s="1" t="s">
        <v>166</v>
      </c>
      <c r="C1731" s="2" t="n">
        <f aca="false">Schedule!G110</f>
        <v>0.0701062717112231</v>
      </c>
      <c r="D1731" s="2" t="n">
        <f aca="false">Schedule!L110</f>
        <v>0.462653875444673</v>
      </c>
      <c r="E1731" s="2" t="n">
        <f aca="false">Schedule!Q110</f>
        <v>0.507479729489559</v>
      </c>
      <c r="F1731" s="2" t="n">
        <f aca="false">Schedule!V110</f>
        <v>0.998242810266598</v>
      </c>
      <c r="G1731" s="2" t="n">
        <f aca="false">Schedule!AA110</f>
        <v>0.693659420714973</v>
      </c>
      <c r="H1731" s="2" t="n">
        <f aca="false">Schedule!AF110</f>
        <v>0.641510788235092</v>
      </c>
      <c r="I1731" s="2" t="n">
        <f aca="false">Schedule!AK110</f>
        <v>0.715237094620453</v>
      </c>
      <c r="J1731" s="2" t="n">
        <f aca="false">Schedule!AP110</f>
        <v>0.664581662629831</v>
      </c>
      <c r="K1731" s="2" t="n">
        <f aca="false">Schedule!AU110</f>
        <v>0.704538857537264</v>
      </c>
      <c r="L1731" s="2" t="n">
        <f aca="false">Schedule!AZ110</f>
        <v>0.259868780665061</v>
      </c>
      <c r="M1731" s="2" t="n">
        <f aca="false">Schedule!BE110</f>
        <v>0.838301208542714</v>
      </c>
      <c r="N1731" s="2" t="n">
        <f aca="false">Schedule!BJ110</f>
        <v>0.495013351355962</v>
      </c>
      <c r="O1731" s="2" t="n">
        <f aca="false">Schedule!BO110</f>
        <v>0</v>
      </c>
    </row>
    <row r="1732" customFormat="false" ht="15" hidden="false" customHeight="false" outlineLevel="0" collapsed="false">
      <c r="B1732" s="2" t="n">
        <v>0</v>
      </c>
      <c r="C1732" s="2" t="n">
        <f aca="false">1-C$1731</f>
        <v>0.929893728288777</v>
      </c>
      <c r="D1732" s="2" t="n">
        <f aca="false">C1732*(1-D$1731)</f>
        <v>0.499674791144278</v>
      </c>
      <c r="E1732" s="2" t="n">
        <f aca="false">D1732*(1-E$1731)</f>
        <v>0.246099963301628</v>
      </c>
      <c r="F1732" s="2" t="n">
        <f aca="false">E1732*(1-F$1731)</f>
        <v>0.000432444328904229</v>
      </c>
      <c r="G1732" s="2" t="n">
        <f aca="false">F1732*(1-G$1731)</f>
        <v>0.000132475246225046</v>
      </c>
      <c r="H1732" s="2" t="n">
        <f aca="false">G1732*(1-H$1731)</f>
        <v>4.74909465975789E-005</v>
      </c>
      <c r="I1732" s="2" t="n">
        <f aca="false">H1732*(1-I$1731)</f>
        <v>1.35236599323515E-005</v>
      </c>
      <c r="J1732" s="2" t="n">
        <f aca="false">I1732*(1-J$1731)</f>
        <v>4.53608352966891E-006</v>
      </c>
      <c r="K1732" s="2" t="n">
        <f aca="false">J1732*(1-K$1731)</f>
        <v>1.34023642198238E-006</v>
      </c>
      <c r="L1732" s="2" t="n">
        <f aca="false">K1732*(1-L$1731)</f>
        <v>9.91950817198912E-007</v>
      </c>
      <c r="M1732" s="2" t="n">
        <f aca="false">L1732*(1-M$1731)</f>
        <v>1.60397248326131E-007</v>
      </c>
      <c r="N1732" s="2" t="n">
        <f aca="false">M1732*(1-N$1731)</f>
        <v>8.09984688839383E-008</v>
      </c>
      <c r="O1732" s="2" t="n">
        <f aca="false">N1732*(1-O$1731)</f>
        <v>8.09984688839383E-008</v>
      </c>
    </row>
    <row r="1733" customFormat="false" ht="15" hidden="false" customHeight="false" outlineLevel="0" collapsed="false">
      <c r="B1733" s="2" t="n">
        <v>1</v>
      </c>
      <c r="C1733" s="2" t="n">
        <f aca="false">C$1731</f>
        <v>0.0701062717112231</v>
      </c>
      <c r="D1733" s="2" t="n">
        <f aca="false">C1733*(1-D$1731)+C1732*D$1731</f>
        <v>0.467890270555547</v>
      </c>
      <c r="E1733" s="2" t="n">
        <f aca="false">D1733*(1-E$1731)+D1732*E$1731</f>
        <v>0.484020270465872</v>
      </c>
      <c r="F1733" s="2" t="n">
        <f aca="false">E1733*(1-F$1731)+E1732*F$1731</f>
        <v>0.246518034422745</v>
      </c>
      <c r="G1733" s="2" t="n">
        <f aca="false">F1733*(1-G$1731)+F1732*G$1731</f>
        <v>0.0758184465519489</v>
      </c>
      <c r="H1733" s="2" t="n">
        <f aca="false">G1733*(1-H$1731)+G1732*H$1731</f>
        <v>0.0272650794412755</v>
      </c>
      <c r="I1733" s="2" t="n">
        <f aca="false">H1733*(1-I$1731)+H1732*I$1731</f>
        <v>0.00779805052376698</v>
      </c>
      <c r="J1733" s="2" t="n">
        <f aca="false">I1733*(1-J$1731)+I1732*J$1731</f>
        <v>0.00262459671781318</v>
      </c>
      <c r="K1733" s="2" t="n">
        <f aca="false">J1733*(1-K$1731)+J1732*K$1731</f>
        <v>0.000778662191856716</v>
      </c>
      <c r="L1733" s="2" t="n">
        <f aca="false">K1733*(1-L$1731)+K1732*L$1731</f>
        <v>0.000576660483113711</v>
      </c>
      <c r="M1733" s="2" t="n">
        <f aca="false">L1733*(1-M$1731)+L1732*M$1731</f>
        <v>9.40768567695343E-005</v>
      </c>
      <c r="N1733" s="2" t="n">
        <f aca="false">M1733*(1-N$1731)+M1732*N$1731</f>
        <v>4.75869553944545E-005</v>
      </c>
      <c r="O1733" s="2" t="n">
        <f aca="false">N1733*(1-O$1731)+N1732*O$1731</f>
        <v>4.75869553944545E-005</v>
      </c>
    </row>
    <row r="1734" customFormat="false" ht="15" hidden="false" customHeight="false" outlineLevel="0" collapsed="false">
      <c r="B1734" s="2" t="n">
        <v>2</v>
      </c>
      <c r="C1734" s="2" t="n">
        <f aca="false">0</f>
        <v>0</v>
      </c>
      <c r="D1734" s="2" t="n">
        <f aca="false">C1734*(1-D$1731)+C1733*D$1731</f>
        <v>0.0324349383001746</v>
      </c>
      <c r="E1734" s="2" t="n">
        <f aca="false">D1734*(1-E$1731)+D1733*E$1731</f>
        <v>0.253419692517917</v>
      </c>
      <c r="F1734" s="2" t="n">
        <f aca="false">E1734*(1-F$1731)+E1733*F$1731</f>
        <v>0.483615061497785</v>
      </c>
      <c r="G1734" s="2" t="n">
        <f aca="false">F1734*(1-G$1731)+F1733*G$1731</f>
        <v>0.31915047504367</v>
      </c>
      <c r="H1734" s="2" t="n">
        <f aca="false">G1734*(1-H$1731)+G1733*H$1731</f>
        <v>0.163050353643102</v>
      </c>
      <c r="I1734" s="2" t="n">
        <f aca="false">H1734*(1-I$1731)+H1733*I$1731</f>
        <v>0.0659316886307461</v>
      </c>
      <c r="J1734" s="2" t="n">
        <f aca="false">I1734*(1-J$1731)+I1733*J$1731</f>
        <v>0.027297138762889</v>
      </c>
      <c r="K1734" s="2" t="n">
        <f aca="false">J1734*(1-K$1731)+J1733*K$1731</f>
        <v>0.00991437417791118</v>
      </c>
      <c r="L1734" s="2" t="n">
        <f aca="false">K1734*(1-L$1731)+K1733*L$1731</f>
        <v>0.00754028784358803</v>
      </c>
      <c r="M1734" s="2" t="n">
        <f aca="false">L1734*(1-M$1731)+L1733*M$1731</f>
        <v>0.0017026706114613</v>
      </c>
      <c r="N1734" s="2" t="n">
        <f aca="false">M1734*(1-N$1731)+M1733*N$1731</f>
        <v>0.000906395225981056</v>
      </c>
      <c r="O1734" s="2" t="n">
        <f aca="false">N1734*(1-O$1731)+N1733*O$1731</f>
        <v>0.000906395225981056</v>
      </c>
    </row>
    <row r="1735" customFormat="false" ht="15" hidden="false" customHeight="false" outlineLevel="0" collapsed="false">
      <c r="B1735" s="2" t="n">
        <v>3</v>
      </c>
      <c r="C1735" s="2" t="n">
        <f aca="false">0</f>
        <v>0</v>
      </c>
      <c r="D1735" s="2" t="n">
        <f aca="false">C1735*(1-D$1731)+C1734*D$1731</f>
        <v>0</v>
      </c>
      <c r="E1735" s="2" t="n">
        <f aca="false">D1735*(1-E$1731)+D1734*E$1731</f>
        <v>0.0164600737145832</v>
      </c>
      <c r="F1735" s="2" t="n">
        <f aca="false">E1735*(1-F$1731)+E1734*F$1731</f>
        <v>0.253003309508525</v>
      </c>
      <c r="G1735" s="2" t="n">
        <f aca="false">F1735*(1-G$1731)+F1734*G$1731</f>
        <v>0.41296932380346</v>
      </c>
      <c r="H1735" s="2" t="n">
        <f aca="false">G1735*(1-H$1731)+G1734*H$1731</f>
        <v>0.352783520184258</v>
      </c>
      <c r="I1735" s="2" t="n">
        <f aca="false">H1735*(1-I$1731)+H1734*I$1731</f>
        <v>0.217079321394223</v>
      </c>
      <c r="J1735" s="2" t="n">
        <f aca="false">I1735*(1-J$1731)+I1734*J$1731</f>
        <v>0.116629376309709</v>
      </c>
      <c r="K1735" s="2" t="n">
        <f aca="false">J1735*(1-K$1731)+J1734*K$1731</f>
        <v>0.0536913437272249</v>
      </c>
      <c r="L1735" s="2" t="n">
        <f aca="false">K1735*(1-L$1731)+K1734*L$1731</f>
        <v>0.0423150760292332</v>
      </c>
      <c r="M1735" s="2" t="n">
        <f aca="false">L1735*(1-M$1731)+L1734*M$1731</f>
        <v>0.0131633290663899</v>
      </c>
      <c r="N1735" s="2" t="n">
        <f aca="false">M1735*(1-N$1731)+M1734*N$1731</f>
        <v>0.00749015011586967</v>
      </c>
      <c r="O1735" s="2" t="n">
        <f aca="false">N1735*(1-O$1731)+N1734*O$1731</f>
        <v>0.00749015011586967</v>
      </c>
    </row>
    <row r="1736" customFormat="false" ht="15" hidden="false" customHeight="false" outlineLevel="0" collapsed="false">
      <c r="B1736" s="2" t="n">
        <v>4</v>
      </c>
      <c r="C1736" s="2" t="n">
        <f aca="false">0</f>
        <v>0</v>
      </c>
      <c r="D1736" s="2" t="n">
        <f aca="false">C1736*(1-D$1731)+C1735*D$1731</f>
        <v>0</v>
      </c>
      <c r="E1736" s="2" t="n">
        <f aca="false">D1736*(1-E$1731)+D1735*E$1731</f>
        <v>0</v>
      </c>
      <c r="F1736" s="2" t="n">
        <f aca="false">E1736*(1-F$1731)+E1735*F$1731</f>
        <v>0.0164311502420409</v>
      </c>
      <c r="G1736" s="2" t="n">
        <f aca="false">F1736*(1-G$1731)+F1735*G$1731</f>
        <v>0.180531657196121</v>
      </c>
      <c r="H1736" s="2" t="n">
        <f aca="false">G1736*(1-H$1731)+G1735*H$1731</f>
        <v>0.329642927916921</v>
      </c>
      <c r="I1736" s="2" t="n">
        <f aca="false">H1736*(1-I$1731)+H1735*I$1731</f>
        <v>0.346193937898008</v>
      </c>
      <c r="J1736" s="2" t="n">
        <f aca="false">I1736*(1-J$1731)+I1735*J$1731</f>
        <v>0.26038673139211</v>
      </c>
      <c r="K1736" s="2" t="n">
        <f aca="false">J1736*(1-K$1731)+J1735*K$1731</f>
        <v>0.159104088679776</v>
      </c>
      <c r="L1736" s="2" t="n">
        <f aca="false">K1736*(1-L$1731)+K1735*L$1731</f>
        <v>0.131710607182399</v>
      </c>
      <c r="M1736" s="2" t="n">
        <f aca="false">L1736*(1-M$1731)+L1735*M$1731</f>
        <v>0.0567702253783823</v>
      </c>
      <c r="N1736" s="2" t="n">
        <f aca="false">M1736*(1-N$1731)+M1735*N$1731</f>
        <v>0.035184229492751</v>
      </c>
      <c r="O1736" s="2" t="n">
        <f aca="false">N1736*(1-O$1731)+N1735*O$1731</f>
        <v>0.035184229492751</v>
      </c>
    </row>
    <row r="1737" customFormat="false" ht="15" hidden="false" customHeight="false" outlineLevel="0" collapsed="false">
      <c r="B1737" s="2" t="n">
        <v>5</v>
      </c>
      <c r="C1737" s="2" t="n">
        <f aca="false">0</f>
        <v>0</v>
      </c>
      <c r="D1737" s="2" t="n">
        <f aca="false">C1737*(1-D$1731)+C1736*D$1731</f>
        <v>0</v>
      </c>
      <c r="E1737" s="2" t="n">
        <f aca="false">D1737*(1-E$1731)+D1736*E$1731</f>
        <v>0</v>
      </c>
      <c r="F1737" s="2" t="n">
        <f aca="false">E1737*(1-F$1731)+E1736*F$1731</f>
        <v>0</v>
      </c>
      <c r="G1737" s="2" t="n">
        <f aca="false">F1737*(1-G$1731)+F1736*G$1731</f>
        <v>0.0113976221585748</v>
      </c>
      <c r="H1737" s="2" t="n">
        <f aca="false">G1737*(1-H$1731)+G1736*H$1731</f>
        <v>0.119898930292893</v>
      </c>
      <c r="I1737" s="2" t="n">
        <f aca="false">H1737*(1-I$1731)+H1736*I$1731</f>
        <v>0.269915617767582</v>
      </c>
      <c r="J1737" s="2" t="n">
        <f aca="false">I1737*(1-J$1731)+I1736*J$1731</f>
        <v>0.320608790582471</v>
      </c>
      <c r="K1737" s="2" t="n">
        <f aca="false">J1737*(1-K$1731)+J1736*K$1731</f>
        <v>0.278180009801952</v>
      </c>
      <c r="L1737" s="2" t="n">
        <f aca="false">K1737*(1-L$1731)+K1736*L$1731</f>
        <v>0.247235895373363</v>
      </c>
      <c r="M1737" s="2" t="n">
        <f aca="false">L1737*(1-M$1731)+L1736*M$1731</f>
        <v>0.150390906665633</v>
      </c>
      <c r="N1737" s="2" t="n">
        <f aca="false">M1737*(1-N$1731)+M1736*N$1731</f>
        <v>0.104047419465403</v>
      </c>
      <c r="O1737" s="2" t="n">
        <f aca="false">N1737*(1-O$1731)+N1736*O$1731</f>
        <v>0.104047419465403</v>
      </c>
    </row>
    <row r="1738" customFormat="false" ht="15" hidden="false" customHeight="false" outlineLevel="0" collapsed="false">
      <c r="B1738" s="2" t="n">
        <v>6</v>
      </c>
      <c r="C1738" s="2" t="n">
        <f aca="false">0</f>
        <v>0</v>
      </c>
      <c r="D1738" s="2" t="n">
        <f aca="false">C1738*(1-D$1731)+C1737*D$1731</f>
        <v>0</v>
      </c>
      <c r="E1738" s="2" t="n">
        <f aca="false">D1738*(1-E$1731)+D1737*E$1731</f>
        <v>0</v>
      </c>
      <c r="F1738" s="2" t="n">
        <f aca="false">E1738*(1-F$1731)+E1737*F$1731</f>
        <v>0</v>
      </c>
      <c r="G1738" s="2" t="n">
        <f aca="false">F1738*(1-G$1731)+F1737*G$1731</f>
        <v>0</v>
      </c>
      <c r="H1738" s="2" t="n">
        <f aca="false">G1738*(1-H$1731)+G1737*H$1731</f>
        <v>0.00731169757495305</v>
      </c>
      <c r="I1738" s="2" t="n">
        <f aca="false">H1738*(1-I$1731)+H1737*I$1731</f>
        <v>0.0878382627954889</v>
      </c>
      <c r="J1738" s="2" t="n">
        <f aca="false">I1738*(1-J$1731)+I1737*J$1731</f>
        <v>0.208843534090084</v>
      </c>
      <c r="K1738" s="2" t="n">
        <f aca="false">J1738*(1-K$1731)+J1737*K$1731</f>
        <v>0.28758650021159</v>
      </c>
      <c r="L1738" s="2" t="n">
        <f aca="false">K1738*(1-L$1731)+K1737*L$1731</f>
        <v>0.2851420470185</v>
      </c>
      <c r="M1738" s="2" t="n">
        <f aca="false">L1738*(1-M$1731)+L1737*M$1731</f>
        <v>0.253365274283178</v>
      </c>
      <c r="N1738" s="2" t="n">
        <f aca="false">M1738*(1-N$1731)+M1737*N$1731</f>
        <v>0.202391587465056</v>
      </c>
      <c r="O1738" s="2" t="n">
        <f aca="false">N1738*(1-O$1731)+N1737*O$1731</f>
        <v>0.202391587465056</v>
      </c>
    </row>
    <row r="1739" customFormat="false" ht="15" hidden="false" customHeight="false" outlineLevel="0" collapsed="false">
      <c r="B1739" s="2" t="n">
        <v>7</v>
      </c>
      <c r="C1739" s="2" t="n">
        <f aca="false">0</f>
        <v>0</v>
      </c>
      <c r="D1739" s="2" t="n">
        <f aca="false">C1739*(1-D$1731)+C1738*D$1731</f>
        <v>0</v>
      </c>
      <c r="E1739" s="2" t="n">
        <f aca="false">D1739*(1-E$1731)+D1738*E$1731</f>
        <v>0</v>
      </c>
      <c r="F1739" s="2" t="n">
        <f aca="false">E1739*(1-F$1731)+E1738*F$1731</f>
        <v>0</v>
      </c>
      <c r="G1739" s="2" t="n">
        <f aca="false">F1739*(1-G$1731)+F1738*G$1731</f>
        <v>0</v>
      </c>
      <c r="H1739" s="2" t="n">
        <f aca="false">G1739*(1-H$1731)+G1738*H$1731</f>
        <v>0</v>
      </c>
      <c r="I1739" s="2" t="n">
        <f aca="false">H1739*(1-I$1731)+H1738*I$1731</f>
        <v>0.00522959733025283</v>
      </c>
      <c r="J1739" s="2" t="n">
        <f aca="false">I1739*(1-J$1731)+I1738*J$1731</f>
        <v>0.0601298015727709</v>
      </c>
      <c r="K1739" s="2" t="n">
        <f aca="false">J1739*(1-K$1731)+J1738*K$1731</f>
        <v>0.164904404780621</v>
      </c>
      <c r="L1739" s="2" t="n">
        <f aca="false">K1739*(1-L$1731)+K1738*L$1731</f>
        <v>0.196785651329701</v>
      </c>
      <c r="M1739" s="2" t="n">
        <f aca="false">L1739*(1-M$1731)+L1738*M$1731</f>
        <v>0.270854924618099</v>
      </c>
      <c r="N1739" s="2" t="n">
        <f aca="false">M1739*(1-N$1731)+M1738*N$1731</f>
        <v>0.262197314191766</v>
      </c>
      <c r="O1739" s="2" t="n">
        <f aca="false">N1739*(1-O$1731)+N1738*O$1731</f>
        <v>0.262197314191766</v>
      </c>
    </row>
    <row r="1740" customFormat="false" ht="15" hidden="false" customHeight="false" outlineLevel="0" collapsed="false">
      <c r="B1740" s="2" t="n">
        <v>8</v>
      </c>
      <c r="C1740" s="2" t="n">
        <f aca="false">0</f>
        <v>0</v>
      </c>
      <c r="D1740" s="2" t="n">
        <f aca="false">C1740*(1-D$1731)+C1739*D$1731</f>
        <v>0</v>
      </c>
      <c r="E1740" s="2" t="n">
        <f aca="false">D1740*(1-E$1731)+D1739*E$1731</f>
        <v>0</v>
      </c>
      <c r="F1740" s="2" t="n">
        <f aca="false">E1740*(1-F$1731)+E1739*F$1731</f>
        <v>0</v>
      </c>
      <c r="G1740" s="2" t="n">
        <f aca="false">F1740*(1-G$1731)+F1739*G$1731</f>
        <v>0</v>
      </c>
      <c r="H1740" s="2" t="n">
        <f aca="false">G1740*(1-H$1731)+G1739*H$1731</f>
        <v>0</v>
      </c>
      <c r="I1740" s="2" t="n">
        <f aca="false">H1740*(1-I$1731)+H1739*I$1731</f>
        <v>0</v>
      </c>
      <c r="J1740" s="2" t="n">
        <f aca="false">I1740*(1-J$1731)+I1739*J$1731</f>
        <v>0.00347549448862395</v>
      </c>
      <c r="K1740" s="2" t="n">
        <f aca="false">J1740*(1-K$1731)+J1739*K$1731</f>
        <v>0.0433906552762542</v>
      </c>
      <c r="L1740" s="2" t="n">
        <f aca="false">K1740*(1-L$1731)+K1739*L$1731</f>
        <v>0.0749682851939937</v>
      </c>
      <c r="M1740" s="2" t="n">
        <f aca="false">L1740*(1-M$1731)+L1739*M$1731</f>
        <v>0.177087930447048</v>
      </c>
      <c r="N1740" s="2" t="n">
        <f aca="false">M1740*(1-N$1731)+M1739*N$1731</f>
        <v>0.223503844478235</v>
      </c>
      <c r="O1740" s="2" t="n">
        <f aca="false">N1740*(1-O$1731)+N1739*O$1731</f>
        <v>0.223503844478235</v>
      </c>
    </row>
    <row r="1741" customFormat="false" ht="15" hidden="false" customHeight="false" outlineLevel="0" collapsed="false">
      <c r="B1741" s="2" t="n">
        <v>9</v>
      </c>
      <c r="C1741" s="2" t="n">
        <f aca="false">0</f>
        <v>0</v>
      </c>
      <c r="D1741" s="2" t="n">
        <f aca="false">C1741*(1-D$1731)+C1740*D$1731</f>
        <v>0</v>
      </c>
      <c r="E1741" s="2" t="n">
        <f aca="false">D1741*(1-E$1731)+D1740*E$1731</f>
        <v>0</v>
      </c>
      <c r="F1741" s="2" t="n">
        <f aca="false">E1741*(1-F$1731)+E1740*F$1731</f>
        <v>0</v>
      </c>
      <c r="G1741" s="2" t="n">
        <f aca="false">F1741*(1-G$1731)+F1740*G$1731</f>
        <v>0</v>
      </c>
      <c r="H1741" s="2" t="n">
        <f aca="false">G1741*(1-H$1731)+G1740*H$1731</f>
        <v>0</v>
      </c>
      <c r="I1741" s="2" t="n">
        <f aca="false">H1741*(1-I$1731)+H1740*I$1731</f>
        <v>0</v>
      </c>
      <c r="J1741" s="2" t="n">
        <f aca="false">I1741*(1-J$1731)+I1740*J$1731</f>
        <v>0</v>
      </c>
      <c r="K1741" s="2" t="n">
        <f aca="false">J1741*(1-K$1731)+J1740*K$1731</f>
        <v>0.00244862091639217</v>
      </c>
      <c r="L1741" s="2" t="n">
        <f aca="false">K1741*(1-L$1731)+K1740*L$1731</f>
        <v>0.0130881774634366</v>
      </c>
      <c r="M1741" s="2" t="n">
        <f aca="false">L1741*(1-M$1731)+L1740*M$1731</f>
        <v>0.0649623465587159</v>
      </c>
      <c r="N1741" s="2" t="n">
        <f aca="false">M1741*(1-N$1731)+M1740*N$1731</f>
        <v>0.120466007612023</v>
      </c>
      <c r="O1741" s="2" t="n">
        <f aca="false">N1741*(1-O$1731)+N1740*O$1731</f>
        <v>0.120466007612023</v>
      </c>
    </row>
    <row r="1742" customFormat="false" ht="15" hidden="false" customHeight="false" outlineLevel="0" collapsed="false">
      <c r="B1742" s="2" t="n">
        <v>10</v>
      </c>
      <c r="C1742" s="2" t="n">
        <f aca="false">0</f>
        <v>0</v>
      </c>
      <c r="D1742" s="2" t="n">
        <f aca="false">C1742*(1-D$1731)+C1741*D$1731</f>
        <v>0</v>
      </c>
      <c r="E1742" s="2" t="n">
        <f aca="false">D1742*(1-E$1731)+D1741*E$1731</f>
        <v>0</v>
      </c>
      <c r="F1742" s="2" t="n">
        <f aca="false">E1742*(1-F$1731)+E1741*F$1731</f>
        <v>0</v>
      </c>
      <c r="G1742" s="2" t="n">
        <f aca="false">F1742*(1-G$1731)+F1741*G$1731</f>
        <v>0</v>
      </c>
      <c r="H1742" s="2" t="n">
        <f aca="false">G1742*(1-H$1731)+G1741*H$1731</f>
        <v>0</v>
      </c>
      <c r="I1742" s="2" t="n">
        <f aca="false">H1742*(1-I$1731)+H1741*I$1731</f>
        <v>0</v>
      </c>
      <c r="J1742" s="2" t="n">
        <f aca="false">I1742*(1-J$1731)+I1741*J$1731</f>
        <v>0</v>
      </c>
      <c r="K1742" s="2" t="n">
        <f aca="false">J1742*(1-K$1731)+J1741*K$1731</f>
        <v>0</v>
      </c>
      <c r="L1742" s="2" t="n">
        <f aca="false">K1742*(1-L$1731)+K1741*L$1731</f>
        <v>0.000636320131853799</v>
      </c>
      <c r="M1742" s="2" t="n">
        <f aca="false">L1742*(1-M$1731)+L1741*M$1731</f>
        <v>0.0110747271815211</v>
      </c>
      <c r="N1742" s="2" t="n">
        <f aca="false">M1742*(1-N$1731)+M1741*N$1731</f>
        <v>0.0377498182460208</v>
      </c>
      <c r="O1742" s="2" t="n">
        <f aca="false">N1742*(1-O$1731)+N1741*O$1731</f>
        <v>0.0377498182460208</v>
      </c>
    </row>
    <row r="1743" customFormat="false" ht="15" hidden="false" customHeight="false" outlineLevel="0" collapsed="false">
      <c r="B1743" s="2" t="n">
        <v>11</v>
      </c>
      <c r="C1743" s="2" t="n">
        <f aca="false">0</f>
        <v>0</v>
      </c>
      <c r="D1743" s="2" t="n">
        <f aca="false">C1743*(1-D$1731)+C1742*D$1731</f>
        <v>0</v>
      </c>
      <c r="E1743" s="2" t="n">
        <f aca="false">D1743*(1-E$1731)+D1742*E$1731</f>
        <v>0</v>
      </c>
      <c r="F1743" s="2" t="n">
        <f aca="false">E1743*(1-F$1731)+E1742*F$1731</f>
        <v>0</v>
      </c>
      <c r="G1743" s="2" t="n">
        <f aca="false">F1743*(1-G$1731)+F1742*G$1731</f>
        <v>0</v>
      </c>
      <c r="H1743" s="2" t="n">
        <f aca="false">G1743*(1-H$1731)+G1742*H$1731</f>
        <v>0</v>
      </c>
      <c r="I1743" s="2" t="n">
        <f aca="false">H1743*(1-I$1731)+H1742*I$1731</f>
        <v>0</v>
      </c>
      <c r="J1743" s="2" t="n">
        <f aca="false">I1743*(1-J$1731)+I1742*J$1731</f>
        <v>0</v>
      </c>
      <c r="K1743" s="2" t="n">
        <f aca="false">J1743*(1-K$1731)+J1742*K$1731</f>
        <v>0</v>
      </c>
      <c r="L1743" s="2" t="n">
        <f aca="false">K1743*(1-L$1731)+K1742*L$1731</f>
        <v>0</v>
      </c>
      <c r="M1743" s="2" t="n">
        <f aca="false">L1743*(1-M$1731)+L1742*M$1731</f>
        <v>0.000533427935553099</v>
      </c>
      <c r="N1743" s="2" t="n">
        <f aca="false">M1743*(1-N$1731)+M1742*N$1731</f>
        <v>0.00575151180294579</v>
      </c>
      <c r="O1743" s="2" t="n">
        <f aca="false">N1743*(1-O$1731)+N1742*O$1731</f>
        <v>0.00575151180294579</v>
      </c>
    </row>
    <row r="1744" customFormat="false" ht="15" hidden="false" customHeight="false" outlineLevel="0" collapsed="false">
      <c r="B1744" s="2" t="n">
        <v>12</v>
      </c>
      <c r="C1744" s="2" t="n">
        <f aca="false">0</f>
        <v>0</v>
      </c>
      <c r="D1744" s="2" t="n">
        <f aca="false">C1744*(1-D$1731)+C1743*D$1731</f>
        <v>0</v>
      </c>
      <c r="E1744" s="2" t="n">
        <f aca="false">D1744*(1-E$1731)+D1743*E$1731</f>
        <v>0</v>
      </c>
      <c r="F1744" s="2" t="n">
        <f aca="false">E1744*(1-F$1731)+E1743*F$1731</f>
        <v>0</v>
      </c>
      <c r="G1744" s="2" t="n">
        <f aca="false">F1744*(1-G$1731)+F1743*G$1731</f>
        <v>0</v>
      </c>
      <c r="H1744" s="2" t="n">
        <f aca="false">G1744*(1-H$1731)+G1743*H$1731</f>
        <v>0</v>
      </c>
      <c r="I1744" s="2" t="n">
        <f aca="false">H1744*(1-I$1731)+H1743*I$1731</f>
        <v>0</v>
      </c>
      <c r="J1744" s="2" t="n">
        <f aca="false">I1744*(1-J$1731)+I1743*J$1731</f>
        <v>0</v>
      </c>
      <c r="K1744" s="2" t="n">
        <f aca="false">J1744*(1-K$1731)+J1743*K$1731</f>
        <v>0</v>
      </c>
      <c r="L1744" s="2" t="n">
        <f aca="false">K1744*(1-L$1731)+K1743*L$1731</f>
        <v>0</v>
      </c>
      <c r="M1744" s="2" t="n">
        <f aca="false">L1744*(1-M$1731)+L1743*M$1731</f>
        <v>0</v>
      </c>
      <c r="N1744" s="2" t="n">
        <f aca="false">M1744*(1-N$1731)+M1743*N$1731</f>
        <v>0.000264053950085032</v>
      </c>
      <c r="O1744" s="2" t="n">
        <f aca="false">N1744*(1-O$1731)+N1743*O$1731</f>
        <v>0.000264053950085032</v>
      </c>
    </row>
    <row r="1745" customFormat="false" ht="15" hidden="false" customHeight="false" outlineLevel="0" collapsed="false">
      <c r="B1745" s="2" t="n">
        <v>13</v>
      </c>
      <c r="C1745" s="2" t="n">
        <f aca="false">0</f>
        <v>0</v>
      </c>
      <c r="D1745" s="2" t="n">
        <f aca="false">C1745*(1-D$1731)+C1744*D$1731</f>
        <v>0</v>
      </c>
      <c r="E1745" s="2" t="n">
        <f aca="false">D1745*(1-E$1731)+D1744*E$1731</f>
        <v>0</v>
      </c>
      <c r="F1745" s="2" t="n">
        <f aca="false">E1745*(1-F$1731)+E1744*F$1731</f>
        <v>0</v>
      </c>
      <c r="G1745" s="2" t="n">
        <f aca="false">F1745*(1-G$1731)+F1744*G$1731</f>
        <v>0</v>
      </c>
      <c r="H1745" s="2" t="n">
        <f aca="false">G1745*(1-H$1731)+G1744*H$1731</f>
        <v>0</v>
      </c>
      <c r="I1745" s="2" t="n">
        <f aca="false">H1745*(1-I$1731)+H1744*I$1731</f>
        <v>0</v>
      </c>
      <c r="J1745" s="2" t="n">
        <f aca="false">I1745*(1-J$1731)+I1744*J$1731</f>
        <v>0</v>
      </c>
      <c r="K1745" s="2" t="n">
        <f aca="false">J1745*(1-K$1731)+J1744*K$1731</f>
        <v>0</v>
      </c>
      <c r="L1745" s="2" t="n">
        <f aca="false">K1745*(1-L$1731)+K1744*L$1731</f>
        <v>0</v>
      </c>
      <c r="M1745" s="2" t="n">
        <f aca="false">L1745*(1-M$1731)+L1744*M$1731</f>
        <v>0</v>
      </c>
      <c r="N1745" s="2" t="n">
        <f aca="false">M1745*(1-N$1731)+M1744*N$1731</f>
        <v>0</v>
      </c>
      <c r="O1745" s="2" t="n">
        <f aca="false">N1745*(1-O$1731)+N1744*O$1731</f>
        <v>0</v>
      </c>
    </row>
    <row r="1747" customFormat="false" ht="15" hidden="false" customHeight="false" outlineLevel="0" collapsed="false">
      <c r="A1747" s="1" t="s">
        <v>167</v>
      </c>
      <c r="C1747" s="2" t="n">
        <f aca="false">Schedule!G111</f>
        <v>0.967843225204386</v>
      </c>
      <c r="D1747" s="2" t="n">
        <f aca="false">Schedule!L111</f>
        <v>0.180752784766576</v>
      </c>
      <c r="E1747" s="2" t="n">
        <f aca="false">Schedule!Q111</f>
        <v>0.653117188736853</v>
      </c>
      <c r="F1747" s="2" t="n">
        <f aca="false">Schedule!V111</f>
        <v>0.257846110805865</v>
      </c>
      <c r="G1747" s="2" t="n">
        <f aca="false">Schedule!AA111</f>
        <v>0.319624171517118</v>
      </c>
      <c r="H1747" s="2" t="n">
        <f aca="false">Schedule!AF111</f>
        <v>0.370227827724972</v>
      </c>
      <c r="I1747" s="2" t="n">
        <f aca="false">Schedule!AK111</f>
        <v>0.92904969486101</v>
      </c>
      <c r="J1747" s="2" t="n">
        <f aca="false">Schedule!AP111</f>
        <v>0.241963652223073</v>
      </c>
      <c r="K1747" s="2" t="n">
        <f aca="false">Schedule!AU111</f>
        <v>0.210049357017915</v>
      </c>
      <c r="L1747" s="2" t="n">
        <f aca="false">Schedule!AZ111</f>
        <v>0.297622774366408</v>
      </c>
      <c r="M1747" s="2" t="n">
        <f aca="false">Schedule!BE111</f>
        <v>0.437917983191705</v>
      </c>
      <c r="N1747" s="2" t="n">
        <f aca="false">Schedule!BJ111</f>
        <v>0.41098963713127</v>
      </c>
      <c r="O1747" s="2" t="n">
        <f aca="false">Schedule!BO111</f>
        <v>0</v>
      </c>
    </row>
    <row r="1748" customFormat="false" ht="15" hidden="false" customHeight="false" outlineLevel="0" collapsed="false">
      <c r="B1748" s="2" t="n">
        <v>0</v>
      </c>
      <c r="C1748" s="2" t="n">
        <f aca="false">1-C$1747</f>
        <v>0.0321567747956137</v>
      </c>
      <c r="D1748" s="2" t="n">
        <f aca="false">C1748*(1-D$1747)</f>
        <v>0.0263443482021949</v>
      </c>
      <c r="E1748" s="2" t="n">
        <f aca="false">D1748*(1-E$1747)</f>
        <v>0.0091384015652726</v>
      </c>
      <c r="F1748" s="2" t="n">
        <f aca="false">E1748*(1-F$1747)</f>
        <v>0.00678210026268483</v>
      </c>
      <c r="G1748" s="2" t="n">
        <f aca="false">F1748*(1-G$1747)</f>
        <v>0.00461437708507817</v>
      </c>
      <c r="H1748" s="2" t="n">
        <f aca="false">G1748*(1-H$1747)</f>
        <v>0.00290600628056579</v>
      </c>
      <c r="I1748" s="2" t="n">
        <f aca="false">H1748*(1-I$1747)</f>
        <v>0.000206182032341965</v>
      </c>
      <c r="J1748" s="2" t="n">
        <f aca="false">I1748*(1-J$1747)</f>
        <v>0.000156293474773727</v>
      </c>
      <c r="K1748" s="2" t="n">
        <f aca="false">J1748*(1-K$1747)</f>
        <v>0.00012346413089141</v>
      </c>
      <c r="L1748" s="2" t="n">
        <f aca="false">K1748*(1-L$1747)</f>
        <v>8.67183937207713E-005</v>
      </c>
      <c r="M1748" s="2" t="n">
        <f aca="false">L1748*(1-M$1747)</f>
        <v>4.87428496369469E-005</v>
      </c>
      <c r="N1748" s="2" t="n">
        <f aca="false">M1748*(1-N$1747)</f>
        <v>2.8710043551914E-005</v>
      </c>
      <c r="O1748" s="2" t="n">
        <f aca="false">N1748*(1-O$1747)</f>
        <v>2.8710043551914E-005</v>
      </c>
    </row>
    <row r="1749" customFormat="false" ht="15" hidden="false" customHeight="false" outlineLevel="0" collapsed="false">
      <c r="B1749" s="2" t="n">
        <v>1</v>
      </c>
      <c r="C1749" s="2" t="n">
        <f aca="false">C$1747</f>
        <v>0.967843225204386</v>
      </c>
      <c r="D1749" s="2" t="n">
        <f aca="false">C1749*(1-D$1747)+C1748*D$1747</f>
        <v>0.798715293624648</v>
      </c>
      <c r="E1749" s="2" t="n">
        <f aca="false">D1749*(1-E$1747)+D1748*E$1747</f>
        <v>0.29426655308831</v>
      </c>
      <c r="F1749" s="2" t="n">
        <f aca="false">E1749*(1-F$1747)+E1748*F$1747</f>
        <v>0.220747368136829</v>
      </c>
      <c r="G1749" s="2" t="n">
        <f aca="false">F1749*(1-G$1747)+F1748*G$1747</f>
        <v>0.152358896659118</v>
      </c>
      <c r="H1749" s="2" t="n">
        <f aca="false">G1749*(1-H$1747)+G1748*H$1747</f>
        <v>0.0976597641189514</v>
      </c>
      <c r="I1749" s="2" t="n">
        <f aca="false">H1749*(1-I$1747)+H1748*I$1747</f>
        <v>0.00962881431226524</v>
      </c>
      <c r="J1749" s="2" t="n">
        <f aca="false">I1749*(1-J$1747)+I1748*J$1747</f>
        <v>0.00734887979225998</v>
      </c>
      <c r="K1749" s="2" t="n">
        <f aca="false">J1749*(1-K$1747)+J1748*K$1747</f>
        <v>0.00583808166097614</v>
      </c>
      <c r="L1749" s="2" t="n">
        <f aca="false">K1749*(1-L$1747)+K1748*L$1747</f>
        <v>0.00413728133722942</v>
      </c>
      <c r="M1749" s="2" t="n">
        <f aca="false">L1749*(1-M$1747)+L1748*M$1747</f>
        <v>0.00236346698221705</v>
      </c>
      <c r="N1749" s="2" t="n">
        <f aca="false">M1749*(1-N$1747)+M1748*N$1747</f>
        <v>0.00141213935090896</v>
      </c>
      <c r="O1749" s="2" t="n">
        <f aca="false">N1749*(1-O$1747)+N1748*O$1747</f>
        <v>0.00141213935090896</v>
      </c>
    </row>
    <row r="1750" customFormat="false" ht="15" hidden="false" customHeight="false" outlineLevel="0" collapsed="false">
      <c r="B1750" s="2" t="n">
        <v>2</v>
      </c>
      <c r="C1750" s="2" t="n">
        <f aca="false">0</f>
        <v>0</v>
      </c>
      <c r="D1750" s="2" t="n">
        <f aca="false">C1750*(1-D$1747)+C1749*D$1747</f>
        <v>0.174940358173157</v>
      </c>
      <c r="E1750" s="2" t="n">
        <f aca="false">D1750*(1-E$1747)+D1749*E$1747</f>
        <v>0.582338490419747</v>
      </c>
      <c r="F1750" s="2" t="n">
        <f aca="false">E1750*(1-F$1747)+E1749*F$1747</f>
        <v>0.508060261746525</v>
      </c>
      <c r="G1750" s="2" t="n">
        <f aca="false">F1750*(1-G$1747)+F1749*G$1747</f>
        <v>0.41622811616034</v>
      </c>
      <c r="H1750" s="2" t="n">
        <f aca="false">G1750*(1-H$1747)+G1749*H$1747</f>
        <v>0.318536388220919</v>
      </c>
      <c r="I1750" s="2" t="n">
        <f aca="false">H1750*(1-I$1747)+H1749*I$1747</f>
        <v>0.113331027997056</v>
      </c>
      <c r="J1750" s="2" t="n">
        <f aca="false">I1750*(1-J$1747)+I1749*J$1747</f>
        <v>0.0882388616302666</v>
      </c>
      <c r="K1750" s="2" t="n">
        <f aca="false">J1750*(1-K$1747)+J1749*K$1747</f>
        <v>0.0712479729560025</v>
      </c>
      <c r="L1750" s="2" t="n">
        <f aca="false">K1750*(1-L$1747)+K1749*L$1747</f>
        <v>0.0517804996377716</v>
      </c>
      <c r="M1750" s="2" t="n">
        <f aca="false">L1750*(1-M$1747)+L1749*M$1747</f>
        <v>0.030916677566836</v>
      </c>
      <c r="N1750" s="2" t="n">
        <f aca="false">M1750*(1-N$1747)+M1749*N$1747</f>
        <v>0.0191816039097307</v>
      </c>
      <c r="O1750" s="2" t="n">
        <f aca="false">N1750*(1-O$1747)+N1749*O$1747</f>
        <v>0.0191816039097307</v>
      </c>
    </row>
    <row r="1751" customFormat="false" ht="15" hidden="false" customHeight="false" outlineLevel="0" collapsed="false">
      <c r="B1751" s="2" t="n">
        <v>3</v>
      </c>
      <c r="C1751" s="2" t="n">
        <f aca="false">0</f>
        <v>0</v>
      </c>
      <c r="D1751" s="2" t="n">
        <f aca="false">C1751*(1-D$1747)+C1750*D$1747</f>
        <v>0</v>
      </c>
      <c r="E1751" s="2" t="n">
        <f aca="false">D1751*(1-E$1747)+D1750*E$1747</f>
        <v>0.114256554926671</v>
      </c>
      <c r="F1751" s="2" t="n">
        <f aca="false">E1751*(1-F$1747)+E1750*F$1747</f>
        <v>0.234949661532042</v>
      </c>
      <c r="G1751" s="2" t="n">
        <f aca="false">F1751*(1-G$1747)+F1750*G$1747</f>
        <v>0.322242410858139</v>
      </c>
      <c r="H1751" s="2" t="n">
        <f aca="false">G1751*(1-H$1747)+G1750*H$1747</f>
        <v>0.357038534369372</v>
      </c>
      <c r="I1751" s="2" t="n">
        <f aca="false">H1751*(1-I$1747)+H1750*I$1747</f>
        <v>0.321268127238658</v>
      </c>
      <c r="J1751" s="2" t="n">
        <f aca="false">I1751*(1-J$1747)+I1750*J$1747</f>
        <v>0.270954907273488</v>
      </c>
      <c r="K1751" s="2" t="n">
        <f aca="false">J1751*(1-K$1747)+J1750*K$1747</f>
        <v>0.232575519369273</v>
      </c>
      <c r="L1751" s="2" t="n">
        <f aca="false">K1751*(1-L$1747)+K1750*L$1747</f>
        <v>0.18456076742403</v>
      </c>
      <c r="M1751" s="2" t="n">
        <f aca="false">L1751*(1-M$1747)+L1750*M$1747</f>
        <v>0.126413900347417</v>
      </c>
      <c r="N1751" s="2" t="n">
        <f aca="false">M1751*(1-N$1747)+M1750*N$1747</f>
        <v>0.0871655314097821</v>
      </c>
      <c r="O1751" s="2" t="n">
        <f aca="false">N1751*(1-O$1747)+N1750*O$1747</f>
        <v>0.0871655314097821</v>
      </c>
    </row>
    <row r="1752" customFormat="false" ht="15" hidden="false" customHeight="false" outlineLevel="0" collapsed="false">
      <c r="B1752" s="2" t="n">
        <v>4</v>
      </c>
      <c r="C1752" s="2" t="n">
        <f aca="false">0</f>
        <v>0</v>
      </c>
      <c r="D1752" s="2" t="n">
        <f aca="false">C1752*(1-D$1747)+C1751*D$1747</f>
        <v>0</v>
      </c>
      <c r="E1752" s="2" t="n">
        <f aca="false">D1752*(1-E$1747)+D1751*E$1747</f>
        <v>0</v>
      </c>
      <c r="F1752" s="2" t="n">
        <f aca="false">E1752*(1-F$1747)+E1751*F$1747</f>
        <v>0.0294606083219187</v>
      </c>
      <c r="G1752" s="2" t="n">
        <f aca="false">F1752*(1-G$1747)+F1751*G$1747</f>
        <v>0.0951398767100413</v>
      </c>
      <c r="H1752" s="2" t="n">
        <f aca="false">G1752*(1-H$1747)+G1751*H$1747</f>
        <v>0.179219554598528</v>
      </c>
      <c r="I1752" s="2" t="n">
        <f aca="false">H1752*(1-I$1747)+H1751*I$1747</f>
        <v>0.344422223495127</v>
      </c>
      <c r="J1752" s="2" t="n">
        <f aca="false">I1752*(1-J$1747)+I1751*J$1747</f>
        <v>0.338819773800987</v>
      </c>
      <c r="K1752" s="2" t="n">
        <f aca="false">J1752*(1-K$1747)+J1751*K$1747</f>
        <v>0.324564802222779</v>
      </c>
      <c r="L1752" s="2" t="n">
        <f aca="false">K1752*(1-L$1747)+K1751*L$1747</f>
        <v>0.297186696647943</v>
      </c>
      <c r="M1752" s="2" t="n">
        <f aca="false">L1752*(1-M$1747)+L1751*M$1747</f>
        <v>0.247865776867115</v>
      </c>
      <c r="N1752" s="2" t="n">
        <f aca="false">M1752*(1-N$1747)+M1751*N$1747</f>
        <v>0.197950314207373</v>
      </c>
      <c r="O1752" s="2" t="n">
        <f aca="false">N1752*(1-O$1747)+N1751*O$1747</f>
        <v>0.197950314207373</v>
      </c>
    </row>
    <row r="1753" customFormat="false" ht="15" hidden="false" customHeight="false" outlineLevel="0" collapsed="false">
      <c r="B1753" s="2" t="n">
        <v>5</v>
      </c>
      <c r="C1753" s="2" t="n">
        <f aca="false">0</f>
        <v>0</v>
      </c>
      <c r="D1753" s="2" t="n">
        <f aca="false">C1753*(1-D$1747)+C1752*D$1747</f>
        <v>0</v>
      </c>
      <c r="E1753" s="2" t="n">
        <f aca="false">D1753*(1-E$1747)+D1752*E$1747</f>
        <v>0</v>
      </c>
      <c r="F1753" s="2" t="n">
        <f aca="false">E1753*(1-F$1747)+E1752*F$1747</f>
        <v>0</v>
      </c>
      <c r="G1753" s="2" t="n">
        <f aca="false">F1753*(1-G$1747)+F1752*G$1747</f>
        <v>0.00941632252728356</v>
      </c>
      <c r="H1753" s="2" t="n">
        <f aca="false">G1753*(1-H$1747)+G1752*H$1747</f>
        <v>0.0411535677772299</v>
      </c>
      <c r="I1753" s="2" t="n">
        <f aca="false">H1753*(1-I$1747)+H1752*I$1747</f>
        <v>0.169423730704241</v>
      </c>
      <c r="J1753" s="2" t="n">
        <f aca="false">I1753*(1-J$1747)+I1752*J$1747</f>
        <v>0.211767005153457</v>
      </c>
      <c r="K1753" s="2" t="n">
        <f aca="false">J1753*(1-K$1747)+J1752*K$1747</f>
        <v>0.238454357515216</v>
      </c>
      <c r="L1753" s="2" t="n">
        <f aca="false">K1753*(1-L$1747)+K1752*L$1747</f>
        <v>0.264082786971006</v>
      </c>
      <c r="M1753" s="2" t="n">
        <f aca="false">L1753*(1-M$1747)+L1752*M$1747</f>
        <v>0.278579584332491</v>
      </c>
      <c r="N1753" s="2" t="n">
        <f aca="false">M1753*(1-N$1747)+M1752*N$1747</f>
        <v>0.265956527747376</v>
      </c>
      <c r="O1753" s="2" t="n">
        <f aca="false">N1753*(1-O$1747)+N1752*O$1747</f>
        <v>0.265956527747376</v>
      </c>
    </row>
    <row r="1754" customFormat="false" ht="15" hidden="false" customHeight="false" outlineLevel="0" collapsed="false">
      <c r="B1754" s="2" t="n">
        <v>6</v>
      </c>
      <c r="C1754" s="2" t="n">
        <f aca="false">0</f>
        <v>0</v>
      </c>
      <c r="D1754" s="2" t="n">
        <f aca="false">C1754*(1-D$1747)+C1753*D$1747</f>
        <v>0</v>
      </c>
      <c r="E1754" s="2" t="n">
        <f aca="false">D1754*(1-E$1747)+D1753*E$1747</f>
        <v>0</v>
      </c>
      <c r="F1754" s="2" t="n">
        <f aca="false">E1754*(1-F$1747)+E1753*F$1747</f>
        <v>0</v>
      </c>
      <c r="G1754" s="2" t="n">
        <f aca="false">F1754*(1-G$1747)+F1753*G$1747</f>
        <v>0</v>
      </c>
      <c r="H1754" s="2" t="n">
        <f aca="false">G1754*(1-H$1747)+G1753*H$1747</f>
        <v>0.00348618463443392</v>
      </c>
      <c r="I1754" s="2" t="n">
        <f aca="false">H1754*(1-I$1747)+H1753*I$1747</f>
        <v>0.0384810554494613</v>
      </c>
      <c r="J1754" s="2" t="n">
        <f aca="false">I1754*(1-J$1747)+I1753*J$1747</f>
        <v>0.0701644233859676</v>
      </c>
      <c r="K1754" s="2" t="n">
        <f aca="false">J1754*(1-K$1747)+J1753*K$1747</f>
        <v>0.0999079546383054</v>
      </c>
      <c r="L1754" s="2" t="n">
        <f aca="false">K1754*(1-L$1747)+K1753*L$1747</f>
        <v>0.141142519441018</v>
      </c>
      <c r="M1754" s="2" t="n">
        <f aca="false">L1754*(1-M$1747)+L1753*M$1747</f>
        <v>0.194980273450799</v>
      </c>
      <c r="N1754" s="2" t="n">
        <f aca="false">M1754*(1-N$1747)+M1753*N$1747</f>
        <v>0.22933872389449</v>
      </c>
      <c r="O1754" s="2" t="n">
        <f aca="false">N1754*(1-O$1747)+N1753*O$1747</f>
        <v>0.22933872389449</v>
      </c>
    </row>
    <row r="1755" customFormat="false" ht="15" hidden="false" customHeight="false" outlineLevel="0" collapsed="false">
      <c r="B1755" s="2" t="n">
        <v>7</v>
      </c>
      <c r="C1755" s="2" t="n">
        <f aca="false">0</f>
        <v>0</v>
      </c>
      <c r="D1755" s="2" t="n">
        <f aca="false">C1755*(1-D$1747)+C1754*D$1747</f>
        <v>0</v>
      </c>
      <c r="E1755" s="2" t="n">
        <f aca="false">D1755*(1-E$1747)+D1754*E$1747</f>
        <v>0</v>
      </c>
      <c r="F1755" s="2" t="n">
        <f aca="false">E1755*(1-F$1747)+E1754*F$1747</f>
        <v>0</v>
      </c>
      <c r="G1755" s="2" t="n">
        <f aca="false">F1755*(1-G$1747)+F1754*G$1747</f>
        <v>0</v>
      </c>
      <c r="H1755" s="2" t="n">
        <f aca="false">G1755*(1-H$1747)+G1754*H$1747</f>
        <v>0</v>
      </c>
      <c r="I1755" s="2" t="n">
        <f aca="false">H1755*(1-I$1747)+H1754*I$1747</f>
        <v>0.00323883877084997</v>
      </c>
      <c r="J1755" s="2" t="n">
        <f aca="false">I1755*(1-J$1747)+I1754*J$1747</f>
        <v>0.0117661742308437</v>
      </c>
      <c r="K1755" s="2" t="n">
        <f aca="false">J1755*(1-K$1747)+J1754*K$1747</f>
        <v>0.0240326889168494</v>
      </c>
      <c r="L1755" s="2" t="n">
        <f aca="false">K1755*(1-L$1747)+K1754*L$1747</f>
        <v>0.0466148960066575</v>
      </c>
      <c r="M1755" s="2" t="n">
        <f aca="false">L1755*(1-M$1747)+L1754*M$1747</f>
        <v>0.0880102422169375</v>
      </c>
      <c r="N1755" s="2" t="n">
        <f aca="false">M1755*(1-N$1747)+M1754*N$1747</f>
        <v>0.131973816537663</v>
      </c>
      <c r="O1755" s="2" t="n">
        <f aca="false">N1755*(1-O$1747)+N1754*O$1747</f>
        <v>0.131973816537663</v>
      </c>
    </row>
    <row r="1756" customFormat="false" ht="15" hidden="false" customHeight="false" outlineLevel="0" collapsed="false">
      <c r="B1756" s="2" t="n">
        <v>8</v>
      </c>
      <c r="C1756" s="2" t="n">
        <f aca="false">0</f>
        <v>0</v>
      </c>
      <c r="D1756" s="2" t="n">
        <f aca="false">C1756*(1-D$1747)+C1755*D$1747</f>
        <v>0</v>
      </c>
      <c r="E1756" s="2" t="n">
        <f aca="false">D1756*(1-E$1747)+D1755*E$1747</f>
        <v>0</v>
      </c>
      <c r="F1756" s="2" t="n">
        <f aca="false">E1756*(1-F$1747)+E1755*F$1747</f>
        <v>0</v>
      </c>
      <c r="G1756" s="2" t="n">
        <f aca="false">F1756*(1-G$1747)+F1755*G$1747</f>
        <v>0</v>
      </c>
      <c r="H1756" s="2" t="n">
        <f aca="false">G1756*(1-H$1747)+G1755*H$1747</f>
        <v>0</v>
      </c>
      <c r="I1756" s="2" t="n">
        <f aca="false">H1756*(1-I$1747)+H1755*I$1747</f>
        <v>0</v>
      </c>
      <c r="J1756" s="2" t="n">
        <f aca="false">I1756*(1-J$1747)+I1755*J$1747</f>
        <v>0.000783681257956547</v>
      </c>
      <c r="K1756" s="2" t="n">
        <f aca="false">J1756*(1-K$1747)+J1755*K$1747</f>
        <v>0.00309054684536525</v>
      </c>
      <c r="L1756" s="2" t="n">
        <f aca="false">K1756*(1-L$1747)+K1755*L$1747</f>
        <v>0.00932340526985584</v>
      </c>
      <c r="M1756" s="2" t="n">
        <f aca="false">L1756*(1-M$1747)+L1755*M$1747</f>
        <v>0.0256540196835282</v>
      </c>
      <c r="N1756" s="2" t="n">
        <f aca="false">M1756*(1-N$1747)+M1755*N$1747</f>
        <v>0.0512817809554108</v>
      </c>
      <c r="O1756" s="2" t="n">
        <f aca="false">N1756*(1-O$1747)+N1755*O$1747</f>
        <v>0.0512817809554108</v>
      </c>
    </row>
    <row r="1757" customFormat="false" ht="15" hidden="false" customHeight="false" outlineLevel="0" collapsed="false">
      <c r="B1757" s="2" t="n">
        <v>9</v>
      </c>
      <c r="C1757" s="2" t="n">
        <f aca="false">0</f>
        <v>0</v>
      </c>
      <c r="D1757" s="2" t="n">
        <f aca="false">C1757*(1-D$1747)+C1756*D$1747</f>
        <v>0</v>
      </c>
      <c r="E1757" s="2" t="n">
        <f aca="false">D1757*(1-E$1747)+D1756*E$1747</f>
        <v>0</v>
      </c>
      <c r="F1757" s="2" t="n">
        <f aca="false">E1757*(1-F$1747)+E1756*F$1747</f>
        <v>0</v>
      </c>
      <c r="G1757" s="2" t="n">
        <f aca="false">F1757*(1-G$1747)+F1756*G$1747</f>
        <v>0</v>
      </c>
      <c r="H1757" s="2" t="n">
        <f aca="false">G1757*(1-H$1747)+G1756*H$1747</f>
        <v>0</v>
      </c>
      <c r="I1757" s="2" t="n">
        <f aca="false">H1757*(1-I$1747)+H1756*I$1747</f>
        <v>0</v>
      </c>
      <c r="J1757" s="2" t="n">
        <f aca="false">I1757*(1-J$1747)+I1756*J$1747</f>
        <v>0</v>
      </c>
      <c r="K1757" s="2" t="n">
        <f aca="false">J1757*(1-K$1747)+J1756*K$1747</f>
        <v>0.000164611744340763</v>
      </c>
      <c r="L1757" s="2" t="n">
        <f aca="false">K1757*(1-L$1747)+K1756*L$1747</f>
        <v>0.00103543666672373</v>
      </c>
      <c r="M1757" s="2" t="n">
        <f aca="false">L1757*(1-M$1747)+L1756*M$1747</f>
        <v>0.00466488716216352</v>
      </c>
      <c r="N1757" s="2" t="n">
        <f aca="false">M1757*(1-N$1747)+M1756*N$1747</f>
        <v>0.0132912031208193</v>
      </c>
      <c r="O1757" s="2" t="n">
        <f aca="false">N1757*(1-O$1747)+N1756*O$1747</f>
        <v>0.0132912031208193</v>
      </c>
    </row>
    <row r="1758" customFormat="false" ht="15" hidden="false" customHeight="false" outlineLevel="0" collapsed="false">
      <c r="B1758" s="2" t="n">
        <v>10</v>
      </c>
      <c r="C1758" s="2" t="n">
        <f aca="false">0</f>
        <v>0</v>
      </c>
      <c r="D1758" s="2" t="n">
        <f aca="false">C1758*(1-D$1747)+C1757*D$1747</f>
        <v>0</v>
      </c>
      <c r="E1758" s="2" t="n">
        <f aca="false">D1758*(1-E$1747)+D1757*E$1747</f>
        <v>0</v>
      </c>
      <c r="F1758" s="2" t="n">
        <f aca="false">E1758*(1-F$1747)+E1757*F$1747</f>
        <v>0</v>
      </c>
      <c r="G1758" s="2" t="n">
        <f aca="false">F1758*(1-G$1747)+F1757*G$1747</f>
        <v>0</v>
      </c>
      <c r="H1758" s="2" t="n">
        <f aca="false">G1758*(1-H$1747)+G1757*H$1747</f>
        <v>0</v>
      </c>
      <c r="I1758" s="2" t="n">
        <f aca="false">H1758*(1-I$1747)+H1757*I$1747</f>
        <v>0</v>
      </c>
      <c r="J1758" s="2" t="n">
        <f aca="false">I1758*(1-J$1747)+I1757*J$1747</f>
        <v>0</v>
      </c>
      <c r="K1758" s="2" t="n">
        <f aca="false">J1758*(1-K$1747)+J1757*K$1747</f>
        <v>0</v>
      </c>
      <c r="L1758" s="2" t="n">
        <f aca="false">K1758*(1-L$1747)+K1757*L$1747</f>
        <v>4.89922040439918E-005</v>
      </c>
      <c r="M1758" s="2" t="n">
        <f aca="false">L1758*(1-M$1747)+L1757*M$1747</f>
        <v>0.000480973973671327</v>
      </c>
      <c r="N1758" s="2" t="n">
        <f aca="false">M1758*(1-N$1747)+M1757*N$1747</f>
        <v>0.00220051893679847</v>
      </c>
      <c r="O1758" s="2" t="n">
        <f aca="false">N1758*(1-O$1747)+N1757*O$1747</f>
        <v>0.00220051893679847</v>
      </c>
    </row>
    <row r="1759" customFormat="false" ht="15" hidden="false" customHeight="false" outlineLevel="0" collapsed="false">
      <c r="B1759" s="2" t="n">
        <v>11</v>
      </c>
      <c r="C1759" s="2" t="n">
        <f aca="false">0</f>
        <v>0</v>
      </c>
      <c r="D1759" s="2" t="n">
        <f aca="false">C1759*(1-D$1747)+C1758*D$1747</f>
        <v>0</v>
      </c>
      <c r="E1759" s="2" t="n">
        <f aca="false">D1759*(1-E$1747)+D1758*E$1747</f>
        <v>0</v>
      </c>
      <c r="F1759" s="2" t="n">
        <f aca="false">E1759*(1-F$1747)+E1758*F$1747</f>
        <v>0</v>
      </c>
      <c r="G1759" s="2" t="n">
        <f aca="false">F1759*(1-G$1747)+F1758*G$1747</f>
        <v>0</v>
      </c>
      <c r="H1759" s="2" t="n">
        <f aca="false">G1759*(1-H$1747)+G1758*H$1747</f>
        <v>0</v>
      </c>
      <c r="I1759" s="2" t="n">
        <f aca="false">H1759*(1-I$1747)+H1758*I$1747</f>
        <v>0</v>
      </c>
      <c r="J1759" s="2" t="n">
        <f aca="false">I1759*(1-J$1747)+I1758*J$1747</f>
        <v>0</v>
      </c>
      <c r="K1759" s="2" t="n">
        <f aca="false">J1759*(1-K$1747)+J1758*K$1747</f>
        <v>0</v>
      </c>
      <c r="L1759" s="2" t="n">
        <f aca="false">K1759*(1-L$1747)+K1758*L$1747</f>
        <v>0</v>
      </c>
      <c r="M1759" s="2" t="n">
        <f aca="false">L1759*(1-M$1747)+L1758*M$1747</f>
        <v>2.14545671870614E-005</v>
      </c>
      <c r="N1759" s="2" t="n">
        <f aca="false">M1759*(1-N$1747)+M1758*N$1747</f>
        <v>0.000210312281312806</v>
      </c>
      <c r="O1759" s="2" t="n">
        <f aca="false">N1759*(1-O$1747)+N1758*O$1747</f>
        <v>0.000210312281312806</v>
      </c>
    </row>
    <row r="1760" customFormat="false" ht="15" hidden="false" customHeight="false" outlineLevel="0" collapsed="false">
      <c r="B1760" s="2" t="n">
        <v>12</v>
      </c>
      <c r="C1760" s="2" t="n">
        <f aca="false">0</f>
        <v>0</v>
      </c>
      <c r="D1760" s="2" t="n">
        <f aca="false">C1760*(1-D$1747)+C1759*D$1747</f>
        <v>0</v>
      </c>
      <c r="E1760" s="2" t="n">
        <f aca="false">D1760*(1-E$1747)+D1759*E$1747</f>
        <v>0</v>
      </c>
      <c r="F1760" s="2" t="n">
        <f aca="false">E1760*(1-F$1747)+E1759*F$1747</f>
        <v>0</v>
      </c>
      <c r="G1760" s="2" t="n">
        <f aca="false">F1760*(1-G$1747)+F1759*G$1747</f>
        <v>0</v>
      </c>
      <c r="H1760" s="2" t="n">
        <f aca="false">G1760*(1-H$1747)+G1759*H$1747</f>
        <v>0</v>
      </c>
      <c r="I1760" s="2" t="n">
        <f aca="false">H1760*(1-I$1747)+H1759*I$1747</f>
        <v>0</v>
      </c>
      <c r="J1760" s="2" t="n">
        <f aca="false">I1760*(1-J$1747)+I1759*J$1747</f>
        <v>0</v>
      </c>
      <c r="K1760" s="2" t="n">
        <f aca="false">J1760*(1-K$1747)+J1759*K$1747</f>
        <v>0</v>
      </c>
      <c r="L1760" s="2" t="n">
        <f aca="false">K1760*(1-L$1747)+K1759*L$1747</f>
        <v>0</v>
      </c>
      <c r="M1760" s="2" t="n">
        <f aca="false">L1760*(1-M$1747)+L1759*M$1747</f>
        <v>0</v>
      </c>
      <c r="N1760" s="2" t="n">
        <f aca="false">M1760*(1-N$1747)+M1759*N$1747</f>
        <v>8.81760478301882E-006</v>
      </c>
      <c r="O1760" s="2" t="n">
        <f aca="false">N1760*(1-O$1747)+N1759*O$1747</f>
        <v>8.81760478301882E-006</v>
      </c>
    </row>
    <row r="1761" customFormat="false" ht="15" hidden="false" customHeight="false" outlineLevel="0" collapsed="false">
      <c r="B1761" s="2" t="n">
        <v>13</v>
      </c>
      <c r="C1761" s="2" t="n">
        <f aca="false">0</f>
        <v>0</v>
      </c>
      <c r="D1761" s="2" t="n">
        <f aca="false">C1761*(1-D$1747)+C1760*D$1747</f>
        <v>0</v>
      </c>
      <c r="E1761" s="2" t="n">
        <f aca="false">D1761*(1-E$1747)+D1760*E$1747</f>
        <v>0</v>
      </c>
      <c r="F1761" s="2" t="n">
        <f aca="false">E1761*(1-F$1747)+E1760*F$1747</f>
        <v>0</v>
      </c>
      <c r="G1761" s="2" t="n">
        <f aca="false">F1761*(1-G$1747)+F1760*G$1747</f>
        <v>0</v>
      </c>
      <c r="H1761" s="2" t="n">
        <f aca="false">G1761*(1-H$1747)+G1760*H$1747</f>
        <v>0</v>
      </c>
      <c r="I1761" s="2" t="n">
        <f aca="false">H1761*(1-I$1747)+H1760*I$1747</f>
        <v>0</v>
      </c>
      <c r="J1761" s="2" t="n">
        <f aca="false">I1761*(1-J$1747)+I1760*J$1747</f>
        <v>0</v>
      </c>
      <c r="K1761" s="2" t="n">
        <f aca="false">J1761*(1-K$1747)+J1760*K$1747</f>
        <v>0</v>
      </c>
      <c r="L1761" s="2" t="n">
        <f aca="false">K1761*(1-L$1747)+K1760*L$1747</f>
        <v>0</v>
      </c>
      <c r="M1761" s="2" t="n">
        <f aca="false">L1761*(1-M$1747)+L1760*M$1747</f>
        <v>0</v>
      </c>
      <c r="N1761" s="2" t="n">
        <f aca="false">M1761*(1-N$1747)+M1760*N$1747</f>
        <v>0</v>
      </c>
      <c r="O1761" s="2" t="n">
        <f aca="false">N1761*(1-O$1747)+N1760*O$1747</f>
        <v>0</v>
      </c>
    </row>
    <row r="1763" customFormat="false" ht="15" hidden="false" customHeight="false" outlineLevel="0" collapsed="false">
      <c r="A1763" s="1" t="s">
        <v>168</v>
      </c>
      <c r="C1763" s="2" t="n">
        <f aca="false">Schedule!G112</f>
        <v>0.838301208542714</v>
      </c>
      <c r="D1763" s="2" t="n">
        <f aca="false">Schedule!L112</f>
        <v>0.48255184155421</v>
      </c>
      <c r="E1763" s="2" t="n">
        <f aca="false">Schedule!Q112</f>
        <v>0.024852150305865</v>
      </c>
      <c r="F1763" s="2" t="n">
        <f aca="false">Schedule!V112</f>
        <v>0.931558598391246</v>
      </c>
      <c r="G1763" s="2" t="n">
        <f aca="false">Schedule!AA112</f>
        <v>0.396467992679005</v>
      </c>
      <c r="H1763" s="2" t="n">
        <f aca="false">Schedule!AF112</f>
        <v>0.351508875516277</v>
      </c>
      <c r="I1763" s="2" t="n">
        <f aca="false">Schedule!AK112</f>
        <v>0.92201404277756</v>
      </c>
      <c r="J1763" s="2" t="n">
        <f aca="false">Schedule!AP112</f>
        <v>0.617911422188953</v>
      </c>
      <c r="K1763" s="2" t="n">
        <f aca="false">Schedule!AU112</f>
        <v>0.241963652223073</v>
      </c>
      <c r="L1763" s="2" t="n">
        <f aca="false">Schedule!AZ112</f>
        <v>0.731959467197592</v>
      </c>
      <c r="M1763" s="2" t="n">
        <f aca="false">Schedule!BE112</f>
        <v>0.620292847240567</v>
      </c>
      <c r="N1763" s="2" t="n">
        <f aca="false">Schedule!BJ112</f>
        <v>0.684830585730692</v>
      </c>
      <c r="O1763" s="2" t="n">
        <f aca="false">Schedule!BO112</f>
        <v>0</v>
      </c>
    </row>
    <row r="1764" customFormat="false" ht="15" hidden="false" customHeight="false" outlineLevel="0" collapsed="false">
      <c r="B1764" s="2" t="n">
        <v>0</v>
      </c>
      <c r="C1764" s="2" t="n">
        <f aca="false">1-C$1763</f>
        <v>0.161698791457286</v>
      </c>
      <c r="D1764" s="2" t="n">
        <f aca="false">C1764*(1-D$1763)</f>
        <v>0.0836707418624823</v>
      </c>
      <c r="E1764" s="2" t="n">
        <f aca="false">D1764*(1-E$1763)</f>
        <v>0.0815913440095126</v>
      </c>
      <c r="F1764" s="2" t="n">
        <f aca="false">E1764*(1-F$1763)</f>
        <v>0.00558422594315304</v>
      </c>
      <c r="G1764" s="2" t="n">
        <f aca="false">F1764*(1-G$1763)</f>
        <v>0.00337025909280513</v>
      </c>
      <c r="H1764" s="2" t="n">
        <f aca="false">G1764*(1-H$1763)</f>
        <v>0.00218558310889469</v>
      </c>
      <c r="I1764" s="2" t="n">
        <f aca="false">H1764*(1-I$1763)</f>
        <v>0.00017044479083635</v>
      </c>
      <c r="J1764" s="2" t="n">
        <f aca="false">I1764*(1-J$1763)</f>
        <v>6.51250077259622E-005</v>
      </c>
      <c r="K1764" s="2" t="n">
        <f aca="false">J1764*(1-K$1763)</f>
        <v>4.93671230055326E-005</v>
      </c>
      <c r="L1764" s="2" t="n">
        <f aca="false">K1764*(1-L$1763)</f>
        <v>1.3232389953325E-005</v>
      </c>
      <c r="M1764" s="2" t="n">
        <f aca="false">L1764*(1-M$1763)</f>
        <v>5.02443311337955E-006</v>
      </c>
      <c r="N1764" s="2" t="n">
        <f aca="false">M1764*(1-N$1763)</f>
        <v>1.58354764137915E-006</v>
      </c>
      <c r="O1764" s="2" t="n">
        <f aca="false">N1764*(1-O$1763)</f>
        <v>1.58354764137915E-006</v>
      </c>
    </row>
    <row r="1765" customFormat="false" ht="15" hidden="false" customHeight="false" outlineLevel="0" collapsed="false">
      <c r="B1765" s="2" t="n">
        <v>1</v>
      </c>
      <c r="C1765" s="2" t="n">
        <f aca="false">C$1763</f>
        <v>0.838301208542714</v>
      </c>
      <c r="D1765" s="2" t="n">
        <f aca="false">C1765*(1-D$1763)+C1764*D$1763</f>
        <v>0.511805466178111</v>
      </c>
      <c r="E1765" s="2" t="n">
        <f aca="false">D1765*(1-E$1763)+D1764*E$1763</f>
        <v>0.501165397658259</v>
      </c>
      <c r="F1765" s="2" t="n">
        <f aca="false">E1765*(1-F$1763)+E1764*F$1763</f>
        <v>0.110307580319899</v>
      </c>
      <c r="G1765" s="2" t="n">
        <f aca="false">F1765*(1-G$1763)+F1764*G$1763</f>
        <v>0.0687881222235386</v>
      </c>
      <c r="H1765" s="2" t="n">
        <f aca="false">G1765*(1-H$1763)+G1764*H$1763</f>
        <v>0.0457931627157767</v>
      </c>
      <c r="I1765" s="2" t="n">
        <f aca="false">H1765*(1-I$1763)+H1764*I$1763</f>
        <v>0.00558636194669116</v>
      </c>
      <c r="J1765" s="2" t="n">
        <f aca="false">I1765*(1-J$1763)+I1764*J$1763</f>
        <v>0.00223980487445937</v>
      </c>
      <c r="K1765" s="2" t="n">
        <f aca="false">J1765*(1-K$1763)+J1764*K$1763</f>
        <v>0.00171361139148857</v>
      </c>
      <c r="L1765" s="2" t="n">
        <f aca="false">K1765*(1-L$1763)+K1764*L$1763</f>
        <v>0.000495452043443078</v>
      </c>
      <c r="M1765" s="2" t="n">
        <f aca="false">L1765*(1-M$1763)+L1764*M$1763</f>
        <v>0.00019633464158456</v>
      </c>
      <c r="N1765" s="2" t="n">
        <f aca="false">M1765*(1-N$1763)+M1764*N$1763</f>
        <v>6.53195594609806E-005</v>
      </c>
      <c r="O1765" s="2" t="n">
        <f aca="false">N1765*(1-O$1763)+N1764*O$1763</f>
        <v>6.53195594609806E-005</v>
      </c>
    </row>
    <row r="1766" customFormat="false" ht="15" hidden="false" customHeight="false" outlineLevel="0" collapsed="false">
      <c r="B1766" s="2" t="n">
        <v>2</v>
      </c>
      <c r="C1766" s="2" t="n">
        <f aca="false">0</f>
        <v>0</v>
      </c>
      <c r="D1766" s="2" t="n">
        <f aca="false">C1766*(1-D$1763)+C1765*D$1763</f>
        <v>0.404523791959407</v>
      </c>
      <c r="E1766" s="2" t="n">
        <f aca="false">D1766*(1-E$1763)+D1765*E$1763</f>
        <v>0.407189972252155</v>
      </c>
      <c r="F1766" s="2" t="n">
        <f aca="false">E1766*(1-F$1763)+E1765*F$1763</f>
        <v>0.494733587826686</v>
      </c>
      <c r="G1766" s="2" t="n">
        <f aca="false">F1766*(1-G$1763)+F1765*G$1763</f>
        <v>0.342320980296866</v>
      </c>
      <c r="H1766" s="2" t="n">
        <f aca="false">G1766*(1-H$1763)+G1765*H$1763</f>
        <v>0.246171752938757</v>
      </c>
      <c r="I1766" s="2" t="n">
        <f aca="false">H1766*(1-I$1763)+H1765*I$1763</f>
        <v>0.061419878881199</v>
      </c>
      <c r="J1766" s="2" t="n">
        <f aca="false">I1766*(1-J$1763)+I1765*J$1763</f>
        <v>0.0269197110263863</v>
      </c>
      <c r="K1766" s="2" t="n">
        <f aca="false">J1766*(1-K$1763)+J1765*K$1763</f>
        <v>0.0209480707973434</v>
      </c>
      <c r="L1766" s="2" t="n">
        <f aca="false">K1766*(1-L$1763)+K1765*L$1763</f>
        <v>0.00686922613880017</v>
      </c>
      <c r="M1766" s="2" t="n">
        <f aca="false">L1766*(1-M$1763)+L1765*M$1763</f>
        <v>0.00291561965752295</v>
      </c>
      <c r="N1766" s="2" t="n">
        <f aca="false">M1766*(1-N$1763)+M1765*N$1763</f>
        <v>0.00105337010728917</v>
      </c>
      <c r="O1766" s="2" t="n">
        <f aca="false">N1766*(1-O$1763)+N1765*O$1763</f>
        <v>0.00105337010728917</v>
      </c>
    </row>
    <row r="1767" customFormat="false" ht="15" hidden="false" customHeight="false" outlineLevel="0" collapsed="false">
      <c r="B1767" s="2" t="n">
        <v>3</v>
      </c>
      <c r="C1767" s="2" t="n">
        <f aca="false">0</f>
        <v>0</v>
      </c>
      <c r="D1767" s="2" t="n">
        <f aca="false">C1767*(1-D$1763)+C1766*D$1763</f>
        <v>0</v>
      </c>
      <c r="E1767" s="2" t="n">
        <f aca="false">D1767*(1-E$1763)+D1766*E$1763</f>
        <v>0.0100532860800736</v>
      </c>
      <c r="F1767" s="2" t="n">
        <f aca="false">E1767*(1-F$1763)+E1766*F$1763</f>
        <v>0.380009380820282</v>
      </c>
      <c r="G1767" s="2" t="n">
        <f aca="false">F1767*(1-G$1763)+F1766*G$1763</f>
        <v>0.425493856883802</v>
      </c>
      <c r="H1767" s="2" t="n">
        <f aca="false">G1767*(1-H$1763)+G1766*H$1763</f>
        <v>0.396257852561274</v>
      </c>
      <c r="I1767" s="2" t="n">
        <f aca="false">H1767*(1-I$1763)+H1766*I$1763</f>
        <v>0.257876361083602</v>
      </c>
      <c r="J1767" s="2" t="n">
        <f aca="false">I1767*(1-J$1763)+I1766*J$1763</f>
        <v>0.136483656767676</v>
      </c>
      <c r="K1767" s="2" t="n">
        <f aca="false">J1767*(1-K$1763)+J1766*K$1763</f>
        <v>0.109973164304143</v>
      </c>
      <c r="L1767" s="2" t="n">
        <f aca="false">K1767*(1-L$1763)+K1766*L$1763</f>
        <v>0.0448104042936902</v>
      </c>
      <c r="M1767" s="2" t="n">
        <f aca="false">L1767*(1-M$1763)+L1766*M$1763</f>
        <v>0.0212757628683319</v>
      </c>
      <c r="N1767" s="2" t="n">
        <f aca="false">M1767*(1-N$1763)+M1766*N$1763</f>
        <v>0.00870217523917422</v>
      </c>
      <c r="O1767" s="2" t="n">
        <f aca="false">N1767*(1-O$1763)+N1766*O$1763</f>
        <v>0.00870217523917422</v>
      </c>
    </row>
    <row r="1768" customFormat="false" ht="15" hidden="false" customHeight="false" outlineLevel="0" collapsed="false">
      <c r="B1768" s="2" t="n">
        <v>4</v>
      </c>
      <c r="C1768" s="2" t="n">
        <f aca="false">0</f>
        <v>0</v>
      </c>
      <c r="D1768" s="2" t="n">
        <f aca="false">C1768*(1-D$1763)+C1767*D$1763</f>
        <v>0</v>
      </c>
      <c r="E1768" s="2" t="n">
        <f aca="false">D1768*(1-E$1763)+D1767*E$1763</f>
        <v>0</v>
      </c>
      <c r="F1768" s="2" t="n">
        <f aca="false">E1768*(1-F$1763)+E1767*F$1763</f>
        <v>0.00936522508997963</v>
      </c>
      <c r="G1768" s="2" t="n">
        <f aca="false">F1768*(1-G$1763)+F1767*G$1763</f>
        <v>0.156313769510577</v>
      </c>
      <c r="H1768" s="2" t="n">
        <f aca="false">G1768*(1-H$1763)+G1767*H$1763</f>
        <v>0.250932959334513</v>
      </c>
      <c r="I1768" s="2" t="n">
        <f aca="false">H1768*(1-I$1763)+H1767*I$1763</f>
        <v>0.384924551654736</v>
      </c>
      <c r="J1768" s="2" t="n">
        <f aca="false">I1768*(1-J$1763)+I1767*J$1763</f>
        <v>0.306420023532393</v>
      </c>
      <c r="K1768" s="2" t="n">
        <f aca="false">J1768*(1-K$1763)+J1767*K$1763</f>
        <v>0.265301599584483</v>
      </c>
      <c r="L1768" s="2" t="n">
        <f aca="false">K1768*(1-L$1763)+K1767*L$1763</f>
        <v>0.15160748085605</v>
      </c>
      <c r="M1768" s="2" t="n">
        <f aca="false">L1768*(1-M$1763)+L1767*M$1763</f>
        <v>0.0853620181582149</v>
      </c>
      <c r="N1768" s="2" t="n">
        <f aca="false">M1768*(1-N$1763)+M1767*N$1763</f>
        <v>0.0414737904107577</v>
      </c>
      <c r="O1768" s="2" t="n">
        <f aca="false">N1768*(1-O$1763)+N1767*O$1763</f>
        <v>0.0414737904107577</v>
      </c>
    </row>
    <row r="1769" customFormat="false" ht="15" hidden="false" customHeight="false" outlineLevel="0" collapsed="false">
      <c r="B1769" s="2" t="n">
        <v>5</v>
      </c>
      <c r="C1769" s="2" t="n">
        <f aca="false">0</f>
        <v>0</v>
      </c>
      <c r="D1769" s="2" t="n">
        <f aca="false">C1769*(1-D$1763)+C1768*D$1763</f>
        <v>0</v>
      </c>
      <c r="E1769" s="2" t="n">
        <f aca="false">D1769*(1-E$1763)+D1768*E$1763</f>
        <v>0</v>
      </c>
      <c r="F1769" s="2" t="n">
        <f aca="false">E1769*(1-F$1763)+E1768*F$1763</f>
        <v>0</v>
      </c>
      <c r="G1769" s="2" t="n">
        <f aca="false">F1769*(1-G$1763)+F1768*G$1763</f>
        <v>0.00371301199241128</v>
      </c>
      <c r="H1769" s="2" t="n">
        <f aca="false">G1769*(1-H$1763)+G1768*H$1763</f>
        <v>0.0573535326705538</v>
      </c>
      <c r="I1769" s="2" t="n">
        <f aca="false">H1769*(1-I$1763)+H1768*I$1763</f>
        <v>0.235836482447553</v>
      </c>
      <c r="J1769" s="2" t="n">
        <f aca="false">I1769*(1-J$1763)+I1768*J$1763</f>
        <v>0.327959703322768</v>
      </c>
      <c r="K1769" s="2" t="n">
        <f aca="false">J1769*(1-K$1763)+J1768*K$1763</f>
        <v>0.322747883732974</v>
      </c>
      <c r="L1769" s="2" t="n">
        <f aca="false">K1769*(1-L$1763)+K1768*L$1763</f>
        <v>0.280699532195163</v>
      </c>
      <c r="M1769" s="2" t="n">
        <f aca="false">L1769*(1-M$1763)+L1768*M$1763</f>
        <v>0.200624656113899</v>
      </c>
      <c r="N1769" s="2" t="n">
        <f aca="false">M1769*(1-N$1763)+M1768*N$1763</f>
        <v>0.121689276249843</v>
      </c>
      <c r="O1769" s="2" t="n">
        <f aca="false">N1769*(1-O$1763)+N1768*O$1763</f>
        <v>0.121689276249843</v>
      </c>
    </row>
    <row r="1770" customFormat="false" ht="15" hidden="false" customHeight="false" outlineLevel="0" collapsed="false">
      <c r="B1770" s="2" t="n">
        <v>6</v>
      </c>
      <c r="C1770" s="2" t="n">
        <f aca="false">0</f>
        <v>0</v>
      </c>
      <c r="D1770" s="2" t="n">
        <f aca="false">C1770*(1-D$1763)+C1769*D$1763</f>
        <v>0</v>
      </c>
      <c r="E1770" s="2" t="n">
        <f aca="false">D1770*(1-E$1763)+D1769*E$1763</f>
        <v>0</v>
      </c>
      <c r="F1770" s="2" t="n">
        <f aca="false">E1770*(1-F$1763)+E1769*F$1763</f>
        <v>0</v>
      </c>
      <c r="G1770" s="2" t="n">
        <f aca="false">F1770*(1-G$1763)+F1769*G$1763</f>
        <v>0</v>
      </c>
      <c r="H1770" s="2" t="n">
        <f aca="false">G1770*(1-H$1763)+G1769*H$1763</f>
        <v>0.00130515667023094</v>
      </c>
      <c r="I1770" s="2" t="n">
        <f aca="false">H1770*(1-I$1763)+H1769*I$1763</f>
        <v>0.0529825464174054</v>
      </c>
      <c r="J1770" s="2" t="n">
        <f aca="false">I1770*(1-J$1763)+I1769*J$1763</f>
        <v>0.165970082082641</v>
      </c>
      <c r="K1770" s="2" t="n">
        <f aca="false">J1770*(1-K$1763)+J1769*K$1763</f>
        <v>0.205165682460135</v>
      </c>
      <c r="L1770" s="2" t="n">
        <f aca="false">K1770*(1-L$1763)+K1769*L$1763</f>
        <v>0.291231087855722</v>
      </c>
      <c r="M1770" s="2" t="n">
        <f aca="false">L1770*(1-M$1763)+L1769*M$1763</f>
        <v>0.284698439209161</v>
      </c>
      <c r="N1770" s="2" t="n">
        <f aca="false">M1770*(1-N$1763)+M1769*N$1763</f>
        <v>0.227122141087438</v>
      </c>
      <c r="O1770" s="2" t="n">
        <f aca="false">N1770*(1-O$1763)+N1769*O$1763</f>
        <v>0.227122141087438</v>
      </c>
    </row>
    <row r="1771" customFormat="false" ht="15" hidden="false" customHeight="false" outlineLevel="0" collapsed="false">
      <c r="B1771" s="2" t="n">
        <v>7</v>
      </c>
      <c r="C1771" s="2" t="n">
        <f aca="false">0</f>
        <v>0</v>
      </c>
      <c r="D1771" s="2" t="n">
        <f aca="false">C1771*(1-D$1763)+C1770*D$1763</f>
        <v>0</v>
      </c>
      <c r="E1771" s="2" t="n">
        <f aca="false">D1771*(1-E$1763)+D1770*E$1763</f>
        <v>0</v>
      </c>
      <c r="F1771" s="2" t="n">
        <f aca="false">E1771*(1-F$1763)+E1770*F$1763</f>
        <v>0</v>
      </c>
      <c r="G1771" s="2" t="n">
        <f aca="false">F1771*(1-G$1763)+F1770*G$1763</f>
        <v>0</v>
      </c>
      <c r="H1771" s="2" t="n">
        <f aca="false">G1771*(1-H$1763)+G1770*H$1763</f>
        <v>0</v>
      </c>
      <c r="I1771" s="2" t="n">
        <f aca="false">H1771*(1-I$1763)+H1770*I$1763</f>
        <v>0.00120337277797773</v>
      </c>
      <c r="J1771" s="2" t="n">
        <f aca="false">I1771*(1-J$1763)+I1770*J$1763</f>
        <v>0.0331983156012852</v>
      </c>
      <c r="K1771" s="2" t="n">
        <f aca="false">J1771*(1-K$1763)+J1770*K$1763</f>
        <v>0.0653242571312231</v>
      </c>
      <c r="L1771" s="2" t="n">
        <f aca="false">K1771*(1-L$1763)+K1770*L$1763</f>
        <v>0.167682512307125</v>
      </c>
      <c r="M1771" s="2" t="n">
        <f aca="false">L1771*(1-M$1763)+L1770*M$1763</f>
        <v>0.244318810006681</v>
      </c>
      <c r="N1771" s="2" t="n">
        <f aca="false">M1771*(1-N$1763)+M1770*N$1763</f>
        <v>0.271972015125003</v>
      </c>
      <c r="O1771" s="2" t="n">
        <f aca="false">N1771*(1-O$1763)+N1770*O$1763</f>
        <v>0.271972015125003</v>
      </c>
    </row>
    <row r="1772" customFormat="false" ht="15" hidden="false" customHeight="false" outlineLevel="0" collapsed="false">
      <c r="B1772" s="2" t="n">
        <v>8</v>
      </c>
      <c r="C1772" s="2" t="n">
        <f aca="false">0</f>
        <v>0</v>
      </c>
      <c r="D1772" s="2" t="n">
        <f aca="false">C1772*(1-D$1763)+C1771*D$1763</f>
        <v>0</v>
      </c>
      <c r="E1772" s="2" t="n">
        <f aca="false">D1772*(1-E$1763)+D1771*E$1763</f>
        <v>0</v>
      </c>
      <c r="F1772" s="2" t="n">
        <f aca="false">E1772*(1-F$1763)+E1771*F$1763</f>
        <v>0</v>
      </c>
      <c r="G1772" s="2" t="n">
        <f aca="false">F1772*(1-G$1763)+F1771*G$1763</f>
        <v>0</v>
      </c>
      <c r="H1772" s="2" t="n">
        <f aca="false">G1772*(1-H$1763)+G1771*H$1763</f>
        <v>0</v>
      </c>
      <c r="I1772" s="2" t="n">
        <f aca="false">H1772*(1-I$1763)+H1771*I$1763</f>
        <v>0</v>
      </c>
      <c r="J1772" s="2" t="n">
        <f aca="false">I1772*(1-J$1763)+I1771*J$1763</f>
        <v>0.000743577784663689</v>
      </c>
      <c r="K1772" s="2" t="n">
        <f aca="false">J1772*(1-K$1763)+J1771*K$1763</f>
        <v>0.00859644467871571</v>
      </c>
      <c r="L1772" s="2" t="n">
        <f aca="false">K1772*(1-L$1763)+K1771*L$1763</f>
        <v>0.050118904056738</v>
      </c>
      <c r="M1772" s="2" t="n">
        <f aca="false">L1772*(1-M$1763)+L1771*M$1763</f>
        <v>0.123042769350245</v>
      </c>
      <c r="N1772" s="2" t="n">
        <f aca="false">M1772*(1-N$1763)+M1771*N$1763</f>
        <v>0.206096311308091</v>
      </c>
      <c r="O1772" s="2" t="n">
        <f aca="false">N1772*(1-O$1763)+N1771*O$1763</f>
        <v>0.206096311308091</v>
      </c>
    </row>
    <row r="1773" customFormat="false" ht="15" hidden="false" customHeight="false" outlineLevel="0" collapsed="false">
      <c r="B1773" s="2" t="n">
        <v>9</v>
      </c>
      <c r="C1773" s="2" t="n">
        <f aca="false">0</f>
        <v>0</v>
      </c>
      <c r="D1773" s="2" t="n">
        <f aca="false">C1773*(1-D$1763)+C1772*D$1763</f>
        <v>0</v>
      </c>
      <c r="E1773" s="2" t="n">
        <f aca="false">D1773*(1-E$1763)+D1772*E$1763</f>
        <v>0</v>
      </c>
      <c r="F1773" s="2" t="n">
        <f aca="false">E1773*(1-F$1763)+E1772*F$1763</f>
        <v>0</v>
      </c>
      <c r="G1773" s="2" t="n">
        <f aca="false">F1773*(1-G$1763)+F1772*G$1763</f>
        <v>0</v>
      </c>
      <c r="H1773" s="2" t="n">
        <f aca="false">G1773*(1-H$1763)+G1772*H$1763</f>
        <v>0</v>
      </c>
      <c r="I1773" s="2" t="n">
        <f aca="false">H1773*(1-I$1763)+H1772*I$1763</f>
        <v>0</v>
      </c>
      <c r="J1773" s="2" t="n">
        <f aca="false">I1773*(1-J$1763)+I1772*J$1763</f>
        <v>0</v>
      </c>
      <c r="K1773" s="2" t="n">
        <f aca="false">J1773*(1-K$1763)+J1772*K$1763</f>
        <v>0.000179918796489168</v>
      </c>
      <c r="L1773" s="2" t="n">
        <f aca="false">K1773*(1-L$1763)+K1772*L$1763</f>
        <v>0.00634047459689846</v>
      </c>
      <c r="M1773" s="2" t="n">
        <f aca="false">L1773*(1-M$1763)+L1772*M$1763</f>
        <v>0.0334959212542626</v>
      </c>
      <c r="N1773" s="2" t="n">
        <f aca="false">M1773*(1-N$1763)+M1772*N$1763</f>
        <v>0.0948203416861717</v>
      </c>
      <c r="O1773" s="2" t="n">
        <f aca="false">N1773*(1-O$1763)+N1772*O$1763</f>
        <v>0.0948203416861717</v>
      </c>
    </row>
    <row r="1774" customFormat="false" ht="15" hidden="false" customHeight="false" outlineLevel="0" collapsed="false">
      <c r="B1774" s="2" t="n">
        <v>10</v>
      </c>
      <c r="C1774" s="2" t="n">
        <f aca="false">0</f>
        <v>0</v>
      </c>
      <c r="D1774" s="2" t="n">
        <f aca="false">C1774*(1-D$1763)+C1773*D$1763</f>
        <v>0</v>
      </c>
      <c r="E1774" s="2" t="n">
        <f aca="false">D1774*(1-E$1763)+D1773*E$1763</f>
        <v>0</v>
      </c>
      <c r="F1774" s="2" t="n">
        <f aca="false">E1774*(1-F$1763)+E1773*F$1763</f>
        <v>0</v>
      </c>
      <c r="G1774" s="2" t="n">
        <f aca="false">F1774*(1-G$1763)+F1773*G$1763</f>
        <v>0</v>
      </c>
      <c r="H1774" s="2" t="n">
        <f aca="false">G1774*(1-H$1763)+G1773*H$1763</f>
        <v>0</v>
      </c>
      <c r="I1774" s="2" t="n">
        <f aca="false">H1774*(1-I$1763)+H1773*I$1763</f>
        <v>0</v>
      </c>
      <c r="J1774" s="2" t="n">
        <f aca="false">I1774*(1-J$1763)+I1773*J$1763</f>
        <v>0</v>
      </c>
      <c r="K1774" s="2" t="n">
        <f aca="false">J1774*(1-K$1763)+J1773*K$1763</f>
        <v>0</v>
      </c>
      <c r="L1774" s="2" t="n">
        <f aca="false">K1774*(1-L$1763)+K1773*L$1763</f>
        <v>0.000131693266417043</v>
      </c>
      <c r="M1774" s="2" t="n">
        <f aca="false">L1774*(1-M$1763)+L1773*M$1763</f>
        <v>0.00398295591579543</v>
      </c>
      <c r="N1774" s="2" t="n">
        <f aca="false">M1774*(1-N$1763)+M1773*N$1763</f>
        <v>0.0241943372551875</v>
      </c>
      <c r="O1774" s="2" t="n">
        <f aca="false">N1774*(1-O$1763)+N1773*O$1763</f>
        <v>0.0241943372551875</v>
      </c>
    </row>
    <row r="1775" customFormat="false" ht="15" hidden="false" customHeight="false" outlineLevel="0" collapsed="false">
      <c r="B1775" s="2" t="n">
        <v>11</v>
      </c>
      <c r="C1775" s="2" t="n">
        <f aca="false">0</f>
        <v>0</v>
      </c>
      <c r="D1775" s="2" t="n">
        <f aca="false">C1775*(1-D$1763)+C1774*D$1763</f>
        <v>0</v>
      </c>
      <c r="E1775" s="2" t="n">
        <f aca="false">D1775*(1-E$1763)+D1774*E$1763</f>
        <v>0</v>
      </c>
      <c r="F1775" s="2" t="n">
        <f aca="false">E1775*(1-F$1763)+E1774*F$1763</f>
        <v>0</v>
      </c>
      <c r="G1775" s="2" t="n">
        <f aca="false">F1775*(1-G$1763)+F1774*G$1763</f>
        <v>0</v>
      </c>
      <c r="H1775" s="2" t="n">
        <f aca="false">G1775*(1-H$1763)+G1774*H$1763</f>
        <v>0</v>
      </c>
      <c r="I1775" s="2" t="n">
        <f aca="false">H1775*(1-I$1763)+H1774*I$1763</f>
        <v>0</v>
      </c>
      <c r="J1775" s="2" t="n">
        <f aca="false">I1775*(1-J$1763)+I1774*J$1763</f>
        <v>0</v>
      </c>
      <c r="K1775" s="2" t="n">
        <f aca="false">J1775*(1-K$1763)+J1774*K$1763</f>
        <v>0</v>
      </c>
      <c r="L1775" s="2" t="n">
        <f aca="false">K1775*(1-L$1763)+K1774*L$1763</f>
        <v>0</v>
      </c>
      <c r="M1775" s="2" t="n">
        <f aca="false">L1775*(1-M$1763)+L1774*M$1763</f>
        <v>8.16883911882384E-005</v>
      </c>
      <c r="N1775" s="2" t="n">
        <f aca="false">M1775*(1-N$1763)+M1774*N$1763</f>
        <v>0.00275339571515711</v>
      </c>
      <c r="O1775" s="2" t="n">
        <f aca="false">N1775*(1-O$1763)+N1774*O$1763</f>
        <v>0.00275339571515711</v>
      </c>
    </row>
    <row r="1776" customFormat="false" ht="15" hidden="false" customHeight="false" outlineLevel="0" collapsed="false">
      <c r="B1776" s="2" t="n">
        <v>12</v>
      </c>
      <c r="C1776" s="2" t="n">
        <f aca="false">0</f>
        <v>0</v>
      </c>
      <c r="D1776" s="2" t="n">
        <f aca="false">C1776*(1-D$1763)+C1775*D$1763</f>
        <v>0</v>
      </c>
      <c r="E1776" s="2" t="n">
        <f aca="false">D1776*(1-E$1763)+D1775*E$1763</f>
        <v>0</v>
      </c>
      <c r="F1776" s="2" t="n">
        <f aca="false">E1776*(1-F$1763)+E1775*F$1763</f>
        <v>0</v>
      </c>
      <c r="G1776" s="2" t="n">
        <f aca="false">F1776*(1-G$1763)+F1775*G$1763</f>
        <v>0</v>
      </c>
      <c r="H1776" s="2" t="n">
        <f aca="false">G1776*(1-H$1763)+G1775*H$1763</f>
        <v>0</v>
      </c>
      <c r="I1776" s="2" t="n">
        <f aca="false">H1776*(1-I$1763)+H1775*I$1763</f>
        <v>0</v>
      </c>
      <c r="J1776" s="2" t="n">
        <f aca="false">I1776*(1-J$1763)+I1775*J$1763</f>
        <v>0</v>
      </c>
      <c r="K1776" s="2" t="n">
        <f aca="false">J1776*(1-K$1763)+J1775*K$1763</f>
        <v>0</v>
      </c>
      <c r="L1776" s="2" t="n">
        <f aca="false">K1776*(1-L$1763)+K1775*L$1763</f>
        <v>0</v>
      </c>
      <c r="M1776" s="2" t="n">
        <f aca="false">L1776*(1-M$1763)+L1775*M$1763</f>
        <v>0</v>
      </c>
      <c r="N1776" s="2" t="n">
        <f aca="false">M1776*(1-N$1763)+M1775*N$1763</f>
        <v>5.59427087848391E-005</v>
      </c>
      <c r="O1776" s="2" t="n">
        <f aca="false">N1776*(1-O$1763)+N1775*O$1763</f>
        <v>5.59427087848391E-005</v>
      </c>
    </row>
    <row r="1777" customFormat="false" ht="15" hidden="false" customHeight="false" outlineLevel="0" collapsed="false">
      <c r="B1777" s="2" t="n">
        <v>13</v>
      </c>
      <c r="C1777" s="2" t="n">
        <f aca="false">0</f>
        <v>0</v>
      </c>
      <c r="D1777" s="2" t="n">
        <f aca="false">C1777*(1-D$1763)+C1776*D$1763</f>
        <v>0</v>
      </c>
      <c r="E1777" s="2" t="n">
        <f aca="false">D1777*(1-E$1763)+D1776*E$1763</f>
        <v>0</v>
      </c>
      <c r="F1777" s="2" t="n">
        <f aca="false">E1777*(1-F$1763)+E1776*F$1763</f>
        <v>0</v>
      </c>
      <c r="G1777" s="2" t="n">
        <f aca="false">F1777*(1-G$1763)+F1776*G$1763</f>
        <v>0</v>
      </c>
      <c r="H1777" s="2" t="n">
        <f aca="false">G1777*(1-H$1763)+G1776*H$1763</f>
        <v>0</v>
      </c>
      <c r="I1777" s="2" t="n">
        <f aca="false">H1777*(1-I$1763)+H1776*I$1763</f>
        <v>0</v>
      </c>
      <c r="J1777" s="2" t="n">
        <f aca="false">I1777*(1-J$1763)+I1776*J$1763</f>
        <v>0</v>
      </c>
      <c r="K1777" s="2" t="n">
        <f aca="false">J1777*(1-K$1763)+J1776*K$1763</f>
        <v>0</v>
      </c>
      <c r="L1777" s="2" t="n">
        <f aca="false">K1777*(1-L$1763)+K1776*L$1763</f>
        <v>0</v>
      </c>
      <c r="M1777" s="2" t="n">
        <f aca="false">L1777*(1-M$1763)+L1776*M$1763</f>
        <v>0</v>
      </c>
      <c r="N1777" s="2" t="n">
        <f aca="false">M1777*(1-N$1763)+M1776*N$1763</f>
        <v>0</v>
      </c>
      <c r="O1777" s="2" t="n">
        <f aca="false">N1777*(1-O$1763)+N1776*O$1763</f>
        <v>0</v>
      </c>
    </row>
    <row r="1779" customFormat="false" ht="15" hidden="false" customHeight="false" outlineLevel="0" collapsed="false">
      <c r="A1779" s="1" t="s">
        <v>169</v>
      </c>
      <c r="C1779" s="2" t="n">
        <f aca="false">Schedule!G113</f>
        <v>0.838301208542714</v>
      </c>
      <c r="D1779" s="2" t="n">
        <f aca="false">Schedule!L113</f>
        <v>0.210049357017915</v>
      </c>
      <c r="E1779" s="2" t="n">
        <f aca="false">Schedule!Q113</f>
        <v>0.807508056658567</v>
      </c>
      <c r="F1779" s="2" t="n">
        <f aca="false">Schedule!V113</f>
        <v>0.0957337772110986</v>
      </c>
      <c r="G1779" s="2" t="n">
        <f aca="false">Schedule!AA113</f>
        <v>0.418297816494375</v>
      </c>
      <c r="H1779" s="2" t="n">
        <f aca="false">Schedule!AF113</f>
        <v>0.487535082565623</v>
      </c>
      <c r="I1779" s="2" t="n">
        <f aca="false">Schedule!AK113</f>
        <v>0.280535986826232</v>
      </c>
      <c r="J1779" s="2" t="n">
        <f aca="false">Schedule!AP113</f>
        <v>0.391658119153605</v>
      </c>
      <c r="K1779" s="2" t="n">
        <f aca="false">Schedule!AU113</f>
        <v>0.883712112245511</v>
      </c>
      <c r="L1779" s="2" t="n">
        <f aca="false">Schedule!AZ113</f>
        <v>0.330874388040879</v>
      </c>
      <c r="M1779" s="2" t="n">
        <f aca="false">Schedule!BE113</f>
        <v>0.878747814704685</v>
      </c>
      <c r="N1779" s="2" t="n">
        <f aca="false">Schedule!BJ113</f>
        <v>0.48504317007409</v>
      </c>
      <c r="O1779" s="2" t="n">
        <f aca="false">Schedule!BO113</f>
        <v>0</v>
      </c>
    </row>
    <row r="1780" customFormat="false" ht="15" hidden="false" customHeight="false" outlineLevel="0" collapsed="false">
      <c r="B1780" s="2" t="n">
        <v>0</v>
      </c>
      <c r="C1780" s="2" t="n">
        <f aca="false">1-C$1779</f>
        <v>0.161698791457286</v>
      </c>
      <c r="D1780" s="2" t="n">
        <f aca="false">C1780*(1-D$1779)</f>
        <v>0.127734064281109</v>
      </c>
      <c r="E1780" s="2" t="n">
        <f aca="false">D1780*(1-E$1779)</f>
        <v>0.0245877782643702</v>
      </c>
      <c r="F1780" s="2" t="n">
        <f aca="false">E1780*(1-F$1779)</f>
        <v>0.0222338973778931</v>
      </c>
      <c r="G1780" s="2" t="n">
        <f aca="false">F1780*(1-G$1779)</f>
        <v>0.0129335066525604</v>
      </c>
      <c r="H1780" s="2" t="n">
        <f aca="false">G1780*(1-H$1779)</f>
        <v>0.00662796841884134</v>
      </c>
      <c r="I1780" s="2" t="n">
        <f aca="false">H1780*(1-I$1779)</f>
        <v>0.00476858475780859</v>
      </c>
      <c r="J1780" s="2" t="n">
        <f aca="false">I1780*(1-J$1779)</f>
        <v>0.00290092982054073</v>
      </c>
      <c r="K1780" s="2" t="n">
        <f aca="false">J1780*(1-K$1779)</f>
        <v>0.000337343001354689</v>
      </c>
      <c r="L1780" s="2" t="n">
        <f aca="false">K1780*(1-L$1779)</f>
        <v>0.000225724842221583</v>
      </c>
      <c r="M1780" s="2" t="n">
        <f aca="false">L1780*(1-M$1779)</f>
        <v>2.7369630394807E-005</v>
      </c>
      <c r="N1780" s="2" t="n">
        <f aca="false">M1780*(1-N$1779)</f>
        <v>1.40941781043536E-005</v>
      </c>
      <c r="O1780" s="2" t="n">
        <f aca="false">N1780*(1-O$1779)</f>
        <v>1.40941781043536E-005</v>
      </c>
    </row>
    <row r="1781" customFormat="false" ht="15" hidden="false" customHeight="false" outlineLevel="0" collapsed="false">
      <c r="B1781" s="2" t="n">
        <v>1</v>
      </c>
      <c r="C1781" s="2" t="n">
        <f aca="false">C$1779</f>
        <v>0.838301208542714</v>
      </c>
      <c r="D1781" s="2" t="n">
        <f aca="false">C1781*(1-D$1779)+C1780*D$1779</f>
        <v>0.696181305877153</v>
      </c>
      <c r="E1781" s="2" t="n">
        <f aca="false">D1781*(1-E$1779)+D1780*E$1779</f>
        <v>0.237155578503009</v>
      </c>
      <c r="F1781" s="2" t="n">
        <f aca="false">E1781*(1-F$1779)+E1780*F$1779</f>
        <v>0.21680566007271</v>
      </c>
      <c r="G1781" s="2" t="n">
        <f aca="false">F1781*(1-G$1779)+F1780*G$1779</f>
        <v>0.135416716586006</v>
      </c>
      <c r="H1781" s="2" t="n">
        <f aca="false">G1781*(1-H$1779)+G1780*H$1779</f>
        <v>0.0757018547182012</v>
      </c>
      <c r="I1781" s="2" t="n">
        <f aca="false">H1781*(1-I$1779)+H1780*I$1779</f>
        <v>0.0563241438612874</v>
      </c>
      <c r="J1781" s="2" t="n">
        <f aca="false">I1781*(1-J$1779)+I1780*J$1779</f>
        <v>0.0361319905509063</v>
      </c>
      <c r="K1781" s="2" t="n">
        <f aca="false">J1781*(1-K$1779)+J1780*K$1779</f>
        <v>0.00676529968071607</v>
      </c>
      <c r="L1781" s="2" t="n">
        <f aca="false">K1781*(1-L$1779)+K1780*L$1779</f>
        <v>0.00463845344807909</v>
      </c>
      <c r="M1781" s="2" t="n">
        <f aca="false">L1781*(1-M$1779)+L1780*M$1779</f>
        <v>0.000760777828796953</v>
      </c>
      <c r="N1781" s="2" t="n">
        <f aca="false">M1781*(1-N$1779)+M1780*N$1779</f>
        <v>0.000405043191285649</v>
      </c>
      <c r="O1781" s="2" t="n">
        <f aca="false">N1781*(1-O$1779)+N1780*O$1779</f>
        <v>0.000405043191285649</v>
      </c>
    </row>
    <row r="1782" customFormat="false" ht="15" hidden="false" customHeight="false" outlineLevel="0" collapsed="false">
      <c r="B1782" s="2" t="n">
        <v>2</v>
      </c>
      <c r="C1782" s="2" t="n">
        <f aca="false">0</f>
        <v>0</v>
      </c>
      <c r="D1782" s="2" t="n">
        <f aca="false">C1782*(1-D$1779)+C1781*D$1779</f>
        <v>0.176084629841738</v>
      </c>
      <c r="E1782" s="2" t="n">
        <f aca="false">D1782*(1-E$1779)+D1781*E$1779</f>
        <v>0.596066885981676</v>
      </c>
      <c r="F1782" s="2" t="n">
        <f aca="false">E1782*(1-F$1779)+E1781*F$1779</f>
        <v>0.561706950832969</v>
      </c>
      <c r="G1782" s="2" t="n">
        <f aca="false">F1782*(1-G$1779)+F1781*G$1779</f>
        <v>0.417435494001861</v>
      </c>
      <c r="H1782" s="2" t="n">
        <f aca="false">G1782*(1-H$1779)+G1781*H$1779</f>
        <v>0.279941446069366</v>
      </c>
      <c r="I1782" s="2" t="n">
        <f aca="false">H1782*(1-I$1779)+H1781*I$1779</f>
        <v>0.222644890760681</v>
      </c>
      <c r="J1782" s="2" t="n">
        <f aca="false">I1782*(1-J$1779)+I1781*J$1779</f>
        <v>0.157504019853842</v>
      </c>
      <c r="K1782" s="2" t="n">
        <f aca="false">J1782*(1-K$1779)+J1781*K$1779</f>
        <v>0.0502460874710206</v>
      </c>
      <c r="L1782" s="2" t="n">
        <f aca="false">K1782*(1-L$1779)+K1781*L$1779</f>
        <v>0.0358594084193682</v>
      </c>
      <c r="M1782" s="2" t="n">
        <f aca="false">L1782*(1-M$1779)+L1781*M$1779</f>
        <v>0.00842406246535452</v>
      </c>
      <c r="N1782" s="2" t="n">
        <f aca="false">M1782*(1-N$1779)+M1781*N$1779</f>
        <v>0.00470703859205857</v>
      </c>
      <c r="O1782" s="2" t="n">
        <f aca="false">N1782*(1-O$1779)+N1781*O$1779</f>
        <v>0.00470703859205857</v>
      </c>
    </row>
    <row r="1783" customFormat="false" ht="15" hidden="false" customHeight="false" outlineLevel="0" collapsed="false">
      <c r="B1783" s="2" t="n">
        <v>3</v>
      </c>
      <c r="C1783" s="2" t="n">
        <f aca="false">0</f>
        <v>0</v>
      </c>
      <c r="D1783" s="2" t="n">
        <f aca="false">C1783*(1-D$1779)+C1782*D$1779</f>
        <v>0</v>
      </c>
      <c r="E1783" s="2" t="n">
        <f aca="false">D1783*(1-E$1779)+D1782*E$1779</f>
        <v>0.142189757250945</v>
      </c>
      <c r="F1783" s="2" t="n">
        <f aca="false">E1783*(1-F$1779)+E1782*F$1779</f>
        <v>0.185641129174066</v>
      </c>
      <c r="G1783" s="2" t="n">
        <f aca="false">F1783*(1-G$1779)+F1782*G$1779</f>
        <v>0.342948641232148</v>
      </c>
      <c r="H1783" s="2" t="n">
        <f aca="false">G1783*(1-H$1779)+G1782*H$1779</f>
        <v>0.379263595147284</v>
      </c>
      <c r="I1783" s="2" t="n">
        <f aca="false">H1783*(1-I$1779)+H1782*I$1779</f>
        <v>0.351400158042008</v>
      </c>
      <c r="J1783" s="2" t="n">
        <f aca="false">I1783*(1-J$1779)+I1782*J$1779</f>
        <v>0.300972112227484</v>
      </c>
      <c r="K1783" s="2" t="n">
        <f aca="false">J1783*(1-K$1779)+J1782*K$1779</f>
        <v>0.174187621276138</v>
      </c>
      <c r="L1783" s="2" t="n">
        <f aca="false">K1783*(1-L$1779)+K1782*L$1779</f>
        <v>0.133178542125522</v>
      </c>
      <c r="M1783" s="2" t="n">
        <f aca="false">L1783*(1-M$1779)+L1782*M$1779</f>
        <v>0.0476595660522863</v>
      </c>
      <c r="N1783" s="2" t="n">
        <f aca="false">M1783*(1-N$1779)+M1782*N$1779</f>
        <v>0.0286286530130276</v>
      </c>
      <c r="O1783" s="2" t="n">
        <f aca="false">N1783*(1-O$1779)+N1782*O$1779</f>
        <v>0.0286286530130276</v>
      </c>
    </row>
    <row r="1784" customFormat="false" ht="15" hidden="false" customHeight="false" outlineLevel="0" collapsed="false">
      <c r="B1784" s="2" t="n">
        <v>4</v>
      </c>
      <c r="C1784" s="2" t="n">
        <f aca="false">0</f>
        <v>0</v>
      </c>
      <c r="D1784" s="2" t="n">
        <f aca="false">C1784*(1-D$1779)+C1783*D$1779</f>
        <v>0</v>
      </c>
      <c r="E1784" s="2" t="n">
        <f aca="false">D1784*(1-E$1779)+D1783*E$1779</f>
        <v>0</v>
      </c>
      <c r="F1784" s="2" t="n">
        <f aca="false">E1784*(1-F$1779)+E1783*F$1779</f>
        <v>0.0136123625423621</v>
      </c>
      <c r="G1784" s="2" t="n">
        <f aca="false">F1784*(1-G$1779)+F1783*G$1779</f>
        <v>0.0855716199986242</v>
      </c>
      <c r="H1784" s="2" t="n">
        <f aca="false">G1784*(1-H$1779)+G1783*H$1779</f>
        <v>0.211051947296204</v>
      </c>
      <c r="I1784" s="2" t="n">
        <f aca="false">H1784*(1-I$1779)+H1783*I$1779</f>
        <v>0.258241367921773</v>
      </c>
      <c r="J1784" s="2" t="n">
        <f aca="false">I1784*(1-J$1779)+I1783*J$1779</f>
        <v>0.29472776444289</v>
      </c>
      <c r="K1784" s="2" t="n">
        <f aca="false">J1784*(1-K$1779)+J1783*K$1779</f>
        <v>0.300245970213209</v>
      </c>
      <c r="L1784" s="2" t="n">
        <f aca="false">K1784*(1-L$1779)+K1783*L$1779</f>
        <v>0.258536491151212</v>
      </c>
      <c r="M1784" s="2" t="n">
        <f aca="false">L1784*(1-M$1779)+L1783*M$1779</f>
        <v>0.148378467389026</v>
      </c>
      <c r="N1784" s="2" t="n">
        <f aca="false">M1784*(1-N$1779)+M1783*N$1779</f>
        <v>0.099525452198274</v>
      </c>
      <c r="O1784" s="2" t="n">
        <f aca="false">N1784*(1-O$1779)+N1783*O$1779</f>
        <v>0.099525452198274</v>
      </c>
    </row>
    <row r="1785" customFormat="false" ht="15" hidden="false" customHeight="false" outlineLevel="0" collapsed="false">
      <c r="B1785" s="2" t="n">
        <v>5</v>
      </c>
      <c r="C1785" s="2" t="n">
        <f aca="false">0</f>
        <v>0</v>
      </c>
      <c r="D1785" s="2" t="n">
        <f aca="false">C1785*(1-D$1779)+C1784*D$1779</f>
        <v>0</v>
      </c>
      <c r="E1785" s="2" t="n">
        <f aca="false">D1785*(1-E$1779)+D1784*E$1779</f>
        <v>0</v>
      </c>
      <c r="F1785" s="2" t="n">
        <f aca="false">E1785*(1-F$1779)+E1784*F$1779</f>
        <v>0</v>
      </c>
      <c r="G1785" s="2" t="n">
        <f aca="false">F1785*(1-G$1779)+F1784*G$1779</f>
        <v>0.0056940215287999</v>
      </c>
      <c r="H1785" s="2" t="n">
        <f aca="false">G1785*(1-H$1779)+G1784*H$1779</f>
        <v>0.0446371530939294</v>
      </c>
      <c r="I1785" s="2" t="n">
        <f aca="false">H1785*(1-I$1779)+H1784*I$1779</f>
        <v>0.0913224916079488</v>
      </c>
      <c r="J1785" s="2" t="n">
        <f aca="false">I1785*(1-J$1779)+I1784*J$1779</f>
        <v>0.156697624756255</v>
      </c>
      <c r="K1785" s="2" t="n">
        <f aca="false">J1785*(1-K$1779)+J1784*K$1779</f>
        <v>0.278676531052274</v>
      </c>
      <c r="L1785" s="2" t="n">
        <f aca="false">K1785*(1-L$1779)+K1784*L$1779</f>
        <v>0.285813306035033</v>
      </c>
      <c r="M1785" s="2" t="n">
        <f aca="false">L1785*(1-M$1779)+L1784*M$1779</f>
        <v>0.261843864563771</v>
      </c>
      <c r="N1785" s="2" t="n">
        <f aca="false">M1785*(1-N$1779)+M1784*N$1779</f>
        <v>0.206808248624417</v>
      </c>
      <c r="O1785" s="2" t="n">
        <f aca="false">N1785*(1-O$1779)+N1784*O$1779</f>
        <v>0.206808248624417</v>
      </c>
    </row>
    <row r="1786" customFormat="false" ht="15" hidden="false" customHeight="false" outlineLevel="0" collapsed="false">
      <c r="B1786" s="2" t="n">
        <v>6</v>
      </c>
      <c r="C1786" s="2" t="n">
        <f aca="false">0</f>
        <v>0</v>
      </c>
      <c r="D1786" s="2" t="n">
        <f aca="false">C1786*(1-D$1779)+C1785*D$1779</f>
        <v>0</v>
      </c>
      <c r="E1786" s="2" t="n">
        <f aca="false">D1786*(1-E$1779)+D1785*E$1779</f>
        <v>0</v>
      </c>
      <c r="F1786" s="2" t="n">
        <f aca="false">E1786*(1-F$1779)+E1785*F$1779</f>
        <v>0</v>
      </c>
      <c r="G1786" s="2" t="n">
        <f aca="false">F1786*(1-G$1779)+F1785*G$1779</f>
        <v>0</v>
      </c>
      <c r="H1786" s="2" t="n">
        <f aca="false">G1786*(1-H$1779)+G1785*H$1779</f>
        <v>0.0027760352561739</v>
      </c>
      <c r="I1786" s="2" t="n">
        <f aca="false">H1786*(1-I$1779)+H1785*I$1779</f>
        <v>0.0145195852584378</v>
      </c>
      <c r="J1786" s="2" t="n">
        <f aca="false">I1786*(1-J$1779)+I1785*J$1779</f>
        <v>0.0446000671048178</v>
      </c>
      <c r="K1786" s="2" t="n">
        <f aca="false">J1786*(1-K$1779)+J1785*K$1779</f>
        <v>0.143662036554532</v>
      </c>
      <c r="L1786" s="2" t="n">
        <f aca="false">K1786*(1-L$1779)+K1785*L$1779</f>
        <v>0.188334874798121</v>
      </c>
      <c r="M1786" s="2" t="n">
        <f aca="false">L1786*(1-M$1779)+L1785*M$1779</f>
        <v>0.273993833228399</v>
      </c>
      <c r="N1786" s="2" t="n">
        <f aca="false">M1786*(1-N$1779)+M1785*N$1779</f>
        <v>0.268100573911007</v>
      </c>
      <c r="O1786" s="2" t="n">
        <f aca="false">N1786*(1-O$1779)+N1785*O$1779</f>
        <v>0.268100573911007</v>
      </c>
    </row>
    <row r="1787" customFormat="false" ht="15" hidden="false" customHeight="false" outlineLevel="0" collapsed="false">
      <c r="B1787" s="2" t="n">
        <v>7</v>
      </c>
      <c r="C1787" s="2" t="n">
        <f aca="false">0</f>
        <v>0</v>
      </c>
      <c r="D1787" s="2" t="n">
        <f aca="false">C1787*(1-D$1779)+C1786*D$1779</f>
        <v>0</v>
      </c>
      <c r="E1787" s="2" t="n">
        <f aca="false">D1787*(1-E$1779)+D1786*E$1779</f>
        <v>0</v>
      </c>
      <c r="F1787" s="2" t="n">
        <f aca="false">E1787*(1-F$1779)+E1786*F$1779</f>
        <v>0</v>
      </c>
      <c r="G1787" s="2" t="n">
        <f aca="false">F1787*(1-G$1779)+F1786*G$1779</f>
        <v>0</v>
      </c>
      <c r="H1787" s="2" t="n">
        <f aca="false">G1787*(1-H$1779)+G1786*H$1779</f>
        <v>0</v>
      </c>
      <c r="I1787" s="2" t="n">
        <f aca="false">H1787*(1-I$1779)+H1786*I$1779</f>
        <v>0.000778777790055154</v>
      </c>
      <c r="J1787" s="2" t="n">
        <f aca="false">I1787*(1-J$1779)+I1786*J$1779</f>
        <v>0.00616047659877371</v>
      </c>
      <c r="K1787" s="2" t="n">
        <f aca="false">J1787*(1-K$1779)+J1786*K$1779</f>
        <v>0.0401300083187224</v>
      </c>
      <c r="L1787" s="2" t="n">
        <f aca="false">K1787*(1-L$1779)+K1786*L$1779</f>
        <v>0.0743861048038769</v>
      </c>
      <c r="M1787" s="2" t="n">
        <f aca="false">L1787*(1-M$1779)+L1786*M$1779</f>
        <v>0.174518337424606</v>
      </c>
      <c r="N1787" s="2" t="n">
        <f aca="false">M1787*(1-N$1779)+M1786*N$1779</f>
        <v>0.222768247253969</v>
      </c>
      <c r="O1787" s="2" t="n">
        <f aca="false">N1787*(1-O$1779)+N1786*O$1779</f>
        <v>0.222768247253969</v>
      </c>
    </row>
    <row r="1788" customFormat="false" ht="15" hidden="false" customHeight="false" outlineLevel="0" collapsed="false">
      <c r="B1788" s="2" t="n">
        <v>8</v>
      </c>
      <c r="C1788" s="2" t="n">
        <f aca="false">0</f>
        <v>0</v>
      </c>
      <c r="D1788" s="2" t="n">
        <f aca="false">C1788*(1-D$1779)+C1787*D$1779</f>
        <v>0</v>
      </c>
      <c r="E1788" s="2" t="n">
        <f aca="false">D1788*(1-E$1779)+D1787*E$1779</f>
        <v>0</v>
      </c>
      <c r="F1788" s="2" t="n">
        <f aca="false">E1788*(1-F$1779)+E1787*F$1779</f>
        <v>0</v>
      </c>
      <c r="G1788" s="2" t="n">
        <f aca="false">F1788*(1-G$1779)+F1787*G$1779</f>
        <v>0</v>
      </c>
      <c r="H1788" s="2" t="n">
        <f aca="false">G1788*(1-H$1779)+G1787*H$1779</f>
        <v>0</v>
      </c>
      <c r="I1788" s="2" t="n">
        <f aca="false">H1788*(1-I$1779)+H1787*I$1779</f>
        <v>0</v>
      </c>
      <c r="J1788" s="2" t="n">
        <f aca="false">I1788*(1-J$1779)+I1787*J$1779</f>
        <v>0.000305014644491603</v>
      </c>
      <c r="K1788" s="2" t="n">
        <f aca="false">J1788*(1-K$1779)+J1787*K$1779</f>
        <v>0.00547955729628347</v>
      </c>
      <c r="L1788" s="2" t="n">
        <f aca="false">K1788*(1-L$1779)+K1787*L$1779</f>
        <v>0.0169445040736734</v>
      </c>
      <c r="M1788" s="2" t="n">
        <f aca="false">L1788*(1-M$1779)+L1787*M$1779</f>
        <v>0.0674211851884788</v>
      </c>
      <c r="N1788" s="2" t="n">
        <f aca="false">M1788*(1-N$1779)+M1787*N$1779</f>
        <v>0.119367927414997</v>
      </c>
      <c r="O1788" s="2" t="n">
        <f aca="false">N1788*(1-O$1779)+N1787*O$1779</f>
        <v>0.119367927414997</v>
      </c>
    </row>
    <row r="1789" customFormat="false" ht="15" hidden="false" customHeight="false" outlineLevel="0" collapsed="false">
      <c r="B1789" s="2" t="n">
        <v>9</v>
      </c>
      <c r="C1789" s="2" t="n">
        <f aca="false">0</f>
        <v>0</v>
      </c>
      <c r="D1789" s="2" t="n">
        <f aca="false">C1789*(1-D$1779)+C1788*D$1779</f>
        <v>0</v>
      </c>
      <c r="E1789" s="2" t="n">
        <f aca="false">D1789*(1-E$1779)+D1788*E$1779</f>
        <v>0</v>
      </c>
      <c r="F1789" s="2" t="n">
        <f aca="false">E1789*(1-F$1779)+E1788*F$1779</f>
        <v>0</v>
      </c>
      <c r="G1789" s="2" t="n">
        <f aca="false">F1789*(1-G$1779)+F1788*G$1779</f>
        <v>0</v>
      </c>
      <c r="H1789" s="2" t="n">
        <f aca="false">G1789*(1-H$1779)+G1788*H$1779</f>
        <v>0</v>
      </c>
      <c r="I1789" s="2" t="n">
        <f aca="false">H1789*(1-I$1779)+H1788*I$1779</f>
        <v>0</v>
      </c>
      <c r="J1789" s="2" t="n">
        <f aca="false">I1789*(1-J$1779)+I1788*J$1779</f>
        <v>0</v>
      </c>
      <c r="K1789" s="2" t="n">
        <f aca="false">J1789*(1-K$1779)+J1788*K$1779</f>
        <v>0.000269545135749488</v>
      </c>
      <c r="L1789" s="2" t="n">
        <f aca="false">K1789*(1-L$1779)+K1788*L$1779</f>
        <v>0.00199340472105171</v>
      </c>
      <c r="M1789" s="2" t="n">
        <f aca="false">L1789*(1-M$1779)+L1788*M$1779</f>
        <v>0.0151316506046007</v>
      </c>
      <c r="N1789" s="2" t="n">
        <f aca="false">M1789*(1-N$1779)+M1788*N$1779</f>
        <v>0.0404943322208637</v>
      </c>
      <c r="O1789" s="2" t="n">
        <f aca="false">N1789*(1-O$1779)+N1788*O$1779</f>
        <v>0.0404943322208637</v>
      </c>
    </row>
    <row r="1790" customFormat="false" ht="15" hidden="false" customHeight="false" outlineLevel="0" collapsed="false">
      <c r="B1790" s="2" t="n">
        <v>10</v>
      </c>
      <c r="C1790" s="2" t="n">
        <f aca="false">0</f>
        <v>0</v>
      </c>
      <c r="D1790" s="2" t="n">
        <f aca="false">C1790*(1-D$1779)+C1789*D$1779</f>
        <v>0</v>
      </c>
      <c r="E1790" s="2" t="n">
        <f aca="false">D1790*(1-E$1779)+D1789*E$1779</f>
        <v>0</v>
      </c>
      <c r="F1790" s="2" t="n">
        <f aca="false">E1790*(1-F$1779)+E1789*F$1779</f>
        <v>0</v>
      </c>
      <c r="G1790" s="2" t="n">
        <f aca="false">F1790*(1-G$1779)+F1789*G$1779</f>
        <v>0</v>
      </c>
      <c r="H1790" s="2" t="n">
        <f aca="false">G1790*(1-H$1779)+G1789*H$1779</f>
        <v>0</v>
      </c>
      <c r="I1790" s="2" t="n">
        <f aca="false">H1790*(1-I$1779)+H1789*I$1779</f>
        <v>0</v>
      </c>
      <c r="J1790" s="2" t="n">
        <f aca="false">I1790*(1-J$1779)+I1789*J$1779</f>
        <v>0</v>
      </c>
      <c r="K1790" s="2" t="n">
        <f aca="false">J1790*(1-K$1779)+J1789*K$1779</f>
        <v>0</v>
      </c>
      <c r="L1790" s="2" t="n">
        <f aca="false">K1790*(1-L$1779)+K1789*L$1779</f>
        <v>8.91855818405076E-005</v>
      </c>
      <c r="M1790" s="2" t="n">
        <f aca="false">L1790*(1-M$1779)+L1789*M$1779</f>
        <v>0.00176251398914119</v>
      </c>
      <c r="N1790" s="2" t="n">
        <f aca="false">M1790*(1-N$1779)+M1789*N$1779</f>
        <v>0.00824712239425725</v>
      </c>
      <c r="O1790" s="2" t="n">
        <f aca="false">N1790*(1-O$1779)+N1789*O$1779</f>
        <v>0.00824712239425725</v>
      </c>
    </row>
    <row r="1791" customFormat="false" ht="15" hidden="false" customHeight="false" outlineLevel="0" collapsed="false">
      <c r="B1791" s="2" t="n">
        <v>11</v>
      </c>
      <c r="C1791" s="2" t="n">
        <f aca="false">0</f>
        <v>0</v>
      </c>
      <c r="D1791" s="2" t="n">
        <f aca="false">C1791*(1-D$1779)+C1790*D$1779</f>
        <v>0</v>
      </c>
      <c r="E1791" s="2" t="n">
        <f aca="false">D1791*(1-E$1779)+D1790*E$1779</f>
        <v>0</v>
      </c>
      <c r="F1791" s="2" t="n">
        <f aca="false">E1791*(1-F$1779)+E1790*F$1779</f>
        <v>0</v>
      </c>
      <c r="G1791" s="2" t="n">
        <f aca="false">F1791*(1-G$1779)+F1790*G$1779</f>
        <v>0</v>
      </c>
      <c r="H1791" s="2" t="n">
        <f aca="false">G1791*(1-H$1779)+G1790*H$1779</f>
        <v>0</v>
      </c>
      <c r="I1791" s="2" t="n">
        <f aca="false">H1791*(1-I$1779)+H1790*I$1779</f>
        <v>0</v>
      </c>
      <c r="J1791" s="2" t="n">
        <f aca="false">I1791*(1-J$1779)+I1790*J$1779</f>
        <v>0</v>
      </c>
      <c r="K1791" s="2" t="n">
        <f aca="false">J1791*(1-K$1779)+J1790*K$1779</f>
        <v>0</v>
      </c>
      <c r="L1791" s="2" t="n">
        <f aca="false">K1791*(1-L$1779)+K1790*L$1779</f>
        <v>0</v>
      </c>
      <c r="M1791" s="2" t="n">
        <f aca="false">L1791*(1-M$1779)+L1790*M$1779</f>
        <v>7.8371635145512E-005</v>
      </c>
      <c r="N1791" s="2" t="n">
        <f aca="false">M1791*(1-N$1779)+M1790*N$1779</f>
        <v>0.000895253381383616</v>
      </c>
      <c r="O1791" s="2" t="n">
        <f aca="false">N1791*(1-O$1779)+N1790*O$1779</f>
        <v>0.000895253381383616</v>
      </c>
    </row>
    <row r="1792" customFormat="false" ht="15" hidden="false" customHeight="false" outlineLevel="0" collapsed="false">
      <c r="B1792" s="2" t="n">
        <v>12</v>
      </c>
      <c r="C1792" s="2" t="n">
        <f aca="false">0</f>
        <v>0</v>
      </c>
      <c r="D1792" s="2" t="n">
        <f aca="false">C1792*(1-D$1779)+C1791*D$1779</f>
        <v>0</v>
      </c>
      <c r="E1792" s="2" t="n">
        <f aca="false">D1792*(1-E$1779)+D1791*E$1779</f>
        <v>0</v>
      </c>
      <c r="F1792" s="2" t="n">
        <f aca="false">E1792*(1-F$1779)+E1791*F$1779</f>
        <v>0</v>
      </c>
      <c r="G1792" s="2" t="n">
        <f aca="false">F1792*(1-G$1779)+F1791*G$1779</f>
        <v>0</v>
      </c>
      <c r="H1792" s="2" t="n">
        <f aca="false">G1792*(1-H$1779)+G1791*H$1779</f>
        <v>0</v>
      </c>
      <c r="I1792" s="2" t="n">
        <f aca="false">H1792*(1-I$1779)+H1791*I$1779</f>
        <v>0</v>
      </c>
      <c r="J1792" s="2" t="n">
        <f aca="false">I1792*(1-J$1779)+I1791*J$1779</f>
        <v>0</v>
      </c>
      <c r="K1792" s="2" t="n">
        <f aca="false">J1792*(1-K$1779)+J1791*K$1779</f>
        <v>0</v>
      </c>
      <c r="L1792" s="2" t="n">
        <f aca="false">K1792*(1-L$1779)+K1791*L$1779</f>
        <v>0</v>
      </c>
      <c r="M1792" s="2" t="n">
        <f aca="false">L1792*(1-M$1779)+L1791*M$1779</f>
        <v>0</v>
      </c>
      <c r="N1792" s="2" t="n">
        <f aca="false">M1792*(1-N$1779)+M1791*N$1779</f>
        <v>3.80136263548691E-005</v>
      </c>
      <c r="O1792" s="2" t="n">
        <f aca="false">N1792*(1-O$1779)+N1791*O$1779</f>
        <v>3.80136263548691E-005</v>
      </c>
    </row>
    <row r="1793" customFormat="false" ht="15" hidden="false" customHeight="false" outlineLevel="0" collapsed="false">
      <c r="B1793" s="2" t="n">
        <v>13</v>
      </c>
      <c r="C1793" s="2" t="n">
        <f aca="false">0</f>
        <v>0</v>
      </c>
      <c r="D1793" s="2" t="n">
        <f aca="false">C1793*(1-D$1779)+C1792*D$1779</f>
        <v>0</v>
      </c>
      <c r="E1793" s="2" t="n">
        <f aca="false">D1793*(1-E$1779)+D1792*E$1779</f>
        <v>0</v>
      </c>
      <c r="F1793" s="2" t="n">
        <f aca="false">E1793*(1-F$1779)+E1792*F$1779</f>
        <v>0</v>
      </c>
      <c r="G1793" s="2" t="n">
        <f aca="false">F1793*(1-G$1779)+F1792*G$1779</f>
        <v>0</v>
      </c>
      <c r="H1793" s="2" t="n">
        <f aca="false">G1793*(1-H$1779)+G1792*H$1779</f>
        <v>0</v>
      </c>
      <c r="I1793" s="2" t="n">
        <f aca="false">H1793*(1-I$1779)+H1792*I$1779</f>
        <v>0</v>
      </c>
      <c r="J1793" s="2" t="n">
        <f aca="false">I1793*(1-J$1779)+I1792*J$1779</f>
        <v>0</v>
      </c>
      <c r="K1793" s="2" t="n">
        <f aca="false">J1793*(1-K$1779)+J1792*K$1779</f>
        <v>0</v>
      </c>
      <c r="L1793" s="2" t="n">
        <f aca="false">K1793*(1-L$1779)+K1792*L$1779</f>
        <v>0</v>
      </c>
      <c r="M1793" s="2" t="n">
        <f aca="false">L1793*(1-M$1779)+L1792*M$1779</f>
        <v>0</v>
      </c>
      <c r="N1793" s="2" t="n">
        <f aca="false">M1793*(1-N$1779)+M1792*N$1779</f>
        <v>0</v>
      </c>
      <c r="O1793" s="2" t="n">
        <f aca="false">N1793*(1-O$1779)+N1792*O$1779</f>
        <v>0</v>
      </c>
    </row>
    <row r="1795" customFormat="false" ht="15" hidden="false" customHeight="false" outlineLevel="0" collapsed="false">
      <c r="A1795" s="1" t="s">
        <v>170</v>
      </c>
      <c r="C1795" s="2" t="n">
        <f aca="false">Schedule!G114</f>
        <v>0.982135579437183</v>
      </c>
      <c r="D1795" s="2" t="n">
        <f aca="false">Schedule!L114</f>
        <v>0.0576282222761531</v>
      </c>
      <c r="E1795" s="2" t="n">
        <f aca="false">Schedule!Q114</f>
        <v>0.605938963847754</v>
      </c>
      <c r="F1795" s="2" t="n">
        <f aca="false">Schedule!V114</f>
        <v>0.0709503051389903</v>
      </c>
      <c r="G1795" s="2" t="n">
        <f aca="false">Schedule!AA114</f>
        <v>0.374958048081219</v>
      </c>
      <c r="H1795" s="2" t="n">
        <f aca="false">Schedule!AF114</f>
        <v>0.756080498111392</v>
      </c>
      <c r="I1795" s="2" t="n">
        <f aca="false">Schedule!AK114</f>
        <v>0.706693239916112</v>
      </c>
      <c r="J1795" s="2" t="n">
        <f aca="false">Schedule!AP114</f>
        <v>0.306340579285027</v>
      </c>
      <c r="K1795" s="2" t="n">
        <f aca="false">Schedule!AU114</f>
        <v>0.437917983191705</v>
      </c>
      <c r="L1795" s="2" t="n">
        <f aca="false">Schedule!AZ114</f>
        <v>0.601121098652944</v>
      </c>
      <c r="M1795" s="2" t="n">
        <f aca="false">Schedule!BE114</f>
        <v>0.576814180380971</v>
      </c>
      <c r="N1795" s="2" t="n">
        <f aca="false">Schedule!BJ114</f>
        <v>0.435456064137962</v>
      </c>
      <c r="O1795" s="2" t="n">
        <f aca="false">Schedule!BO114</f>
        <v>0</v>
      </c>
    </row>
    <row r="1796" customFormat="false" ht="15" hidden="false" customHeight="false" outlineLevel="0" collapsed="false">
      <c r="B1796" s="2" t="n">
        <v>0</v>
      </c>
      <c r="C1796" s="2" t="n">
        <f aca="false">1-C$1795</f>
        <v>0.0178644205628166</v>
      </c>
      <c r="D1796" s="2" t="n">
        <f aca="false">C1796*(1-D$1795)</f>
        <v>0.0168349257637879</v>
      </c>
      <c r="E1796" s="2" t="n">
        <f aca="false">D1796*(1-E$1795)</f>
        <v>0.00663398829002439</v>
      </c>
      <c r="F1796" s="2" t="n">
        <f aca="false">E1796*(1-F$1795)</f>
        <v>0.00616330479655867</v>
      </c>
      <c r="G1796" s="2" t="n">
        <f aca="false">F1796*(1-G$1795)</f>
        <v>0.00385232406031142</v>
      </c>
      <c r="H1796" s="2" t="n">
        <f aca="false">G1796*(1-H$1795)</f>
        <v>0.000939656965904662</v>
      </c>
      <c r="I1796" s="2" t="n">
        <f aca="false">H1796*(1-I$1795)</f>
        <v>0.000275607740259753</v>
      </c>
      <c r="J1796" s="2" t="n">
        <f aca="false">I1796*(1-J$1795)</f>
        <v>0.000191177905453143</v>
      </c>
      <c r="K1796" s="2" t="n">
        <f aca="false">J1796*(1-K$1795)</f>
        <v>0.000107457662666288</v>
      </c>
      <c r="L1796" s="2" t="n">
        <f aca="false">K1796*(1-L$1795)</f>
        <v>4.28625944256516E-005</v>
      </c>
      <c r="M1796" s="2" t="n">
        <f aca="false">L1796*(1-M$1795)</f>
        <v>1.81388421530174E-005</v>
      </c>
      <c r="N1796" s="2" t="n">
        <f aca="false">M1796*(1-N$1795)</f>
        <v>1.02401733410447E-005</v>
      </c>
      <c r="O1796" s="2" t="n">
        <f aca="false">N1796*(1-O$1795)</f>
        <v>1.02401733410447E-005</v>
      </c>
    </row>
    <row r="1797" customFormat="false" ht="15" hidden="false" customHeight="false" outlineLevel="0" collapsed="false">
      <c r="B1797" s="2" t="n">
        <v>1</v>
      </c>
      <c r="C1797" s="2" t="n">
        <f aca="false">C$1795</f>
        <v>0.982135579437183</v>
      </c>
      <c r="D1797" s="2" t="n">
        <f aca="false">C1797*(1-D$1795)+C1796*D$1795</f>
        <v>0.926566346759088</v>
      </c>
      <c r="E1797" s="2" t="n">
        <f aca="false">D1797*(1-E$1795)+D1796*E$1795</f>
        <v>0.375324632141451</v>
      </c>
      <c r="F1797" s="2" t="n">
        <f aca="false">E1797*(1-F$1795)+E1796*F$1795</f>
        <v>0.349165918458301</v>
      </c>
      <c r="G1797" s="2" t="n">
        <f aca="false">F1797*(1-G$1795)+F1796*G$1795</f>
        <v>0.220554327952938</v>
      </c>
      <c r="H1797" s="2" t="n">
        <f aca="false">G1797*(1-H$1795)+G1796*H$1795</f>
        <v>0.0567101689080641</v>
      </c>
      <c r="I1797" s="2" t="n">
        <f aca="false">H1797*(1-I$1795)+H1796*I$1795</f>
        <v>0.0172975251318792</v>
      </c>
      <c r="J1797" s="2" t="n">
        <f aca="false">I1797*(1-J$1795)+I1796*J$1795</f>
        <v>0.0120830210975886</v>
      </c>
      <c r="K1797" s="2" t="n">
        <f aca="false">J1797*(1-K$1795)+J1796*K$1795</f>
        <v>0.00687536911045665</v>
      </c>
      <c r="L1797" s="2" t="n">
        <f aca="false">K1797*(1-L$1795)+K1796*L$1795</f>
        <v>0.00280703474537507</v>
      </c>
      <c r="M1797" s="2" t="n">
        <f aca="false">L1797*(1-M$1795)+L1796*M$1795</f>
        <v>0.00121262105169328</v>
      </c>
      <c r="N1797" s="2" t="n">
        <f aca="false">M1797*(1-N$1795)+M1796*N$1795</f>
        <v>0.00069247653004406</v>
      </c>
      <c r="O1797" s="2" t="n">
        <f aca="false">N1797*(1-O$1795)+N1796*O$1795</f>
        <v>0.00069247653004406</v>
      </c>
    </row>
    <row r="1798" customFormat="false" ht="15" hidden="false" customHeight="false" outlineLevel="0" collapsed="false">
      <c r="B1798" s="2" t="n">
        <v>2</v>
      </c>
      <c r="C1798" s="2" t="n">
        <f aca="false">0</f>
        <v>0</v>
      </c>
      <c r="D1798" s="2" t="n">
        <f aca="false">C1798*(1-D$1795)+C1797*D$1795</f>
        <v>0.0565987274771244</v>
      </c>
      <c r="E1798" s="2" t="n">
        <f aca="false">D1798*(1-E$1795)+D1797*E$1795</f>
        <v>0.583746005285935</v>
      </c>
      <c r="F1798" s="2" t="n">
        <f aca="false">E1798*(1-F$1795)+E1797*F$1795</f>
        <v>0.568958445263846</v>
      </c>
      <c r="G1798" s="2" t="n">
        <f aca="false">F1798*(1-G$1795)+F1797*G$1795</f>
        <v>0.48654546843</v>
      </c>
      <c r="H1798" s="2" t="n">
        <f aca="false">G1798*(1-H$1795)+G1797*H$1795</f>
        <v>0.285434754444886</v>
      </c>
      <c r="I1798" s="2" t="n">
        <f aca="false">H1798*(1-I$1795)+H1797*I$1795</f>
        <v>0.123796636043399</v>
      </c>
      <c r="J1798" s="2" t="n">
        <f aca="false">I1798*(1-J$1795)+I1797*J$1795</f>
        <v>0.0911716367134239</v>
      </c>
      <c r="K1798" s="2" t="n">
        <f aca="false">J1798*(1-K$1795)+J1797*K$1795</f>
        <v>0.0565373096695133</v>
      </c>
      <c r="L1798" s="2" t="n">
        <f aca="false">K1798*(1-L$1795)+K1797*L$1795</f>
        <v>0.026684469399416</v>
      </c>
      <c r="M1798" s="2" t="n">
        <f aca="false">L1798*(1-M$1795)+L1797*M$1795</f>
        <v>0.0129116264998452</v>
      </c>
      <c r="N1798" s="2" t="n">
        <f aca="false">M1798*(1-N$1795)+M1797*N$1795</f>
        <v>0.00781722363306439</v>
      </c>
      <c r="O1798" s="2" t="n">
        <f aca="false">N1798*(1-O$1795)+N1797*O$1795</f>
        <v>0.00781722363306439</v>
      </c>
    </row>
    <row r="1799" customFormat="false" ht="15" hidden="false" customHeight="false" outlineLevel="0" collapsed="false">
      <c r="B1799" s="2" t="n">
        <v>3</v>
      </c>
      <c r="C1799" s="2" t="n">
        <f aca="false">0</f>
        <v>0</v>
      </c>
      <c r="D1799" s="2" t="n">
        <f aca="false">C1799*(1-D$1795)+C1798*D$1795</f>
        <v>0</v>
      </c>
      <c r="E1799" s="2" t="n">
        <f aca="false">D1799*(1-E$1795)+D1798*E$1795</f>
        <v>0.0342953742825902</v>
      </c>
      <c r="F1799" s="2" t="n">
        <f aca="false">E1799*(1-F$1795)+E1798*F$1795</f>
        <v>0.0732790642110883</v>
      </c>
      <c r="G1799" s="2" t="n">
        <f aca="false">F1799*(1-G$1795)+F1798*G$1795</f>
        <v>0.259138037404737</v>
      </c>
      <c r="H1799" s="2" t="n">
        <f aca="false">G1799*(1-H$1795)+G1798*H$1795</f>
        <v>0.43107636112855</v>
      </c>
      <c r="I1799" s="2" t="n">
        <f aca="false">H1799*(1-I$1795)+H1798*I$1795</f>
        <v>0.328152422234683</v>
      </c>
      <c r="J1799" s="2" t="n">
        <f aca="false">I1799*(1-J$1795)+I1798*J$1795</f>
        <v>0.265549952312598</v>
      </c>
      <c r="K1799" s="2" t="n">
        <f aca="false">J1799*(1-K$1795)+J1798*K$1795</f>
        <v>0.189186552033041</v>
      </c>
      <c r="L1799" s="2" t="n">
        <f aca="false">K1799*(1-L$1795)+K1798*L$1795</f>
        <v>0.109448293727997</v>
      </c>
      <c r="M1799" s="2" t="n">
        <f aca="false">L1799*(1-M$1795)+L1798*M$1795</f>
        <v>0.0617089462327118</v>
      </c>
      <c r="N1799" s="2" t="n">
        <f aca="false">M1799*(1-N$1795)+M1798*N$1795</f>
        <v>0.040459857441356</v>
      </c>
      <c r="O1799" s="2" t="n">
        <f aca="false">N1799*(1-O$1795)+N1798*O$1795</f>
        <v>0.040459857441356</v>
      </c>
    </row>
    <row r="1800" customFormat="false" ht="15" hidden="false" customHeight="false" outlineLevel="0" collapsed="false">
      <c r="B1800" s="2" t="n">
        <v>4</v>
      </c>
      <c r="C1800" s="2" t="n">
        <f aca="false">0</f>
        <v>0</v>
      </c>
      <c r="D1800" s="2" t="n">
        <f aca="false">C1800*(1-D$1795)+C1799*D$1795</f>
        <v>0</v>
      </c>
      <c r="E1800" s="2" t="n">
        <f aca="false">D1800*(1-E$1795)+D1799*E$1795</f>
        <v>0</v>
      </c>
      <c r="F1800" s="2" t="n">
        <f aca="false">E1800*(1-F$1795)+E1799*F$1795</f>
        <v>0.00243326727020565</v>
      </c>
      <c r="G1800" s="2" t="n">
        <f aca="false">F1800*(1-G$1795)+F1799*G$1795</f>
        <v>0.0289974690059174</v>
      </c>
      <c r="H1800" s="2" t="n">
        <f aca="false">G1800*(1-H$1795)+G1799*H$1795</f>
        <v>0.203002264596536</v>
      </c>
      <c r="I1800" s="2" t="n">
        <f aca="false">H1800*(1-I$1795)+H1799*I$1795</f>
        <v>0.364180686815685</v>
      </c>
      <c r="J1800" s="2" t="n">
        <f aca="false">I1800*(1-J$1795)+I1799*J$1795</f>
        <v>0.353143767373307</v>
      </c>
      <c r="K1800" s="2" t="n">
        <f aca="false">J1800*(1-K$1795)+J1799*K$1795</f>
        <v>0.314784860541854</v>
      </c>
      <c r="L1800" s="2" t="n">
        <f aca="false">K1800*(1-L$1795)+K1799*L$1795</f>
        <v>0.239285067342085</v>
      </c>
      <c r="M1800" s="2" t="n">
        <f aca="false">L1800*(1-M$1795)+L1799*M$1795</f>
        <v>0.164393375186565</v>
      </c>
      <c r="N1800" s="2" t="n">
        <f aca="false">M1800*(1-N$1795)+M1799*N$1795</f>
        <v>0.119678817906066</v>
      </c>
      <c r="O1800" s="2" t="n">
        <f aca="false">N1800*(1-O$1795)+N1799*O$1795</f>
        <v>0.119678817906066</v>
      </c>
    </row>
    <row r="1801" customFormat="false" ht="15" hidden="false" customHeight="false" outlineLevel="0" collapsed="false">
      <c r="B1801" s="2" t="n">
        <v>5</v>
      </c>
      <c r="C1801" s="2" t="n">
        <f aca="false">0</f>
        <v>0</v>
      </c>
      <c r="D1801" s="2" t="n">
        <f aca="false">C1801*(1-D$1795)+C1800*D$1795</f>
        <v>0</v>
      </c>
      <c r="E1801" s="2" t="n">
        <f aca="false">D1801*(1-E$1795)+D1800*E$1795</f>
        <v>0</v>
      </c>
      <c r="F1801" s="2" t="n">
        <f aca="false">E1801*(1-F$1795)+E1800*F$1795</f>
        <v>0</v>
      </c>
      <c r="G1801" s="2" t="n">
        <f aca="false">F1801*(1-G$1795)+F1800*G$1795</f>
        <v>0.000912373146096227</v>
      </c>
      <c r="H1801" s="2" t="n">
        <f aca="false">G1801*(1-H$1795)+G1800*H$1795</f>
        <v>0.022146966413296</v>
      </c>
      <c r="I1801" s="2" t="n">
        <f aca="false">H1801*(1-I$1795)+H1800*I$1795</f>
        <v>0.149956183042404</v>
      </c>
      <c r="J1801" s="2" t="n">
        <f aca="false">I1801*(1-J$1795)+I1800*J$1795</f>
        <v>0.215581841625359</v>
      </c>
      <c r="K1801" s="2" t="n">
        <f aca="false">J1801*(1-K$1795)+J1800*K$1795</f>
        <v>0.275822682712867</v>
      </c>
      <c r="L1801" s="2" t="n">
        <f aca="false">K1801*(1-L$1795)+K1800*L$1795</f>
        <v>0.299243669855339</v>
      </c>
      <c r="M1801" s="2" t="n">
        <f aca="false">L1801*(1-M$1795)+L1800*M$1795</f>
        <v>0.264658697689868</v>
      </c>
      <c r="N1801" s="2" t="n">
        <f aca="false">M1801*(1-N$1795)+M1800*N$1795</f>
        <v>0.220997554983056</v>
      </c>
      <c r="O1801" s="2" t="n">
        <f aca="false">N1801*(1-O$1795)+N1800*O$1795</f>
        <v>0.220997554983056</v>
      </c>
    </row>
    <row r="1802" customFormat="false" ht="15" hidden="false" customHeight="false" outlineLevel="0" collapsed="false">
      <c r="B1802" s="2" t="n">
        <v>6</v>
      </c>
      <c r="C1802" s="2" t="n">
        <f aca="false">0</f>
        <v>0</v>
      </c>
      <c r="D1802" s="2" t="n">
        <f aca="false">C1802*(1-D$1795)+C1801*D$1795</f>
        <v>0</v>
      </c>
      <c r="E1802" s="2" t="n">
        <f aca="false">D1802*(1-E$1795)+D1801*E$1795</f>
        <v>0</v>
      </c>
      <c r="F1802" s="2" t="n">
        <f aca="false">E1802*(1-F$1795)+E1801*F$1795</f>
        <v>0</v>
      </c>
      <c r="G1802" s="2" t="n">
        <f aca="false">F1802*(1-G$1795)+F1801*G$1795</f>
        <v>0</v>
      </c>
      <c r="H1802" s="2" t="n">
        <f aca="false">G1802*(1-H$1795)+G1801*H$1795</f>
        <v>0.000689827542763893</v>
      </c>
      <c r="I1802" s="2" t="n">
        <f aca="false">H1802*(1-I$1795)+H1801*I$1795</f>
        <v>0.0158534425305102</v>
      </c>
      <c r="J1802" s="2" t="n">
        <f aca="false">I1802*(1-J$1795)+I1801*J$1795</f>
        <v>0.0569345537426334</v>
      </c>
      <c r="K1802" s="2" t="n">
        <f aca="false">J1802*(1-K$1795)+J1801*K$1795</f>
        <v>0.12640905409107</v>
      </c>
      <c r="L1802" s="2" t="n">
        <f aca="false">K1802*(1-L$1795)+K1801*L$1795</f>
        <v>0.216224738681928</v>
      </c>
      <c r="M1802" s="2" t="n">
        <f aca="false">L1802*(1-M$1795)+L1801*M$1795</f>
        <v>0.264111235422823</v>
      </c>
      <c r="N1802" s="2" t="n">
        <f aca="false">M1802*(1-N$1795)+M1801*N$1795</f>
        <v>0.264349631186895</v>
      </c>
      <c r="O1802" s="2" t="n">
        <f aca="false">N1802*(1-O$1795)+N1801*O$1795</f>
        <v>0.264349631186895</v>
      </c>
    </row>
    <row r="1803" customFormat="false" ht="15" hidden="false" customHeight="false" outlineLevel="0" collapsed="false">
      <c r="B1803" s="2" t="n">
        <v>7</v>
      </c>
      <c r="C1803" s="2" t="n">
        <f aca="false">0</f>
        <v>0</v>
      </c>
      <c r="D1803" s="2" t="n">
        <f aca="false">C1803*(1-D$1795)+C1802*D$1795</f>
        <v>0</v>
      </c>
      <c r="E1803" s="2" t="n">
        <f aca="false">D1803*(1-E$1795)+D1802*E$1795</f>
        <v>0</v>
      </c>
      <c r="F1803" s="2" t="n">
        <f aca="false">E1803*(1-F$1795)+E1802*F$1795</f>
        <v>0</v>
      </c>
      <c r="G1803" s="2" t="n">
        <f aca="false">F1803*(1-G$1795)+F1802*G$1795</f>
        <v>0</v>
      </c>
      <c r="H1803" s="2" t="n">
        <f aca="false">G1803*(1-H$1795)+G1802*H$1795</f>
        <v>0</v>
      </c>
      <c r="I1803" s="2" t="n">
        <f aca="false">H1803*(1-I$1795)+H1802*I$1795</f>
        <v>0.000487496461179186</v>
      </c>
      <c r="J1803" s="2" t="n">
        <f aca="false">I1803*(1-J$1795)+I1802*J$1795</f>
        <v>0.00519470928132052</v>
      </c>
      <c r="K1803" s="2" t="n">
        <f aca="false">J1803*(1-K$1795)+J1802*K$1795</f>
        <v>0.0278525176184712</v>
      </c>
      <c r="L1803" s="2" t="n">
        <f aca="false">K1803*(1-L$1795)+K1802*L$1795</f>
        <v>0.0870969311023089</v>
      </c>
      <c r="M1803" s="2" t="n">
        <f aca="false">L1803*(1-M$1795)+L1802*M$1795</f>
        <v>0.161579681595738</v>
      </c>
      <c r="N1803" s="2" t="n">
        <f aca="false">M1803*(1-N$1795)+M1802*N$1795</f>
        <v>0.20622766847523</v>
      </c>
      <c r="O1803" s="2" t="n">
        <f aca="false">N1803*(1-O$1795)+N1802*O$1795</f>
        <v>0.20622766847523</v>
      </c>
    </row>
    <row r="1804" customFormat="false" ht="15" hidden="false" customHeight="false" outlineLevel="0" collapsed="false">
      <c r="B1804" s="2" t="n">
        <v>8</v>
      </c>
      <c r="C1804" s="2" t="n">
        <f aca="false">0</f>
        <v>0</v>
      </c>
      <c r="D1804" s="2" t="n">
        <f aca="false">C1804*(1-D$1795)+C1803*D$1795</f>
        <v>0</v>
      </c>
      <c r="E1804" s="2" t="n">
        <f aca="false">D1804*(1-E$1795)+D1803*E$1795</f>
        <v>0</v>
      </c>
      <c r="F1804" s="2" t="n">
        <f aca="false">E1804*(1-F$1795)+E1803*F$1795</f>
        <v>0</v>
      </c>
      <c r="G1804" s="2" t="n">
        <f aca="false">F1804*(1-G$1795)+F1803*G$1795</f>
        <v>0</v>
      </c>
      <c r="H1804" s="2" t="n">
        <f aca="false">G1804*(1-H$1795)+G1803*H$1795</f>
        <v>0</v>
      </c>
      <c r="I1804" s="2" t="n">
        <f aca="false">H1804*(1-I$1795)+H1803*I$1795</f>
        <v>0</v>
      </c>
      <c r="J1804" s="2" t="n">
        <f aca="false">I1804*(1-J$1795)+I1803*J$1795</f>
        <v>0.000149339948317032</v>
      </c>
      <c r="K1804" s="2" t="n">
        <f aca="false">J1804*(1-K$1795)+J1803*K$1795</f>
        <v>0.0023587979110832</v>
      </c>
      <c r="L1804" s="2" t="n">
        <f aca="false">K1804*(1-L$1795)+K1803*L$1795</f>
        <v>0.0176836107103385</v>
      </c>
      <c r="M1804" s="2" t="n">
        <f aca="false">L1804*(1-M$1795)+L1803*M$1795</f>
        <v>0.0577221982197546</v>
      </c>
      <c r="N1804" s="2" t="n">
        <f aca="false">M1804*(1-N$1795)+M1803*N$1795</f>
        <v>0.102947569161934</v>
      </c>
      <c r="O1804" s="2" t="n">
        <f aca="false">N1804*(1-O$1795)+N1803*O$1795</f>
        <v>0.102947569161934</v>
      </c>
    </row>
    <row r="1805" customFormat="false" ht="15" hidden="false" customHeight="false" outlineLevel="0" collapsed="false">
      <c r="B1805" s="2" t="n">
        <v>9</v>
      </c>
      <c r="C1805" s="2" t="n">
        <f aca="false">0</f>
        <v>0</v>
      </c>
      <c r="D1805" s="2" t="n">
        <f aca="false">C1805*(1-D$1795)+C1804*D$1795</f>
        <v>0</v>
      </c>
      <c r="E1805" s="2" t="n">
        <f aca="false">D1805*(1-E$1795)+D1804*E$1795</f>
        <v>0</v>
      </c>
      <c r="F1805" s="2" t="n">
        <f aca="false">E1805*(1-F$1795)+E1804*F$1795</f>
        <v>0</v>
      </c>
      <c r="G1805" s="2" t="n">
        <f aca="false">F1805*(1-G$1795)+F1804*G$1795</f>
        <v>0</v>
      </c>
      <c r="H1805" s="2" t="n">
        <f aca="false">G1805*(1-H$1795)+G1804*H$1795</f>
        <v>0</v>
      </c>
      <c r="I1805" s="2" t="n">
        <f aca="false">H1805*(1-I$1795)+H1804*I$1795</f>
        <v>0</v>
      </c>
      <c r="J1805" s="2" t="n">
        <f aca="false">I1805*(1-J$1795)+I1804*J$1795</f>
        <v>0</v>
      </c>
      <c r="K1805" s="2" t="n">
        <f aca="false">J1805*(1-K$1795)+J1804*K$1795</f>
        <v>6.53986489769483E-005</v>
      </c>
      <c r="L1805" s="2" t="n">
        <f aca="false">K1805*(1-L$1795)+K1804*L$1795</f>
        <v>0.00144400933306411</v>
      </c>
      <c r="M1805" s="2" t="n">
        <f aca="false">L1805*(1-M$1795)+L1804*M$1795</f>
        <v>0.0108112416912103</v>
      </c>
      <c r="N1805" s="2" t="n">
        <f aca="false">M1805*(1-N$1795)+M1804*N$1795</f>
        <v>0.0312389021860772</v>
      </c>
      <c r="O1805" s="2" t="n">
        <f aca="false">N1805*(1-O$1795)+N1804*O$1795</f>
        <v>0.0312389021860772</v>
      </c>
    </row>
    <row r="1806" customFormat="false" ht="15" hidden="false" customHeight="false" outlineLevel="0" collapsed="false">
      <c r="B1806" s="2" t="n">
        <v>10</v>
      </c>
      <c r="C1806" s="2" t="n">
        <f aca="false">0</f>
        <v>0</v>
      </c>
      <c r="D1806" s="2" t="n">
        <f aca="false">C1806*(1-D$1795)+C1805*D$1795</f>
        <v>0</v>
      </c>
      <c r="E1806" s="2" t="n">
        <f aca="false">D1806*(1-E$1795)+D1805*E$1795</f>
        <v>0</v>
      </c>
      <c r="F1806" s="2" t="n">
        <f aca="false">E1806*(1-F$1795)+E1805*F$1795</f>
        <v>0</v>
      </c>
      <c r="G1806" s="2" t="n">
        <f aca="false">F1806*(1-G$1795)+F1805*G$1795</f>
        <v>0</v>
      </c>
      <c r="H1806" s="2" t="n">
        <f aca="false">G1806*(1-H$1795)+G1805*H$1795</f>
        <v>0</v>
      </c>
      <c r="I1806" s="2" t="n">
        <f aca="false">H1806*(1-I$1795)+H1805*I$1795</f>
        <v>0</v>
      </c>
      <c r="J1806" s="2" t="n">
        <f aca="false">I1806*(1-J$1795)+I1805*J$1795</f>
        <v>0</v>
      </c>
      <c r="K1806" s="2" t="n">
        <f aca="false">J1806*(1-K$1795)+J1805*K$1795</f>
        <v>0</v>
      </c>
      <c r="L1806" s="2" t="n">
        <f aca="false">K1806*(1-L$1795)+K1805*L$1795</f>
        <v>3.93125077234414E-005</v>
      </c>
      <c r="M1806" s="2" t="n">
        <f aca="false">L1806*(1-M$1795)+L1805*M$1795</f>
        <v>0.000849561555716069</v>
      </c>
      <c r="N1806" s="2" t="n">
        <f aca="false">M1806*(1-N$1795)+M1805*N$1795</f>
        <v>0.0051874355797197</v>
      </c>
      <c r="O1806" s="2" t="n">
        <f aca="false">N1806*(1-O$1795)+N1805*O$1795</f>
        <v>0.0051874355797197</v>
      </c>
    </row>
    <row r="1807" customFormat="false" ht="15" hidden="false" customHeight="false" outlineLevel="0" collapsed="false">
      <c r="B1807" s="2" t="n">
        <v>11</v>
      </c>
      <c r="C1807" s="2" t="n">
        <f aca="false">0</f>
        <v>0</v>
      </c>
      <c r="D1807" s="2" t="n">
        <f aca="false">C1807*(1-D$1795)+C1806*D$1795</f>
        <v>0</v>
      </c>
      <c r="E1807" s="2" t="n">
        <f aca="false">D1807*(1-E$1795)+D1806*E$1795</f>
        <v>0</v>
      </c>
      <c r="F1807" s="2" t="n">
        <f aca="false">E1807*(1-F$1795)+E1806*F$1795</f>
        <v>0</v>
      </c>
      <c r="G1807" s="2" t="n">
        <f aca="false">F1807*(1-G$1795)+F1806*G$1795</f>
        <v>0</v>
      </c>
      <c r="H1807" s="2" t="n">
        <f aca="false">G1807*(1-H$1795)+G1806*H$1795</f>
        <v>0</v>
      </c>
      <c r="I1807" s="2" t="n">
        <f aca="false">H1807*(1-I$1795)+H1806*I$1795</f>
        <v>0</v>
      </c>
      <c r="J1807" s="2" t="n">
        <f aca="false">I1807*(1-J$1795)+I1806*J$1795</f>
        <v>0</v>
      </c>
      <c r="K1807" s="2" t="n">
        <f aca="false">J1807*(1-K$1795)+J1806*K$1795</f>
        <v>0</v>
      </c>
      <c r="L1807" s="2" t="n">
        <f aca="false">K1807*(1-L$1795)+K1806*L$1795</f>
        <v>0</v>
      </c>
      <c r="M1807" s="2" t="n">
        <f aca="false">L1807*(1-M$1795)+L1806*M$1795</f>
        <v>2.26760119212174E-005</v>
      </c>
      <c r="N1807" s="2" t="n">
        <f aca="false">M1807*(1-N$1795)+M1806*N$1795</f>
        <v>0.000382748336314701</v>
      </c>
      <c r="O1807" s="2" t="n">
        <f aca="false">N1807*(1-O$1795)+N1806*O$1795</f>
        <v>0.000382748336314701</v>
      </c>
    </row>
    <row r="1808" customFormat="false" ht="15" hidden="false" customHeight="false" outlineLevel="0" collapsed="false">
      <c r="B1808" s="2" t="n">
        <v>12</v>
      </c>
      <c r="C1808" s="2" t="n">
        <f aca="false">0</f>
        <v>0</v>
      </c>
      <c r="D1808" s="2" t="n">
        <f aca="false">C1808*(1-D$1795)+C1807*D$1795</f>
        <v>0</v>
      </c>
      <c r="E1808" s="2" t="n">
        <f aca="false">D1808*(1-E$1795)+D1807*E$1795</f>
        <v>0</v>
      </c>
      <c r="F1808" s="2" t="n">
        <f aca="false">E1808*(1-F$1795)+E1807*F$1795</f>
        <v>0</v>
      </c>
      <c r="G1808" s="2" t="n">
        <f aca="false">F1808*(1-G$1795)+F1807*G$1795</f>
        <v>0</v>
      </c>
      <c r="H1808" s="2" t="n">
        <f aca="false">G1808*(1-H$1795)+G1807*H$1795</f>
        <v>0</v>
      </c>
      <c r="I1808" s="2" t="n">
        <f aca="false">H1808*(1-I$1795)+H1807*I$1795</f>
        <v>0</v>
      </c>
      <c r="J1808" s="2" t="n">
        <f aca="false">I1808*(1-J$1795)+I1807*J$1795</f>
        <v>0</v>
      </c>
      <c r="K1808" s="2" t="n">
        <f aca="false">J1808*(1-K$1795)+J1807*K$1795</f>
        <v>0</v>
      </c>
      <c r="L1808" s="2" t="n">
        <f aca="false">K1808*(1-L$1795)+K1807*L$1795</f>
        <v>0</v>
      </c>
      <c r="M1808" s="2" t="n">
        <f aca="false">L1808*(1-M$1795)+L1807*M$1795</f>
        <v>0</v>
      </c>
      <c r="N1808" s="2" t="n">
        <f aca="false">M1808*(1-N$1795)+M1807*N$1795</f>
        <v>9.87440690155883E-006</v>
      </c>
      <c r="O1808" s="2" t="n">
        <f aca="false">N1808*(1-O$1795)+N1807*O$1795</f>
        <v>9.87440690155883E-006</v>
      </c>
    </row>
    <row r="1809" customFormat="false" ht="15" hidden="false" customHeight="false" outlineLevel="0" collapsed="false">
      <c r="B1809" s="2" t="n">
        <v>13</v>
      </c>
      <c r="C1809" s="2" t="n">
        <f aca="false">0</f>
        <v>0</v>
      </c>
      <c r="D1809" s="2" t="n">
        <f aca="false">C1809*(1-D$1795)+C1808*D$1795</f>
        <v>0</v>
      </c>
      <c r="E1809" s="2" t="n">
        <f aca="false">D1809*(1-E$1795)+D1808*E$1795</f>
        <v>0</v>
      </c>
      <c r="F1809" s="2" t="n">
        <f aca="false">E1809*(1-F$1795)+E1808*F$1795</f>
        <v>0</v>
      </c>
      <c r="G1809" s="2" t="n">
        <f aca="false">F1809*(1-G$1795)+F1808*G$1795</f>
        <v>0</v>
      </c>
      <c r="H1809" s="2" t="n">
        <f aca="false">G1809*(1-H$1795)+G1808*H$1795</f>
        <v>0</v>
      </c>
      <c r="I1809" s="2" t="n">
        <f aca="false">H1809*(1-I$1795)+H1808*I$1795</f>
        <v>0</v>
      </c>
      <c r="J1809" s="2" t="n">
        <f aca="false">I1809*(1-J$1795)+I1808*J$1795</f>
        <v>0</v>
      </c>
      <c r="K1809" s="2" t="n">
        <f aca="false">J1809*(1-K$1795)+J1808*K$1795</f>
        <v>0</v>
      </c>
      <c r="L1809" s="2" t="n">
        <f aca="false">K1809*(1-L$1795)+K1808*L$1795</f>
        <v>0</v>
      </c>
      <c r="M1809" s="2" t="n">
        <f aca="false">L1809*(1-M$1795)+L1808*M$1795</f>
        <v>0</v>
      </c>
      <c r="N1809" s="2" t="n">
        <f aca="false">M1809*(1-N$1795)+M1808*N$1795</f>
        <v>0</v>
      </c>
      <c r="O1809" s="2" t="n">
        <f aca="false">N1809*(1-O$1795)+N1808*O$1795</f>
        <v>0</v>
      </c>
    </row>
    <row r="1811" customFormat="false" ht="15" hidden="false" customHeight="false" outlineLevel="0" collapsed="false">
      <c r="A1811" s="1" t="s">
        <v>171</v>
      </c>
      <c r="C1811" s="2" t="n">
        <f aca="false">Schedule!G115</f>
        <v>0.984710171454427</v>
      </c>
      <c r="D1811" s="2" t="n">
        <f aca="false">Schedule!L115</f>
        <v>0.881248288142535</v>
      </c>
      <c r="E1811" s="2" t="n">
        <f aca="false">Schedule!Q115</f>
        <v>0.0204891254742258</v>
      </c>
      <c r="F1811" s="2" t="n">
        <f aca="false">Schedule!V115</f>
        <v>0.406134459600758</v>
      </c>
      <c r="G1811" s="2" t="n">
        <f aca="false">Schedule!AA115</f>
        <v>0.435456064137962</v>
      </c>
      <c r="H1811" s="2" t="n">
        <f aca="false">Schedule!AF115</f>
        <v>0.591439705940164</v>
      </c>
      <c r="I1811" s="2" t="n">
        <f aca="false">Schedule!AK115</f>
        <v>0.374958048081219</v>
      </c>
      <c r="J1811" s="2" t="n">
        <f aca="false">Schedule!AP115</f>
        <v>0.756080498111392</v>
      </c>
      <c r="K1811" s="2" t="n">
        <f aca="false">Schedule!AU115</f>
        <v>0.562082016808295</v>
      </c>
      <c r="L1811" s="2" t="n">
        <f aca="false">Schedule!AZ115</f>
        <v>0.746174582585778</v>
      </c>
      <c r="M1811" s="2" t="n">
        <f aca="false">Schedule!BE115</f>
        <v>0.601121098652944</v>
      </c>
      <c r="N1811" s="2" t="n">
        <f aca="false">Schedule!BJ115</f>
        <v>0.306340579285027</v>
      </c>
      <c r="O1811" s="2" t="n">
        <f aca="false">Schedule!BO115</f>
        <v>0</v>
      </c>
    </row>
    <row r="1812" customFormat="false" ht="15" hidden="false" customHeight="false" outlineLevel="0" collapsed="false">
      <c r="B1812" s="2" t="n">
        <v>0</v>
      </c>
      <c r="C1812" s="2" t="n">
        <f aca="false">1-C$1811</f>
        <v>0.0152898285455734</v>
      </c>
      <c r="D1812" s="2" t="n">
        <f aca="false">C1812*(1-D$1811)</f>
        <v>0.00181569331379397</v>
      </c>
      <c r="E1812" s="2" t="n">
        <f aca="false">D1812*(1-E$1811)</f>
        <v>0.00177849134566493</v>
      </c>
      <c r="F1812" s="2" t="n">
        <f aca="false">E1812*(1-F$1811)</f>
        <v>0.00105618472408868</v>
      </c>
      <c r="G1812" s="2" t="n">
        <f aca="false">F1812*(1-G$1811)</f>
        <v>0.000596262681134385</v>
      </c>
      <c r="H1812" s="2" t="n">
        <f aca="false">G1812*(1-H$1811)</f>
        <v>0.000243609256341171</v>
      </c>
      <c r="I1812" s="2" t="n">
        <f aca="false">H1812*(1-I$1811)</f>
        <v>0.000152266005088968</v>
      </c>
      <c r="J1812" s="2" t="n">
        <f aca="false">I1812*(1-J$1811)</f>
        <v>3.71406481158694E-005</v>
      </c>
      <c r="K1812" s="2" t="n">
        <f aca="false">J1812*(1-K$1811)</f>
        <v>1.62645577173343E-005</v>
      </c>
      <c r="L1812" s="2" t="n">
        <f aca="false">K1812*(1-L$1811)</f>
        <v>4.1283581516601E-006</v>
      </c>
      <c r="M1812" s="2" t="n">
        <f aca="false">L1812*(1-M$1811)</f>
        <v>1.64671496390134E-006</v>
      </c>
      <c r="N1812" s="2" t="n">
        <f aca="false">M1812*(1-N$1811)</f>
        <v>1.14225934794248E-006</v>
      </c>
      <c r="O1812" s="2" t="n">
        <f aca="false">N1812*(1-O$1811)</f>
        <v>1.14225934794248E-006</v>
      </c>
    </row>
    <row r="1813" customFormat="false" ht="15" hidden="false" customHeight="false" outlineLevel="0" collapsed="false">
      <c r="B1813" s="2" t="n">
        <v>1</v>
      </c>
      <c r="C1813" s="2" t="n">
        <f aca="false">C$1811</f>
        <v>0.984710171454427</v>
      </c>
      <c r="D1813" s="2" t="n">
        <f aca="false">C1813*(1-D$1811)+C1812*D$1811</f>
        <v>0.13041015377545</v>
      </c>
      <c r="E1813" s="2" t="n">
        <f aca="false">D1813*(1-E$1811)+D1812*E$1811</f>
        <v>0.127775365739761</v>
      </c>
      <c r="F1813" s="2" t="n">
        <f aca="false">E1813*(1-F$1811)+E1812*F$1811</f>
        <v>0.0766036932463303</v>
      </c>
      <c r="G1813" s="2" t="n">
        <f aca="false">F1813*(1-G$1811)+F1812*G$1811</f>
        <v>0.0437060725298058</v>
      </c>
      <c r="H1813" s="2" t="n">
        <f aca="false">G1813*(1-H$1811)+G1812*H$1811</f>
        <v>0.0182092192697712</v>
      </c>
      <c r="I1813" s="2" t="n">
        <f aca="false">H1813*(1-I$1811)+H1812*I$1811</f>
        <v>0.0114728692065471</v>
      </c>
      <c r="J1813" s="2" t="n">
        <f aca="false">I1813*(1-J$1811)+I1812*J$1811</f>
        <v>0.00291358189906722</v>
      </c>
      <c r="K1813" s="2" t="n">
        <f aca="false">J1813*(1-K$1811)+J1812*K$1811</f>
        <v>0.00129678599950191</v>
      </c>
      <c r="L1813" s="2" t="n">
        <f aca="false">K1813*(1-L$1811)+K1812*L$1811</f>
        <v>0.000341293447186166</v>
      </c>
      <c r="M1813" s="2" t="n">
        <f aca="false">L1813*(1-M$1811)+L1812*M$1811</f>
        <v>0.000138616398438326</v>
      </c>
      <c r="N1813" s="2" t="n">
        <f aca="false">M1813*(1-N$1811)+M1812*N$1811</f>
        <v>9.66570262582841E-005</v>
      </c>
      <c r="O1813" s="2" t="n">
        <f aca="false">N1813*(1-O$1811)+N1812*O$1811</f>
        <v>9.66570262582841E-005</v>
      </c>
    </row>
    <row r="1814" customFormat="false" ht="15" hidden="false" customHeight="false" outlineLevel="0" collapsed="false">
      <c r="B1814" s="2" t="n">
        <v>2</v>
      </c>
      <c r="C1814" s="2" t="n">
        <f aca="false">0</f>
        <v>0</v>
      </c>
      <c r="D1814" s="2" t="n">
        <f aca="false">C1814*(1-D$1811)+C1813*D$1811</f>
        <v>0.867774152910756</v>
      </c>
      <c r="E1814" s="2" t="n">
        <f aca="false">D1814*(1-E$1811)+D1813*E$1811</f>
        <v>0.852666209412295</v>
      </c>
      <c r="F1814" s="2" t="n">
        <f aca="false">E1814*(1-F$1811)+E1813*F$1811</f>
        <v>0.558263058347813</v>
      </c>
      <c r="G1814" s="2" t="n">
        <f aca="false">F1814*(1-G$1811)+F1813*G$1811</f>
        <v>0.348521566965532</v>
      </c>
      <c r="H1814" s="2" t="n">
        <f aca="false">G1814*(1-H$1811)+G1813*H$1811</f>
        <v>0.168241580570461</v>
      </c>
      <c r="I1814" s="2" t="n">
        <f aca="false">H1814*(1-I$1811)+H1813*I$1811</f>
        <v>0.111985739228138</v>
      </c>
      <c r="J1814" s="2" t="n">
        <f aca="false">I1814*(1-J$1811)+I1813*J$1811</f>
        <v>0.0359899183956079</v>
      </c>
      <c r="K1814" s="2" t="n">
        <f aca="false">J1814*(1-K$1811)+J1813*K$1811</f>
        <v>0.0173983044690025</v>
      </c>
      <c r="L1814" s="2" t="n">
        <f aca="false">K1814*(1-L$1811)+K1813*L$1811</f>
        <v>0.00538376064602571</v>
      </c>
      <c r="M1814" s="2" t="n">
        <f aca="false">L1814*(1-M$1811)+L1813*M$1811</f>
        <v>0.00235262722353785</v>
      </c>
      <c r="N1814" s="2" t="n">
        <f aca="false">M1814*(1-N$1811)+M1813*N$1811</f>
        <v>0.00167438586483354</v>
      </c>
      <c r="O1814" s="2" t="n">
        <f aca="false">N1814*(1-O$1811)+N1813*O$1811</f>
        <v>0.00167438586483354</v>
      </c>
    </row>
    <row r="1815" customFormat="false" ht="15" hidden="false" customHeight="false" outlineLevel="0" collapsed="false">
      <c r="B1815" s="2" t="n">
        <v>3</v>
      </c>
      <c r="C1815" s="2" t="n">
        <f aca="false">0</f>
        <v>0</v>
      </c>
      <c r="D1815" s="2" t="n">
        <f aca="false">C1815*(1-D$1811)+C1814*D$1811</f>
        <v>0</v>
      </c>
      <c r="E1815" s="2" t="n">
        <f aca="false">D1815*(1-E$1811)+D1814*E$1811</f>
        <v>0.0177799335022785</v>
      </c>
      <c r="F1815" s="2" t="n">
        <f aca="false">E1815*(1-F$1811)+E1814*F$1811</f>
        <v>0.356856019997082</v>
      </c>
      <c r="G1815" s="2" t="n">
        <f aca="false">F1815*(1-G$1811)+F1814*G$1811</f>
        <v>0.444559936206975</v>
      </c>
      <c r="H1815" s="2" t="n">
        <f aca="false">G1815*(1-H$1811)+G1814*H$1811</f>
        <v>0.387759031343843</v>
      </c>
      <c r="I1815" s="2" t="n">
        <f aca="false">H1815*(1-I$1811)+H1814*I$1811</f>
        <v>0.305449196482091</v>
      </c>
      <c r="J1815" s="2" t="n">
        <f aca="false">I1815*(1-J$1811)+I1814*J$1811</f>
        <v>0.15917524935517</v>
      </c>
      <c r="K1815" s="2" t="n">
        <f aca="false">J1815*(1-K$1811)+J1814*K$1811</f>
        <v>0.0899349900882221</v>
      </c>
      <c r="L1815" s="2" t="n">
        <f aca="false">K1815*(1-L$1811)+K1814*L$1811</f>
        <v>0.0358099589741452</v>
      </c>
      <c r="M1815" s="2" t="n">
        <f aca="false">L1815*(1-M$1811)+L1814*M$1811</f>
        <v>0.0175201292073136</v>
      </c>
      <c r="N1815" s="2" t="n">
        <f aca="false">M1815*(1-N$1811)+M1814*N$1811</f>
        <v>0.012873707863297</v>
      </c>
      <c r="O1815" s="2" t="n">
        <f aca="false">N1815*(1-O$1811)+N1814*O$1811</f>
        <v>0.012873707863297</v>
      </c>
    </row>
    <row r="1816" customFormat="false" ht="15" hidden="false" customHeight="false" outlineLevel="0" collapsed="false">
      <c r="B1816" s="2" t="n">
        <v>4</v>
      </c>
      <c r="C1816" s="2" t="n">
        <f aca="false">0</f>
        <v>0</v>
      </c>
      <c r="D1816" s="2" t="n">
        <f aca="false">C1816*(1-D$1811)+C1815*D$1811</f>
        <v>0</v>
      </c>
      <c r="E1816" s="2" t="n">
        <f aca="false">D1816*(1-E$1811)+D1815*E$1811</f>
        <v>0</v>
      </c>
      <c r="F1816" s="2" t="n">
        <f aca="false">E1816*(1-F$1811)+E1815*F$1811</f>
        <v>0.00722104368468529</v>
      </c>
      <c r="G1816" s="2" t="n">
        <f aca="false">F1816*(1-G$1811)+F1815*G$1811</f>
        <v>0.159471714354651</v>
      </c>
      <c r="H1816" s="2" t="n">
        <f aca="false">G1816*(1-H$1811)+G1815*H$1811</f>
        <v>0.328084208453994</v>
      </c>
      <c r="I1816" s="2" t="n">
        <f aca="false">H1816*(1-I$1811)+H1815*I$1811</f>
        <v>0.350459763564364</v>
      </c>
      <c r="J1816" s="2" t="n">
        <f aca="false">I1816*(1-J$1811)+I1815*J$1811</f>
        <v>0.316428151584523</v>
      </c>
      <c r="K1816" s="2" t="n">
        <f aca="false">J1816*(1-K$1811)+J1815*K$1811</f>
        <v>0.228039123150491</v>
      </c>
      <c r="L1816" s="2" t="n">
        <f aca="false">K1816*(1-L$1811)+K1815*L$1811</f>
        <v>0.124989329309382</v>
      </c>
      <c r="M1816" s="2" t="n">
        <f aca="false">L1816*(1-M$1811)+L1815*M$1811</f>
        <v>0.0713817282362866</v>
      </c>
      <c r="N1816" s="2" t="n">
        <f aca="false">M1816*(1-N$1811)+M1815*N$1811</f>
        <v>0.0548817347885332</v>
      </c>
      <c r="O1816" s="2" t="n">
        <f aca="false">N1816*(1-O$1811)+N1815*O$1811</f>
        <v>0.0548817347885332</v>
      </c>
    </row>
    <row r="1817" customFormat="false" ht="15" hidden="false" customHeight="false" outlineLevel="0" collapsed="false">
      <c r="B1817" s="2" t="n">
        <v>5</v>
      </c>
      <c r="C1817" s="2" t="n">
        <f aca="false">0</f>
        <v>0</v>
      </c>
      <c r="D1817" s="2" t="n">
        <f aca="false">C1817*(1-D$1811)+C1816*D$1811</f>
        <v>0</v>
      </c>
      <c r="E1817" s="2" t="n">
        <f aca="false">D1817*(1-E$1811)+D1816*E$1811</f>
        <v>0</v>
      </c>
      <c r="F1817" s="2" t="n">
        <f aca="false">E1817*(1-F$1811)+E1816*F$1811</f>
        <v>0</v>
      </c>
      <c r="G1817" s="2" t="n">
        <f aca="false">F1817*(1-G$1811)+F1816*G$1811</f>
        <v>0.00314444726190134</v>
      </c>
      <c r="H1817" s="2" t="n">
        <f aca="false">G1817*(1-H$1811)+G1816*H$1811</f>
        <v>0.0956026001416667</v>
      </c>
      <c r="I1817" s="2" t="n">
        <f aca="false">H1817*(1-I$1811)+H1816*I$1811</f>
        <v>0.182773450209239</v>
      </c>
      <c r="J1817" s="2" t="n">
        <f aca="false">I1817*(1-J$1811)+I1816*J$1811</f>
        <v>0.309557801537245</v>
      </c>
      <c r="K1817" s="2" t="n">
        <f aca="false">J1817*(1-K$1811)+J1816*K$1811</f>
        <v>0.313419501747998</v>
      </c>
      <c r="L1817" s="2" t="n">
        <f aca="false">K1817*(1-L$1811)+K1816*L$1811</f>
        <v>0.249710833386987</v>
      </c>
      <c r="M1817" s="2" t="n">
        <f aca="false">L1817*(1-M$1811)+L1816*M$1811</f>
        <v>0.174738105830209</v>
      </c>
      <c r="N1817" s="2" t="n">
        <f aca="false">M1817*(1-N$1811)+M1816*N$1811</f>
        <v>0.143075853245285</v>
      </c>
      <c r="O1817" s="2" t="n">
        <f aca="false">N1817*(1-O$1811)+N1816*O$1811</f>
        <v>0.143075853245285</v>
      </c>
    </row>
    <row r="1818" customFormat="false" ht="15" hidden="false" customHeight="false" outlineLevel="0" collapsed="false">
      <c r="B1818" s="2" t="n">
        <v>6</v>
      </c>
      <c r="C1818" s="2" t="n">
        <f aca="false">0</f>
        <v>0</v>
      </c>
      <c r="D1818" s="2" t="n">
        <f aca="false">C1818*(1-D$1811)+C1817*D$1811</f>
        <v>0</v>
      </c>
      <c r="E1818" s="2" t="n">
        <f aca="false">D1818*(1-E$1811)+D1817*E$1811</f>
        <v>0</v>
      </c>
      <c r="F1818" s="2" t="n">
        <f aca="false">E1818*(1-F$1811)+E1817*F$1811</f>
        <v>0</v>
      </c>
      <c r="G1818" s="2" t="n">
        <f aca="false">F1818*(1-G$1811)+F1817*G$1811</f>
        <v>0</v>
      </c>
      <c r="H1818" s="2" t="n">
        <f aca="false">G1818*(1-H$1811)+G1817*H$1811</f>
        <v>0.00185975096392328</v>
      </c>
      <c r="I1818" s="2" t="n">
        <f aca="false">H1818*(1-I$1811)+H1817*I$1811</f>
        <v>0.037009386713182</v>
      </c>
      <c r="J1818" s="2" t="n">
        <f aca="false">I1818*(1-J$1811)+I1817*J$1811</f>
        <v>0.147218752448022</v>
      </c>
      <c r="K1818" s="2" t="n">
        <f aca="false">J1818*(1-K$1811)+J1817*K$1811</f>
        <v>0.238466612566833</v>
      </c>
      <c r="L1818" s="2" t="n">
        <f aca="false">K1818*(1-L$1811)+K1817*L$1811</f>
        <v>0.294394553365187</v>
      </c>
      <c r="M1818" s="2" t="n">
        <f aca="false">L1818*(1-M$1811)+L1817*M$1811</f>
        <v>0.267534226519991</v>
      </c>
      <c r="N1818" s="2" t="n">
        <f aca="false">M1818*(1-N$1811)+M1817*N$1811</f>
        <v>0.23910700915248</v>
      </c>
      <c r="O1818" s="2" t="n">
        <f aca="false">N1818*(1-O$1811)+N1817*O$1811</f>
        <v>0.23910700915248</v>
      </c>
    </row>
    <row r="1819" customFormat="false" ht="15" hidden="false" customHeight="false" outlineLevel="0" collapsed="false">
      <c r="B1819" s="2" t="n">
        <v>7</v>
      </c>
      <c r="C1819" s="2" t="n">
        <f aca="false">0</f>
        <v>0</v>
      </c>
      <c r="D1819" s="2" t="n">
        <f aca="false">C1819*(1-D$1811)+C1818*D$1811</f>
        <v>0</v>
      </c>
      <c r="E1819" s="2" t="n">
        <f aca="false">D1819*(1-E$1811)+D1818*E$1811</f>
        <v>0</v>
      </c>
      <c r="F1819" s="2" t="n">
        <f aca="false">E1819*(1-F$1811)+E1818*F$1811</f>
        <v>0</v>
      </c>
      <c r="G1819" s="2" t="n">
        <f aca="false">F1819*(1-G$1811)+F1818*G$1811</f>
        <v>0</v>
      </c>
      <c r="H1819" s="2" t="n">
        <f aca="false">G1819*(1-H$1811)+G1818*H$1811</f>
        <v>0</v>
      </c>
      <c r="I1819" s="2" t="n">
        <f aca="false">H1819*(1-I$1811)+H1818*I$1811</f>
        <v>0.000697328591349838</v>
      </c>
      <c r="J1819" s="2" t="n">
        <f aca="false">I1819*(1-J$1811)+I1818*J$1811</f>
        <v>0.0281521675835545</v>
      </c>
      <c r="K1819" s="2" t="n">
        <f aca="false">J1819*(1-K$1811)+J1818*K$1811</f>
        <v>0.0950773537386501</v>
      </c>
      <c r="L1819" s="2" t="n">
        <f aca="false">K1819*(1-L$1811)+K1818*L$1811</f>
        <v>0.202070774092054</v>
      </c>
      <c r="M1819" s="2" t="n">
        <f aca="false">L1819*(1-M$1811)+L1818*M$1811</f>
        <v>0.257568545720511</v>
      </c>
      <c r="N1819" s="2" t="n">
        <f aca="false">M1819*(1-N$1811)+M1818*N$1811</f>
        <v>0.260621438149593</v>
      </c>
      <c r="O1819" s="2" t="n">
        <f aca="false">N1819*(1-O$1811)+N1818*O$1811</f>
        <v>0.260621438149593</v>
      </c>
    </row>
    <row r="1820" customFormat="false" ht="15" hidden="false" customHeight="false" outlineLevel="0" collapsed="false">
      <c r="B1820" s="2" t="n">
        <v>8</v>
      </c>
      <c r="C1820" s="2" t="n">
        <f aca="false">0</f>
        <v>0</v>
      </c>
      <c r="D1820" s="2" t="n">
        <f aca="false">C1820*(1-D$1811)+C1819*D$1811</f>
        <v>0</v>
      </c>
      <c r="E1820" s="2" t="n">
        <f aca="false">D1820*(1-E$1811)+D1819*E$1811</f>
        <v>0</v>
      </c>
      <c r="F1820" s="2" t="n">
        <f aca="false">E1820*(1-F$1811)+E1819*F$1811</f>
        <v>0</v>
      </c>
      <c r="G1820" s="2" t="n">
        <f aca="false">F1820*(1-G$1811)+F1819*G$1811</f>
        <v>0</v>
      </c>
      <c r="H1820" s="2" t="n">
        <f aca="false">G1820*(1-H$1811)+G1819*H$1811</f>
        <v>0</v>
      </c>
      <c r="I1820" s="2" t="n">
        <f aca="false">H1820*(1-I$1811)+H1819*I$1811</f>
        <v>0</v>
      </c>
      <c r="J1820" s="2" t="n">
        <f aca="false">I1820*(1-J$1811)+I1819*J$1811</f>
        <v>0.000527236548695101</v>
      </c>
      <c r="K1820" s="2" t="n">
        <f aca="false">J1820*(1-K$1811)+J1819*K$1811</f>
        <v>0.0160547134989589</v>
      </c>
      <c r="L1820" s="2" t="n">
        <f aca="false">K1820*(1-L$1811)+K1819*L$1811</f>
        <v>0.0750193990946366</v>
      </c>
      <c r="M1820" s="2" t="n">
        <f aca="false">L1820*(1-M$1811)+L1819*M$1811</f>
        <v>0.151392661218451</v>
      </c>
      <c r="N1820" s="2" t="n">
        <f aca="false">M1820*(1-N$1811)+M1819*N$1811</f>
        <v>0.183918643182912</v>
      </c>
      <c r="O1820" s="2" t="n">
        <f aca="false">N1820*(1-O$1811)+N1819*O$1811</f>
        <v>0.183918643182912</v>
      </c>
    </row>
    <row r="1821" customFormat="false" ht="15" hidden="false" customHeight="false" outlineLevel="0" collapsed="false">
      <c r="B1821" s="2" t="n">
        <v>9</v>
      </c>
      <c r="C1821" s="2" t="n">
        <f aca="false">0</f>
        <v>0</v>
      </c>
      <c r="D1821" s="2" t="n">
        <f aca="false">C1821*(1-D$1811)+C1820*D$1811</f>
        <v>0</v>
      </c>
      <c r="E1821" s="2" t="n">
        <f aca="false">D1821*(1-E$1811)+D1820*E$1811</f>
        <v>0</v>
      </c>
      <c r="F1821" s="2" t="n">
        <f aca="false">E1821*(1-F$1811)+E1820*F$1811</f>
        <v>0</v>
      </c>
      <c r="G1821" s="2" t="n">
        <f aca="false">F1821*(1-G$1811)+F1820*G$1811</f>
        <v>0</v>
      </c>
      <c r="H1821" s="2" t="n">
        <f aca="false">G1821*(1-H$1811)+G1820*H$1811</f>
        <v>0</v>
      </c>
      <c r="I1821" s="2" t="n">
        <f aca="false">H1821*(1-I$1811)+H1820*I$1811</f>
        <v>0</v>
      </c>
      <c r="J1821" s="2" t="n">
        <f aca="false">I1821*(1-J$1811)+I1820*J$1811</f>
        <v>0</v>
      </c>
      <c r="K1821" s="2" t="n">
        <f aca="false">J1821*(1-K$1811)+J1820*K$1811</f>
        <v>0.000296350182625587</v>
      </c>
      <c r="L1821" s="2" t="n">
        <f aca="false">K1821*(1-L$1811)+K1820*L$1811</f>
        <v>0.0120548403524257</v>
      </c>
      <c r="M1821" s="2" t="n">
        <f aca="false">L1821*(1-M$1811)+L1820*M$1811</f>
        <v>0.0499041650797413</v>
      </c>
      <c r="N1821" s="2" t="n">
        <f aca="false">M1821*(1-N$1811)+M1820*N$1811</f>
        <v>0.0809942097776398</v>
      </c>
      <c r="O1821" s="2" t="n">
        <f aca="false">N1821*(1-O$1811)+N1820*O$1811</f>
        <v>0.0809942097776398</v>
      </c>
    </row>
    <row r="1822" customFormat="false" ht="15" hidden="false" customHeight="false" outlineLevel="0" collapsed="false">
      <c r="B1822" s="2" t="n">
        <v>10</v>
      </c>
      <c r="C1822" s="2" t="n">
        <f aca="false">0</f>
        <v>0</v>
      </c>
      <c r="D1822" s="2" t="n">
        <f aca="false">C1822*(1-D$1811)+C1821*D$1811</f>
        <v>0</v>
      </c>
      <c r="E1822" s="2" t="n">
        <f aca="false">D1822*(1-E$1811)+D1821*E$1811</f>
        <v>0</v>
      </c>
      <c r="F1822" s="2" t="n">
        <f aca="false">E1822*(1-F$1811)+E1821*F$1811</f>
        <v>0</v>
      </c>
      <c r="G1822" s="2" t="n">
        <f aca="false">F1822*(1-G$1811)+F1821*G$1811</f>
        <v>0</v>
      </c>
      <c r="H1822" s="2" t="n">
        <f aca="false">G1822*(1-H$1811)+G1821*H$1811</f>
        <v>0</v>
      </c>
      <c r="I1822" s="2" t="n">
        <f aca="false">H1822*(1-I$1811)+H1821*I$1811</f>
        <v>0</v>
      </c>
      <c r="J1822" s="2" t="n">
        <f aca="false">I1822*(1-J$1811)+I1821*J$1811</f>
        <v>0</v>
      </c>
      <c r="K1822" s="2" t="n">
        <f aca="false">J1822*(1-K$1811)+J1821*K$1811</f>
        <v>0</v>
      </c>
      <c r="L1822" s="2" t="n">
        <f aca="false">K1822*(1-L$1811)+K1821*L$1811</f>
        <v>0.000221128973819866</v>
      </c>
      <c r="M1822" s="2" t="n">
        <f aca="false">L1822*(1-M$1811)+L1821*M$1811</f>
        <v>0.00733462255886922</v>
      </c>
      <c r="N1822" s="2" t="n">
        <f aca="false">M1822*(1-N$1811)+M1821*N$1811</f>
        <v>0.0203754008746118</v>
      </c>
      <c r="O1822" s="2" t="n">
        <f aca="false">N1822*(1-O$1811)+N1821*O$1811</f>
        <v>0.0203754008746118</v>
      </c>
    </row>
    <row r="1823" customFormat="false" ht="15" hidden="false" customHeight="false" outlineLevel="0" collapsed="false">
      <c r="B1823" s="2" t="n">
        <v>11</v>
      </c>
      <c r="C1823" s="2" t="n">
        <f aca="false">0</f>
        <v>0</v>
      </c>
      <c r="D1823" s="2" t="n">
        <f aca="false">C1823*(1-D$1811)+C1822*D$1811</f>
        <v>0</v>
      </c>
      <c r="E1823" s="2" t="n">
        <f aca="false">D1823*(1-E$1811)+D1822*E$1811</f>
        <v>0</v>
      </c>
      <c r="F1823" s="2" t="n">
        <f aca="false">E1823*(1-F$1811)+E1822*F$1811</f>
        <v>0</v>
      </c>
      <c r="G1823" s="2" t="n">
        <f aca="false">F1823*(1-G$1811)+F1822*G$1811</f>
        <v>0</v>
      </c>
      <c r="H1823" s="2" t="n">
        <f aca="false">G1823*(1-H$1811)+G1822*H$1811</f>
        <v>0</v>
      </c>
      <c r="I1823" s="2" t="n">
        <f aca="false">H1823*(1-I$1811)+H1822*I$1811</f>
        <v>0</v>
      </c>
      <c r="J1823" s="2" t="n">
        <f aca="false">I1823*(1-J$1811)+I1822*J$1811</f>
        <v>0</v>
      </c>
      <c r="K1823" s="2" t="n">
        <f aca="false">J1823*(1-K$1811)+J1822*K$1811</f>
        <v>0</v>
      </c>
      <c r="L1823" s="2" t="n">
        <f aca="false">K1823*(1-L$1811)+K1822*L$1811</f>
        <v>0</v>
      </c>
      <c r="M1823" s="2" t="n">
        <f aca="false">L1823*(1-M$1811)+L1822*M$1811</f>
        <v>0.000132925291686596</v>
      </c>
      <c r="N1823" s="2" t="n">
        <f aca="false">M1823*(1-N$1811)+M1822*N$1811</f>
        <v>0.00233909740435072</v>
      </c>
      <c r="O1823" s="2" t="n">
        <f aca="false">N1823*(1-O$1811)+N1822*O$1811</f>
        <v>0.00233909740435072</v>
      </c>
    </row>
    <row r="1824" customFormat="false" ht="15" hidden="false" customHeight="false" outlineLevel="0" collapsed="false">
      <c r="B1824" s="2" t="n">
        <v>12</v>
      </c>
      <c r="C1824" s="2" t="n">
        <f aca="false">0</f>
        <v>0</v>
      </c>
      <c r="D1824" s="2" t="n">
        <f aca="false">C1824*(1-D$1811)+C1823*D$1811</f>
        <v>0</v>
      </c>
      <c r="E1824" s="2" t="n">
        <f aca="false">D1824*(1-E$1811)+D1823*E$1811</f>
        <v>0</v>
      </c>
      <c r="F1824" s="2" t="n">
        <f aca="false">E1824*(1-F$1811)+E1823*F$1811</f>
        <v>0</v>
      </c>
      <c r="G1824" s="2" t="n">
        <f aca="false">F1824*(1-G$1811)+F1823*G$1811</f>
        <v>0</v>
      </c>
      <c r="H1824" s="2" t="n">
        <f aca="false">G1824*(1-H$1811)+G1823*H$1811</f>
        <v>0</v>
      </c>
      <c r="I1824" s="2" t="n">
        <f aca="false">H1824*(1-I$1811)+H1823*I$1811</f>
        <v>0</v>
      </c>
      <c r="J1824" s="2" t="n">
        <f aca="false">I1824*(1-J$1811)+I1823*J$1811</f>
        <v>0</v>
      </c>
      <c r="K1824" s="2" t="n">
        <f aca="false">J1824*(1-K$1811)+J1823*K$1811</f>
        <v>0</v>
      </c>
      <c r="L1824" s="2" t="n">
        <f aca="false">K1824*(1-L$1811)+K1823*L$1811</f>
        <v>0</v>
      </c>
      <c r="M1824" s="2" t="n">
        <f aca="false">L1824*(1-M$1811)+L1823*M$1811</f>
        <v>0</v>
      </c>
      <c r="N1824" s="2" t="n">
        <f aca="false">M1824*(1-N$1811)+M1823*N$1811</f>
        <v>4.0720410856903E-005</v>
      </c>
      <c r="O1824" s="2" t="n">
        <f aca="false">N1824*(1-O$1811)+N1823*O$1811</f>
        <v>4.0720410856903E-005</v>
      </c>
    </row>
    <row r="1825" customFormat="false" ht="15" hidden="false" customHeight="false" outlineLevel="0" collapsed="false">
      <c r="B1825" s="2" t="n">
        <v>13</v>
      </c>
      <c r="C1825" s="2" t="n">
        <f aca="false">0</f>
        <v>0</v>
      </c>
      <c r="D1825" s="2" t="n">
        <f aca="false">C1825*(1-D$1811)+C1824*D$1811</f>
        <v>0</v>
      </c>
      <c r="E1825" s="2" t="n">
        <f aca="false">D1825*(1-E$1811)+D1824*E$1811</f>
        <v>0</v>
      </c>
      <c r="F1825" s="2" t="n">
        <f aca="false">E1825*(1-F$1811)+E1824*F$1811</f>
        <v>0</v>
      </c>
      <c r="G1825" s="2" t="n">
        <f aca="false">F1825*(1-G$1811)+F1824*G$1811</f>
        <v>0</v>
      </c>
      <c r="H1825" s="2" t="n">
        <f aca="false">G1825*(1-H$1811)+G1824*H$1811</f>
        <v>0</v>
      </c>
      <c r="I1825" s="2" t="n">
        <f aca="false">H1825*(1-I$1811)+H1824*I$1811</f>
        <v>0</v>
      </c>
      <c r="J1825" s="2" t="n">
        <f aca="false">I1825*(1-J$1811)+I1824*J$1811</f>
        <v>0</v>
      </c>
      <c r="K1825" s="2" t="n">
        <f aca="false">J1825*(1-K$1811)+J1824*K$1811</f>
        <v>0</v>
      </c>
      <c r="L1825" s="2" t="n">
        <f aca="false">K1825*(1-L$1811)+K1824*L$1811</f>
        <v>0</v>
      </c>
      <c r="M1825" s="2" t="n">
        <f aca="false">L1825*(1-M$1811)+L1824*M$1811</f>
        <v>0</v>
      </c>
      <c r="N1825" s="2" t="n">
        <f aca="false">M1825*(1-N$1811)+M1824*N$1811</f>
        <v>0</v>
      </c>
      <c r="O1825" s="2" t="n">
        <f aca="false">N1825*(1-O$1811)+N1824*O$1811</f>
        <v>0</v>
      </c>
    </row>
    <row r="1827" customFormat="false" ht="15" hidden="false" customHeight="false" outlineLevel="0" collapsed="false">
      <c r="A1827" s="1" t="s">
        <v>172</v>
      </c>
      <c r="C1827" s="2" t="n">
        <f aca="false">Schedule!G116</f>
        <v>0.16947297216772</v>
      </c>
      <c r="D1827" s="2" t="n">
        <f aca="false">Schedule!L116</f>
        <v>0.51744815844579</v>
      </c>
      <c r="E1827" s="2" t="n">
        <f aca="false">Schedule!Q116</f>
        <v>0.247856657564262</v>
      </c>
      <c r="F1827" s="2" t="n">
        <f aca="false">Schedule!V116</f>
        <v>0.989624927341942</v>
      </c>
      <c r="G1827" s="2" t="n">
        <f aca="false">Schedule!AA116</f>
        <v>0.657720540316049</v>
      </c>
      <c r="H1827" s="2" t="n">
        <f aca="false">Schedule!AF116</f>
        <v>0.282645648497201</v>
      </c>
      <c r="I1827" s="2" t="n">
        <f aca="false">Schedule!AK116</f>
        <v>0.817598228161506</v>
      </c>
      <c r="J1827" s="2" t="n">
        <f aca="false">Schedule!AP116</f>
        <v>0.232313232387907</v>
      </c>
      <c r="K1827" s="2" t="n">
        <f aca="false">Schedule!AU116</f>
        <v>0.671388329230721</v>
      </c>
      <c r="L1827" s="2" t="n">
        <f aca="false">Schedule!AZ116</f>
        <v>0.398878901347056</v>
      </c>
      <c r="M1827" s="2" t="n">
        <f aca="false">Schedule!BE116</f>
        <v>0.398878901347056</v>
      </c>
      <c r="N1827" s="2" t="n">
        <f aca="false">Schedule!BJ116</f>
        <v>0.809213047147489</v>
      </c>
      <c r="O1827" s="2" t="n">
        <f aca="false">Schedule!BO116</f>
        <v>0</v>
      </c>
    </row>
    <row r="1828" customFormat="false" ht="15" hidden="false" customHeight="false" outlineLevel="0" collapsed="false">
      <c r="B1828" s="2" t="n">
        <v>0</v>
      </c>
      <c r="C1828" s="2" t="n">
        <f aca="false">1-C$1827</f>
        <v>0.83052702783228</v>
      </c>
      <c r="D1828" s="2" t="n">
        <f aca="false">C1828*(1-D$1827)</f>
        <v>0.400772346741011</v>
      </c>
      <c r="E1828" s="2" t="n">
        <f aca="false">D1828*(1-E$1827)</f>
        <v>0.301438252433599</v>
      </c>
      <c r="F1828" s="2" t="n">
        <f aca="false">E1828*(1-F$1827)</f>
        <v>0.00312744377091663</v>
      </c>
      <c r="G1828" s="2" t="n">
        <f aca="false">F1828*(1-G$1827)</f>
        <v>0.00107045976410128</v>
      </c>
      <c r="H1828" s="2" t="n">
        <f aca="false">G1828*(1-H$1827)</f>
        <v>0.000767898969886714</v>
      </c>
      <c r="I1828" s="2" t="n">
        <f aca="false">H1828*(1-I$1827)</f>
        <v>0.000140066132700291</v>
      </c>
      <c r="J1828" s="2" t="n">
        <f aca="false">I1828*(1-J$1827)</f>
        <v>0.000107526916664613</v>
      </c>
      <c r="K1828" s="2" t="n">
        <f aca="false">J1828*(1-K$1827)</f>
        <v>3.53345997378275E-005</v>
      </c>
      <c r="L1828" s="2" t="n">
        <f aca="false">K1828*(1-L$1827)</f>
        <v>2.12403734148649E-005</v>
      </c>
      <c r="M1828" s="2" t="n">
        <f aca="false">L1828*(1-M$1827)</f>
        <v>1.27680366029424E-005</v>
      </c>
      <c r="N1828" s="2" t="n">
        <f aca="false">M1828*(1-N$1827)</f>
        <v>2.4359747973847E-006</v>
      </c>
      <c r="O1828" s="2" t="n">
        <f aca="false">N1828*(1-O$1827)</f>
        <v>2.4359747973847E-006</v>
      </c>
    </row>
    <row r="1829" customFormat="false" ht="15" hidden="false" customHeight="false" outlineLevel="0" collapsed="false">
      <c r="B1829" s="2" t="n">
        <v>1</v>
      </c>
      <c r="C1829" s="2" t="n">
        <f aca="false">C$1827</f>
        <v>0.16947297216772</v>
      </c>
      <c r="D1829" s="2" t="n">
        <f aca="false">C1829*(1-D$1827)+C1828*D$1827</f>
        <v>0.511534175904467</v>
      </c>
      <c r="E1829" s="2" t="n">
        <f aca="false">D1829*(1-E$1827)+D1828*E$1827</f>
        <v>0.484081119142309</v>
      </c>
      <c r="F1829" s="2" t="n">
        <f aca="false">E1829*(1-F$1827)+E1828*F$1827</f>
        <v>0.303333185446178</v>
      </c>
      <c r="G1829" s="2" t="n">
        <f aca="false">F1829*(1-G$1827)+F1828*G$1827</f>
        <v>0.105881702825545</v>
      </c>
      <c r="H1829" s="2" t="n">
        <f aca="false">G1829*(1-H$1827)+G1828*H$1827</f>
        <v>0.0762572610606453</v>
      </c>
      <c r="I1829" s="2" t="n">
        <f aca="false">H1829*(1-I$1827)+H1828*I$1827</f>
        <v>0.0145372923701987</v>
      </c>
      <c r="J1829" s="2" t="n">
        <f aca="false">I1829*(1-J$1827)+I1828*J$1827</f>
        <v>0.0111926262055455</v>
      </c>
      <c r="K1829" s="2" t="n">
        <f aca="false">J1829*(1-K$1827)+J1828*K$1827</f>
        <v>0.00375021991462711</v>
      </c>
      <c r="L1829" s="2" t="n">
        <f aca="false">K1829*(1-L$1827)+K1828*L$1827</f>
        <v>0.00226843054159376</v>
      </c>
      <c r="M1829" s="2" t="n">
        <f aca="false">L1829*(1-M$1827)+L1828*M$1827</f>
        <v>0.00137207379619266</v>
      </c>
      <c r="N1829" s="2" t="n">
        <f aca="false">M1829*(1-N$1827)+M1828*N$1827</f>
        <v>0.000272105840469931</v>
      </c>
      <c r="O1829" s="2" t="n">
        <f aca="false">N1829*(1-O$1827)+N1828*O$1827</f>
        <v>0.000272105840469931</v>
      </c>
    </row>
    <row r="1830" customFormat="false" ht="15" hidden="false" customHeight="false" outlineLevel="0" collapsed="false">
      <c r="B1830" s="2" t="n">
        <v>2</v>
      </c>
      <c r="C1830" s="2" t="n">
        <f aca="false">0</f>
        <v>0</v>
      </c>
      <c r="D1830" s="2" t="n">
        <f aca="false">C1830*(1-D$1827)+C1829*D$1827</f>
        <v>0.0876934773545212</v>
      </c>
      <c r="E1830" s="2" t="n">
        <f aca="false">D1830*(1-E$1827)+D1829*E$1827</f>
        <v>0.192745216236813</v>
      </c>
      <c r="F1830" s="2" t="n">
        <f aca="false">E1830*(1-F$1827)+E1829*F$1827</f>
        <v>0.481058487981764</v>
      </c>
      <c r="G1830" s="2" t="n">
        <f aca="false">F1830*(1-G$1827)+F1829*G$1827</f>
        <v>0.364164905970225</v>
      </c>
      <c r="H1830" s="2" t="n">
        <f aca="false">G1830*(1-H$1827)+G1829*H$1827</f>
        <v>0.291162282521463</v>
      </c>
      <c r="I1830" s="2" t="n">
        <f aca="false">H1830*(1-I$1827)+H1829*I$1827</f>
        <v>0.115456317752088</v>
      </c>
      <c r="J1830" s="2" t="n">
        <f aca="false">I1830*(1-J$1827)+I1829*J$1827</f>
        <v>0.0920114927561841</v>
      </c>
      <c r="K1830" s="2" t="n">
        <f aca="false">J1830*(1-K$1827)+J1829*K$1827</f>
        <v>0.0377506489724302</v>
      </c>
      <c r="L1830" s="2" t="n">
        <f aca="false">K1830*(1-L$1827)+K1829*L$1827</f>
        <v>0.0241885951845252</v>
      </c>
      <c r="M1830" s="2" t="n">
        <f aca="false">L1830*(1-M$1827)+L1829*M$1827</f>
        <v>0.0154451039944061</v>
      </c>
      <c r="N1830" s="2" t="n">
        <f aca="false">M1830*(1-N$1827)+M1829*N$1827</f>
        <v>0.00405702434511117</v>
      </c>
      <c r="O1830" s="2" t="n">
        <f aca="false">N1830*(1-O$1827)+N1829*O$1827</f>
        <v>0.00405702434511117</v>
      </c>
    </row>
    <row r="1831" customFormat="false" ht="15" hidden="false" customHeight="false" outlineLevel="0" collapsed="false">
      <c r="B1831" s="2" t="n">
        <v>3</v>
      </c>
      <c r="C1831" s="2" t="n">
        <f aca="false">0</f>
        <v>0</v>
      </c>
      <c r="D1831" s="2" t="n">
        <f aca="false">C1831*(1-D$1827)+C1830*D$1827</f>
        <v>0</v>
      </c>
      <c r="E1831" s="2" t="n">
        <f aca="false">D1831*(1-E$1827)+D1830*E$1827</f>
        <v>0.021735412187279</v>
      </c>
      <c r="F1831" s="2" t="n">
        <f aca="false">E1831*(1-F$1827)+E1830*F$1827</f>
        <v>0.190970977094559</v>
      </c>
      <c r="G1831" s="2" t="n">
        <f aca="false">F1831*(1-G$1827)+F1830*G$1827</f>
        <v>0.381767491494229</v>
      </c>
      <c r="H1831" s="2" t="n">
        <f aca="false">G1831*(1-H$1827)+G1830*H$1827</f>
        <v>0.376792197293569</v>
      </c>
      <c r="I1831" s="2" t="n">
        <f aca="false">H1831*(1-I$1827)+H1830*I$1827</f>
        <v>0.306781330698274</v>
      </c>
      <c r="J1831" s="2" t="n">
        <f aca="false">I1831*(1-J$1827)+I1830*J$1827</f>
        <v>0.262333998504087</v>
      </c>
      <c r="K1831" s="2" t="n">
        <f aca="false">J1831*(1-K$1827)+J1830*K$1827</f>
        <v>0.147981455939613</v>
      </c>
      <c r="L1831" s="2" t="n">
        <f aca="false">K1831*(1-L$1827)+K1830*L$1827</f>
        <v>0.104012712761944</v>
      </c>
      <c r="M1831" s="2" t="n">
        <f aca="false">L1831*(1-M$1827)+L1830*M$1827</f>
        <v>0.0721725564416647</v>
      </c>
      <c r="N1831" s="2" t="n">
        <f aca="false">M1831*(1-N$1827)+M1830*N$1827</f>
        <v>0.0262679617899043</v>
      </c>
      <c r="O1831" s="2" t="n">
        <f aca="false">N1831*(1-O$1827)+N1830*O$1827</f>
        <v>0.0262679617899043</v>
      </c>
    </row>
    <row r="1832" customFormat="false" ht="15" hidden="false" customHeight="false" outlineLevel="0" collapsed="false">
      <c r="B1832" s="2" t="n">
        <v>4</v>
      </c>
      <c r="C1832" s="2" t="n">
        <f aca="false">0</f>
        <v>0</v>
      </c>
      <c r="D1832" s="2" t="n">
        <f aca="false">C1832*(1-D$1827)+C1831*D$1827</f>
        <v>0</v>
      </c>
      <c r="E1832" s="2" t="n">
        <f aca="false">D1832*(1-E$1827)+D1831*E$1827</f>
        <v>0</v>
      </c>
      <c r="F1832" s="2" t="n">
        <f aca="false">E1832*(1-F$1827)+E1831*F$1827</f>
        <v>0.0215099057065831</v>
      </c>
      <c r="G1832" s="2" t="n">
        <f aca="false">F1832*(1-G$1827)+F1831*G$1827</f>
        <v>0.132967933142419</v>
      </c>
      <c r="H1832" s="2" t="n">
        <f aca="false">G1832*(1-H$1827)+G1831*H$1827</f>
        <v>0.203290045658584</v>
      </c>
      <c r="I1832" s="2" t="n">
        <f aca="false">H1832*(1-I$1827)+H1831*I$1827</f>
        <v>0.345145097417557</v>
      </c>
      <c r="J1832" s="2" t="n">
        <f aca="false">I1832*(1-J$1827)+I1831*J$1827</f>
        <v>0.336232686764425</v>
      </c>
      <c r="K1832" s="2" t="n">
        <f aca="false">J1832*(1-K$1827)+J1831*K$1827</f>
        <v>0.286617969920975</v>
      </c>
      <c r="L1832" s="2" t="n">
        <f aca="false">K1832*(1-L$1827)+K1831*L$1827</f>
        <v>0.231318789537503</v>
      </c>
      <c r="M1832" s="2" t="n">
        <f aca="false">L1832*(1-M$1827)+L1831*M$1827</f>
        <v>0.180539081498464</v>
      </c>
      <c r="N1832" s="2" t="n">
        <f aca="false">M1832*(1-N$1827)+M1831*N$1827</f>
        <v>0.0928474755484667</v>
      </c>
      <c r="O1832" s="2" t="n">
        <f aca="false">N1832*(1-O$1827)+N1831*O$1827</f>
        <v>0.0928474755484667</v>
      </c>
    </row>
    <row r="1833" customFormat="false" ht="15" hidden="false" customHeight="false" outlineLevel="0" collapsed="false">
      <c r="B1833" s="2" t="n">
        <v>5</v>
      </c>
      <c r="C1833" s="2" t="n">
        <f aca="false">0</f>
        <v>0</v>
      </c>
      <c r="D1833" s="2" t="n">
        <f aca="false">C1833*(1-D$1827)+C1832*D$1827</f>
        <v>0</v>
      </c>
      <c r="E1833" s="2" t="n">
        <f aca="false">D1833*(1-E$1827)+D1832*E$1827</f>
        <v>0</v>
      </c>
      <c r="F1833" s="2" t="n">
        <f aca="false">E1833*(1-F$1827)+E1832*F$1827</f>
        <v>0</v>
      </c>
      <c r="G1833" s="2" t="n">
        <f aca="false">F1833*(1-G$1827)+F1832*G$1827</f>
        <v>0.0141475068034811</v>
      </c>
      <c r="H1833" s="2" t="n">
        <f aca="false">G1833*(1-H$1827)+G1832*H$1827</f>
        <v>0.0477315832607641</v>
      </c>
      <c r="I1833" s="2" t="n">
        <f aca="false">H1833*(1-I$1827)+H1832*I$1827</f>
        <v>0.174915906492749</v>
      </c>
      <c r="J1833" s="2" t="n">
        <f aca="false">I1833*(1-J$1827)+I1832*J$1827</f>
        <v>0.21446240008327</v>
      </c>
      <c r="K1833" s="2" t="n">
        <f aca="false">J1833*(1-K$1827)+J1832*K$1827</f>
        <v>0.296217549408076</v>
      </c>
      <c r="L1833" s="2" t="n">
        <f aca="false">K1833*(1-L$1827)+K1832*L$1827</f>
        <v>0.292388479688868</v>
      </c>
      <c r="M1833" s="2" t="n">
        <f aca="false">L1833*(1-M$1827)+L1832*M$1827</f>
        <v>0.268029068775686</v>
      </c>
      <c r="N1833" s="2" t="n">
        <f aca="false">M1833*(1-N$1827)+M1832*N$1827</f>
        <v>0.19723102957619</v>
      </c>
      <c r="O1833" s="2" t="n">
        <f aca="false">N1833*(1-O$1827)+N1832*O$1827</f>
        <v>0.19723102957619</v>
      </c>
    </row>
    <row r="1834" customFormat="false" ht="15" hidden="false" customHeight="false" outlineLevel="0" collapsed="false">
      <c r="B1834" s="2" t="n">
        <v>6</v>
      </c>
      <c r="C1834" s="2" t="n">
        <f aca="false">0</f>
        <v>0</v>
      </c>
      <c r="D1834" s="2" t="n">
        <f aca="false">C1834*(1-D$1827)+C1833*D$1827</f>
        <v>0</v>
      </c>
      <c r="E1834" s="2" t="n">
        <f aca="false">D1834*(1-E$1827)+D1833*E$1827</f>
        <v>0</v>
      </c>
      <c r="F1834" s="2" t="n">
        <f aca="false">E1834*(1-F$1827)+E1833*F$1827</f>
        <v>0</v>
      </c>
      <c r="G1834" s="2" t="n">
        <f aca="false">F1834*(1-G$1827)+F1833*G$1827</f>
        <v>0</v>
      </c>
      <c r="H1834" s="2" t="n">
        <f aca="false">G1834*(1-H$1827)+G1833*H$1827</f>
        <v>0.00399873123508847</v>
      </c>
      <c r="I1834" s="2" t="n">
        <f aca="false">H1834*(1-I$1827)+H1833*I$1827</f>
        <v>0.0397546335637302</v>
      </c>
      <c r="J1834" s="2" t="n">
        <f aca="false">I1834*(1-J$1827)+I1833*J$1827</f>
        <v>0.0711543857715347</v>
      </c>
      <c r="K1834" s="2" t="n">
        <f aca="false">J1834*(1-K$1827)+J1833*K$1827</f>
        <v>0.167369714065663</v>
      </c>
      <c r="L1834" s="2" t="n">
        <f aca="false">K1834*(1-L$1827)+K1833*L$1827</f>
        <v>0.218764397067991</v>
      </c>
      <c r="M1834" s="2" t="n">
        <f aca="false">L1834*(1-M$1827)+L1833*M$1827</f>
        <v>0.248131490256491</v>
      </c>
      <c r="N1834" s="2" t="n">
        <f aca="false">M1834*(1-N$1827)+M1833*N$1827</f>
        <v>0.264232870400865</v>
      </c>
      <c r="O1834" s="2" t="n">
        <f aca="false">N1834*(1-O$1827)+N1833*O$1827</f>
        <v>0.264232870400865</v>
      </c>
    </row>
    <row r="1835" customFormat="false" ht="15" hidden="false" customHeight="false" outlineLevel="0" collapsed="false">
      <c r="B1835" s="2" t="n">
        <v>7</v>
      </c>
      <c r="C1835" s="2" t="n">
        <f aca="false">0</f>
        <v>0</v>
      </c>
      <c r="D1835" s="2" t="n">
        <f aca="false">C1835*(1-D$1827)+C1834*D$1827</f>
        <v>0</v>
      </c>
      <c r="E1835" s="2" t="n">
        <f aca="false">D1835*(1-E$1827)+D1834*E$1827</f>
        <v>0</v>
      </c>
      <c r="F1835" s="2" t="n">
        <f aca="false">E1835*(1-F$1827)+E1834*F$1827</f>
        <v>0</v>
      </c>
      <c r="G1835" s="2" t="n">
        <f aca="false">F1835*(1-G$1827)+F1834*G$1827</f>
        <v>0</v>
      </c>
      <c r="H1835" s="2" t="n">
        <f aca="false">G1835*(1-H$1827)+G1834*H$1827</f>
        <v>0</v>
      </c>
      <c r="I1835" s="2" t="n">
        <f aca="false">H1835*(1-I$1827)+H1834*I$1827</f>
        <v>0.00326935557270241</v>
      </c>
      <c r="J1835" s="2" t="n">
        <f aca="false">I1835*(1-J$1827)+I1834*J$1827</f>
        <v>0.0117453684373694</v>
      </c>
      <c r="K1835" s="2" t="n">
        <f aca="false">J1835*(1-K$1827)+J1834*K$1827</f>
        <v>0.0516318893265936</v>
      </c>
      <c r="L1835" s="2" t="n">
        <f aca="false">K1835*(1-L$1827)+K1834*L$1827</f>
        <v>0.0977972657028116</v>
      </c>
      <c r="M1835" s="2" t="n">
        <f aca="false">L1835*(1-M$1827)+L1834*M$1827</f>
        <v>0.146048502160859</v>
      </c>
      <c r="N1835" s="2" t="n">
        <f aca="false">M1835*(1-N$1827)+M1834*N$1827</f>
        <v>0.228655388019646</v>
      </c>
      <c r="O1835" s="2" t="n">
        <f aca="false">N1835*(1-O$1827)+N1834*O$1827</f>
        <v>0.228655388019646</v>
      </c>
    </row>
    <row r="1836" customFormat="false" ht="15" hidden="false" customHeight="false" outlineLevel="0" collapsed="false">
      <c r="B1836" s="2" t="n">
        <v>8</v>
      </c>
      <c r="C1836" s="2" t="n">
        <f aca="false">0</f>
        <v>0</v>
      </c>
      <c r="D1836" s="2" t="n">
        <f aca="false">C1836*(1-D$1827)+C1835*D$1827</f>
        <v>0</v>
      </c>
      <c r="E1836" s="2" t="n">
        <f aca="false">D1836*(1-E$1827)+D1835*E$1827</f>
        <v>0</v>
      </c>
      <c r="F1836" s="2" t="n">
        <f aca="false">E1836*(1-F$1827)+E1835*F$1827</f>
        <v>0</v>
      </c>
      <c r="G1836" s="2" t="n">
        <f aca="false">F1836*(1-G$1827)+F1835*G$1827</f>
        <v>0</v>
      </c>
      <c r="H1836" s="2" t="n">
        <f aca="false">G1836*(1-H$1827)+G1835*H$1827</f>
        <v>0</v>
      </c>
      <c r="I1836" s="2" t="n">
        <f aca="false">H1836*(1-I$1827)+H1835*I$1827</f>
        <v>0</v>
      </c>
      <c r="J1836" s="2" t="n">
        <f aca="false">I1836*(1-J$1827)+I1835*J$1827</f>
        <v>0.000759514560919912</v>
      </c>
      <c r="K1836" s="2" t="n">
        <f aca="false">J1836*(1-K$1827)+J1835*K$1827</f>
        <v>0.00813528864020218</v>
      </c>
      <c r="L1836" s="2" t="n">
        <f aca="false">K1836*(1-L$1827)+K1835*L$1827</f>
        <v>0.0254851649343216</v>
      </c>
      <c r="M1836" s="2" t="n">
        <f aca="false">L1836*(1-M$1827)+L1835*M$1827</f>
        <v>0.0543289362429545</v>
      </c>
      <c r="N1836" s="2" t="n">
        <f aca="false">M1836*(1-N$1827)+M1835*N$1827</f>
        <v>0.128549605662427</v>
      </c>
      <c r="O1836" s="2" t="n">
        <f aca="false">N1836*(1-O$1827)+N1835*O$1827</f>
        <v>0.128549605662427</v>
      </c>
    </row>
    <row r="1837" customFormat="false" ht="15" hidden="false" customHeight="false" outlineLevel="0" collapsed="false">
      <c r="B1837" s="2" t="n">
        <v>9</v>
      </c>
      <c r="C1837" s="2" t="n">
        <f aca="false">0</f>
        <v>0</v>
      </c>
      <c r="D1837" s="2" t="n">
        <f aca="false">C1837*(1-D$1827)+C1836*D$1827</f>
        <v>0</v>
      </c>
      <c r="E1837" s="2" t="n">
        <f aca="false">D1837*(1-E$1827)+D1836*E$1827</f>
        <v>0</v>
      </c>
      <c r="F1837" s="2" t="n">
        <f aca="false">E1837*(1-F$1827)+E1836*F$1827</f>
        <v>0</v>
      </c>
      <c r="G1837" s="2" t="n">
        <f aca="false">F1837*(1-G$1827)+F1836*G$1827</f>
        <v>0</v>
      </c>
      <c r="H1837" s="2" t="n">
        <f aca="false">G1837*(1-H$1827)+G1836*H$1827</f>
        <v>0</v>
      </c>
      <c r="I1837" s="2" t="n">
        <f aca="false">H1837*(1-I$1827)+H1836*I$1827</f>
        <v>0</v>
      </c>
      <c r="J1837" s="2" t="n">
        <f aca="false">I1837*(1-J$1827)+I1836*J$1827</f>
        <v>0</v>
      </c>
      <c r="K1837" s="2" t="n">
        <f aca="false">J1837*(1-K$1827)+J1836*K$1827</f>
        <v>0.000509929212082424</v>
      </c>
      <c r="L1837" s="2" t="n">
        <f aca="false">K1837*(1-L$1827)+K1836*L$1827</f>
        <v>0.00355152420314725</v>
      </c>
      <c r="M1837" s="2" t="n">
        <f aca="false">L1837*(1-M$1827)+L1836*M$1827</f>
        <v>0.0123003907205391</v>
      </c>
      <c r="N1837" s="2" t="n">
        <f aca="false">M1837*(1-N$1827)+M1836*N$1827</f>
        <v>0.0463104381099098</v>
      </c>
      <c r="O1837" s="2" t="n">
        <f aca="false">N1837*(1-O$1827)+N1836*O$1827</f>
        <v>0.0463104381099098</v>
      </c>
    </row>
    <row r="1838" customFormat="false" ht="15" hidden="false" customHeight="false" outlineLevel="0" collapsed="false">
      <c r="B1838" s="2" t="n">
        <v>10</v>
      </c>
      <c r="C1838" s="2" t="n">
        <f aca="false">0</f>
        <v>0</v>
      </c>
      <c r="D1838" s="2" t="n">
        <f aca="false">C1838*(1-D$1827)+C1837*D$1827</f>
        <v>0</v>
      </c>
      <c r="E1838" s="2" t="n">
        <f aca="false">D1838*(1-E$1827)+D1837*E$1827</f>
        <v>0</v>
      </c>
      <c r="F1838" s="2" t="n">
        <f aca="false">E1838*(1-F$1827)+E1837*F$1827</f>
        <v>0</v>
      </c>
      <c r="G1838" s="2" t="n">
        <f aca="false">F1838*(1-G$1827)+F1837*G$1827</f>
        <v>0</v>
      </c>
      <c r="H1838" s="2" t="n">
        <f aca="false">G1838*(1-H$1827)+G1837*H$1827</f>
        <v>0</v>
      </c>
      <c r="I1838" s="2" t="n">
        <f aca="false">H1838*(1-I$1827)+H1837*I$1827</f>
        <v>0</v>
      </c>
      <c r="J1838" s="2" t="n">
        <f aca="false">I1838*(1-J$1827)+I1837*J$1827</f>
        <v>0</v>
      </c>
      <c r="K1838" s="2" t="n">
        <f aca="false">J1838*(1-K$1827)+J1837*K$1827</f>
        <v>0</v>
      </c>
      <c r="L1838" s="2" t="n">
        <f aca="false">K1838*(1-L$1827)+K1837*L$1827</f>
        <v>0.000203400003880208</v>
      </c>
      <c r="M1838" s="2" t="n">
        <f aca="false">L1838*(1-M$1827)+L1837*M$1827</f>
        <v>0.00153889610605734</v>
      </c>
      <c r="N1838" s="2" t="n">
        <f aca="false">M1838*(1-N$1827)+M1837*N$1827</f>
        <v>0.0102472379549034</v>
      </c>
      <c r="O1838" s="2" t="n">
        <f aca="false">N1838*(1-O$1827)+N1837*O$1827</f>
        <v>0.0102472379549034</v>
      </c>
    </row>
    <row r="1839" customFormat="false" ht="15" hidden="false" customHeight="false" outlineLevel="0" collapsed="false">
      <c r="B1839" s="2" t="n">
        <v>11</v>
      </c>
      <c r="C1839" s="2" t="n">
        <f aca="false">0</f>
        <v>0</v>
      </c>
      <c r="D1839" s="2" t="n">
        <f aca="false">C1839*(1-D$1827)+C1838*D$1827</f>
        <v>0</v>
      </c>
      <c r="E1839" s="2" t="n">
        <f aca="false">D1839*(1-E$1827)+D1838*E$1827</f>
        <v>0</v>
      </c>
      <c r="F1839" s="2" t="n">
        <f aca="false">E1839*(1-F$1827)+E1838*F$1827</f>
        <v>0</v>
      </c>
      <c r="G1839" s="2" t="n">
        <f aca="false">F1839*(1-G$1827)+F1838*G$1827</f>
        <v>0</v>
      </c>
      <c r="H1839" s="2" t="n">
        <f aca="false">G1839*(1-H$1827)+G1838*H$1827</f>
        <v>0</v>
      </c>
      <c r="I1839" s="2" t="n">
        <f aca="false">H1839*(1-I$1827)+H1838*I$1827</f>
        <v>0</v>
      </c>
      <c r="J1839" s="2" t="n">
        <f aca="false">I1839*(1-J$1827)+I1838*J$1827</f>
        <v>0</v>
      </c>
      <c r="K1839" s="2" t="n">
        <f aca="false">J1839*(1-K$1827)+J1838*K$1827</f>
        <v>0</v>
      </c>
      <c r="L1839" s="2" t="n">
        <f aca="false">K1839*(1-L$1827)+K1838*L$1827</f>
        <v>0</v>
      </c>
      <c r="M1839" s="2" t="n">
        <f aca="false">L1839*(1-M$1827)+L1838*M$1827</f>
        <v>8.11319700817242E-005</v>
      </c>
      <c r="N1839" s="2" t="n">
        <f aca="false">M1839*(1-N$1827)+M1838*N$1827</f>
        <v>0.00126077372857688</v>
      </c>
      <c r="O1839" s="2" t="n">
        <f aca="false">N1839*(1-O$1827)+N1838*O$1827</f>
        <v>0.00126077372857688</v>
      </c>
    </row>
    <row r="1840" customFormat="false" ht="15" hidden="false" customHeight="false" outlineLevel="0" collapsed="false">
      <c r="B1840" s="2" t="n">
        <v>12</v>
      </c>
      <c r="C1840" s="2" t="n">
        <f aca="false">0</f>
        <v>0</v>
      </c>
      <c r="D1840" s="2" t="n">
        <f aca="false">C1840*(1-D$1827)+C1839*D$1827</f>
        <v>0</v>
      </c>
      <c r="E1840" s="2" t="n">
        <f aca="false">D1840*(1-E$1827)+D1839*E$1827</f>
        <v>0</v>
      </c>
      <c r="F1840" s="2" t="n">
        <f aca="false">E1840*(1-F$1827)+E1839*F$1827</f>
        <v>0</v>
      </c>
      <c r="G1840" s="2" t="n">
        <f aca="false">F1840*(1-G$1827)+F1839*G$1827</f>
        <v>0</v>
      </c>
      <c r="H1840" s="2" t="n">
        <f aca="false">G1840*(1-H$1827)+G1839*H$1827</f>
        <v>0</v>
      </c>
      <c r="I1840" s="2" t="n">
        <f aca="false">H1840*(1-I$1827)+H1839*I$1827</f>
        <v>0</v>
      </c>
      <c r="J1840" s="2" t="n">
        <f aca="false">I1840*(1-J$1827)+I1839*J$1827</f>
        <v>0</v>
      </c>
      <c r="K1840" s="2" t="n">
        <f aca="false">J1840*(1-K$1827)+J1839*K$1827</f>
        <v>0</v>
      </c>
      <c r="L1840" s="2" t="n">
        <f aca="false">K1840*(1-L$1827)+K1839*L$1827</f>
        <v>0</v>
      </c>
      <c r="M1840" s="2" t="n">
        <f aca="false">L1840*(1-M$1827)+L1839*M$1827</f>
        <v>0</v>
      </c>
      <c r="N1840" s="2" t="n">
        <f aca="false">M1840*(1-N$1827)+M1839*N$1827</f>
        <v>6.5653048730911E-005</v>
      </c>
      <c r="O1840" s="2" t="n">
        <f aca="false">N1840*(1-O$1827)+N1839*O$1827</f>
        <v>6.5653048730911E-005</v>
      </c>
    </row>
    <row r="1841" customFormat="false" ht="15" hidden="false" customHeight="false" outlineLevel="0" collapsed="false">
      <c r="B1841" s="2" t="n">
        <v>13</v>
      </c>
      <c r="C1841" s="2" t="n">
        <f aca="false">0</f>
        <v>0</v>
      </c>
      <c r="D1841" s="2" t="n">
        <f aca="false">C1841*(1-D$1827)+C1840*D$1827</f>
        <v>0</v>
      </c>
      <c r="E1841" s="2" t="n">
        <f aca="false">D1841*(1-E$1827)+D1840*E$1827</f>
        <v>0</v>
      </c>
      <c r="F1841" s="2" t="n">
        <f aca="false">E1841*(1-F$1827)+E1840*F$1827</f>
        <v>0</v>
      </c>
      <c r="G1841" s="2" t="n">
        <f aca="false">F1841*(1-G$1827)+F1840*G$1827</f>
        <v>0</v>
      </c>
      <c r="H1841" s="2" t="n">
        <f aca="false">G1841*(1-H$1827)+G1840*H$1827</f>
        <v>0</v>
      </c>
      <c r="I1841" s="2" t="n">
        <f aca="false">H1841*(1-I$1827)+H1840*I$1827</f>
        <v>0</v>
      </c>
      <c r="J1841" s="2" t="n">
        <f aca="false">I1841*(1-J$1827)+I1840*J$1827</f>
        <v>0</v>
      </c>
      <c r="K1841" s="2" t="n">
        <f aca="false">J1841*(1-K$1827)+J1840*K$1827</f>
        <v>0</v>
      </c>
      <c r="L1841" s="2" t="n">
        <f aca="false">K1841*(1-L$1827)+K1840*L$1827</f>
        <v>0</v>
      </c>
      <c r="M1841" s="2" t="n">
        <f aca="false">L1841*(1-M$1827)+L1840*M$1827</f>
        <v>0</v>
      </c>
      <c r="N1841" s="2" t="n">
        <f aca="false">M1841*(1-N$1827)+M1840*N$1827</f>
        <v>0</v>
      </c>
      <c r="O1841" s="2" t="n">
        <f aca="false">N1841*(1-O$1827)+N1840*O$1827</f>
        <v>0</v>
      </c>
    </row>
    <row r="1843" customFormat="false" ht="15" hidden="false" customHeight="false" outlineLevel="0" collapsed="false">
      <c r="A1843" s="1" t="s">
        <v>173</v>
      </c>
      <c r="C1843" s="2" t="n">
        <f aca="false">Schedule!G117</f>
        <v>0.914461282460005</v>
      </c>
      <c r="D1843" s="2" t="n">
        <f aca="false">Schedule!L117</f>
        <v>0.211855398583397</v>
      </c>
      <c r="E1843" s="2" t="n">
        <f aca="false">Schedule!Q117</f>
        <v>0.492520270510441</v>
      </c>
      <c r="F1843" s="2" t="n">
        <f aca="false">Schedule!V117</f>
        <v>0.0816965558391932</v>
      </c>
      <c r="G1843" s="2" t="n">
        <f aca="false">Schedule!AA117</f>
        <v>0.853140943624104</v>
      </c>
      <c r="H1843" s="2" t="n">
        <f aca="false">Schedule!AF117</f>
        <v>0.365517152690043</v>
      </c>
      <c r="I1843" s="2" t="n">
        <f aca="false">Schedule!AK117</f>
        <v>0.289019981362493</v>
      </c>
      <c r="J1843" s="2" t="n">
        <f aca="false">Schedule!AP117</f>
        <v>0.425634311844103</v>
      </c>
      <c r="K1843" s="2" t="n">
        <f aca="false">Schedule!AU117</f>
        <v>0.342279459683951</v>
      </c>
      <c r="L1843" s="2" t="n">
        <f aca="false">Schedule!AZ117</f>
        <v>0.398878901347056</v>
      </c>
      <c r="M1843" s="2" t="n">
        <f aca="false">Schedule!BE117</f>
        <v>0.58901036286873</v>
      </c>
      <c r="N1843" s="2" t="n">
        <f aca="false">Schedule!BJ117</f>
        <v>0.51495682992591</v>
      </c>
      <c r="O1843" s="2" t="n">
        <f aca="false">Schedule!BO117</f>
        <v>0</v>
      </c>
    </row>
    <row r="1844" customFormat="false" ht="15" hidden="false" customHeight="false" outlineLevel="0" collapsed="false">
      <c r="B1844" s="2" t="n">
        <v>0</v>
      </c>
      <c r="C1844" s="2" t="n">
        <f aca="false">1-C$1843</f>
        <v>0.0855387175399951</v>
      </c>
      <c r="D1844" s="2" t="n">
        <f aca="false">C1844*(1-D$1843)</f>
        <v>0.0674168784412468</v>
      </c>
      <c r="E1844" s="2" t="n">
        <f aca="false">D1844*(1-E$1843)</f>
        <v>0.0342126992343945</v>
      </c>
      <c r="F1844" s="2" t="n">
        <f aca="false">E1844*(1-F$1843)</f>
        <v>0.0314176395409822</v>
      </c>
      <c r="G1844" s="2" t="n">
        <f aca="false">F1844*(1-G$1843)</f>
        <v>0.00461396489654669</v>
      </c>
      <c r="H1844" s="2" t="n">
        <f aca="false">G1844*(1-H$1843)</f>
        <v>0.00292748158494914</v>
      </c>
      <c r="I1844" s="2" t="n">
        <f aca="false">H1844*(1-I$1843)</f>
        <v>0.00208138091182809</v>
      </c>
      <c r="J1844" s="2" t="n">
        <f aca="false">I1844*(1-J$1843)</f>
        <v>0.00119547377973669</v>
      </c>
      <c r="K1844" s="2" t="n">
        <f aca="false">J1844*(1-K$1843)</f>
        <v>0.000786287660342087</v>
      </c>
      <c r="L1844" s="2" t="n">
        <f aca="false">K1844*(1-L$1843)</f>
        <v>0.000472654102242088</v>
      </c>
      <c r="M1844" s="2" t="n">
        <f aca="false">L1844*(1-M$1843)</f>
        <v>0.000194255937969082</v>
      </c>
      <c r="N1844" s="2" t="n">
        <f aca="false">M1844*(1-N$1843)</f>
        <v>9.42225159582394E-005</v>
      </c>
      <c r="O1844" s="2" t="n">
        <f aca="false">N1844*(1-O$1843)</f>
        <v>9.42225159582394E-005</v>
      </c>
    </row>
    <row r="1845" customFormat="false" ht="15" hidden="false" customHeight="false" outlineLevel="0" collapsed="false">
      <c r="B1845" s="2" t="n">
        <v>1</v>
      </c>
      <c r="C1845" s="2" t="n">
        <f aca="false">C$1843</f>
        <v>0.914461282460005</v>
      </c>
      <c r="D1845" s="2" t="n">
        <f aca="false">C1845*(1-D$1843)+C1844*D$1843</f>
        <v>0.738849562074105</v>
      </c>
      <c r="E1845" s="2" t="n">
        <f aca="false">D1845*(1-E$1843)+D1844*E$1843</f>
        <v>0.408155355101698</v>
      </c>
      <c r="F1845" s="2" t="n">
        <f aca="false">E1845*(1-F$1843)+E1844*F$1843</f>
        <v>0.377605528035979</v>
      </c>
      <c r="G1845" s="2" t="n">
        <f aca="false">F1845*(1-G$1843)+F1844*G$1843</f>
        <v>0.0822584661741213</v>
      </c>
      <c r="H1845" s="2" t="n">
        <f aca="false">G1845*(1-H$1843)+G1844*H$1843</f>
        <v>0.0538780691451039</v>
      </c>
      <c r="I1845" s="2" t="n">
        <f aca="false">H1845*(1-I$1843)+H1844*I$1843</f>
        <v>0.0391523312780599</v>
      </c>
      <c r="J1845" s="2" t="n">
        <f aca="false">I1845*(1-J$1843)+I1844*J$1843</f>
        <v>0.0233736628295219</v>
      </c>
      <c r="K1845" s="2" t="n">
        <f aca="false">J1845*(1-K$1843)+J1844*K$1843</f>
        <v>0.0157825242647929</v>
      </c>
      <c r="L1845" s="2" t="n">
        <f aca="false">K1845*(1-L$1843)+K1844*L$1843</f>
        <v>0.00980084188366906</v>
      </c>
      <c r="M1845" s="2" t="n">
        <f aca="false">L1845*(1-M$1843)+L1844*M$1843</f>
        <v>0.00430644261362311</v>
      </c>
      <c r="N1845" s="2" t="n">
        <f aca="false">M1845*(1-N$1843)+M1844*N$1843</f>
        <v>0.00218884399906475</v>
      </c>
      <c r="O1845" s="2" t="n">
        <f aca="false">N1845*(1-O$1843)+N1844*O$1843</f>
        <v>0.00218884399906475</v>
      </c>
    </row>
    <row r="1846" customFormat="false" ht="15" hidden="false" customHeight="false" outlineLevel="0" collapsed="false">
      <c r="B1846" s="2" t="n">
        <v>2</v>
      </c>
      <c r="C1846" s="2" t="n">
        <f aca="false">0</f>
        <v>0</v>
      </c>
      <c r="D1846" s="2" t="n">
        <f aca="false">C1846*(1-D$1843)+C1845*D$1843</f>
        <v>0.193733559484648</v>
      </c>
      <c r="E1846" s="2" t="n">
        <f aca="false">D1846*(1-E$1843)+D1845*E$1843</f>
        <v>0.462214240539578</v>
      </c>
      <c r="F1846" s="2" t="n">
        <f aca="false">E1846*(1-F$1843)+E1845*F$1843</f>
        <v>0.457797815786797</v>
      </c>
      <c r="G1846" s="2" t="n">
        <f aca="false">F1846*(1-G$1843)+F1845*G$1843</f>
        <v>0.389382491743688</v>
      </c>
      <c r="H1846" s="2" t="n">
        <f aca="false">G1846*(1-H$1843)+G1845*H$1843</f>
        <v>0.277123392394796</v>
      </c>
      <c r="I1846" s="2" t="n">
        <f aca="false">H1846*(1-I$1843)+H1845*I$1843</f>
        <v>0.212601033229906</v>
      </c>
      <c r="J1846" s="2" t="n">
        <f aca="false">I1846*(1-J$1843)+I1845*J$1843</f>
        <v>0.138775314334379</v>
      </c>
      <c r="K1846" s="2" t="n">
        <f aca="false">J1846*(1-K$1843)+J1845*K$1843</f>
        <v>0.0992756994106611</v>
      </c>
      <c r="L1846" s="2" t="n">
        <f aca="false">K1846*(1-L$1843)+K1845*L$1843</f>
        <v>0.0659720334384999</v>
      </c>
      <c r="M1846" s="2" t="n">
        <f aca="false">L1846*(1-M$1843)+L1845*M$1843</f>
        <v>0.0328866195180201</v>
      </c>
      <c r="N1846" s="2" t="n">
        <f aca="false">M1846*(1-N$1843)+M1845*N$1843</f>
        <v>0.0181690622206101</v>
      </c>
      <c r="O1846" s="2" t="n">
        <f aca="false">N1846*(1-O$1843)+N1845*O$1843</f>
        <v>0.0181690622206101</v>
      </c>
    </row>
    <row r="1847" customFormat="false" ht="15" hidden="false" customHeight="false" outlineLevel="0" collapsed="false">
      <c r="B1847" s="2" t="n">
        <v>3</v>
      </c>
      <c r="C1847" s="2" t="n">
        <f aca="false">0</f>
        <v>0</v>
      </c>
      <c r="D1847" s="2" t="n">
        <f aca="false">C1847*(1-D$1843)+C1846*D$1843</f>
        <v>0</v>
      </c>
      <c r="E1847" s="2" t="n">
        <f aca="false">D1847*(1-E$1843)+D1846*E$1843</f>
        <v>0.0954177051243296</v>
      </c>
      <c r="F1847" s="2" t="n">
        <f aca="false">E1847*(1-F$1843)+E1846*F$1843</f>
        <v>0.125383718761504</v>
      </c>
      <c r="G1847" s="2" t="n">
        <f aca="false">F1847*(1-G$1843)+F1846*G$1843</f>
        <v>0.408979795171617</v>
      </c>
      <c r="H1847" s="2" t="n">
        <f aca="false">G1847*(1-H$1843)+G1846*H$1843</f>
        <v>0.401816644622238</v>
      </c>
      <c r="I1847" s="2" t="n">
        <f aca="false">H1847*(1-I$1843)+H1846*I$1843</f>
        <v>0.365777803187434</v>
      </c>
      <c r="J1847" s="2" t="n">
        <f aca="false">I1847*(1-J$1843)+I1846*J$1843</f>
        <v>0.300580514116059</v>
      </c>
      <c r="K1847" s="2" t="n">
        <f aca="false">J1847*(1-K$1843)+J1846*K$1843</f>
        <v>0.245197917760732</v>
      </c>
      <c r="L1847" s="2" t="n">
        <f aca="false">K1847*(1-L$1843)+K1846*L$1843</f>
        <v>0.186992623623131</v>
      </c>
      <c r="M1847" s="2" t="n">
        <f aca="false">L1847*(1-M$1843)+L1846*M$1843</f>
        <v>0.115710241883893</v>
      </c>
      <c r="N1847" s="2" t="n">
        <f aca="false">M1847*(1-N$1843)+M1846*N$1843</f>
        <v>0.0730596518673826</v>
      </c>
      <c r="O1847" s="2" t="n">
        <f aca="false">N1847*(1-O$1843)+N1846*O$1843</f>
        <v>0.0730596518673826</v>
      </c>
    </row>
    <row r="1848" customFormat="false" ht="15" hidden="false" customHeight="false" outlineLevel="0" collapsed="false">
      <c r="B1848" s="2" t="n">
        <v>4</v>
      </c>
      <c r="C1848" s="2" t="n">
        <f aca="false">0</f>
        <v>0</v>
      </c>
      <c r="D1848" s="2" t="n">
        <f aca="false">C1848*(1-D$1843)+C1847*D$1843</f>
        <v>0</v>
      </c>
      <c r="E1848" s="2" t="n">
        <f aca="false">D1848*(1-E$1843)+D1847*E$1843</f>
        <v>0</v>
      </c>
      <c r="F1848" s="2" t="n">
        <f aca="false">E1848*(1-F$1843)+E1847*F$1843</f>
        <v>0.00779529787473747</v>
      </c>
      <c r="G1848" s="2" t="n">
        <f aca="false">F1848*(1-G$1843)+F1847*G$1843</f>
        <v>0.108114794229342</v>
      </c>
      <c r="H1848" s="2" t="n">
        <f aca="false">G1848*(1-H$1843)+G1847*H$1843</f>
        <v>0.218086112717849</v>
      </c>
      <c r="I1848" s="2" t="n">
        <f aca="false">H1848*(1-I$1843)+H1847*I$1843</f>
        <v>0.271187907624577</v>
      </c>
      <c r="J1848" s="2" t="n">
        <f aca="false">I1848*(1-J$1843)+I1847*J$1843</f>
        <v>0.311448612729879</v>
      </c>
      <c r="K1848" s="2" t="n">
        <f aca="false">J1848*(1-K$1843)+J1847*K$1843</f>
        <v>0.307728685808549</v>
      </c>
      <c r="L1848" s="2" t="n">
        <f aca="false">K1848*(1-L$1843)+K1847*L$1843</f>
        <v>0.282786481749248</v>
      </c>
      <c r="M1848" s="2" t="n">
        <f aca="false">L1848*(1-M$1843)+L1847*M$1843</f>
        <v>0.226362906613788</v>
      </c>
      <c r="N1848" s="2" t="n">
        <f aca="false">M1848*(1-N$1843)+M1847*N$1843</f>
        <v>0.169381561161627</v>
      </c>
      <c r="O1848" s="2" t="n">
        <f aca="false">N1848*(1-O$1843)+N1847*O$1843</f>
        <v>0.169381561161627</v>
      </c>
    </row>
    <row r="1849" customFormat="false" ht="15" hidden="false" customHeight="false" outlineLevel="0" collapsed="false">
      <c r="B1849" s="2" t="n">
        <v>5</v>
      </c>
      <c r="C1849" s="2" t="n">
        <f aca="false">0</f>
        <v>0</v>
      </c>
      <c r="D1849" s="2" t="n">
        <f aca="false">C1849*(1-D$1843)+C1848*D$1843</f>
        <v>0</v>
      </c>
      <c r="E1849" s="2" t="n">
        <f aca="false">D1849*(1-E$1843)+D1848*E$1843</f>
        <v>0</v>
      </c>
      <c r="F1849" s="2" t="n">
        <f aca="false">E1849*(1-F$1843)+E1848*F$1843</f>
        <v>0</v>
      </c>
      <c r="G1849" s="2" t="n">
        <f aca="false">F1849*(1-G$1843)+F1848*G$1843</f>
        <v>0.00665048778468449</v>
      </c>
      <c r="H1849" s="2" t="n">
        <f aca="false">G1849*(1-H$1843)+G1848*H$1843</f>
        <v>0.0437374321760056</v>
      </c>
      <c r="I1849" s="2" t="n">
        <f aca="false">H1849*(1-I$1843)+H1848*I$1843</f>
        <v>0.0941276845767845</v>
      </c>
      <c r="J1849" s="2" t="n">
        <f aca="false">I1849*(1-J$1843)+I1848*J$1843</f>
        <v>0.169490590768695</v>
      </c>
      <c r="K1849" s="2" t="n">
        <f aca="false">J1849*(1-K$1843)+J1848*K$1843</f>
        <v>0.218079905823371</v>
      </c>
      <c r="L1849" s="2" t="n">
        <f aca="false">K1849*(1-L$1843)+K1848*L$1843</f>
        <v>0.253838912690963</v>
      </c>
      <c r="M1849" s="2" t="n">
        <f aca="false">L1849*(1-M$1843)+L1848*M$1843</f>
        <v>0.270889330846151</v>
      </c>
      <c r="N1849" s="2" t="n">
        <f aca="false">M1849*(1-N$1843)+M1848*N$1843</f>
        <v>0.247960144575517</v>
      </c>
      <c r="O1849" s="2" t="n">
        <f aca="false">N1849*(1-O$1843)+N1848*O$1843</f>
        <v>0.247960144575517</v>
      </c>
    </row>
    <row r="1850" customFormat="false" ht="15" hidden="false" customHeight="false" outlineLevel="0" collapsed="false">
      <c r="B1850" s="2" t="n">
        <v>6</v>
      </c>
      <c r="C1850" s="2" t="n">
        <f aca="false">0</f>
        <v>0</v>
      </c>
      <c r="D1850" s="2" t="n">
        <f aca="false">C1850*(1-D$1843)+C1849*D$1843</f>
        <v>0</v>
      </c>
      <c r="E1850" s="2" t="n">
        <f aca="false">D1850*(1-E$1843)+D1849*E$1843</f>
        <v>0</v>
      </c>
      <c r="F1850" s="2" t="n">
        <f aca="false">E1850*(1-F$1843)+E1849*F$1843</f>
        <v>0</v>
      </c>
      <c r="G1850" s="2" t="n">
        <f aca="false">F1850*(1-G$1843)+F1849*G$1843</f>
        <v>0</v>
      </c>
      <c r="H1850" s="2" t="n">
        <f aca="false">G1850*(1-H$1843)+G1849*H$1843</f>
        <v>0.00243086735905779</v>
      </c>
      <c r="I1850" s="2" t="n">
        <f aca="false">H1850*(1-I$1843)+H1849*I$1843</f>
        <v>0.0143692899526007</v>
      </c>
      <c r="J1850" s="2" t="n">
        <f aca="false">I1850*(1-J$1843)+I1849*J$1843</f>
        <v>0.0483171993622556</v>
      </c>
      <c r="K1850" s="2" t="n">
        <f aca="false">J1850*(1-K$1843)+J1849*K$1843</f>
        <v>0.0897923623009235</v>
      </c>
      <c r="L1850" s="2" t="n">
        <f aca="false">K1850*(1-L$1843)+K1849*L$1843</f>
        <v>0.14096355671767</v>
      </c>
      <c r="M1850" s="2" t="n">
        <f aca="false">L1850*(1-M$1843)+L1849*M$1843</f>
        <v>0.207448311098436</v>
      </c>
      <c r="N1850" s="2" t="n">
        <f aca="false">M1850*(1-N$1843)+M1849*N$1843</f>
        <v>0.240117697514987</v>
      </c>
      <c r="O1850" s="2" t="n">
        <f aca="false">N1850*(1-O$1843)+N1849*O$1843</f>
        <v>0.240117697514987</v>
      </c>
    </row>
    <row r="1851" customFormat="false" ht="15" hidden="false" customHeight="false" outlineLevel="0" collapsed="false">
      <c r="B1851" s="2" t="n">
        <v>7</v>
      </c>
      <c r="C1851" s="2" t="n">
        <f aca="false">0</f>
        <v>0</v>
      </c>
      <c r="D1851" s="2" t="n">
        <f aca="false">C1851*(1-D$1843)+C1850*D$1843</f>
        <v>0</v>
      </c>
      <c r="E1851" s="2" t="n">
        <f aca="false">D1851*(1-E$1843)+D1850*E$1843</f>
        <v>0</v>
      </c>
      <c r="F1851" s="2" t="n">
        <f aca="false">E1851*(1-F$1843)+E1850*F$1843</f>
        <v>0</v>
      </c>
      <c r="G1851" s="2" t="n">
        <f aca="false">F1851*(1-G$1843)+F1850*G$1843</f>
        <v>0</v>
      </c>
      <c r="H1851" s="2" t="n">
        <f aca="false">G1851*(1-H$1843)+G1850*H$1843</f>
        <v>0</v>
      </c>
      <c r="I1851" s="2" t="n">
        <f aca="false">H1851*(1-I$1843)+H1850*I$1843</f>
        <v>0.000702569238809575</v>
      </c>
      <c r="J1851" s="2" t="n">
        <f aca="false">I1851*(1-J$1843)+I1850*J$1843</f>
        <v>0.00651959450498959</v>
      </c>
      <c r="K1851" s="2" t="n">
        <f aca="false">J1851*(1-K$1843)+J1850*K$1843</f>
        <v>0.0208260561116179</v>
      </c>
      <c r="L1851" s="2" t="n">
        <f aca="false">K1851*(1-L$1843)+K1850*L$1843</f>
        <v>0.0483352605543728</v>
      </c>
      <c r="M1851" s="2" t="n">
        <f aca="false">L1851*(1-M$1843)+L1850*M$1843</f>
        <v>0.102894286889429</v>
      </c>
      <c r="N1851" s="2" t="n">
        <f aca="false">M1851*(1-N$1843)+M1850*N$1843</f>
        <v>0.156735095752096</v>
      </c>
      <c r="O1851" s="2" t="n">
        <f aca="false">N1851*(1-O$1843)+N1850*O$1843</f>
        <v>0.156735095752096</v>
      </c>
    </row>
    <row r="1852" customFormat="false" ht="15" hidden="false" customHeight="false" outlineLevel="0" collapsed="false">
      <c r="B1852" s="2" t="n">
        <v>8</v>
      </c>
      <c r="C1852" s="2" t="n">
        <f aca="false">0</f>
        <v>0</v>
      </c>
      <c r="D1852" s="2" t="n">
        <f aca="false">C1852*(1-D$1843)+C1851*D$1843</f>
        <v>0</v>
      </c>
      <c r="E1852" s="2" t="n">
        <f aca="false">D1852*(1-E$1843)+D1851*E$1843</f>
        <v>0</v>
      </c>
      <c r="F1852" s="2" t="n">
        <f aca="false">E1852*(1-F$1843)+E1851*F$1843</f>
        <v>0</v>
      </c>
      <c r="G1852" s="2" t="n">
        <f aca="false">F1852*(1-G$1843)+F1851*G$1843</f>
        <v>0</v>
      </c>
      <c r="H1852" s="2" t="n">
        <f aca="false">G1852*(1-H$1843)+G1851*H$1843</f>
        <v>0</v>
      </c>
      <c r="I1852" s="2" t="n">
        <f aca="false">H1852*(1-I$1843)+H1851*I$1843</f>
        <v>0</v>
      </c>
      <c r="J1852" s="2" t="n">
        <f aca="false">I1852*(1-J$1843)+I1851*J$1843</f>
        <v>0.000299037574483548</v>
      </c>
      <c r="K1852" s="2" t="n">
        <f aca="false">J1852*(1-K$1843)+J1851*K$1843</f>
        <v>0.00242820643959041</v>
      </c>
      <c r="L1852" s="2" t="n">
        <f aca="false">K1852*(1-L$1843)+K1851*L$1843</f>
        <v>0.00976672050391702</v>
      </c>
      <c r="M1852" s="2" t="n">
        <f aca="false">L1852*(1-M$1843)+L1851*M$1843</f>
        <v>0.0324839902743531</v>
      </c>
      <c r="N1852" s="2" t="n">
        <f aca="false">M1852*(1-N$1843)+M1851*N$1843</f>
        <v>0.0687422534133955</v>
      </c>
      <c r="O1852" s="2" t="n">
        <f aca="false">N1852*(1-O$1843)+N1851*O$1843</f>
        <v>0.0687422534133955</v>
      </c>
    </row>
    <row r="1853" customFormat="false" ht="15" hidden="false" customHeight="false" outlineLevel="0" collapsed="false">
      <c r="B1853" s="2" t="n">
        <v>9</v>
      </c>
      <c r="C1853" s="2" t="n">
        <f aca="false">0</f>
        <v>0</v>
      </c>
      <c r="D1853" s="2" t="n">
        <f aca="false">C1853*(1-D$1843)+C1852*D$1843</f>
        <v>0</v>
      </c>
      <c r="E1853" s="2" t="n">
        <f aca="false">D1853*(1-E$1843)+D1852*E$1843</f>
        <v>0</v>
      </c>
      <c r="F1853" s="2" t="n">
        <f aca="false">E1853*(1-F$1843)+E1852*F$1843</f>
        <v>0</v>
      </c>
      <c r="G1853" s="2" t="n">
        <f aca="false">F1853*(1-G$1843)+F1852*G$1843</f>
        <v>0</v>
      </c>
      <c r="H1853" s="2" t="n">
        <f aca="false">G1853*(1-H$1843)+G1852*H$1843</f>
        <v>0</v>
      </c>
      <c r="I1853" s="2" t="n">
        <f aca="false">H1853*(1-I$1843)+H1852*I$1843</f>
        <v>0</v>
      </c>
      <c r="J1853" s="2" t="n">
        <f aca="false">I1853*(1-J$1843)+I1852*J$1843</f>
        <v>0</v>
      </c>
      <c r="K1853" s="2" t="n">
        <f aca="false">J1853*(1-K$1843)+J1852*K$1843</f>
        <v>0.000102354419419428</v>
      </c>
      <c r="L1853" s="2" t="n">
        <f aca="false">K1853*(1-L$1843)+K1852*L$1843</f>
        <v>0.00103008771792106</v>
      </c>
      <c r="M1853" s="2" t="n">
        <f aca="false">L1853*(1-M$1843)+L1852*M$1843</f>
        <v>0.00617605496545138</v>
      </c>
      <c r="N1853" s="2" t="n">
        <f aca="false">M1853*(1-N$1843)+M1852*N$1843</f>
        <v>0.0197235059340193</v>
      </c>
      <c r="O1853" s="2" t="n">
        <f aca="false">N1853*(1-O$1843)+N1852*O$1843</f>
        <v>0.0197235059340193</v>
      </c>
    </row>
    <row r="1854" customFormat="false" ht="15" hidden="false" customHeight="false" outlineLevel="0" collapsed="false">
      <c r="B1854" s="2" t="n">
        <v>10</v>
      </c>
      <c r="C1854" s="2" t="n">
        <f aca="false">0</f>
        <v>0</v>
      </c>
      <c r="D1854" s="2" t="n">
        <f aca="false">C1854*(1-D$1843)+C1853*D$1843</f>
        <v>0</v>
      </c>
      <c r="E1854" s="2" t="n">
        <f aca="false">D1854*(1-E$1843)+D1853*E$1843</f>
        <v>0</v>
      </c>
      <c r="F1854" s="2" t="n">
        <f aca="false">E1854*(1-F$1843)+E1853*F$1843</f>
        <v>0</v>
      </c>
      <c r="G1854" s="2" t="n">
        <f aca="false">F1854*(1-G$1843)+F1853*G$1843</f>
        <v>0</v>
      </c>
      <c r="H1854" s="2" t="n">
        <f aca="false">G1854*(1-H$1843)+G1853*H$1843</f>
        <v>0</v>
      </c>
      <c r="I1854" s="2" t="n">
        <f aca="false">H1854*(1-I$1843)+H1853*I$1843</f>
        <v>0</v>
      </c>
      <c r="J1854" s="2" t="n">
        <f aca="false">I1854*(1-J$1843)+I1853*J$1843</f>
        <v>0</v>
      </c>
      <c r="K1854" s="2" t="n">
        <f aca="false">J1854*(1-K$1843)+J1853*K$1843</f>
        <v>0</v>
      </c>
      <c r="L1854" s="2" t="n">
        <f aca="false">K1854*(1-L$1843)+K1853*L$1843</f>
        <v>4.08270183660373E-005</v>
      </c>
      <c r="M1854" s="2" t="n">
        <f aca="false">L1854*(1-M$1843)+L1853*M$1843</f>
        <v>0.000623511821982716</v>
      </c>
      <c r="N1854" s="2" t="n">
        <f aca="false">M1854*(1-N$1843)+M1853*N$1843</f>
        <v>0.00348283183717019</v>
      </c>
      <c r="O1854" s="2" t="n">
        <f aca="false">N1854*(1-O$1843)+N1853*O$1843</f>
        <v>0.00348283183717019</v>
      </c>
    </row>
    <row r="1855" customFormat="false" ht="15" hidden="false" customHeight="false" outlineLevel="0" collapsed="false">
      <c r="B1855" s="2" t="n">
        <v>11</v>
      </c>
      <c r="C1855" s="2" t="n">
        <f aca="false">0</f>
        <v>0</v>
      </c>
      <c r="D1855" s="2" t="n">
        <f aca="false">C1855*(1-D$1843)+C1854*D$1843</f>
        <v>0</v>
      </c>
      <c r="E1855" s="2" t="n">
        <f aca="false">D1855*(1-E$1843)+D1854*E$1843</f>
        <v>0</v>
      </c>
      <c r="F1855" s="2" t="n">
        <f aca="false">E1855*(1-F$1843)+E1854*F$1843</f>
        <v>0</v>
      </c>
      <c r="G1855" s="2" t="n">
        <f aca="false">F1855*(1-G$1843)+F1854*G$1843</f>
        <v>0</v>
      </c>
      <c r="H1855" s="2" t="n">
        <f aca="false">G1855*(1-H$1843)+G1854*H$1843</f>
        <v>0</v>
      </c>
      <c r="I1855" s="2" t="n">
        <f aca="false">H1855*(1-I$1843)+H1854*I$1843</f>
        <v>0</v>
      </c>
      <c r="J1855" s="2" t="n">
        <f aca="false">I1855*(1-J$1843)+I1854*J$1843</f>
        <v>0</v>
      </c>
      <c r="K1855" s="2" t="n">
        <f aca="false">J1855*(1-K$1843)+J1854*K$1843</f>
        <v>0</v>
      </c>
      <c r="L1855" s="2" t="n">
        <f aca="false">K1855*(1-L$1843)+K1854*L$1843</f>
        <v>0</v>
      </c>
      <c r="M1855" s="2" t="n">
        <f aca="false">L1855*(1-M$1843)+L1854*M$1843</f>
        <v>2.40475369026279E-005</v>
      </c>
      <c r="N1855" s="2" t="n">
        <f aca="false">M1855*(1-N$1843)+M1854*N$1843</f>
        <v>0.000332745764801272</v>
      </c>
      <c r="O1855" s="2" t="n">
        <f aca="false">N1855*(1-O$1843)+N1854*O$1843</f>
        <v>0.000332745764801272</v>
      </c>
    </row>
    <row r="1856" customFormat="false" ht="15" hidden="false" customHeight="false" outlineLevel="0" collapsed="false">
      <c r="B1856" s="2" t="n">
        <v>12</v>
      </c>
      <c r="C1856" s="2" t="n">
        <f aca="false">0</f>
        <v>0</v>
      </c>
      <c r="D1856" s="2" t="n">
        <f aca="false">C1856*(1-D$1843)+C1855*D$1843</f>
        <v>0</v>
      </c>
      <c r="E1856" s="2" t="n">
        <f aca="false">D1856*(1-E$1843)+D1855*E$1843</f>
        <v>0</v>
      </c>
      <c r="F1856" s="2" t="n">
        <f aca="false">E1856*(1-F$1843)+E1855*F$1843</f>
        <v>0</v>
      </c>
      <c r="G1856" s="2" t="n">
        <f aca="false">F1856*(1-G$1843)+F1855*G$1843</f>
        <v>0</v>
      </c>
      <c r="H1856" s="2" t="n">
        <f aca="false">G1856*(1-H$1843)+G1855*H$1843</f>
        <v>0</v>
      </c>
      <c r="I1856" s="2" t="n">
        <f aca="false">H1856*(1-I$1843)+H1855*I$1843</f>
        <v>0</v>
      </c>
      <c r="J1856" s="2" t="n">
        <f aca="false">I1856*(1-J$1843)+I1855*J$1843</f>
        <v>0</v>
      </c>
      <c r="K1856" s="2" t="n">
        <f aca="false">J1856*(1-K$1843)+J1855*K$1843</f>
        <v>0</v>
      </c>
      <c r="L1856" s="2" t="n">
        <f aca="false">K1856*(1-L$1843)+K1855*L$1843</f>
        <v>0</v>
      </c>
      <c r="M1856" s="2" t="n">
        <f aca="false">L1856*(1-M$1843)+L1855*M$1843</f>
        <v>0</v>
      </c>
      <c r="N1856" s="2" t="n">
        <f aca="false">M1856*(1-N$1843)+M1855*N$1843</f>
        <v>1.23834433709036E-005</v>
      </c>
      <c r="O1856" s="2" t="n">
        <f aca="false">N1856*(1-O$1843)+N1855*O$1843</f>
        <v>1.23834433709036E-005</v>
      </c>
    </row>
    <row r="1857" customFormat="false" ht="15" hidden="false" customHeight="false" outlineLevel="0" collapsed="false">
      <c r="B1857" s="2" t="n">
        <v>13</v>
      </c>
      <c r="C1857" s="2" t="n">
        <f aca="false">0</f>
        <v>0</v>
      </c>
      <c r="D1857" s="2" t="n">
        <f aca="false">C1857*(1-D$1843)+C1856*D$1843</f>
        <v>0</v>
      </c>
      <c r="E1857" s="2" t="n">
        <f aca="false">D1857*(1-E$1843)+D1856*E$1843</f>
        <v>0</v>
      </c>
      <c r="F1857" s="2" t="n">
        <f aca="false">E1857*(1-F$1843)+E1856*F$1843</f>
        <v>0</v>
      </c>
      <c r="G1857" s="2" t="n">
        <f aca="false">F1857*(1-G$1843)+F1856*G$1843</f>
        <v>0</v>
      </c>
      <c r="H1857" s="2" t="n">
        <f aca="false">G1857*(1-H$1843)+G1856*H$1843</f>
        <v>0</v>
      </c>
      <c r="I1857" s="2" t="n">
        <f aca="false">H1857*(1-I$1843)+H1856*I$1843</f>
        <v>0</v>
      </c>
      <c r="J1857" s="2" t="n">
        <f aca="false">I1857*(1-J$1843)+I1856*J$1843</f>
        <v>0</v>
      </c>
      <c r="K1857" s="2" t="n">
        <f aca="false">J1857*(1-K$1843)+J1856*K$1843</f>
        <v>0</v>
      </c>
      <c r="L1857" s="2" t="n">
        <f aca="false">K1857*(1-L$1843)+K1856*L$1843</f>
        <v>0</v>
      </c>
      <c r="M1857" s="2" t="n">
        <f aca="false">L1857*(1-M$1843)+L1856*M$1843</f>
        <v>0</v>
      </c>
      <c r="N1857" s="2" t="n">
        <f aca="false">M1857*(1-N$1843)+M1856*N$1843</f>
        <v>0</v>
      </c>
      <c r="O1857" s="2" t="n">
        <f aca="false">N1857*(1-O$1843)+N1856*O$1843</f>
        <v>0</v>
      </c>
    </row>
    <row r="1859" customFormat="false" ht="15" hidden="false" customHeight="false" outlineLevel="0" collapsed="false">
      <c r="A1859" s="1" t="s">
        <v>174</v>
      </c>
      <c r="C1859" s="2" t="n">
        <f aca="false">Schedule!G118</f>
        <v>0.160172296919609</v>
      </c>
      <c r="D1859" s="2" t="n">
        <f aca="false">Schedule!L118</f>
        <v>0.976566492047182</v>
      </c>
      <c r="E1859" s="2" t="n">
        <f aca="false">Schedule!Q118</f>
        <v>0.394061036152246</v>
      </c>
      <c r="F1859" s="2" t="n">
        <f aca="false">Schedule!V118</f>
        <v>0.333143300876488</v>
      </c>
      <c r="G1859" s="2" t="n">
        <f aca="false">Schedule!AA118</f>
        <v>0.465137042716285</v>
      </c>
      <c r="H1859" s="2" t="n">
        <f aca="false">Schedule!AF118</f>
        <v>0.286887701816365</v>
      </c>
      <c r="I1859" s="2" t="n">
        <f aca="false">Schedule!AK118</f>
        <v>0.512464917434377</v>
      </c>
      <c r="J1859" s="2" t="n">
        <f aca="false">Schedule!AP118</f>
        <v>0.77525034005542</v>
      </c>
      <c r="K1859" s="2" t="n">
        <f aca="false">Schedule!AU118</f>
        <v>0.370227827724972</v>
      </c>
      <c r="L1859" s="2" t="n">
        <f aca="false">Schedule!AZ118</f>
        <v>0.48504317007409</v>
      </c>
      <c r="M1859" s="2" t="n">
        <f aca="false">Schedule!BE118</f>
        <v>0.339986490349139</v>
      </c>
      <c r="N1859" s="2" t="n">
        <f aca="false">Schedule!BJ118</f>
        <v>0.154160834280354</v>
      </c>
      <c r="O1859" s="2" t="n">
        <f aca="false">Schedule!BO118</f>
        <v>0</v>
      </c>
    </row>
    <row r="1860" customFormat="false" ht="15" hidden="false" customHeight="false" outlineLevel="0" collapsed="false">
      <c r="B1860" s="2" t="n">
        <v>0</v>
      </c>
      <c r="C1860" s="2" t="n">
        <f aca="false">1-C$1859</f>
        <v>0.839827703080392</v>
      </c>
      <c r="D1860" s="2" t="n">
        <f aca="false">C1860*(1-D$1859)</f>
        <v>0.0196801091591314</v>
      </c>
      <c r="E1860" s="2" t="n">
        <f aca="false">D1860*(1-E$1859)</f>
        <v>0.0119249449522948</v>
      </c>
      <c r="F1860" s="2" t="n">
        <f aca="false">E1860*(1-F$1859)</f>
        <v>0.00795222942811687</v>
      </c>
      <c r="G1860" s="2" t="n">
        <f aca="false">F1860*(1-G$1859)</f>
        <v>0.00425335294892118</v>
      </c>
      <c r="H1860" s="2" t="n">
        <f aca="false">G1860*(1-H$1859)</f>
        <v>0.00303311829639132</v>
      </c>
      <c r="I1860" s="2" t="n">
        <f aca="false">H1860*(1-I$1859)</f>
        <v>0.00147875157906244</v>
      </c>
      <c r="J1860" s="2" t="n">
        <f aca="false">I1860*(1-J$1859)</f>
        <v>0.000332348914536795</v>
      </c>
      <c r="K1860" s="2" t="n">
        <f aca="false">J1860*(1-K$1859)</f>
        <v>0.000209304097861085</v>
      </c>
      <c r="L1860" s="2" t="n">
        <f aca="false">K1860*(1-L$1859)</f>
        <v>0.000107782574725047</v>
      </c>
      <c r="M1860" s="2" t="n">
        <f aca="false">L1860*(1-M$1859)</f>
        <v>7.11379554234842E-005</v>
      </c>
      <c r="N1860" s="2" t="n">
        <f aca="false">M1860*(1-N$1859)</f>
        <v>6.01712688664013E-005</v>
      </c>
      <c r="O1860" s="2" t="n">
        <f aca="false">N1860*(1-O$1859)</f>
        <v>6.01712688664013E-005</v>
      </c>
    </row>
    <row r="1861" customFormat="false" ht="15" hidden="false" customHeight="false" outlineLevel="0" collapsed="false">
      <c r="B1861" s="2" t="n">
        <v>1</v>
      </c>
      <c r="C1861" s="2" t="n">
        <f aca="false">C$1859</f>
        <v>0.160172296919609</v>
      </c>
      <c r="D1861" s="2" t="n">
        <f aca="false">C1861*(1-D$1859)+C1860*D$1859</f>
        <v>0.823900992714947</v>
      </c>
      <c r="E1861" s="2" t="n">
        <f aca="false">D1861*(1-E$1859)+D1860*E$1859</f>
        <v>0.506988878045668</v>
      </c>
      <c r="F1861" s="2" t="n">
        <f aca="false">E1861*(1-F$1859)+E1860*F$1859</f>
        <v>0.342061645230045</v>
      </c>
      <c r="G1861" s="2" t="n">
        <f aca="false">F1861*(1-G$1859)+F1860*G$1859</f>
        <v>0.18665497962027</v>
      </c>
      <c r="H1861" s="2" t="n">
        <f aca="false">G1861*(1-H$1859)+G1860*H$1859</f>
        <v>0.13432619613696</v>
      </c>
      <c r="I1861" s="2" t="n">
        <f aca="false">H1861*(1-I$1859)+H1860*I$1859</f>
        <v>0.0670430998416879</v>
      </c>
      <c r="J1861" s="2" t="n">
        <f aca="false">I1861*(1-J$1859)+I1860*J$1859</f>
        <v>0.0162143165555755</v>
      </c>
      <c r="K1861" s="2" t="n">
        <f aca="false">J1861*(1-K$1859)+J1860*K$1859</f>
        <v>0.0103343701758354</v>
      </c>
      <c r="L1861" s="2" t="n">
        <f aca="false">K1861*(1-L$1859)+K1860*L$1859</f>
        <v>0.00542327602816513</v>
      </c>
      <c r="M1861" s="2" t="n">
        <f aca="false">L1861*(1-M$1859)+L1860*M$1859</f>
        <v>0.00361608006445621</v>
      </c>
      <c r="N1861" s="2" t="n">
        <f aca="false">M1861*(1-N$1859)+M1860*N$1859</f>
        <v>0.00306958883145217</v>
      </c>
      <c r="O1861" s="2" t="n">
        <f aca="false">N1861*(1-O$1859)+N1860*O$1859</f>
        <v>0.00306958883145217</v>
      </c>
    </row>
    <row r="1862" customFormat="false" ht="15" hidden="false" customHeight="false" outlineLevel="0" collapsed="false">
      <c r="B1862" s="2" t="n">
        <v>2</v>
      </c>
      <c r="C1862" s="2" t="n">
        <f aca="false">0</f>
        <v>0</v>
      </c>
      <c r="D1862" s="2" t="n">
        <f aca="false">C1862*(1-D$1859)+C1861*D$1859</f>
        <v>0.156418898125922</v>
      </c>
      <c r="E1862" s="2" t="n">
        <f aca="false">D1862*(1-E$1859)+D1861*E$1859</f>
        <v>0.419447583932744</v>
      </c>
      <c r="F1862" s="2" t="n">
        <f aca="false">E1862*(1-F$1859)+E1861*F$1859</f>
        <v>0.448611379616523</v>
      </c>
      <c r="G1862" s="2" t="n">
        <f aca="false">F1862*(1-G$1859)+F1861*G$1859</f>
        <v>0.399051151261791</v>
      </c>
      <c r="H1862" s="2" t="n">
        <f aca="false">G1862*(1-H$1859)+G1861*H$1859</f>
        <v>0.338117301704961</v>
      </c>
      <c r="I1862" s="2" t="n">
        <f aca="false">H1862*(1-I$1859)+H1861*I$1859</f>
        <v>0.233681509616195</v>
      </c>
      <c r="J1862" s="2" t="n">
        <f aca="false">I1862*(1-J$1859)+I1861*J$1859</f>
        <v>0.104495025772214</v>
      </c>
      <c r="K1862" s="2" t="n">
        <f aca="false">J1862*(1-K$1859)+J1861*K$1859</f>
        <v>0.0718110505689179</v>
      </c>
      <c r="L1862" s="2" t="n">
        <f aca="false">K1862*(1-L$1859)+K1861*L$1859</f>
        <v>0.0419922066254255</v>
      </c>
      <c r="M1862" s="2" t="n">
        <f aca="false">L1862*(1-M$1859)+L1861*M$1859</f>
        <v>0.0295592642558417</v>
      </c>
      <c r="N1862" s="2" t="n">
        <f aca="false">M1862*(1-N$1859)+M1861*N$1859</f>
        <v>0.0255598413370089</v>
      </c>
      <c r="O1862" s="2" t="n">
        <f aca="false">N1862*(1-O$1859)+N1861*O$1859</f>
        <v>0.0255598413370089</v>
      </c>
    </row>
    <row r="1863" customFormat="false" ht="15" hidden="false" customHeight="false" outlineLevel="0" collapsed="false">
      <c r="B1863" s="2" t="n">
        <v>3</v>
      </c>
      <c r="C1863" s="2" t="n">
        <f aca="false">0</f>
        <v>0</v>
      </c>
      <c r="D1863" s="2" t="n">
        <f aca="false">C1863*(1-D$1859)+C1862*D$1859</f>
        <v>0</v>
      </c>
      <c r="E1863" s="2" t="n">
        <f aca="false">D1863*(1-E$1859)+D1862*E$1859</f>
        <v>0.0616385930692933</v>
      </c>
      <c r="F1863" s="2" t="n">
        <f aca="false">E1863*(1-F$1859)+E1862*F$1859</f>
        <v>0.180840261368829</v>
      </c>
      <c r="G1863" s="2" t="n">
        <f aca="false">F1863*(1-G$1859)+F1862*G$1859</f>
        <v>0.305390527435394</v>
      </c>
      <c r="H1863" s="2" t="n">
        <f aca="false">G1863*(1-H$1859)+G1862*H$1859</f>
        <v>0.332260608555636</v>
      </c>
      <c r="I1863" s="2" t="n">
        <f aca="false">H1863*(1-I$1859)+H1862*I$1859</f>
        <v>0.335261958326843</v>
      </c>
      <c r="J1863" s="2" t="n">
        <f aca="false">I1863*(1-J$1859)+I1862*J$1859</f>
        <v>0.256511680920931</v>
      </c>
      <c r="K1863" s="2" t="n">
        <f aca="false">J1863*(1-K$1859)+J1862*K$1859</f>
        <v>0.200230884907205</v>
      </c>
      <c r="L1863" s="2" t="n">
        <f aca="false">K1863*(1-L$1859)+K1862*L$1859</f>
        <v>0.137941721359373</v>
      </c>
      <c r="M1863" s="2" t="n">
        <f aca="false">L1863*(1-M$1859)+L1862*M$1859</f>
        <v>0.105320182594275</v>
      </c>
      <c r="N1863" s="2" t="n">
        <f aca="false">M1863*(1-N$1859)+M1862*N$1859</f>
        <v>0.0936408162173765</v>
      </c>
      <c r="O1863" s="2" t="n">
        <f aca="false">N1863*(1-O$1859)+N1862*O$1859</f>
        <v>0.0936408162173765</v>
      </c>
    </row>
    <row r="1864" customFormat="false" ht="15" hidden="false" customHeight="false" outlineLevel="0" collapsed="false">
      <c r="B1864" s="2" t="n">
        <v>4</v>
      </c>
      <c r="C1864" s="2" t="n">
        <f aca="false">0</f>
        <v>0</v>
      </c>
      <c r="D1864" s="2" t="n">
        <f aca="false">C1864*(1-D$1859)+C1863*D$1859</f>
        <v>0</v>
      </c>
      <c r="E1864" s="2" t="n">
        <f aca="false">D1864*(1-E$1859)+D1863*E$1859</f>
        <v>0</v>
      </c>
      <c r="F1864" s="2" t="n">
        <f aca="false">E1864*(1-F$1859)+E1863*F$1859</f>
        <v>0.020534484356487</v>
      </c>
      <c r="G1864" s="2" t="n">
        <f aca="false">F1864*(1-G$1859)+F1863*G$1859</f>
        <v>0.0950986394063437</v>
      </c>
      <c r="H1864" s="2" t="n">
        <f aca="false">G1864*(1-H$1859)+G1863*H$1859</f>
        <v>0.155428795873622</v>
      </c>
      <c r="I1864" s="2" t="n">
        <f aca="false">H1864*(1-I$1859)+H1863*I$1859</f>
        <v>0.246048896159482</v>
      </c>
      <c r="J1864" s="2" t="n">
        <f aca="false">I1864*(1-J$1859)+I1863*J$1859</f>
        <v>0.315211352942114</v>
      </c>
      <c r="K1864" s="2" t="n">
        <f aca="false">J1864*(1-K$1859)+J1863*K$1859</f>
        <v>0.293479100881543</v>
      </c>
      <c r="L1864" s="2" t="n">
        <f aca="false">K1864*(1-L$1859)+K1863*L$1859</f>
        <v>0.248249690601597</v>
      </c>
      <c r="M1864" s="2" t="n">
        <f aca="false">L1864*(1-M$1859)+L1863*M$1859</f>
        <v>0.210746471281392</v>
      </c>
      <c r="N1864" s="2" t="n">
        <f aca="false">M1864*(1-N$1859)+M1863*N$1859</f>
        <v>0.194493866662305</v>
      </c>
      <c r="O1864" s="2" t="n">
        <f aca="false">N1864*(1-O$1859)+N1863*O$1859</f>
        <v>0.194493866662305</v>
      </c>
    </row>
    <row r="1865" customFormat="false" ht="15" hidden="false" customHeight="false" outlineLevel="0" collapsed="false">
      <c r="B1865" s="2" t="n">
        <v>5</v>
      </c>
      <c r="C1865" s="2" t="n">
        <f aca="false">0</f>
        <v>0</v>
      </c>
      <c r="D1865" s="2" t="n">
        <f aca="false">C1865*(1-D$1859)+C1864*D$1859</f>
        <v>0</v>
      </c>
      <c r="E1865" s="2" t="n">
        <f aca="false">D1865*(1-E$1859)+D1864*E$1859</f>
        <v>0</v>
      </c>
      <c r="F1865" s="2" t="n">
        <f aca="false">E1865*(1-F$1859)+E1864*F$1859</f>
        <v>0</v>
      </c>
      <c r="G1865" s="2" t="n">
        <f aca="false">F1865*(1-G$1859)+F1864*G$1859</f>
        <v>0.00955134932728017</v>
      </c>
      <c r="H1865" s="2" t="n">
        <f aca="false">G1865*(1-H$1859)+G1864*H$1859</f>
        <v>0.0340938147746806</v>
      </c>
      <c r="I1865" s="2" t="n">
        <f aca="false">H1865*(1-I$1859)+H1864*I$1859</f>
        <v>0.0962737358454515</v>
      </c>
      <c r="J1865" s="2" t="n">
        <f aca="false">I1865*(1-J$1859)+I1864*J$1859</f>
        <v>0.212386979810758</v>
      </c>
      <c r="K1865" s="2" t="n">
        <f aca="false">J1865*(1-K$1859)+J1864*K$1859</f>
        <v>0.250455424112362</v>
      </c>
      <c r="L1865" s="2" t="n">
        <f aca="false">K1865*(1-L$1859)+K1864*L$1859</f>
        <v>0.271323764680729</v>
      </c>
      <c r="M1865" s="2" t="n">
        <f aca="false">L1865*(1-M$1859)+L1864*M$1859</f>
        <v>0.263478891216509</v>
      </c>
      <c r="N1865" s="2" t="n">
        <f aca="false">M1865*(1-N$1859)+M1864*N$1859</f>
        <v>0.255349617365689</v>
      </c>
      <c r="O1865" s="2" t="n">
        <f aca="false">N1865*(1-O$1859)+N1864*O$1859</f>
        <v>0.255349617365689</v>
      </c>
    </row>
    <row r="1866" customFormat="false" ht="15" hidden="false" customHeight="false" outlineLevel="0" collapsed="false">
      <c r="B1866" s="2" t="n">
        <v>6</v>
      </c>
      <c r="C1866" s="2" t="n">
        <f aca="false">0</f>
        <v>0</v>
      </c>
      <c r="D1866" s="2" t="n">
        <f aca="false">C1866*(1-D$1859)+C1865*D$1859</f>
        <v>0</v>
      </c>
      <c r="E1866" s="2" t="n">
        <f aca="false">D1866*(1-E$1859)+D1865*E$1859</f>
        <v>0</v>
      </c>
      <c r="F1866" s="2" t="n">
        <f aca="false">E1866*(1-F$1859)+E1865*F$1859</f>
        <v>0</v>
      </c>
      <c r="G1866" s="2" t="n">
        <f aca="false">F1866*(1-G$1859)+F1865*G$1859</f>
        <v>0</v>
      </c>
      <c r="H1866" s="2" t="n">
        <f aca="false">G1866*(1-H$1859)+G1865*H$1859</f>
        <v>0.00274016465774869</v>
      </c>
      <c r="I1866" s="2" t="n">
        <f aca="false">H1866*(1-I$1859)+H1865*I$1859</f>
        <v>0.0188078103761886</v>
      </c>
      <c r="J1866" s="2" t="n">
        <f aca="false">I1866*(1-J$1859)+I1865*J$1859</f>
        <v>0.0788632954389425</v>
      </c>
      <c r="K1866" s="2" t="n">
        <f aca="false">J1866*(1-K$1859)+J1865*K$1859</f>
        <v>0.128297479053755</v>
      </c>
      <c r="L1866" s="2" t="n">
        <f aca="false">K1866*(1-L$1859)+K1865*L$1859</f>
        <v>0.187549355974718</v>
      </c>
      <c r="M1866" s="2" t="n">
        <f aca="false">L1866*(1-M$1859)+L1865*M$1859</f>
        <v>0.216031523171749</v>
      </c>
      <c r="N1866" s="2" t="n">
        <f aca="false">M1866*(1-N$1859)+M1865*N$1859</f>
        <v>0.223346049013936</v>
      </c>
      <c r="O1866" s="2" t="n">
        <f aca="false">N1866*(1-O$1859)+N1865*O$1859</f>
        <v>0.223346049013936</v>
      </c>
    </row>
    <row r="1867" customFormat="false" ht="15" hidden="false" customHeight="false" outlineLevel="0" collapsed="false">
      <c r="B1867" s="2" t="n">
        <v>7</v>
      </c>
      <c r="C1867" s="2" t="n">
        <f aca="false">0</f>
        <v>0</v>
      </c>
      <c r="D1867" s="2" t="n">
        <f aca="false">C1867*(1-D$1859)+C1866*D$1859</f>
        <v>0</v>
      </c>
      <c r="E1867" s="2" t="n">
        <f aca="false">D1867*(1-E$1859)+D1866*E$1859</f>
        <v>0</v>
      </c>
      <c r="F1867" s="2" t="n">
        <f aca="false">E1867*(1-F$1859)+E1866*F$1859</f>
        <v>0</v>
      </c>
      <c r="G1867" s="2" t="n">
        <f aca="false">F1867*(1-G$1859)+F1866*G$1859</f>
        <v>0</v>
      </c>
      <c r="H1867" s="2" t="n">
        <f aca="false">G1867*(1-H$1859)+G1866*H$1859</f>
        <v>0</v>
      </c>
      <c r="I1867" s="2" t="n">
        <f aca="false">H1867*(1-I$1859)+H1866*I$1859</f>
        <v>0.00140423825508978</v>
      </c>
      <c r="J1867" s="2" t="n">
        <f aca="false">I1867*(1-J$1859)+I1866*J$1859</f>
        <v>0.0148963634601507</v>
      </c>
      <c r="K1867" s="2" t="n">
        <f aca="false">J1867*(1-K$1859)+J1866*K$1859</f>
        <v>0.0385787017328898</v>
      </c>
      <c r="L1867" s="2" t="n">
        <f aca="false">K1867*(1-L$1859)+K1866*L$1859</f>
        <v>0.0820961818997735</v>
      </c>
      <c r="M1867" s="2" t="n">
        <f aca="false">L1867*(1-M$1859)+L1866*M$1859</f>
        <v>0.117948836449691</v>
      </c>
      <c r="N1867" s="2" t="n">
        <f aca="false">M1867*(1-N$1859)+M1866*N$1859</f>
        <v>0.133069345263222</v>
      </c>
      <c r="O1867" s="2" t="n">
        <f aca="false">N1867*(1-O$1859)+N1866*O$1859</f>
        <v>0.133069345263222</v>
      </c>
    </row>
    <row r="1868" customFormat="false" ht="15" hidden="false" customHeight="false" outlineLevel="0" collapsed="false">
      <c r="B1868" s="2" t="n">
        <v>8</v>
      </c>
      <c r="C1868" s="2" t="n">
        <f aca="false">0</f>
        <v>0</v>
      </c>
      <c r="D1868" s="2" t="n">
        <f aca="false">C1868*(1-D$1859)+C1867*D$1859</f>
        <v>0</v>
      </c>
      <c r="E1868" s="2" t="n">
        <f aca="false">D1868*(1-E$1859)+D1867*E$1859</f>
        <v>0</v>
      </c>
      <c r="F1868" s="2" t="n">
        <f aca="false">E1868*(1-F$1859)+E1867*F$1859</f>
        <v>0</v>
      </c>
      <c r="G1868" s="2" t="n">
        <f aca="false">F1868*(1-G$1859)+F1867*G$1859</f>
        <v>0</v>
      </c>
      <c r="H1868" s="2" t="n">
        <f aca="false">G1868*(1-H$1859)+G1867*H$1859</f>
        <v>0</v>
      </c>
      <c r="I1868" s="2" t="n">
        <f aca="false">H1868*(1-I$1859)+H1867*I$1859</f>
        <v>0</v>
      </c>
      <c r="J1868" s="2" t="n">
        <f aca="false">I1868*(1-J$1859)+I1867*J$1859</f>
        <v>0.00108863618477718</v>
      </c>
      <c r="K1868" s="2" t="n">
        <f aca="false">J1868*(1-K$1859)+J1867*K$1859</f>
        <v>0.00620064105975756</v>
      </c>
      <c r="L1868" s="2" t="n">
        <f aca="false">K1868*(1-L$1859)+K1867*L$1859</f>
        <v>0.0219053982495049</v>
      </c>
      <c r="M1868" s="2" t="n">
        <f aca="false">L1868*(1-M$1859)+L1867*M$1859</f>
        <v>0.042369451534124</v>
      </c>
      <c r="N1868" s="2" t="n">
        <f aca="false">M1868*(1-N$1859)+M1867*N$1859</f>
        <v>0.0540208325671038</v>
      </c>
      <c r="O1868" s="2" t="n">
        <f aca="false">N1868*(1-O$1859)+N1867*O$1859</f>
        <v>0.0540208325671038</v>
      </c>
    </row>
    <row r="1869" customFormat="false" ht="15" hidden="false" customHeight="false" outlineLevel="0" collapsed="false">
      <c r="B1869" s="2" t="n">
        <v>9</v>
      </c>
      <c r="C1869" s="2" t="n">
        <f aca="false">0</f>
        <v>0</v>
      </c>
      <c r="D1869" s="2" t="n">
        <f aca="false">C1869*(1-D$1859)+C1868*D$1859</f>
        <v>0</v>
      </c>
      <c r="E1869" s="2" t="n">
        <f aca="false">D1869*(1-E$1859)+D1868*E$1859</f>
        <v>0</v>
      </c>
      <c r="F1869" s="2" t="n">
        <f aca="false">E1869*(1-F$1859)+E1868*F$1859</f>
        <v>0</v>
      </c>
      <c r="G1869" s="2" t="n">
        <f aca="false">F1869*(1-G$1859)+F1868*G$1859</f>
        <v>0</v>
      </c>
      <c r="H1869" s="2" t="n">
        <f aca="false">G1869*(1-H$1859)+G1868*H$1859</f>
        <v>0</v>
      </c>
      <c r="I1869" s="2" t="n">
        <f aca="false">H1869*(1-I$1859)+H1868*I$1859</f>
        <v>0</v>
      </c>
      <c r="J1869" s="2" t="n">
        <f aca="false">I1869*(1-J$1859)+I1868*J$1859</f>
        <v>0</v>
      </c>
      <c r="K1869" s="2" t="n">
        <f aca="false">J1869*(1-K$1859)+J1868*K$1859</f>
        <v>0.000403043409872859</v>
      </c>
      <c r="L1869" s="2" t="n">
        <f aca="false">K1869*(1-L$1859)+K1868*L$1859</f>
        <v>0.00321512855278703</v>
      </c>
      <c r="M1869" s="2" t="n">
        <f aca="false">L1869*(1-M$1859)+L1868*M$1859</f>
        <v>0.00956956775065298</v>
      </c>
      <c r="N1869" s="2" t="n">
        <f aca="false">M1869*(1-N$1859)+M1868*N$1859</f>
        <v>0.0146260251990115</v>
      </c>
      <c r="O1869" s="2" t="n">
        <f aca="false">N1869*(1-O$1859)+N1868*O$1859</f>
        <v>0.0146260251990115</v>
      </c>
    </row>
    <row r="1870" customFormat="false" ht="15" hidden="false" customHeight="false" outlineLevel="0" collapsed="false">
      <c r="B1870" s="2" t="n">
        <v>10</v>
      </c>
      <c r="C1870" s="2" t="n">
        <f aca="false">0</f>
        <v>0</v>
      </c>
      <c r="D1870" s="2" t="n">
        <f aca="false">C1870*(1-D$1859)+C1869*D$1859</f>
        <v>0</v>
      </c>
      <c r="E1870" s="2" t="n">
        <f aca="false">D1870*(1-E$1859)+D1869*E$1859</f>
        <v>0</v>
      </c>
      <c r="F1870" s="2" t="n">
        <f aca="false">E1870*(1-F$1859)+E1869*F$1859</f>
        <v>0</v>
      </c>
      <c r="G1870" s="2" t="n">
        <f aca="false">F1870*(1-G$1859)+F1869*G$1859</f>
        <v>0</v>
      </c>
      <c r="H1870" s="2" t="n">
        <f aca="false">G1870*(1-H$1859)+G1869*H$1859</f>
        <v>0</v>
      </c>
      <c r="I1870" s="2" t="n">
        <f aca="false">H1870*(1-I$1859)+H1869*I$1859</f>
        <v>0</v>
      </c>
      <c r="J1870" s="2" t="n">
        <f aca="false">I1870*(1-J$1859)+I1869*J$1859</f>
        <v>0</v>
      </c>
      <c r="K1870" s="2" t="n">
        <f aca="false">J1870*(1-K$1859)+J1869*K$1859</f>
        <v>0</v>
      </c>
      <c r="L1870" s="2" t="n">
        <f aca="false">K1870*(1-L$1859)+K1869*L$1859</f>
        <v>0.000195493453202202</v>
      </c>
      <c r="M1870" s="2" t="n">
        <f aca="false">L1870*(1-M$1859)+L1869*M$1859</f>
        <v>0.00122212859284512</v>
      </c>
      <c r="N1870" s="2" t="n">
        <f aca="false">M1870*(1-N$1859)+M1869*N$1859</f>
        <v>0.00250897677751727</v>
      </c>
      <c r="O1870" s="2" t="n">
        <f aca="false">N1870*(1-O$1859)+N1869*O$1859</f>
        <v>0.00250897677751727</v>
      </c>
    </row>
    <row r="1871" customFormat="false" ht="15" hidden="false" customHeight="false" outlineLevel="0" collapsed="false">
      <c r="B1871" s="2" t="n">
        <v>11</v>
      </c>
      <c r="C1871" s="2" t="n">
        <f aca="false">0</f>
        <v>0</v>
      </c>
      <c r="D1871" s="2" t="n">
        <f aca="false">C1871*(1-D$1859)+C1870*D$1859</f>
        <v>0</v>
      </c>
      <c r="E1871" s="2" t="n">
        <f aca="false">D1871*(1-E$1859)+D1870*E$1859</f>
        <v>0</v>
      </c>
      <c r="F1871" s="2" t="n">
        <f aca="false">E1871*(1-F$1859)+E1870*F$1859</f>
        <v>0</v>
      </c>
      <c r="G1871" s="2" t="n">
        <f aca="false">F1871*(1-G$1859)+F1870*G$1859</f>
        <v>0</v>
      </c>
      <c r="H1871" s="2" t="n">
        <f aca="false">G1871*(1-H$1859)+G1870*H$1859</f>
        <v>0</v>
      </c>
      <c r="I1871" s="2" t="n">
        <f aca="false">H1871*(1-I$1859)+H1870*I$1859</f>
        <v>0</v>
      </c>
      <c r="J1871" s="2" t="n">
        <f aca="false">I1871*(1-J$1859)+I1870*J$1859</f>
        <v>0</v>
      </c>
      <c r="K1871" s="2" t="n">
        <f aca="false">J1871*(1-K$1859)+J1870*K$1859</f>
        <v>0</v>
      </c>
      <c r="L1871" s="2" t="n">
        <f aca="false">K1871*(1-L$1859)+K1870*L$1859</f>
        <v>0</v>
      </c>
      <c r="M1871" s="2" t="n">
        <f aca="false">L1871*(1-M$1859)+L1870*M$1859</f>
        <v>6.64651330404503E-005</v>
      </c>
      <c r="N1871" s="2" t="n">
        <f aca="false">M1871*(1-N$1859)+M1870*N$1859</f>
        <v>0.000244623176151258</v>
      </c>
      <c r="O1871" s="2" t="n">
        <f aca="false">N1871*(1-O$1859)+N1870*O$1859</f>
        <v>0.000244623176151258</v>
      </c>
    </row>
    <row r="1872" customFormat="false" ht="15" hidden="false" customHeight="false" outlineLevel="0" collapsed="false">
      <c r="B1872" s="2" t="n">
        <v>12</v>
      </c>
      <c r="C1872" s="2" t="n">
        <f aca="false">0</f>
        <v>0</v>
      </c>
      <c r="D1872" s="2" t="n">
        <f aca="false">C1872*(1-D$1859)+C1871*D$1859</f>
        <v>0</v>
      </c>
      <c r="E1872" s="2" t="n">
        <f aca="false">D1872*(1-E$1859)+D1871*E$1859</f>
        <v>0</v>
      </c>
      <c r="F1872" s="2" t="n">
        <f aca="false">E1872*(1-F$1859)+E1871*F$1859</f>
        <v>0</v>
      </c>
      <c r="G1872" s="2" t="n">
        <f aca="false">F1872*(1-G$1859)+F1871*G$1859</f>
        <v>0</v>
      </c>
      <c r="H1872" s="2" t="n">
        <f aca="false">G1872*(1-H$1859)+G1871*H$1859</f>
        <v>0</v>
      </c>
      <c r="I1872" s="2" t="n">
        <f aca="false">H1872*(1-I$1859)+H1871*I$1859</f>
        <v>0</v>
      </c>
      <c r="J1872" s="2" t="n">
        <f aca="false">I1872*(1-J$1859)+I1871*J$1859</f>
        <v>0</v>
      </c>
      <c r="K1872" s="2" t="n">
        <f aca="false">J1872*(1-K$1859)+J1871*K$1859</f>
        <v>0</v>
      </c>
      <c r="L1872" s="2" t="n">
        <f aca="false">K1872*(1-L$1859)+K1871*L$1859</f>
        <v>0</v>
      </c>
      <c r="M1872" s="2" t="n">
        <f aca="false">L1872*(1-M$1859)+L1871*M$1859</f>
        <v>0</v>
      </c>
      <c r="N1872" s="2" t="n">
        <f aca="false">M1872*(1-N$1859)+M1871*N$1859</f>
        <v>1.02463203600705E-005</v>
      </c>
      <c r="O1872" s="2" t="n">
        <f aca="false">N1872*(1-O$1859)+N1871*O$1859</f>
        <v>1.02463203600705E-005</v>
      </c>
    </row>
    <row r="1873" customFormat="false" ht="15" hidden="false" customHeight="false" outlineLevel="0" collapsed="false">
      <c r="B1873" s="2" t="n">
        <v>13</v>
      </c>
      <c r="C1873" s="2" t="n">
        <f aca="false">0</f>
        <v>0</v>
      </c>
      <c r="D1873" s="2" t="n">
        <f aca="false">C1873*(1-D$1859)+C1872*D$1859</f>
        <v>0</v>
      </c>
      <c r="E1873" s="2" t="n">
        <f aca="false">D1873*(1-E$1859)+D1872*E$1859</f>
        <v>0</v>
      </c>
      <c r="F1873" s="2" t="n">
        <f aca="false">E1873*(1-F$1859)+E1872*F$1859</f>
        <v>0</v>
      </c>
      <c r="G1873" s="2" t="n">
        <f aca="false">F1873*(1-G$1859)+F1872*G$1859</f>
        <v>0</v>
      </c>
      <c r="H1873" s="2" t="n">
        <f aca="false">G1873*(1-H$1859)+G1872*H$1859</f>
        <v>0</v>
      </c>
      <c r="I1873" s="2" t="n">
        <f aca="false">H1873*(1-I$1859)+H1872*I$1859</f>
        <v>0</v>
      </c>
      <c r="J1873" s="2" t="n">
        <f aca="false">I1873*(1-J$1859)+I1872*J$1859</f>
        <v>0</v>
      </c>
      <c r="K1873" s="2" t="n">
        <f aca="false">J1873*(1-K$1859)+J1872*K$1859</f>
        <v>0</v>
      </c>
      <c r="L1873" s="2" t="n">
        <f aca="false">K1873*(1-L$1859)+K1872*L$1859</f>
        <v>0</v>
      </c>
      <c r="M1873" s="2" t="n">
        <f aca="false">L1873*(1-M$1859)+L1872*M$1859</f>
        <v>0</v>
      </c>
      <c r="N1873" s="2" t="n">
        <f aca="false">M1873*(1-N$1859)+M1872*N$1859</f>
        <v>0</v>
      </c>
      <c r="O1873" s="2" t="n">
        <f aca="false">N1873*(1-O$1859)+N1872*O$1859</f>
        <v>0</v>
      </c>
    </row>
    <row r="1875" customFormat="false" ht="15" hidden="false" customHeight="false" outlineLevel="0" collapsed="false">
      <c r="A1875" s="1" t="s">
        <v>175</v>
      </c>
      <c r="C1875" s="2" t="n">
        <f aca="false">Schedule!G119</f>
        <v>0.782672264321914</v>
      </c>
      <c r="D1875" s="2" t="n">
        <f aca="false">Schedule!L119</f>
        <v>0.0469671158307458</v>
      </c>
      <c r="E1875" s="2" t="n">
        <f aca="false">Schedule!Q119</f>
        <v>0.142591167421656</v>
      </c>
      <c r="F1875" s="2" t="n">
        <f aca="false">Schedule!V119</f>
        <v>0.249837882471777</v>
      </c>
      <c r="G1875" s="2" t="n">
        <f aca="false">Schedule!AA119</f>
        <v>0.199404560471373</v>
      </c>
      <c r="H1875" s="2" t="n">
        <f aca="false">Schedule!AF119</f>
        <v>0.752143342435738</v>
      </c>
      <c r="I1875" s="2" t="n">
        <f aca="false">Schedule!AK119</f>
        <v>0.784505385789946</v>
      </c>
      <c r="J1875" s="2" t="n">
        <f aca="false">Schedule!AP119</f>
        <v>0.382088577811047</v>
      </c>
      <c r="K1875" s="2" t="n">
        <f aca="false">Schedule!AU119</f>
        <v>0.236147484972854</v>
      </c>
      <c r="L1875" s="2" t="n">
        <f aca="false">Schedule!AZ119</f>
        <v>0.731959467197592</v>
      </c>
      <c r="M1875" s="2" t="n">
        <f aca="false">Schedule!BE119</f>
        <v>0.299791595468696</v>
      </c>
      <c r="N1875" s="2" t="n">
        <f aca="false">Schedule!BJ119</f>
        <v>0.898845379004414</v>
      </c>
      <c r="O1875" s="2" t="n">
        <f aca="false">Schedule!BO119</f>
        <v>0</v>
      </c>
    </row>
    <row r="1876" customFormat="false" ht="15" hidden="false" customHeight="false" outlineLevel="0" collapsed="false">
      <c r="B1876" s="2" t="n">
        <v>0</v>
      </c>
      <c r="C1876" s="2" t="n">
        <f aca="false">1-C$1875</f>
        <v>0.217327735678086</v>
      </c>
      <c r="D1876" s="2" t="n">
        <f aca="false">C1876*(1-D$1875)</f>
        <v>0.207120478743259</v>
      </c>
      <c r="E1876" s="2" t="n">
        <f aca="false">D1876*(1-E$1875)</f>
        <v>0.177586927882326</v>
      </c>
      <c r="F1876" s="2" t="n">
        <f aca="false">E1876*(1-F$1875)</f>
        <v>0.133218985865537</v>
      </c>
      <c r="G1876" s="2" t="n">
        <f aca="false">F1876*(1-G$1875)</f>
        <v>0.106654512542578</v>
      </c>
      <c r="H1876" s="2" t="n">
        <f aca="false">G1876*(1-H$1875)</f>
        <v>0.026435030992949</v>
      </c>
      <c r="I1876" s="2" t="n">
        <f aca="false">H1876*(1-I$1875)</f>
        <v>0.00569660680545638</v>
      </c>
      <c r="J1876" s="2" t="n">
        <f aca="false">I1876*(1-J$1875)</f>
        <v>0.00351999841281082</v>
      </c>
      <c r="K1876" s="2" t="n">
        <f aca="false">J1876*(1-K$1875)</f>
        <v>0.0026887596405171</v>
      </c>
      <c r="L1876" s="2" t="n">
        <f aca="false">K1876*(1-L$1875)</f>
        <v>0.000720696566621815</v>
      </c>
      <c r="M1876" s="2" t="n">
        <f aca="false">L1876*(1-M$1875)</f>
        <v>0.00050463779306545</v>
      </c>
      <c r="N1876" s="2" t="n">
        <f aca="false">M1876*(1-N$1875)</f>
        <v>5.10464446975844E-005</v>
      </c>
      <c r="O1876" s="2" t="n">
        <f aca="false">N1876*(1-O$1875)</f>
        <v>5.10464446975844E-005</v>
      </c>
    </row>
    <row r="1877" customFormat="false" ht="15" hidden="false" customHeight="false" outlineLevel="0" collapsed="false">
      <c r="B1877" s="2" t="n">
        <v>1</v>
      </c>
      <c r="C1877" s="2" t="n">
        <f aca="false">C$1875</f>
        <v>0.782672264321914</v>
      </c>
      <c r="D1877" s="2" t="n">
        <f aca="false">C1877*(1-D$1875)+C1876*D$1875</f>
        <v>0.756119662360821</v>
      </c>
      <c r="E1877" s="2" t="n">
        <f aca="false">D1877*(1-E$1875)+D1876*E$1875</f>
        <v>0.677837227855257</v>
      </c>
      <c r="F1877" s="2" t="n">
        <f aca="false">E1877*(1-F$1875)+E1876*F$1875</f>
        <v>0.552855752204149</v>
      </c>
      <c r="G1877" s="2" t="n">
        <f aca="false">F1877*(1-G$1875)+F1876*G$1875</f>
        <v>0.46917826725477</v>
      </c>
      <c r="H1877" s="2" t="n">
        <f aca="false">G1877*(1-H$1875)+G1876*H$1875</f>
        <v>0.196508438673188</v>
      </c>
      <c r="I1877" s="2" t="n">
        <f aca="false">H1877*(1-I$1875)+H1876*I$1875</f>
        <v>0.0630849343683915</v>
      </c>
      <c r="J1877" s="2" t="n">
        <f aca="false">I1877*(1-J$1875)+I1876*J$1875</f>
        <v>0.0411575099069151</v>
      </c>
      <c r="K1877" s="2" t="n">
        <f aca="false">J1877*(1-K$1875)+J1876*K$1875</f>
        <v>0.0322695062269454</v>
      </c>
      <c r="L1877" s="2" t="n">
        <f aca="false">K1877*(1-L$1875)+K1876*L$1875</f>
        <v>0.0106175987162364</v>
      </c>
      <c r="M1877" s="2" t="n">
        <f aca="false">L1877*(1-M$1875)+L1876*M$1875</f>
        <v>0.00765059063060585</v>
      </c>
      <c r="N1877" s="2" t="n">
        <f aca="false">M1877*(1-N$1875)+M1876*N$1875</f>
        <v>0.00122748394399918</v>
      </c>
      <c r="O1877" s="2" t="n">
        <f aca="false">N1877*(1-O$1875)+N1876*O$1875</f>
        <v>0.00122748394399918</v>
      </c>
    </row>
    <row r="1878" customFormat="false" ht="15" hidden="false" customHeight="false" outlineLevel="0" collapsed="false">
      <c r="B1878" s="2" t="n">
        <v>2</v>
      </c>
      <c r="C1878" s="2" t="n">
        <f aca="false">0</f>
        <v>0</v>
      </c>
      <c r="D1878" s="2" t="n">
        <f aca="false">C1878*(1-D$1875)+C1877*D$1875</f>
        <v>0.0367598588959194</v>
      </c>
      <c r="E1878" s="2" t="n">
        <f aca="false">D1878*(1-E$1875)+D1877*E$1875</f>
        <v>0.139334213068193</v>
      </c>
      <c r="F1878" s="2" t="n">
        <f aca="false">E1878*(1-F$1875)+E1877*F$1875</f>
        <v>0.273872665987261</v>
      </c>
      <c r="G1878" s="2" t="n">
        <f aca="false">F1878*(1-G$1875)+F1877*G$1875</f>
        <v>0.329503165673286</v>
      </c>
      <c r="H1878" s="2" t="n">
        <f aca="false">G1878*(1-H$1875)+G1877*H$1875</f>
        <v>0.434558863431835</v>
      </c>
      <c r="I1878" s="2" t="n">
        <f aca="false">H1878*(1-I$1875)+H1877*I$1875</f>
        <v>0.247807023119092</v>
      </c>
      <c r="J1878" s="2" t="n">
        <f aca="false">I1878*(1-J$1875)+I1877*J$1875</f>
        <v>0.177226822938051</v>
      </c>
      <c r="K1878" s="2" t="n">
        <f aca="false">J1878*(1-K$1875)+J1877*K$1875</f>
        <v>0.145094396883764</v>
      </c>
      <c r="L1878" s="2" t="n">
        <f aca="false">K1878*(1-L$1875)+K1877*L$1875</f>
        <v>0.0625111500319725</v>
      </c>
      <c r="M1878" s="2" t="n">
        <f aca="false">L1878*(1-M$1875)+L1877*M$1875</f>
        <v>0.0469538994884913</v>
      </c>
      <c r="N1878" s="2" t="n">
        <f aca="false">M1878*(1-N$1875)+M1877*N$1875</f>
        <v>0.0116263019419977</v>
      </c>
      <c r="O1878" s="2" t="n">
        <f aca="false">N1878*(1-O$1875)+N1877*O$1875</f>
        <v>0.0116263019419977</v>
      </c>
    </row>
    <row r="1879" customFormat="false" ht="15" hidden="false" customHeight="false" outlineLevel="0" collapsed="false">
      <c r="B1879" s="2" t="n">
        <v>3</v>
      </c>
      <c r="C1879" s="2" t="n">
        <f aca="false">0</f>
        <v>0</v>
      </c>
      <c r="D1879" s="2" t="n">
        <f aca="false">C1879*(1-D$1875)+C1878*D$1875</f>
        <v>0</v>
      </c>
      <c r="E1879" s="2" t="n">
        <f aca="false">D1879*(1-E$1875)+D1878*E$1875</f>
        <v>0.00524163119422449</v>
      </c>
      <c r="F1879" s="2" t="n">
        <f aca="false">E1879*(1-F$1875)+E1878*F$1875</f>
        <v>0.0387430379047901</v>
      </c>
      <c r="G1879" s="2" t="n">
        <f aca="false">F1879*(1-G$1875)+F1878*G$1875</f>
        <v>0.0856289580463725</v>
      </c>
      <c r="H1879" s="2" t="n">
        <f aca="false">G1879*(1-H$1875)+G1878*H$1875</f>
        <v>0.269057319704747</v>
      </c>
      <c r="I1879" s="2" t="n">
        <f aca="false">H1879*(1-I$1875)+H1878*I$1875</f>
        <v>0.398894172115197</v>
      </c>
      <c r="J1879" s="2" t="n">
        <f aca="false">I1879*(1-J$1875)+I1878*J$1875</f>
        <v>0.34116549822975</v>
      </c>
      <c r="K1879" s="2" t="n">
        <f aca="false">J1879*(1-K$1875)+J1878*K$1875</f>
        <v>0.302451792369834</v>
      </c>
      <c r="L1879" s="2" t="n">
        <f aca="false">K1879*(1-L$1875)+K1878*L$1875</f>
        <v>0.187272557010249</v>
      </c>
      <c r="M1879" s="2" t="n">
        <f aca="false">L1879*(1-M$1875)+L1878*M$1875</f>
        <v>0.149870135759313</v>
      </c>
      <c r="N1879" s="2" t="n">
        <f aca="false">M1879*(1-N$1875)+M1878*N$1875</f>
        <v>0.0573643523627584</v>
      </c>
      <c r="O1879" s="2" t="n">
        <f aca="false">N1879*(1-O$1875)+N1878*O$1875</f>
        <v>0.0573643523627584</v>
      </c>
    </row>
    <row r="1880" customFormat="false" ht="15" hidden="false" customHeight="false" outlineLevel="0" collapsed="false">
      <c r="B1880" s="2" t="n">
        <v>4</v>
      </c>
      <c r="C1880" s="2" t="n">
        <f aca="false">0</f>
        <v>0</v>
      </c>
      <c r="D1880" s="2" t="n">
        <f aca="false">C1880*(1-D$1875)+C1879*D$1875</f>
        <v>0</v>
      </c>
      <c r="E1880" s="2" t="n">
        <f aca="false">D1880*(1-E$1875)+D1879*E$1875</f>
        <v>0</v>
      </c>
      <c r="F1880" s="2" t="n">
        <f aca="false">E1880*(1-F$1875)+E1879*F$1875</f>
        <v>0.00130955803826306</v>
      </c>
      <c r="G1880" s="2" t="n">
        <f aca="false">F1880*(1-G$1875)+F1879*G$1875</f>
        <v>0.00877396463796185</v>
      </c>
      <c r="H1880" s="2" t="n">
        <f aca="false">G1880*(1-H$1875)+G1879*H$1875</f>
        <v>0.0665799362630404</v>
      </c>
      <c r="I1880" s="2" t="n">
        <f aca="false">H1880*(1-I$1875)+H1879*I$1875</f>
        <v>0.225424534073715</v>
      </c>
      <c r="J1880" s="2" t="n">
        <f aca="false">I1880*(1-J$1875)+I1879*J$1875</f>
        <v>0.291705301366382</v>
      </c>
      <c r="K1880" s="2" t="n">
        <f aca="false">J1880*(1-K$1875)+J1879*K$1875</f>
        <v>0.303385202461929</v>
      </c>
      <c r="L1880" s="2" t="n">
        <f aca="false">K1880*(1-L$1875)+K1879*L$1875</f>
        <v>0.302701984108242</v>
      </c>
      <c r="M1880" s="2" t="n">
        <f aca="false">L1880*(1-M$1875)+L1879*M$1875</f>
        <v>0.268097211994497</v>
      </c>
      <c r="N1880" s="2" t="n">
        <f aca="false">M1880*(1-N$1875)+M1879*N$1875</f>
        <v>0.161829350847299</v>
      </c>
      <c r="O1880" s="2" t="n">
        <f aca="false">N1880*(1-O$1875)+N1879*O$1875</f>
        <v>0.161829350847299</v>
      </c>
    </row>
    <row r="1881" customFormat="false" ht="15" hidden="false" customHeight="false" outlineLevel="0" collapsed="false">
      <c r="B1881" s="2" t="n">
        <v>5</v>
      </c>
      <c r="C1881" s="2" t="n">
        <f aca="false">0</f>
        <v>0</v>
      </c>
      <c r="D1881" s="2" t="n">
        <f aca="false">C1881*(1-D$1875)+C1880*D$1875</f>
        <v>0</v>
      </c>
      <c r="E1881" s="2" t="n">
        <f aca="false">D1881*(1-E$1875)+D1880*E$1875</f>
        <v>0</v>
      </c>
      <c r="F1881" s="2" t="n">
        <f aca="false">E1881*(1-F$1875)+E1880*F$1875</f>
        <v>0</v>
      </c>
      <c r="G1881" s="2" t="n">
        <f aca="false">F1881*(1-G$1875)+F1880*G$1875</f>
        <v>0.000261131845031598</v>
      </c>
      <c r="H1881" s="2" t="n">
        <f aca="false">G1881*(1-H$1875)+G1880*H$1875</f>
        <v>0.00666400235550272</v>
      </c>
      <c r="I1881" s="2" t="n">
        <f aca="false">H1881*(1-I$1875)+H1880*I$1875</f>
        <v>0.0536683752006005</v>
      </c>
      <c r="J1881" s="2" t="n">
        <f aca="false">I1881*(1-J$1875)+I1880*J$1875</f>
        <v>0.119294441674717</v>
      </c>
      <c r="K1881" s="2" t="n">
        <f aca="false">J1881*(1-K$1875)+J1880*K$1875</f>
        <v>0.160008832572911</v>
      </c>
      <c r="L1881" s="2" t="n">
        <f aca="false">K1881*(1-L$1875)+K1880*L$1875</f>
        <v>0.264954523885601</v>
      </c>
      <c r="M1881" s="2" t="n">
        <f aca="false">L1881*(1-M$1875)+L1880*M$1875</f>
        <v>0.276270895210638</v>
      </c>
      <c r="N1881" s="2" t="n">
        <f aca="false">M1881*(1-N$1875)+M1880*N$1875</f>
        <v>0.268924017822364</v>
      </c>
      <c r="O1881" s="2" t="n">
        <f aca="false">N1881*(1-O$1875)+N1880*O$1875</f>
        <v>0.268924017822364</v>
      </c>
    </row>
    <row r="1882" customFormat="false" ht="15" hidden="false" customHeight="false" outlineLevel="0" collapsed="false">
      <c r="B1882" s="2" t="n">
        <v>6</v>
      </c>
      <c r="C1882" s="2" t="n">
        <f aca="false">0</f>
        <v>0</v>
      </c>
      <c r="D1882" s="2" t="n">
        <f aca="false">C1882*(1-D$1875)+C1881*D$1875</f>
        <v>0</v>
      </c>
      <c r="E1882" s="2" t="n">
        <f aca="false">D1882*(1-E$1875)+D1881*E$1875</f>
        <v>0</v>
      </c>
      <c r="F1882" s="2" t="n">
        <f aca="false">E1882*(1-F$1875)+E1881*F$1875</f>
        <v>0</v>
      </c>
      <c r="G1882" s="2" t="n">
        <f aca="false">F1882*(1-G$1875)+F1881*G$1875</f>
        <v>0</v>
      </c>
      <c r="H1882" s="2" t="n">
        <f aca="false">G1882*(1-H$1875)+G1881*H$1875</f>
        <v>0.000196408578738477</v>
      </c>
      <c r="I1882" s="2" t="n">
        <f aca="false">H1882*(1-I$1875)+H1881*I$1875</f>
        <v>0.00527027072971156</v>
      </c>
      <c r="J1882" s="2" t="n">
        <f aca="false">I1882*(1-J$1875)+I1881*J$1875</f>
        <v>0.023762633635744</v>
      </c>
      <c r="K1882" s="2" t="n">
        <f aca="false">J1882*(1-K$1875)+J1881*K$1875</f>
        <v>0.046322229839057</v>
      </c>
      <c r="L1882" s="2" t="n">
        <f aca="false">K1882*(1-L$1875)+K1881*L$1875</f>
        <v>0.129536215003633</v>
      </c>
      <c r="M1882" s="2" t="n">
        <f aca="false">L1882*(1-M$1875)+L1881*M$1875</f>
        <v>0.170133485879031</v>
      </c>
      <c r="N1882" s="2" t="n">
        <f aca="false">M1882*(1-N$1875)+M1881*N$1875</f>
        <v>0.265534605796246</v>
      </c>
      <c r="O1882" s="2" t="n">
        <f aca="false">N1882*(1-O$1875)+N1881*O$1875</f>
        <v>0.265534605796246</v>
      </c>
    </row>
    <row r="1883" customFormat="false" ht="15" hidden="false" customHeight="false" outlineLevel="0" collapsed="false">
      <c r="B1883" s="2" t="n">
        <v>7</v>
      </c>
      <c r="C1883" s="2" t="n">
        <f aca="false">0</f>
        <v>0</v>
      </c>
      <c r="D1883" s="2" t="n">
        <f aca="false">C1883*(1-D$1875)+C1882*D$1875</f>
        <v>0</v>
      </c>
      <c r="E1883" s="2" t="n">
        <f aca="false">D1883*(1-E$1875)+D1882*E$1875</f>
        <v>0</v>
      </c>
      <c r="F1883" s="2" t="n">
        <f aca="false">E1883*(1-F$1875)+E1882*F$1875</f>
        <v>0</v>
      </c>
      <c r="G1883" s="2" t="n">
        <f aca="false">F1883*(1-G$1875)+F1882*G$1875</f>
        <v>0</v>
      </c>
      <c r="H1883" s="2" t="n">
        <f aca="false">G1883*(1-H$1875)+G1882*H$1875</f>
        <v>0</v>
      </c>
      <c r="I1883" s="2" t="n">
        <f aca="false">H1883*(1-I$1875)+H1882*I$1875</f>
        <v>0.000154083587835684</v>
      </c>
      <c r="J1883" s="2" t="n">
        <f aca="false">I1883*(1-J$1875)+I1882*J$1875</f>
        <v>0.0021089202566902</v>
      </c>
      <c r="K1883" s="2" t="n">
        <f aca="false">J1883*(1-K$1875)+J1882*K$1875</f>
        <v>0.00722239021147681</v>
      </c>
      <c r="L1883" s="2" t="n">
        <f aca="false">K1883*(1-L$1875)+K1882*L$1875</f>
        <v>0.0358418879927917</v>
      </c>
      <c r="M1883" s="2" t="n">
        <f aca="false">L1883*(1-M$1875)+L1882*M$1875</f>
        <v>0.0639306597737377</v>
      </c>
      <c r="N1883" s="2" t="n">
        <f aca="false">M1883*(1-N$1875)+M1882*N$1875</f>
        <v>0.15939057925569</v>
      </c>
      <c r="O1883" s="2" t="n">
        <f aca="false">N1883*(1-O$1875)+N1882*O$1875</f>
        <v>0.15939057925569</v>
      </c>
    </row>
    <row r="1884" customFormat="false" ht="15" hidden="false" customHeight="false" outlineLevel="0" collapsed="false">
      <c r="B1884" s="2" t="n">
        <v>8</v>
      </c>
      <c r="C1884" s="2" t="n">
        <f aca="false">0</f>
        <v>0</v>
      </c>
      <c r="D1884" s="2" t="n">
        <f aca="false">C1884*(1-D$1875)+C1883*D$1875</f>
        <v>0</v>
      </c>
      <c r="E1884" s="2" t="n">
        <f aca="false">D1884*(1-E$1875)+D1883*E$1875</f>
        <v>0</v>
      </c>
      <c r="F1884" s="2" t="n">
        <f aca="false">E1884*(1-F$1875)+E1883*F$1875</f>
        <v>0</v>
      </c>
      <c r="G1884" s="2" t="n">
        <f aca="false">F1884*(1-G$1875)+F1883*G$1875</f>
        <v>0</v>
      </c>
      <c r="H1884" s="2" t="n">
        <f aca="false">G1884*(1-H$1875)+G1883*H$1875</f>
        <v>0</v>
      </c>
      <c r="I1884" s="2" t="n">
        <f aca="false">H1884*(1-I$1875)+H1883*I$1875</f>
        <v>0</v>
      </c>
      <c r="J1884" s="2" t="n">
        <f aca="false">I1884*(1-J$1875)+I1883*J$1875</f>
        <v>5.88735789401601E-005</v>
      </c>
      <c r="K1884" s="2" t="n">
        <f aca="false">J1884*(1-K$1875)+J1883*K$1875</f>
        <v>0.000542986945967789</v>
      </c>
      <c r="L1884" s="2" t="n">
        <f aca="false">K1884*(1-L$1875)+K1883*L$1875</f>
        <v>0.00543203940138763</v>
      </c>
      <c r="M1884" s="2" t="n">
        <f aca="false">L1884*(1-M$1875)+L1883*M$1875</f>
        <v>0.0145486564285661</v>
      </c>
      <c r="N1884" s="2" t="n">
        <f aca="false">M1884*(1-N$1875)+M1883*N$1875</f>
        <v>0.0589354419413541</v>
      </c>
      <c r="O1884" s="2" t="n">
        <f aca="false">N1884*(1-O$1875)+N1883*O$1875</f>
        <v>0.0589354419413541</v>
      </c>
    </row>
    <row r="1885" customFormat="false" ht="15" hidden="false" customHeight="false" outlineLevel="0" collapsed="false">
      <c r="B1885" s="2" t="n">
        <v>9</v>
      </c>
      <c r="C1885" s="2" t="n">
        <f aca="false">0</f>
        <v>0</v>
      </c>
      <c r="D1885" s="2" t="n">
        <f aca="false">C1885*(1-D$1875)+C1884*D$1875</f>
        <v>0</v>
      </c>
      <c r="E1885" s="2" t="n">
        <f aca="false">D1885*(1-E$1875)+D1884*E$1875</f>
        <v>0</v>
      </c>
      <c r="F1885" s="2" t="n">
        <f aca="false">E1885*(1-F$1875)+E1884*F$1875</f>
        <v>0</v>
      </c>
      <c r="G1885" s="2" t="n">
        <f aca="false">F1885*(1-G$1875)+F1884*G$1875</f>
        <v>0</v>
      </c>
      <c r="H1885" s="2" t="n">
        <f aca="false">G1885*(1-H$1875)+G1884*H$1875</f>
        <v>0</v>
      </c>
      <c r="I1885" s="2" t="n">
        <f aca="false">H1885*(1-I$1875)+H1884*I$1875</f>
        <v>0</v>
      </c>
      <c r="J1885" s="2" t="n">
        <f aca="false">I1885*(1-J$1875)+I1884*J$1875</f>
        <v>0</v>
      </c>
      <c r="K1885" s="2" t="n">
        <f aca="false">J1885*(1-K$1875)+J1884*K$1875</f>
        <v>1.39028475980696E-005</v>
      </c>
      <c r="L1885" s="2" t="n">
        <f aca="false">K1885*(1-L$1875)+K1884*L$1875</f>
        <v>0.000401170962343488</v>
      </c>
      <c r="M1885" s="2" t="n">
        <f aca="false">L1885*(1-M$1875)+L1884*M$1875</f>
        <v>0.00190938303827764</v>
      </c>
      <c r="N1885" s="2" t="n">
        <f aca="false">M1885*(1-N$1875)+M1884*N$1875</f>
        <v>0.0132701355191119</v>
      </c>
      <c r="O1885" s="2" t="n">
        <f aca="false">N1885*(1-O$1875)+N1884*O$1875</f>
        <v>0.0132701355191119</v>
      </c>
    </row>
    <row r="1886" customFormat="false" ht="15" hidden="false" customHeight="false" outlineLevel="0" collapsed="false">
      <c r="B1886" s="2" t="n">
        <v>10</v>
      </c>
      <c r="C1886" s="2" t="n">
        <f aca="false">0</f>
        <v>0</v>
      </c>
      <c r="D1886" s="2" t="n">
        <f aca="false">C1886*(1-D$1875)+C1885*D$1875</f>
        <v>0</v>
      </c>
      <c r="E1886" s="2" t="n">
        <f aca="false">D1886*(1-E$1875)+D1885*E$1875</f>
        <v>0</v>
      </c>
      <c r="F1886" s="2" t="n">
        <f aca="false">E1886*(1-F$1875)+E1885*F$1875</f>
        <v>0</v>
      </c>
      <c r="G1886" s="2" t="n">
        <f aca="false">F1886*(1-G$1875)+F1885*G$1875</f>
        <v>0</v>
      </c>
      <c r="H1886" s="2" t="n">
        <f aca="false">G1886*(1-H$1875)+G1885*H$1875</f>
        <v>0</v>
      </c>
      <c r="I1886" s="2" t="n">
        <f aca="false">H1886*(1-I$1875)+H1885*I$1875</f>
        <v>0</v>
      </c>
      <c r="J1886" s="2" t="n">
        <f aca="false">I1886*(1-J$1875)+I1885*J$1875</f>
        <v>0</v>
      </c>
      <c r="K1886" s="2" t="n">
        <f aca="false">J1886*(1-K$1875)+J1885*K$1875</f>
        <v>0</v>
      </c>
      <c r="L1886" s="2" t="n">
        <f aca="false">K1886*(1-L$1875)+K1885*L$1875</f>
        <v>1.01763209204124E-005</v>
      </c>
      <c r="M1886" s="2" t="n">
        <f aca="false">L1886*(1-M$1875)+L1885*M$1875</f>
        <v>0.000127393228292347</v>
      </c>
      <c r="N1886" s="2" t="n">
        <f aca="false">M1886*(1-N$1875)+M1885*N$1875</f>
        <v>0.00172912653443058</v>
      </c>
      <c r="O1886" s="2" t="n">
        <f aca="false">N1886*(1-O$1875)+N1885*O$1875</f>
        <v>0.00172912653443058</v>
      </c>
    </row>
    <row r="1887" customFormat="false" ht="15" hidden="false" customHeight="false" outlineLevel="0" collapsed="false">
      <c r="B1887" s="2" t="n">
        <v>11</v>
      </c>
      <c r="C1887" s="2" t="n">
        <f aca="false">0</f>
        <v>0</v>
      </c>
      <c r="D1887" s="2" t="n">
        <f aca="false">C1887*(1-D$1875)+C1886*D$1875</f>
        <v>0</v>
      </c>
      <c r="E1887" s="2" t="n">
        <f aca="false">D1887*(1-E$1875)+D1886*E$1875</f>
        <v>0</v>
      </c>
      <c r="F1887" s="2" t="n">
        <f aca="false">E1887*(1-F$1875)+E1886*F$1875</f>
        <v>0</v>
      </c>
      <c r="G1887" s="2" t="n">
        <f aca="false">F1887*(1-G$1875)+F1886*G$1875</f>
        <v>0</v>
      </c>
      <c r="H1887" s="2" t="n">
        <f aca="false">G1887*(1-H$1875)+G1886*H$1875</f>
        <v>0</v>
      </c>
      <c r="I1887" s="2" t="n">
        <f aca="false">H1887*(1-I$1875)+H1886*I$1875</f>
        <v>0</v>
      </c>
      <c r="J1887" s="2" t="n">
        <f aca="false">I1887*(1-J$1875)+I1886*J$1875</f>
        <v>0</v>
      </c>
      <c r="K1887" s="2" t="n">
        <f aca="false">J1887*(1-K$1875)+J1886*K$1875</f>
        <v>0</v>
      </c>
      <c r="L1887" s="2" t="n">
        <f aca="false">K1887*(1-L$1875)+K1886*L$1875</f>
        <v>0</v>
      </c>
      <c r="M1887" s="2" t="n">
        <f aca="false">L1887*(1-M$1875)+L1886*M$1875</f>
        <v>3.05077548473189E-006</v>
      </c>
      <c r="N1887" s="2" t="n">
        <f aca="false">M1887*(1-N$1875)+M1886*N$1875</f>
        <v>0.000114815414604931</v>
      </c>
      <c r="O1887" s="2" t="n">
        <f aca="false">N1887*(1-O$1875)+N1886*O$1875</f>
        <v>0.000114815414604931</v>
      </c>
    </row>
    <row r="1888" customFormat="false" ht="15" hidden="false" customHeight="false" outlineLevel="0" collapsed="false">
      <c r="B1888" s="2" t="n">
        <v>12</v>
      </c>
      <c r="C1888" s="2" t="n">
        <f aca="false">0</f>
        <v>0</v>
      </c>
      <c r="D1888" s="2" t="n">
        <f aca="false">C1888*(1-D$1875)+C1887*D$1875</f>
        <v>0</v>
      </c>
      <c r="E1888" s="2" t="n">
        <f aca="false">D1888*(1-E$1875)+D1887*E$1875</f>
        <v>0</v>
      </c>
      <c r="F1888" s="2" t="n">
        <f aca="false">E1888*(1-F$1875)+E1887*F$1875</f>
        <v>0</v>
      </c>
      <c r="G1888" s="2" t="n">
        <f aca="false">F1888*(1-G$1875)+F1887*G$1875</f>
        <v>0</v>
      </c>
      <c r="H1888" s="2" t="n">
        <f aca="false">G1888*(1-H$1875)+G1887*H$1875</f>
        <v>0</v>
      </c>
      <c r="I1888" s="2" t="n">
        <f aca="false">H1888*(1-I$1875)+H1887*I$1875</f>
        <v>0</v>
      </c>
      <c r="J1888" s="2" t="n">
        <f aca="false">I1888*(1-J$1875)+I1887*J$1875</f>
        <v>0</v>
      </c>
      <c r="K1888" s="2" t="n">
        <f aca="false">J1888*(1-K$1875)+J1887*K$1875</f>
        <v>0</v>
      </c>
      <c r="L1888" s="2" t="n">
        <f aca="false">K1888*(1-L$1875)+K1887*L$1875</f>
        <v>0</v>
      </c>
      <c r="M1888" s="2" t="n">
        <f aca="false">L1888*(1-M$1875)+L1887*M$1875</f>
        <v>0</v>
      </c>
      <c r="N1888" s="2" t="n">
        <f aca="false">M1888*(1-N$1875)+M1887*N$1875</f>
        <v>2.74217544683121E-006</v>
      </c>
      <c r="O1888" s="2" t="n">
        <f aca="false">N1888*(1-O$1875)+N1887*O$1875</f>
        <v>2.74217544683121E-006</v>
      </c>
    </row>
    <row r="1889" customFormat="false" ht="15" hidden="false" customHeight="false" outlineLevel="0" collapsed="false">
      <c r="B1889" s="2" t="n">
        <v>13</v>
      </c>
      <c r="C1889" s="2" t="n">
        <f aca="false">0</f>
        <v>0</v>
      </c>
      <c r="D1889" s="2" t="n">
        <f aca="false">C1889*(1-D$1875)+C1888*D$1875</f>
        <v>0</v>
      </c>
      <c r="E1889" s="2" t="n">
        <f aca="false">D1889*(1-E$1875)+D1888*E$1875</f>
        <v>0</v>
      </c>
      <c r="F1889" s="2" t="n">
        <f aca="false">E1889*(1-F$1875)+E1888*F$1875</f>
        <v>0</v>
      </c>
      <c r="G1889" s="2" t="n">
        <f aca="false">F1889*(1-G$1875)+F1888*G$1875</f>
        <v>0</v>
      </c>
      <c r="H1889" s="2" t="n">
        <f aca="false">G1889*(1-H$1875)+G1888*H$1875</f>
        <v>0</v>
      </c>
      <c r="I1889" s="2" t="n">
        <f aca="false">H1889*(1-I$1875)+H1888*I$1875</f>
        <v>0</v>
      </c>
      <c r="J1889" s="2" t="n">
        <f aca="false">I1889*(1-J$1875)+I1888*J$1875</f>
        <v>0</v>
      </c>
      <c r="K1889" s="2" t="n">
        <f aca="false">J1889*(1-K$1875)+J1888*K$1875</f>
        <v>0</v>
      </c>
      <c r="L1889" s="2" t="n">
        <f aca="false">K1889*(1-L$1875)+K1888*L$1875</f>
        <v>0</v>
      </c>
      <c r="M1889" s="2" t="n">
        <f aca="false">L1889*(1-M$1875)+L1888*M$1875</f>
        <v>0</v>
      </c>
      <c r="N1889" s="2" t="n">
        <f aca="false">M1889*(1-N$1875)+M1888*N$1875</f>
        <v>0</v>
      </c>
      <c r="O1889" s="2" t="n">
        <f aca="false">N1889*(1-O$1875)+N1888*O$1875</f>
        <v>0</v>
      </c>
    </row>
    <row r="1891" customFormat="false" ht="15" hidden="false" customHeight="false" outlineLevel="0" collapsed="false">
      <c r="A1891" s="1" t="s">
        <v>176</v>
      </c>
      <c r="C1891" s="2" t="n">
        <f aca="false">Schedule!G120</f>
        <v>0.135666060946383</v>
      </c>
      <c r="D1891" s="2" t="n">
        <f aca="false">Schedule!L120</f>
        <v>0.950528531966352</v>
      </c>
      <c r="E1891" s="2" t="n">
        <f aca="false">Schedule!Q120</f>
        <v>0.455213484871745</v>
      </c>
      <c r="F1891" s="2" t="n">
        <f aca="false">Schedule!V120</f>
        <v>0.0066618087919827</v>
      </c>
      <c r="G1891" s="2" t="n">
        <f aca="false">Schedule!AA120</f>
        <v>0.740131219334939</v>
      </c>
      <c r="H1891" s="2" t="n">
        <f aca="false">Schedule!AF120</f>
        <v>0.358489211764908</v>
      </c>
      <c r="I1891" s="2" t="n">
        <f aca="false">Schedule!AK120</f>
        <v>0.339986490349139</v>
      </c>
      <c r="J1891" s="2" t="n">
        <f aca="false">Schedule!AP120</f>
        <v>0.295461142462736</v>
      </c>
      <c r="K1891" s="2" t="n">
        <f aca="false">Schedule!AU120</f>
        <v>0.524917669029247</v>
      </c>
      <c r="L1891" s="2" t="n">
        <f aca="false">Schedule!AZ120</f>
        <v>0.750162117528223</v>
      </c>
      <c r="M1891" s="2" t="n">
        <f aca="false">Schedule!BE120</f>
        <v>0.379707152759433</v>
      </c>
      <c r="N1891" s="2" t="n">
        <f aca="false">Schedule!BJ120</f>
        <v>0.680375828482883</v>
      </c>
      <c r="O1891" s="2" t="n">
        <f aca="false">Schedule!BO120</f>
        <v>0</v>
      </c>
    </row>
    <row r="1892" customFormat="false" ht="15" hidden="false" customHeight="false" outlineLevel="0" collapsed="false">
      <c r="B1892" s="2" t="n">
        <v>0</v>
      </c>
      <c r="C1892" s="2" t="n">
        <f aca="false">1-C$1891</f>
        <v>0.864333939053617</v>
      </c>
      <c r="D1892" s="2" t="n">
        <f aca="false">C1892*(1-D$1891)</f>
        <v>0.0427598688362882</v>
      </c>
      <c r="E1892" s="2" t="n">
        <f aca="false">D1892*(1-E$1891)</f>
        <v>0.0232949999306627</v>
      </c>
      <c r="F1892" s="2" t="n">
        <f aca="false">E1892*(1-F$1891)</f>
        <v>0.0231398130953154</v>
      </c>
      <c r="G1892" s="2" t="n">
        <f aca="false">F1892*(1-G$1891)</f>
        <v>0.00601331501389702</v>
      </c>
      <c r="H1892" s="2" t="n">
        <f aca="false">G1892*(1-H$1891)</f>
        <v>0.00385760645447099</v>
      </c>
      <c r="I1892" s="2" t="n">
        <f aca="false">H1892*(1-I$1891)</f>
        <v>0.00254607237486722</v>
      </c>
      <c r="J1892" s="2" t="n">
        <f aca="false">I1892*(1-J$1891)</f>
        <v>0.00179380692219614</v>
      </c>
      <c r="K1892" s="2" t="n">
        <f aca="false">J1892*(1-K$1891)</f>
        <v>0.000852205973908412</v>
      </c>
      <c r="L1892" s="2" t="n">
        <f aca="false">K1892*(1-L$1891)</f>
        <v>0.000212913335951076</v>
      </c>
      <c r="M1892" s="2" t="n">
        <f aca="false">L1892*(1-M$1891)</f>
        <v>0.00013206861937258</v>
      </c>
      <c r="N1892" s="2" t="n">
        <f aca="false">M1892*(1-N$1891)</f>
        <v>4.22123230503705E-005</v>
      </c>
      <c r="O1892" s="2" t="n">
        <f aca="false">N1892*(1-O$1891)</f>
        <v>4.22123230503705E-005</v>
      </c>
    </row>
    <row r="1893" customFormat="false" ht="15" hidden="false" customHeight="false" outlineLevel="0" collapsed="false">
      <c r="B1893" s="2" t="n">
        <v>1</v>
      </c>
      <c r="C1893" s="2" t="n">
        <f aca="false">C$1891</f>
        <v>0.135666060946383</v>
      </c>
      <c r="D1893" s="2" t="n">
        <f aca="false">C1893*(1-D$1891)+C1892*D$1891</f>
        <v>0.828285669414689</v>
      </c>
      <c r="E1893" s="2" t="n">
        <f aca="false">D1893*(1-E$1891)+D1892*E$1891</f>
        <v>0.470703732276728</v>
      </c>
      <c r="F1893" s="2" t="n">
        <f aca="false">E1893*(1-F$1891)+E1892*F$1891</f>
        <v>0.467723180849975</v>
      </c>
      <c r="G1893" s="2" t="n">
        <f aca="false">F1893*(1-G$1891)+F1892*G$1891</f>
        <v>0.138673150777685</v>
      </c>
      <c r="H1893" s="2" t="n">
        <f aca="false">G1893*(1-H$1891)+G1892*H$1891</f>
        <v>0.0911160308218627</v>
      </c>
      <c r="I1893" s="2" t="n">
        <f aca="false">H1893*(1-I$1891)+H1892*I$1891</f>
        <v>0.0614493453677974</v>
      </c>
      <c r="J1893" s="2" t="n">
        <f aca="false">I1893*(1-J$1891)+I1892*J$1891</f>
        <v>0.0440457170345118</v>
      </c>
      <c r="K1893" s="2" t="n">
        <f aca="false">J1893*(1-K$1891)+J1892*K$1891</f>
        <v>0.0218669428663218</v>
      </c>
      <c r="L1893" s="2" t="n">
        <f aca="false">K1893*(1-L$1891)+K1892*L$1891</f>
        <v>0.0061024833398105</v>
      </c>
      <c r="M1893" s="2" t="n">
        <f aca="false">L1893*(1-M$1891)+L1892*M$1891</f>
        <v>0.00386617148266768</v>
      </c>
      <c r="N1893" s="2" t="n">
        <f aca="false">M1893*(1-N$1891)+M1892*N$1891</f>
        <v>0.00132557815341297</v>
      </c>
      <c r="O1893" s="2" t="n">
        <f aca="false">N1893*(1-O$1891)+N1892*O$1891</f>
        <v>0.00132557815341297</v>
      </c>
    </row>
    <row r="1894" customFormat="false" ht="15" hidden="false" customHeight="false" outlineLevel="0" collapsed="false">
      <c r="B1894" s="2" t="n">
        <v>2</v>
      </c>
      <c r="C1894" s="2" t="n">
        <f aca="false">0</f>
        <v>0</v>
      </c>
      <c r="D1894" s="2" t="n">
        <f aca="false">C1894*(1-D$1891)+C1893*D$1891</f>
        <v>0.128954461749023</v>
      </c>
      <c r="E1894" s="2" t="n">
        <f aca="false">D1894*(1-E$1891)+D1893*E$1891</f>
        <v>0.447299457870077</v>
      </c>
      <c r="F1894" s="2" t="n">
        <f aca="false">E1894*(1-F$1891)+E1893*F$1891</f>
        <v>0.447455372671089</v>
      </c>
      <c r="G1894" s="2" t="n">
        <f aca="false">F1894*(1-G$1891)+F1893*G$1891</f>
        <v>0.462456210251774</v>
      </c>
      <c r="H1894" s="2" t="n">
        <f aca="false">G1894*(1-H$1891)+G1893*H$1891</f>
        <v>0.346383476478078</v>
      </c>
      <c r="I1894" s="2" t="n">
        <f aca="false">H1894*(1-I$1891)+H1893*I$1891</f>
        <v>0.259595993529032</v>
      </c>
      <c r="J1894" s="2" t="n">
        <f aca="false">I1894*(1-J$1891)+I1893*J$1891</f>
        <v>0.201051358488152</v>
      </c>
      <c r="K1894" s="2" t="n">
        <f aca="false">J1894*(1-K$1891)+J1893*K$1891</f>
        <v>0.118636323151865</v>
      </c>
      <c r="L1894" s="2" t="n">
        <f aca="false">K1894*(1-L$1891)+K1893*L$1891</f>
        <v>0.0460435999249681</v>
      </c>
      <c r="M1894" s="2" t="n">
        <f aca="false">L1894*(1-M$1891)+L1893*M$1891</f>
        <v>0.0308776722683853</v>
      </c>
      <c r="N1894" s="2" t="n">
        <f aca="false">M1894*(1-N$1891)+M1893*N$1891</f>
        <v>0.0124997000427367</v>
      </c>
      <c r="O1894" s="2" t="n">
        <f aca="false">N1894*(1-O$1891)+N1893*O$1891</f>
        <v>0.0124997000427367</v>
      </c>
    </row>
    <row r="1895" customFormat="false" ht="15" hidden="false" customHeight="false" outlineLevel="0" collapsed="false">
      <c r="B1895" s="2" t="n">
        <v>3</v>
      </c>
      <c r="C1895" s="2" t="n">
        <f aca="false">0</f>
        <v>0</v>
      </c>
      <c r="D1895" s="2" t="n">
        <f aca="false">C1895*(1-D$1891)+C1894*D$1891</f>
        <v>0</v>
      </c>
      <c r="E1895" s="2" t="n">
        <f aca="false">D1895*(1-E$1891)+D1894*E$1891</f>
        <v>0.0587018099225328</v>
      </c>
      <c r="F1895" s="2" t="n">
        <f aca="false">E1895*(1-F$1891)+E1894*F$1891</f>
        <v>0.0612905731501735</v>
      </c>
      <c r="G1895" s="2" t="n">
        <f aca="false">F1895*(1-G$1891)+F1894*G$1891</f>
        <v>0.347103197083821</v>
      </c>
      <c r="H1895" s="2" t="n">
        <f aca="false">G1895*(1-H$1891)+G1894*H$1891</f>
        <v>0.388456007849108</v>
      </c>
      <c r="I1895" s="2" t="n">
        <f aca="false">H1895*(1-I$1891)+H1894*I$1891</f>
        <v>0.374151915568167</v>
      </c>
      <c r="J1895" s="2" t="n">
        <f aca="false">I1895*(1-J$1891)+I1894*J$1891</f>
        <v>0.340305091966612</v>
      </c>
      <c r="K1895" s="2" t="n">
        <f aca="false">J1895*(1-K$1891)+J1894*K$1891</f>
        <v>0.267208346785479</v>
      </c>
      <c r="L1895" s="2" t="n">
        <f aca="false">K1895*(1-L$1891)+K1894*L$1891</f>
        <v>0.155755242931034</v>
      </c>
      <c r="M1895" s="2" t="n">
        <f aca="false">L1895*(1-M$1891)+L1894*M$1891</f>
        <v>0.114096947340641</v>
      </c>
      <c r="N1895" s="2" t="n">
        <f aca="false">M1895*(1-N$1891)+M1894*N$1891</f>
        <v>0.0574765641176103</v>
      </c>
      <c r="O1895" s="2" t="n">
        <f aca="false">N1895*(1-O$1891)+N1894*O$1891</f>
        <v>0.0574765641176103</v>
      </c>
    </row>
    <row r="1896" customFormat="false" ht="15" hidden="false" customHeight="false" outlineLevel="0" collapsed="false">
      <c r="B1896" s="2" t="n">
        <v>4</v>
      </c>
      <c r="C1896" s="2" t="n">
        <f aca="false">0</f>
        <v>0</v>
      </c>
      <c r="D1896" s="2" t="n">
        <f aca="false">C1896*(1-D$1891)+C1895*D$1891</f>
        <v>0</v>
      </c>
      <c r="E1896" s="2" t="n">
        <f aca="false">D1896*(1-E$1891)+D1895*E$1891</f>
        <v>0</v>
      </c>
      <c r="F1896" s="2" t="n">
        <f aca="false">E1896*(1-F$1891)+E1895*F$1891</f>
        <v>0.000391060233447226</v>
      </c>
      <c r="G1896" s="2" t="n">
        <f aca="false">F1896*(1-G$1891)+F1895*G$1891</f>
        <v>0.0454646909854077</v>
      </c>
      <c r="H1896" s="2" t="n">
        <f aca="false">G1896*(1-H$1891)+G1895*H$1891</f>
        <v>0.153598841274572</v>
      </c>
      <c r="I1896" s="2" t="n">
        <f aca="false">H1896*(1-I$1891)+H1895*I$1891</f>
        <v>0.233447105071592</v>
      </c>
      <c r="J1896" s="2" t="n">
        <f aca="false">I1896*(1-J$1891)+I1895*J$1891</f>
        <v>0.275019909130913</v>
      </c>
      <c r="K1896" s="2" t="n">
        <f aca="false">J1896*(1-K$1891)+J1895*K$1891</f>
        <v>0.309289255127176</v>
      </c>
      <c r="L1896" s="2" t="n">
        <f aca="false">K1896*(1-L$1891)+K1895*L$1891</f>
        <v>0.277721751818057</v>
      </c>
      <c r="M1896" s="2" t="n">
        <f aca="false">L1896*(1-M$1891)+L1895*M$1891</f>
        <v>0.231410195996558</v>
      </c>
      <c r="N1896" s="2" t="n">
        <f aca="false">M1896*(1-N$1891)+M1895*N$1891</f>
        <v>0.15159309725027</v>
      </c>
      <c r="O1896" s="2" t="n">
        <f aca="false">N1896*(1-O$1891)+N1895*O$1891</f>
        <v>0.15159309725027</v>
      </c>
    </row>
    <row r="1897" customFormat="false" ht="15" hidden="false" customHeight="false" outlineLevel="0" collapsed="false">
      <c r="B1897" s="2" t="n">
        <v>5</v>
      </c>
      <c r="C1897" s="2" t="n">
        <f aca="false">0</f>
        <v>0</v>
      </c>
      <c r="D1897" s="2" t="n">
        <f aca="false">C1897*(1-D$1891)+C1896*D$1891</f>
        <v>0</v>
      </c>
      <c r="E1897" s="2" t="n">
        <f aca="false">D1897*(1-E$1891)+D1896*E$1891</f>
        <v>0</v>
      </c>
      <c r="F1897" s="2" t="n">
        <f aca="false">E1897*(1-F$1891)+E1896*F$1891</f>
        <v>0</v>
      </c>
      <c r="G1897" s="2" t="n">
        <f aca="false">F1897*(1-G$1891)+F1896*G$1891</f>
        <v>0.000289435887414701</v>
      </c>
      <c r="H1897" s="2" t="n">
        <f aca="false">G1897*(1-H$1891)+G1896*H$1891</f>
        <v>0.0164842774787729</v>
      </c>
      <c r="I1897" s="2" t="n">
        <f aca="false">H1897*(1-I$1891)+H1896*I$1891</f>
        <v>0.0631013767994598</v>
      </c>
      <c r="J1897" s="2" t="n">
        <f aca="false">I1897*(1-J$1891)+I1896*J$1891</f>
        <v>0.113431920288391</v>
      </c>
      <c r="K1897" s="2" t="n">
        <f aca="false">J1897*(1-K$1891)+J1896*K$1891</f>
        <v>0.198252310734731</v>
      </c>
      <c r="L1897" s="2" t="n">
        <f aca="false">K1897*(1-L$1891)+K1896*L$1891</f>
        <v>0.281548020064031</v>
      </c>
      <c r="M1897" s="2" t="n">
        <f aca="false">L1897*(1-M$1891)+L1896*M$1891</f>
        <v>0.280095158642659</v>
      </c>
      <c r="N1897" s="2" t="n">
        <f aca="false">M1897*(1-N$1891)+M1896*N$1891</f>
        <v>0.246971086847659</v>
      </c>
      <c r="O1897" s="2" t="n">
        <f aca="false">N1897*(1-O$1891)+N1896*O$1891</f>
        <v>0.246971086847659</v>
      </c>
    </row>
    <row r="1898" customFormat="false" ht="15" hidden="false" customHeight="false" outlineLevel="0" collapsed="false">
      <c r="B1898" s="2" t="n">
        <v>6</v>
      </c>
      <c r="C1898" s="2" t="n">
        <f aca="false">0</f>
        <v>0</v>
      </c>
      <c r="D1898" s="2" t="n">
        <f aca="false">C1898*(1-D$1891)+C1897*D$1891</f>
        <v>0</v>
      </c>
      <c r="E1898" s="2" t="n">
        <f aca="false">D1898*(1-E$1891)+D1897*E$1891</f>
        <v>0</v>
      </c>
      <c r="F1898" s="2" t="n">
        <f aca="false">E1898*(1-F$1891)+E1897*F$1891</f>
        <v>0</v>
      </c>
      <c r="G1898" s="2" t="n">
        <f aca="false">F1898*(1-G$1891)+F1897*G$1891</f>
        <v>0</v>
      </c>
      <c r="H1898" s="2" t="n">
        <f aca="false">G1898*(1-H$1891)+G1897*H$1891</f>
        <v>0.000103759643135773</v>
      </c>
      <c r="I1898" s="2" t="n">
        <f aca="false">H1898*(1-I$1891)+H1897*I$1891</f>
        <v>0.00567291441217549</v>
      </c>
      <c r="J1898" s="2" t="n">
        <f aca="false">I1898*(1-J$1891)+I1897*J$1891</f>
        <v>0.0226407935190008</v>
      </c>
      <c r="K1898" s="2" t="n">
        <f aca="false">J1898*(1-K$1891)+J1897*K$1891</f>
        <v>0.0702986601513278</v>
      </c>
      <c r="L1898" s="2" t="n">
        <f aca="false">K1898*(1-L$1891)+K1897*L$1891</f>
        <v>0.16628464161844</v>
      </c>
      <c r="M1898" s="2" t="n">
        <f aca="false">L1898*(1-M$1891)+L1897*M$1891</f>
        <v>0.210050970865449</v>
      </c>
      <c r="N1898" s="2" t="n">
        <f aca="false">M1898*(1-N$1891)+M1897*N$1891</f>
        <v>0.257707343154779</v>
      </c>
      <c r="O1898" s="2" t="n">
        <f aca="false">N1898*(1-O$1891)+N1897*O$1891</f>
        <v>0.257707343154779</v>
      </c>
    </row>
    <row r="1899" customFormat="false" ht="15" hidden="false" customHeight="false" outlineLevel="0" collapsed="false">
      <c r="B1899" s="2" t="n">
        <v>7</v>
      </c>
      <c r="C1899" s="2" t="n">
        <f aca="false">0</f>
        <v>0</v>
      </c>
      <c r="D1899" s="2" t="n">
        <f aca="false">C1899*(1-D$1891)+C1898*D$1891</f>
        <v>0</v>
      </c>
      <c r="E1899" s="2" t="n">
        <f aca="false">D1899*(1-E$1891)+D1898*E$1891</f>
        <v>0</v>
      </c>
      <c r="F1899" s="2" t="n">
        <f aca="false">E1899*(1-F$1891)+E1898*F$1891</f>
        <v>0</v>
      </c>
      <c r="G1899" s="2" t="n">
        <f aca="false">F1899*(1-G$1891)+F1898*G$1891</f>
        <v>0</v>
      </c>
      <c r="H1899" s="2" t="n">
        <f aca="false">G1899*(1-H$1891)+G1898*H$1891</f>
        <v>0</v>
      </c>
      <c r="I1899" s="2" t="n">
        <f aca="false">H1899*(1-I$1891)+H1898*I$1891</f>
        <v>3.52768769096105E-005</v>
      </c>
      <c r="J1899" s="2" t="n">
        <f aca="false">I1899*(1-J$1891)+I1898*J$1891</f>
        <v>0.00170097970387007</v>
      </c>
      <c r="K1899" s="2" t="n">
        <f aca="false">J1899*(1-K$1891)+J1898*K$1891</f>
        <v>0.0126926579616149</v>
      </c>
      <c r="L1899" s="2" t="n">
        <f aca="false">K1899*(1-L$1891)+K1898*L$1891</f>
        <v>0.0559064985465854</v>
      </c>
      <c r="M1899" s="2" t="n">
        <f aca="false">L1899*(1-M$1891)+L1898*M$1891</f>
        <v>0.0978178689792727</v>
      </c>
      <c r="N1899" s="2" t="n">
        <f aca="false">M1899*(1-N$1891)+M1898*N$1891</f>
        <v>0.174178558658283</v>
      </c>
      <c r="O1899" s="2" t="n">
        <f aca="false">N1899*(1-O$1891)+N1898*O$1891</f>
        <v>0.174178558658283</v>
      </c>
    </row>
    <row r="1900" customFormat="false" ht="15" hidden="false" customHeight="false" outlineLevel="0" collapsed="false">
      <c r="B1900" s="2" t="n">
        <v>8</v>
      </c>
      <c r="C1900" s="2" t="n">
        <f aca="false">0</f>
        <v>0</v>
      </c>
      <c r="D1900" s="2" t="n">
        <f aca="false">C1900*(1-D$1891)+C1899*D$1891</f>
        <v>0</v>
      </c>
      <c r="E1900" s="2" t="n">
        <f aca="false">D1900*(1-E$1891)+D1899*E$1891</f>
        <v>0</v>
      </c>
      <c r="F1900" s="2" t="n">
        <f aca="false">E1900*(1-F$1891)+E1899*F$1891</f>
        <v>0</v>
      </c>
      <c r="G1900" s="2" t="n">
        <f aca="false">F1900*(1-G$1891)+F1899*G$1891</f>
        <v>0</v>
      </c>
      <c r="H1900" s="2" t="n">
        <f aca="false">G1900*(1-H$1891)+G1899*H$1891</f>
        <v>0</v>
      </c>
      <c r="I1900" s="2" t="n">
        <f aca="false">H1900*(1-I$1891)+H1899*I$1891</f>
        <v>0</v>
      </c>
      <c r="J1900" s="2" t="n">
        <f aca="false">I1900*(1-J$1891)+I1899*J$1891</f>
        <v>1.04229463542308E-005</v>
      </c>
      <c r="K1900" s="2" t="n">
        <f aca="false">J1900*(1-K$1891)+J1899*K$1891</f>
        <v>0.000897826058871089</v>
      </c>
      <c r="L1900" s="2" t="n">
        <f aca="false">K1900*(1-L$1891)+K1899*L$1891</f>
        <v>0.00974586213492283</v>
      </c>
      <c r="M1900" s="2" t="n">
        <f aca="false">L1900*(1-M$1891)+L1899*M$1891</f>
        <v>0.0272733859563586</v>
      </c>
      <c r="N1900" s="2" t="n">
        <f aca="false">M1900*(1-N$1891)+M1899*N$1891</f>
        <v>0.0752701470379704</v>
      </c>
      <c r="O1900" s="2" t="n">
        <f aca="false">N1900*(1-O$1891)+N1899*O$1891</f>
        <v>0.0752701470379704</v>
      </c>
    </row>
    <row r="1901" customFormat="false" ht="15" hidden="false" customHeight="false" outlineLevel="0" collapsed="false">
      <c r="B1901" s="2" t="n">
        <v>9</v>
      </c>
      <c r="C1901" s="2" t="n">
        <f aca="false">0</f>
        <v>0</v>
      </c>
      <c r="D1901" s="2" t="n">
        <f aca="false">C1901*(1-D$1891)+C1900*D$1891</f>
        <v>0</v>
      </c>
      <c r="E1901" s="2" t="n">
        <f aca="false">D1901*(1-E$1891)+D1900*E$1891</f>
        <v>0</v>
      </c>
      <c r="F1901" s="2" t="n">
        <f aca="false">E1901*(1-F$1891)+E1900*F$1891</f>
        <v>0</v>
      </c>
      <c r="G1901" s="2" t="n">
        <f aca="false">F1901*(1-G$1891)+F1900*G$1891</f>
        <v>0</v>
      </c>
      <c r="H1901" s="2" t="n">
        <f aca="false">G1901*(1-H$1891)+G1900*H$1891</f>
        <v>0</v>
      </c>
      <c r="I1901" s="2" t="n">
        <f aca="false">H1901*(1-I$1891)+H1900*I$1891</f>
        <v>0</v>
      </c>
      <c r="J1901" s="2" t="n">
        <f aca="false">I1901*(1-J$1891)+I1900*J$1891</f>
        <v>0</v>
      </c>
      <c r="K1901" s="2" t="n">
        <f aca="false">J1901*(1-K$1891)+J1900*K$1891</f>
        <v>5.47118870467974E-006</v>
      </c>
      <c r="L1901" s="2" t="n">
        <f aca="false">K1901*(1-L$1891)+K1900*L$1891</f>
        <v>0.000674882007695335</v>
      </c>
      <c r="M1901" s="2" t="n">
        <f aca="false">L1901*(1-M$1891)+L1900*M$1891</f>
        <v>0.00411919804454229</v>
      </c>
      <c r="N1901" s="2" t="n">
        <f aca="false">M1901*(1-N$1891)+M1900*N$1891</f>
        <v>0.0198727478278927</v>
      </c>
      <c r="O1901" s="2" t="n">
        <f aca="false">N1901*(1-O$1891)+N1900*O$1891</f>
        <v>0.0198727478278927</v>
      </c>
    </row>
    <row r="1902" customFormat="false" ht="15" hidden="false" customHeight="false" outlineLevel="0" collapsed="false">
      <c r="B1902" s="2" t="n">
        <v>10</v>
      </c>
      <c r="C1902" s="2" t="n">
        <f aca="false">0</f>
        <v>0</v>
      </c>
      <c r="D1902" s="2" t="n">
        <f aca="false">C1902*(1-D$1891)+C1901*D$1891</f>
        <v>0</v>
      </c>
      <c r="E1902" s="2" t="n">
        <f aca="false">D1902*(1-E$1891)+D1901*E$1891</f>
        <v>0</v>
      </c>
      <c r="F1902" s="2" t="n">
        <f aca="false">E1902*(1-F$1891)+E1901*F$1891</f>
        <v>0</v>
      </c>
      <c r="G1902" s="2" t="n">
        <f aca="false">F1902*(1-G$1891)+F1901*G$1891</f>
        <v>0</v>
      </c>
      <c r="H1902" s="2" t="n">
        <f aca="false">G1902*(1-H$1891)+G1901*H$1891</f>
        <v>0</v>
      </c>
      <c r="I1902" s="2" t="n">
        <f aca="false">H1902*(1-I$1891)+H1901*I$1891</f>
        <v>0</v>
      </c>
      <c r="J1902" s="2" t="n">
        <f aca="false">I1902*(1-J$1891)+I1901*J$1891</f>
        <v>0</v>
      </c>
      <c r="K1902" s="2" t="n">
        <f aca="false">J1902*(1-K$1891)+J1901*K$1891</f>
        <v>0</v>
      </c>
      <c r="L1902" s="2" t="n">
        <f aca="false">K1902*(1-L$1891)+K1901*L$1891</f>
        <v>4.10427850409905E-006</v>
      </c>
      <c r="M1902" s="2" t="n">
        <f aca="false">L1902*(1-M$1891)+L1901*M$1891</f>
        <v>0.000258803380189742</v>
      </c>
      <c r="N1902" s="2" t="n">
        <f aca="false">M1902*(1-N$1891)+M1901*N$1891</f>
        <v>0.0028853225982195</v>
      </c>
      <c r="O1902" s="2" t="n">
        <f aca="false">N1902*(1-O$1891)+N1901*O$1891</f>
        <v>0.0028853225982195</v>
      </c>
    </row>
    <row r="1903" customFormat="false" ht="15" hidden="false" customHeight="false" outlineLevel="0" collapsed="false">
      <c r="B1903" s="2" t="n">
        <v>11</v>
      </c>
      <c r="C1903" s="2" t="n">
        <f aca="false">0</f>
        <v>0</v>
      </c>
      <c r="D1903" s="2" t="n">
        <f aca="false">C1903*(1-D$1891)+C1902*D$1891</f>
        <v>0</v>
      </c>
      <c r="E1903" s="2" t="n">
        <f aca="false">D1903*(1-E$1891)+D1902*E$1891</f>
        <v>0</v>
      </c>
      <c r="F1903" s="2" t="n">
        <f aca="false">E1903*(1-F$1891)+E1902*F$1891</f>
        <v>0</v>
      </c>
      <c r="G1903" s="2" t="n">
        <f aca="false">F1903*(1-G$1891)+F1902*G$1891</f>
        <v>0</v>
      </c>
      <c r="H1903" s="2" t="n">
        <f aca="false">G1903*(1-H$1891)+G1902*H$1891</f>
        <v>0</v>
      </c>
      <c r="I1903" s="2" t="n">
        <f aca="false">H1903*(1-I$1891)+H1902*I$1891</f>
        <v>0</v>
      </c>
      <c r="J1903" s="2" t="n">
        <f aca="false">I1903*(1-J$1891)+I1902*J$1891</f>
        <v>0</v>
      </c>
      <c r="K1903" s="2" t="n">
        <f aca="false">J1903*(1-K$1891)+J1902*K$1891</f>
        <v>0</v>
      </c>
      <c r="L1903" s="2" t="n">
        <f aca="false">K1903*(1-L$1891)+K1902*L$1891</f>
        <v>0</v>
      </c>
      <c r="M1903" s="2" t="n">
        <f aca="false">L1903*(1-M$1891)+L1902*M$1891</f>
        <v>1.5584239049232E-006</v>
      </c>
      <c r="N1903" s="2" t="n">
        <f aca="false">M1903*(1-N$1891)+M1902*N$1891</f>
        <v>0.000176581674160249</v>
      </c>
      <c r="O1903" s="2" t="n">
        <f aca="false">N1903*(1-O$1891)+N1902*O$1891</f>
        <v>0.000176581674160249</v>
      </c>
    </row>
    <row r="1904" customFormat="false" ht="15" hidden="false" customHeight="false" outlineLevel="0" collapsed="false">
      <c r="B1904" s="2" t="n">
        <v>12</v>
      </c>
      <c r="C1904" s="2" t="n">
        <f aca="false">0</f>
        <v>0</v>
      </c>
      <c r="D1904" s="2" t="n">
        <f aca="false">C1904*(1-D$1891)+C1903*D$1891</f>
        <v>0</v>
      </c>
      <c r="E1904" s="2" t="n">
        <f aca="false">D1904*(1-E$1891)+D1903*E$1891</f>
        <v>0</v>
      </c>
      <c r="F1904" s="2" t="n">
        <f aca="false">E1904*(1-F$1891)+E1903*F$1891</f>
        <v>0</v>
      </c>
      <c r="G1904" s="2" t="n">
        <f aca="false">F1904*(1-G$1891)+F1903*G$1891</f>
        <v>0</v>
      </c>
      <c r="H1904" s="2" t="n">
        <f aca="false">G1904*(1-H$1891)+G1903*H$1891</f>
        <v>0</v>
      </c>
      <c r="I1904" s="2" t="n">
        <f aca="false">H1904*(1-I$1891)+H1903*I$1891</f>
        <v>0</v>
      </c>
      <c r="J1904" s="2" t="n">
        <f aca="false">I1904*(1-J$1891)+I1903*J$1891</f>
        <v>0</v>
      </c>
      <c r="K1904" s="2" t="n">
        <f aca="false">J1904*(1-K$1891)+J1903*K$1891</f>
        <v>0</v>
      </c>
      <c r="L1904" s="2" t="n">
        <f aca="false">K1904*(1-L$1891)+K1903*L$1891</f>
        <v>0</v>
      </c>
      <c r="M1904" s="2" t="n">
        <f aca="false">L1904*(1-M$1891)+L1903*M$1891</f>
        <v>0</v>
      </c>
      <c r="N1904" s="2" t="n">
        <f aca="false">M1904*(1-N$1891)+M1903*N$1891</f>
        <v>1.06031395543965E-006</v>
      </c>
      <c r="O1904" s="2" t="n">
        <f aca="false">N1904*(1-O$1891)+N1903*O$1891</f>
        <v>1.06031395543965E-006</v>
      </c>
    </row>
    <row r="1905" customFormat="false" ht="15" hidden="false" customHeight="false" outlineLevel="0" collapsed="false">
      <c r="B1905" s="2" t="n">
        <v>13</v>
      </c>
      <c r="C1905" s="2" t="n">
        <f aca="false">0</f>
        <v>0</v>
      </c>
      <c r="D1905" s="2" t="n">
        <f aca="false">C1905*(1-D$1891)+C1904*D$1891</f>
        <v>0</v>
      </c>
      <c r="E1905" s="2" t="n">
        <f aca="false">D1905*(1-E$1891)+D1904*E$1891</f>
        <v>0</v>
      </c>
      <c r="F1905" s="2" t="n">
        <f aca="false">E1905*(1-F$1891)+E1904*F$1891</f>
        <v>0</v>
      </c>
      <c r="G1905" s="2" t="n">
        <f aca="false">F1905*(1-G$1891)+F1904*G$1891</f>
        <v>0</v>
      </c>
      <c r="H1905" s="2" t="n">
        <f aca="false">G1905*(1-H$1891)+G1904*H$1891</f>
        <v>0</v>
      </c>
      <c r="I1905" s="2" t="n">
        <f aca="false">H1905*(1-I$1891)+H1904*I$1891</f>
        <v>0</v>
      </c>
      <c r="J1905" s="2" t="n">
        <f aca="false">I1905*(1-J$1891)+I1904*J$1891</f>
        <v>0</v>
      </c>
      <c r="K1905" s="2" t="n">
        <f aca="false">J1905*(1-K$1891)+J1904*K$1891</f>
        <v>0</v>
      </c>
      <c r="L1905" s="2" t="n">
        <f aca="false">K1905*(1-L$1891)+K1904*L$1891</f>
        <v>0</v>
      </c>
      <c r="M1905" s="2" t="n">
        <f aca="false">L1905*(1-M$1891)+L1904*M$1891</f>
        <v>0</v>
      </c>
      <c r="N1905" s="2" t="n">
        <f aca="false">M1905*(1-N$1891)+M1904*N$1891</f>
        <v>0</v>
      </c>
      <c r="O1905" s="2" t="n">
        <f aca="false">N1905*(1-O$1891)+N1904*O$1891</f>
        <v>0</v>
      </c>
    </row>
    <row r="1907" customFormat="false" ht="15" hidden="false" customHeight="false" outlineLevel="0" collapsed="false">
      <c r="A1907" s="1" t="s">
        <v>177</v>
      </c>
      <c r="C1907" s="2" t="n">
        <f aca="false">Schedule!G121</f>
        <v>0.907414424343205</v>
      </c>
      <c r="D1907" s="2" t="n">
        <f aca="false">Schedule!L121</f>
        <v>0.00281358977445718</v>
      </c>
      <c r="E1907" s="2" t="n">
        <f aca="false">Schedule!Q121</f>
        <v>0.335418337370169</v>
      </c>
      <c r="F1907" s="2" t="n">
        <f aca="false">Schedule!V121</f>
        <v>0.15268159383311</v>
      </c>
      <c r="G1907" s="2" t="n">
        <f aca="false">Schedule!AA121</f>
        <v>0.232313232387907</v>
      </c>
      <c r="H1907" s="2" t="n">
        <f aca="false">Schedule!AF121</f>
        <v>0.166334969492118</v>
      </c>
      <c r="I1907" s="2" t="n">
        <f aca="false">Schedule!AK121</f>
        <v>0.337699424942871</v>
      </c>
      <c r="J1907" s="2" t="n">
        <f aca="false">Schedule!AP121</f>
        <v>0.232313232387907</v>
      </c>
      <c r="K1907" s="2" t="n">
        <f aca="false">Schedule!AU121</f>
        <v>0.349193042462858</v>
      </c>
      <c r="L1907" s="2" t="n">
        <f aca="false">Schedule!AZ121</f>
        <v>0.297622774366408</v>
      </c>
      <c r="M1907" s="2" t="n">
        <f aca="false">Schedule!BE121</f>
        <v>0.293306760083888</v>
      </c>
      <c r="N1907" s="2" t="n">
        <f aca="false">Schedule!BJ121</f>
        <v>0.257846110805865</v>
      </c>
      <c r="O1907" s="2" t="n">
        <f aca="false">Schedule!BO121</f>
        <v>0</v>
      </c>
    </row>
    <row r="1908" customFormat="false" ht="15" hidden="false" customHeight="false" outlineLevel="0" collapsed="false">
      <c r="B1908" s="2" t="n">
        <v>0</v>
      </c>
      <c r="C1908" s="2" t="n">
        <f aca="false">1-C$1907</f>
        <v>0.0925855756567949</v>
      </c>
      <c r="D1908" s="2" t="n">
        <f aca="false">C1908*(1-D$1907)</f>
        <v>0.0923250778278647</v>
      </c>
      <c r="E1908" s="2" t="n">
        <f aca="false">D1908*(1-E$1907)</f>
        <v>0.0613575537252708</v>
      </c>
      <c r="F1908" s="2" t="n">
        <f aca="false">E1908*(1-F$1907)</f>
        <v>0.0519893846287958</v>
      </c>
      <c r="G1908" s="2" t="n">
        <f aca="false">F1908*(1-G$1907)</f>
        <v>0.0399115626358221</v>
      </c>
      <c r="H1908" s="2" t="n">
        <f aca="false">G1908*(1-H$1907)</f>
        <v>0.0332728740824099</v>
      </c>
      <c r="I1908" s="2" t="n">
        <f aca="false">H1908*(1-I$1907)</f>
        <v>0.0220366436385835</v>
      </c>
      <c r="J1908" s="2" t="n">
        <f aca="false">I1908*(1-J$1907)</f>
        <v>0.0169172397239238</v>
      </c>
      <c r="K1908" s="2" t="n">
        <f aca="false">J1908*(1-K$1907)</f>
        <v>0.0110098573146533</v>
      </c>
      <c r="L1908" s="2" t="n">
        <f aca="false">K1908*(1-L$1907)</f>
        <v>0.0077330730352879</v>
      </c>
      <c r="M1908" s="2" t="n">
        <f aca="false">L1908*(1-M$1907)</f>
        <v>0.00546491043781553</v>
      </c>
      <c r="N1908" s="2" t="n">
        <f aca="false">M1908*(1-N$1907)</f>
        <v>0.00405580453552242</v>
      </c>
      <c r="O1908" s="2" t="n">
        <f aca="false">N1908*(1-O$1907)</f>
        <v>0.00405580453552242</v>
      </c>
    </row>
    <row r="1909" customFormat="false" ht="15" hidden="false" customHeight="false" outlineLevel="0" collapsed="false">
      <c r="B1909" s="2" t="n">
        <v>1</v>
      </c>
      <c r="C1909" s="2" t="n">
        <f aca="false">C$1907</f>
        <v>0.907414424343205</v>
      </c>
      <c r="D1909" s="2" t="n">
        <f aca="false">C1909*(1-D$1907)+C1908*D$1907</f>
        <v>0.905121830226608</v>
      </c>
      <c r="E1909" s="2" t="n">
        <f aca="false">D1909*(1-E$1907)+D1908*E$1907</f>
        <v>0.632494894917148</v>
      </c>
      <c r="F1909" s="2" t="n">
        <f aca="false">E1909*(1-F$1907)+E1908*F$1907</f>
        <v>0.545292735366368</v>
      </c>
      <c r="G1909" s="2" t="n">
        <f aca="false">F1909*(1-G$1907)+F1908*G$1907</f>
        <v>0.430691839408737</v>
      </c>
      <c r="H1909" s="2" t="n">
        <f aca="false">G1909*(1-H$1907)+G1908*H$1907</f>
        <v>0.365691413993593</v>
      </c>
      <c r="I1909" s="2" t="n">
        <f aca="false">H1909*(1-I$1907)+H1908*I$1907</f>
        <v>0.253433864225237</v>
      </c>
      <c r="J1909" s="2" t="n">
        <f aca="false">I1909*(1-J$1907)+I1908*J$1907</f>
        <v>0.199677227945174</v>
      </c>
      <c r="K1909" s="2" t="n">
        <f aca="false">J1909*(1-K$1907)+J1908*K$1907</f>
        <v>0.13585871161772</v>
      </c>
      <c r="L1909" s="2" t="n">
        <f aca="false">K1909*(1-L$1907)+K1908*L$1907</f>
        <v>0.0987008492235737</v>
      </c>
      <c r="M1909" s="2" t="n">
        <f aca="false">L1909*(1-M$1907)+L1908*M$1907</f>
        <v>0.0720193855177514</v>
      </c>
      <c r="N1909" s="2" t="n">
        <f aca="false">M1909*(1-N$1907)+M1908*N$1907</f>
        <v>0.0548585729616641</v>
      </c>
      <c r="O1909" s="2" t="n">
        <f aca="false">N1909*(1-O$1907)+N1908*O$1907</f>
        <v>0.0548585729616641</v>
      </c>
    </row>
    <row r="1910" customFormat="false" ht="15" hidden="false" customHeight="false" outlineLevel="0" collapsed="false">
      <c r="B1910" s="2" t="n">
        <v>2</v>
      </c>
      <c r="C1910" s="2" t="n">
        <f aca="false">0</f>
        <v>0</v>
      </c>
      <c r="D1910" s="2" t="n">
        <f aca="false">C1910*(1-D$1907)+C1909*D$1907</f>
        <v>0.00255309194552699</v>
      </c>
      <c r="E1910" s="2" t="n">
        <f aca="false">D1910*(1-E$1907)+D1909*E$1907</f>
        <v>0.305291197502059</v>
      </c>
      <c r="F1910" s="2" t="n">
        <f aca="false">E1910*(1-F$1907)+E1909*F$1907</f>
        <v>0.355249179531482</v>
      </c>
      <c r="G1910" s="2" t="n">
        <f aca="false">F1910*(1-G$1907)+F1909*G$1907</f>
        <v>0.399398812281976</v>
      </c>
      <c r="H1910" s="2" t="n">
        <f aca="false">G1910*(1-H$1907)+G1909*H$1907</f>
        <v>0.404603936994422</v>
      </c>
      <c r="I1910" s="2" t="n">
        <f aca="false">H1910*(1-I$1907)+H1909*I$1907</f>
        <v>0.391463200353965</v>
      </c>
      <c r="J1910" s="2" t="n">
        <f aca="false">I1910*(1-J$1907)+I1909*J$1907</f>
        <v>0.359397159113544</v>
      </c>
      <c r="K1910" s="2" t="n">
        <f aca="false">J1910*(1-K$1907)+J1909*K$1907</f>
        <v>0.303624070406903</v>
      </c>
      <c r="L1910" s="2" t="n">
        <f aca="false">K1910*(1-L$1907)+K1909*L$1907</f>
        <v>0.25369327888149</v>
      </c>
      <c r="M1910" s="2" t="n">
        <f aca="false">L1910*(1-M$1907)+L1909*M$1907</f>
        <v>0.208232951500997</v>
      </c>
      <c r="N1910" s="2" t="n">
        <f aca="false">M1910*(1-N$1907)+M1909*N$1907</f>
        <v>0.173110813273219</v>
      </c>
      <c r="O1910" s="2" t="n">
        <f aca="false">N1910*(1-O$1907)+N1909*O$1907</f>
        <v>0.173110813273219</v>
      </c>
    </row>
    <row r="1911" customFormat="false" ht="15" hidden="false" customHeight="false" outlineLevel="0" collapsed="false">
      <c r="B1911" s="2" t="n">
        <v>3</v>
      </c>
      <c r="C1911" s="2" t="n">
        <f aca="false">0</f>
        <v>0</v>
      </c>
      <c r="D1911" s="2" t="n">
        <f aca="false">C1911*(1-D$1907)+C1910*D$1907</f>
        <v>0</v>
      </c>
      <c r="E1911" s="2" t="n">
        <f aca="false">D1911*(1-E$1907)+D1910*E$1907</f>
        <v>0.000856353855521835</v>
      </c>
      <c r="F1911" s="2" t="n">
        <f aca="false">E1911*(1-F$1907)+E1910*F$1907</f>
        <v>0.0473379510018089</v>
      </c>
      <c r="G1911" s="2" t="n">
        <f aca="false">F1911*(1-G$1907)+F1910*G$1907</f>
        <v>0.118869803790069</v>
      </c>
      <c r="H1911" s="2" t="n">
        <f aca="false">G1911*(1-H$1907)+G1910*H$1907</f>
        <v>0.165531587859224</v>
      </c>
      <c r="I1911" s="2" t="n">
        <f aca="false">H1911*(1-I$1907)+H1910*I$1907</f>
        <v>0.246266182681922</v>
      </c>
      <c r="J1911" s="2" t="n">
        <f aca="false">I1911*(1-J$1907)+I1910*J$1907</f>
        <v>0.279997371190398</v>
      </c>
      <c r="K1911" s="2" t="n">
        <f aca="false">J1911*(1-K$1907)+J1910*K$1907</f>
        <v>0.307723224706187</v>
      </c>
      <c r="L1911" s="2" t="n">
        <f aca="false">K1911*(1-L$1907)+K1910*L$1907</f>
        <v>0.306503223031078</v>
      </c>
      <c r="M1911" s="2" t="n">
        <f aca="false">L1911*(1-M$1907)+L1910*M$1907</f>
        <v>0.291013709412351</v>
      </c>
      <c r="N1911" s="2" t="n">
        <f aca="false">M1911*(1-N$1907)+M1910*N$1907</f>
        <v>0.269669012935347</v>
      </c>
      <c r="O1911" s="2" t="n">
        <f aca="false">N1911*(1-O$1907)+N1910*O$1907</f>
        <v>0.269669012935347</v>
      </c>
    </row>
    <row r="1912" customFormat="false" ht="15" hidden="false" customHeight="false" outlineLevel="0" collapsed="false">
      <c r="B1912" s="2" t="n">
        <v>4</v>
      </c>
      <c r="C1912" s="2" t="n">
        <f aca="false">0</f>
        <v>0</v>
      </c>
      <c r="D1912" s="2" t="n">
        <f aca="false">C1912*(1-D$1907)+C1911*D$1907</f>
        <v>0</v>
      </c>
      <c r="E1912" s="2" t="n">
        <f aca="false">D1912*(1-E$1907)+D1911*E$1907</f>
        <v>0</v>
      </c>
      <c r="F1912" s="2" t="n">
        <f aca="false">E1912*(1-F$1907)+E1911*F$1907</f>
        <v>0.000130749471546203</v>
      </c>
      <c r="G1912" s="2" t="n">
        <f aca="false">F1912*(1-G$1907)+F1911*G$1907</f>
        <v>0.0110976070510289</v>
      </c>
      <c r="H1912" s="2" t="n">
        <f aca="false">G1912*(1-H$1907)+G1911*H$1907</f>
        <v>0.0290238921077156</v>
      </c>
      <c r="I1912" s="2" t="n">
        <f aca="false">H1912*(1-I$1907)+H1911*I$1907</f>
        <v>0.0751224624632765</v>
      </c>
      <c r="J1912" s="2" t="n">
        <f aca="false">I1912*(1-J$1907)+I1911*J$1907</f>
        <v>0.114881413310161</v>
      </c>
      <c r="K1912" s="2" t="n">
        <f aca="false">J1912*(1-K$1907)+J1911*K$1907</f>
        <v>0.17253875700153</v>
      </c>
      <c r="L1912" s="2" t="n">
        <f aca="false">K1912*(1-L$1907)+K1911*L$1907</f>
        <v>0.212772733331036</v>
      </c>
      <c r="M1912" s="2" t="n">
        <f aca="false">L1912*(1-M$1907)+L1911*M$1907</f>
        <v>0.240264519586032</v>
      </c>
      <c r="N1912" s="2" t="n">
        <f aca="false">M1912*(1-N$1907)+M1911*N$1907</f>
        <v>0.253350000809297</v>
      </c>
      <c r="O1912" s="2" t="n">
        <f aca="false">N1912*(1-O$1907)+N1911*O$1907</f>
        <v>0.253350000809297</v>
      </c>
    </row>
    <row r="1913" customFormat="false" ht="15" hidden="false" customHeight="false" outlineLevel="0" collapsed="false">
      <c r="B1913" s="2" t="n">
        <v>5</v>
      </c>
      <c r="C1913" s="2" t="n">
        <f aca="false">0</f>
        <v>0</v>
      </c>
      <c r="D1913" s="2" t="n">
        <f aca="false">C1913*(1-D$1907)+C1912*D$1907</f>
        <v>0</v>
      </c>
      <c r="E1913" s="2" t="n">
        <f aca="false">D1913*(1-E$1907)+D1912*E$1907</f>
        <v>0</v>
      </c>
      <c r="F1913" s="2" t="n">
        <f aca="false">E1913*(1-F$1907)+E1912*F$1907</f>
        <v>0</v>
      </c>
      <c r="G1913" s="2" t="n">
        <f aca="false">F1913*(1-G$1907)+F1912*G$1907</f>
        <v>3.03748323679091E-005</v>
      </c>
      <c r="H1913" s="2" t="n">
        <f aca="false">G1913*(1-H$1907)+G1912*H$1907</f>
        <v>0.00187124256582107</v>
      </c>
      <c r="I1913" s="2" t="n">
        <f aca="false">H1913*(1-I$1907)+H1912*I$1907</f>
        <v>0.0110406767017942</v>
      </c>
      <c r="J1913" s="2" t="n">
        <f aca="false">I1913*(1-J$1907)+I1912*J$1907</f>
        <v>0.0259277234892335</v>
      </c>
      <c r="K1913" s="2" t="n">
        <f aca="false">J1913*(1-K$1907)+J1912*K$1907</f>
        <v>0.0569897330761007</v>
      </c>
      <c r="L1913" s="2" t="n">
        <f aca="false">K1913*(1-L$1907)+K1912*L$1907</f>
        <v>0.0913797541521175</v>
      </c>
      <c r="M1913" s="2" t="n">
        <f aca="false">L1913*(1-M$1907)+L1912*M$1907</f>
        <v>0.126985135572017</v>
      </c>
      <c r="N1913" s="2" t="n">
        <f aca="false">M1913*(1-N$1907)+M1912*N$1907</f>
        <v>0.156193784174515</v>
      </c>
      <c r="O1913" s="2" t="n">
        <f aca="false">N1913*(1-O$1907)+N1912*O$1907</f>
        <v>0.156193784174515</v>
      </c>
    </row>
    <row r="1914" customFormat="false" ht="15" hidden="false" customHeight="false" outlineLevel="0" collapsed="false">
      <c r="B1914" s="2" t="n">
        <v>6</v>
      </c>
      <c r="C1914" s="2" t="n">
        <f aca="false">0</f>
        <v>0</v>
      </c>
      <c r="D1914" s="2" t="n">
        <f aca="false">C1914*(1-D$1907)+C1913*D$1907</f>
        <v>0</v>
      </c>
      <c r="E1914" s="2" t="n">
        <f aca="false">D1914*(1-E$1907)+D1913*E$1907</f>
        <v>0</v>
      </c>
      <c r="F1914" s="2" t="n">
        <f aca="false">E1914*(1-F$1907)+E1913*F$1907</f>
        <v>0</v>
      </c>
      <c r="G1914" s="2" t="n">
        <f aca="false">F1914*(1-G$1907)+F1913*G$1907</f>
        <v>0</v>
      </c>
      <c r="H1914" s="2" t="n">
        <f aca="false">G1914*(1-H$1907)+G1913*H$1907</f>
        <v>5.05239681524436E-006</v>
      </c>
      <c r="I1914" s="2" t="n">
        <f aca="false">H1914*(1-I$1907)+H1913*I$1907</f>
        <v>0.000635263743722551</v>
      </c>
      <c r="J1914" s="2" t="n">
        <f aca="false">I1914*(1-J$1907)+I1913*J$1907</f>
        <v>0.00305257886234318</v>
      </c>
      <c r="K1914" s="2" t="n">
        <f aca="false">J1914*(1-K$1907)+J1913*K$1907</f>
        <v>0.0110404202113849</v>
      </c>
      <c r="L1914" s="2" t="n">
        <f aca="false">K1914*(1-L$1907)+K1913*L$1907</f>
        <v>0.0247159821864117</v>
      </c>
      <c r="M1914" s="2" t="n">
        <f aca="false">L1914*(1-M$1907)+L1913*M$1907</f>
        <v>0.0442689171566439</v>
      </c>
      <c r="N1914" s="2" t="n">
        <f aca="false">M1914*(1-N$1907)+M1913*N$1907</f>
        <v>0.0655969723756163</v>
      </c>
      <c r="O1914" s="2" t="n">
        <f aca="false">N1914*(1-O$1907)+N1913*O$1907</f>
        <v>0.0655969723756163</v>
      </c>
    </row>
    <row r="1915" customFormat="false" ht="15" hidden="false" customHeight="false" outlineLevel="0" collapsed="false">
      <c r="B1915" s="2" t="n">
        <v>7</v>
      </c>
      <c r="C1915" s="2" t="n">
        <f aca="false">0</f>
        <v>0</v>
      </c>
      <c r="D1915" s="2" t="n">
        <f aca="false">C1915*(1-D$1907)+C1914*D$1907</f>
        <v>0</v>
      </c>
      <c r="E1915" s="2" t="n">
        <f aca="false">D1915*(1-E$1907)+D1914*E$1907</f>
        <v>0</v>
      </c>
      <c r="F1915" s="2" t="n">
        <f aca="false">E1915*(1-F$1907)+E1914*F$1907</f>
        <v>0</v>
      </c>
      <c r="G1915" s="2" t="n">
        <f aca="false">F1915*(1-G$1907)+F1914*G$1907</f>
        <v>0</v>
      </c>
      <c r="H1915" s="2" t="n">
        <f aca="false">G1915*(1-H$1907)+G1914*H$1907</f>
        <v>0</v>
      </c>
      <c r="I1915" s="2" t="n">
        <f aca="false">H1915*(1-I$1907)+H1914*I$1907</f>
        <v>1.70619149909121E-006</v>
      </c>
      <c r="J1915" s="2" t="n">
        <f aca="false">I1915*(1-J$1907)+I1914*J$1907</f>
        <v>0.000148889994359893</v>
      </c>
      <c r="K1915" s="2" t="n">
        <f aca="false">J1915*(1-K$1907)+J1914*K$1907</f>
        <v>0.00116283794453651</v>
      </c>
      <c r="L1915" s="2" t="n">
        <f aca="false">K1915*(1-L$1907)+K1914*L$1907</f>
        <v>0.00410263138282836</v>
      </c>
      <c r="M1915" s="2" t="n">
        <f aca="false">L1915*(1-M$1907)+L1914*M$1907</f>
        <v>0.0101486665215</v>
      </c>
      <c r="N1915" s="2" t="n">
        <f aca="false">M1915*(1-N$1907)+M1914*N$1907</f>
        <v>0.0189464404474932</v>
      </c>
      <c r="O1915" s="2" t="n">
        <f aca="false">N1915*(1-O$1907)+N1914*O$1907</f>
        <v>0.0189464404474932</v>
      </c>
    </row>
    <row r="1916" customFormat="false" ht="15" hidden="false" customHeight="false" outlineLevel="0" collapsed="false">
      <c r="B1916" s="2" t="n">
        <v>8</v>
      </c>
      <c r="C1916" s="2" t="n">
        <f aca="false">0</f>
        <v>0</v>
      </c>
      <c r="D1916" s="2" t="n">
        <f aca="false">C1916*(1-D$1907)+C1915*D$1907</f>
        <v>0</v>
      </c>
      <c r="E1916" s="2" t="n">
        <f aca="false">D1916*(1-E$1907)+D1915*E$1907</f>
        <v>0</v>
      </c>
      <c r="F1916" s="2" t="n">
        <f aca="false">E1916*(1-F$1907)+E1915*F$1907</f>
        <v>0</v>
      </c>
      <c r="G1916" s="2" t="n">
        <f aca="false">F1916*(1-G$1907)+F1915*G$1907</f>
        <v>0</v>
      </c>
      <c r="H1916" s="2" t="n">
        <f aca="false">G1916*(1-H$1907)+G1915*H$1907</f>
        <v>0</v>
      </c>
      <c r="I1916" s="2" t="n">
        <f aca="false">H1916*(1-I$1907)+H1915*I$1907</f>
        <v>0</v>
      </c>
      <c r="J1916" s="2" t="n">
        <f aca="false">I1916*(1-J$1907)+I1915*J$1907</f>
        <v>3.96370862226648E-007</v>
      </c>
      <c r="K1916" s="2" t="n">
        <f aca="false">J1916*(1-K$1907)+J1915*K$1907</f>
        <v>5.22493110377109E-005</v>
      </c>
      <c r="L1916" s="2" t="n">
        <f aca="false">K1916*(1-L$1907)+K1915*L$1907</f>
        <v>0.000382785781319421</v>
      </c>
      <c r="M1916" s="2" t="n">
        <f aca="false">L1916*(1-M$1907)+L1915*M$1907</f>
        <v>0.00147384164271031</v>
      </c>
      <c r="N1916" s="2" t="n">
        <f aca="false">M1916*(1-N$1907)+M1915*N$1907</f>
        <v>0.00371061149962818</v>
      </c>
      <c r="O1916" s="2" t="n">
        <f aca="false">N1916*(1-O$1907)+N1915*O$1907</f>
        <v>0.00371061149962818</v>
      </c>
    </row>
    <row r="1917" customFormat="false" ht="15" hidden="false" customHeight="false" outlineLevel="0" collapsed="false">
      <c r="B1917" s="2" t="n">
        <v>9</v>
      </c>
      <c r="C1917" s="2" t="n">
        <f aca="false">0</f>
        <v>0</v>
      </c>
      <c r="D1917" s="2" t="n">
        <f aca="false">C1917*(1-D$1907)+C1916*D$1907</f>
        <v>0</v>
      </c>
      <c r="E1917" s="2" t="n">
        <f aca="false">D1917*(1-E$1907)+D1916*E$1907</f>
        <v>0</v>
      </c>
      <c r="F1917" s="2" t="n">
        <f aca="false">E1917*(1-F$1907)+E1916*F$1907</f>
        <v>0</v>
      </c>
      <c r="G1917" s="2" t="n">
        <f aca="false">F1917*(1-G$1907)+F1916*G$1907</f>
        <v>0</v>
      </c>
      <c r="H1917" s="2" t="n">
        <f aca="false">G1917*(1-H$1907)+G1916*H$1907</f>
        <v>0</v>
      </c>
      <c r="I1917" s="2" t="n">
        <f aca="false">H1917*(1-I$1907)+H1916*I$1907</f>
        <v>0</v>
      </c>
      <c r="J1917" s="2" t="n">
        <f aca="false">I1917*(1-J$1907)+I1916*J$1907</f>
        <v>0</v>
      </c>
      <c r="K1917" s="2" t="n">
        <f aca="false">J1917*(1-K$1907)+J1916*K$1907</f>
        <v>1.3840994732455E-007</v>
      </c>
      <c r="L1917" s="2" t="n">
        <f aca="false">K1917*(1-L$1907)+K1916*L$1907</f>
        <v>1.56478009045788E-005</v>
      </c>
      <c r="M1917" s="2" t="n">
        <f aca="false">L1917*(1-M$1907)+L1916*M$1907</f>
        <v>0.000123331852443798</v>
      </c>
      <c r="N1917" s="2" t="n">
        <f aca="false">M1917*(1-N$1907)+M1916*N$1907</f>
        <v>0.000471555549469261</v>
      </c>
      <c r="O1917" s="2" t="n">
        <f aca="false">N1917*(1-O$1907)+N1916*O$1907</f>
        <v>0.000471555549469261</v>
      </c>
    </row>
    <row r="1918" customFormat="false" ht="15" hidden="false" customHeight="false" outlineLevel="0" collapsed="false">
      <c r="B1918" s="2" t="n">
        <v>10</v>
      </c>
      <c r="C1918" s="2" t="n">
        <f aca="false">0</f>
        <v>0</v>
      </c>
      <c r="D1918" s="2" t="n">
        <f aca="false">C1918*(1-D$1907)+C1917*D$1907</f>
        <v>0</v>
      </c>
      <c r="E1918" s="2" t="n">
        <f aca="false">D1918*(1-E$1907)+D1917*E$1907</f>
        <v>0</v>
      </c>
      <c r="F1918" s="2" t="n">
        <f aca="false">E1918*(1-F$1907)+E1917*F$1907</f>
        <v>0</v>
      </c>
      <c r="G1918" s="2" t="n">
        <f aca="false">F1918*(1-G$1907)+F1917*G$1907</f>
        <v>0</v>
      </c>
      <c r="H1918" s="2" t="n">
        <f aca="false">G1918*(1-H$1907)+G1917*H$1907</f>
        <v>0</v>
      </c>
      <c r="I1918" s="2" t="n">
        <f aca="false">H1918*(1-I$1907)+H1917*I$1907</f>
        <v>0</v>
      </c>
      <c r="J1918" s="2" t="n">
        <f aca="false">I1918*(1-J$1907)+I1917*J$1907</f>
        <v>0</v>
      </c>
      <c r="K1918" s="2" t="n">
        <f aca="false">J1918*(1-K$1907)+J1917*K$1907</f>
        <v>0</v>
      </c>
      <c r="L1918" s="2" t="n">
        <f aca="false">K1918*(1-L$1907)+K1917*L$1907</f>
        <v>4.11939525226408E-008</v>
      </c>
      <c r="M1918" s="2" t="n">
        <f aca="false">L1918*(1-M$1907)+L1917*M$1907</f>
        <v>4.61871727353291E-006</v>
      </c>
      <c r="N1918" s="2" t="n">
        <f aca="false">M1918*(1-N$1907)+M1917*N$1907</f>
        <v>3.52284374787567E-005</v>
      </c>
      <c r="O1918" s="2" t="n">
        <f aca="false">N1918*(1-O$1907)+N1917*O$1907</f>
        <v>3.52284374787567E-005</v>
      </c>
    </row>
    <row r="1919" customFormat="false" ht="15" hidden="false" customHeight="false" outlineLevel="0" collapsed="false">
      <c r="B1919" s="2" t="n">
        <v>11</v>
      </c>
      <c r="C1919" s="2" t="n">
        <f aca="false">0</f>
        <v>0</v>
      </c>
      <c r="D1919" s="2" t="n">
        <f aca="false">C1919*(1-D$1907)+C1918*D$1907</f>
        <v>0</v>
      </c>
      <c r="E1919" s="2" t="n">
        <f aca="false">D1919*(1-E$1907)+D1918*E$1907</f>
        <v>0</v>
      </c>
      <c r="F1919" s="2" t="n">
        <f aca="false">E1919*(1-F$1907)+E1918*F$1907</f>
        <v>0</v>
      </c>
      <c r="G1919" s="2" t="n">
        <f aca="false">F1919*(1-G$1907)+F1918*G$1907</f>
        <v>0</v>
      </c>
      <c r="H1919" s="2" t="n">
        <f aca="false">G1919*(1-H$1907)+G1918*H$1907</f>
        <v>0</v>
      </c>
      <c r="I1919" s="2" t="n">
        <f aca="false">H1919*(1-I$1907)+H1918*I$1907</f>
        <v>0</v>
      </c>
      <c r="J1919" s="2" t="n">
        <f aca="false">I1919*(1-J$1907)+I1918*J$1907</f>
        <v>0</v>
      </c>
      <c r="K1919" s="2" t="n">
        <f aca="false">J1919*(1-K$1907)+J1918*K$1907</f>
        <v>0</v>
      </c>
      <c r="L1919" s="2" t="n">
        <f aca="false">K1919*(1-L$1907)+K1918*L$1907</f>
        <v>0</v>
      </c>
      <c r="M1919" s="2" t="n">
        <f aca="false">L1919*(1-M$1907)+L1918*M$1907</f>
        <v>1.20824647494653E-008</v>
      </c>
      <c r="N1919" s="2" t="n">
        <f aca="false">M1919*(1-N$1907)+M1918*N$1907</f>
        <v>1.1998853340972E-006</v>
      </c>
      <c r="O1919" s="2" t="n">
        <f aca="false">N1919*(1-O$1907)+N1918*O$1907</f>
        <v>1.1998853340972E-006</v>
      </c>
    </row>
    <row r="1920" customFormat="false" ht="15" hidden="false" customHeight="false" outlineLevel="0" collapsed="false">
      <c r="B1920" s="2" t="n">
        <v>12</v>
      </c>
      <c r="C1920" s="2" t="n">
        <f aca="false">0</f>
        <v>0</v>
      </c>
      <c r="D1920" s="2" t="n">
        <f aca="false">C1920*(1-D$1907)+C1919*D$1907</f>
        <v>0</v>
      </c>
      <c r="E1920" s="2" t="n">
        <f aca="false">D1920*(1-E$1907)+D1919*E$1907</f>
        <v>0</v>
      </c>
      <c r="F1920" s="2" t="n">
        <f aca="false">E1920*(1-F$1907)+E1919*F$1907</f>
        <v>0</v>
      </c>
      <c r="G1920" s="2" t="n">
        <f aca="false">F1920*(1-G$1907)+F1919*G$1907</f>
        <v>0</v>
      </c>
      <c r="H1920" s="2" t="n">
        <f aca="false">G1920*(1-H$1907)+G1919*H$1907</f>
        <v>0</v>
      </c>
      <c r="I1920" s="2" t="n">
        <f aca="false">H1920*(1-I$1907)+H1919*I$1907</f>
        <v>0</v>
      </c>
      <c r="J1920" s="2" t="n">
        <f aca="false">I1920*(1-J$1907)+I1919*J$1907</f>
        <v>0</v>
      </c>
      <c r="K1920" s="2" t="n">
        <f aca="false">J1920*(1-K$1907)+J1919*K$1907</f>
        <v>0</v>
      </c>
      <c r="L1920" s="2" t="n">
        <f aca="false">K1920*(1-L$1907)+K1919*L$1907</f>
        <v>0</v>
      </c>
      <c r="M1920" s="2" t="n">
        <f aca="false">L1920*(1-M$1907)+L1919*M$1907</f>
        <v>0</v>
      </c>
      <c r="N1920" s="2" t="n">
        <f aca="false">M1920*(1-N$1907)+M1919*N$1907</f>
        <v>3.11541654459858E-009</v>
      </c>
      <c r="O1920" s="2" t="n">
        <f aca="false">N1920*(1-O$1907)+N1919*O$1907</f>
        <v>3.11541654459858E-009</v>
      </c>
    </row>
    <row r="1921" customFormat="false" ht="15" hidden="false" customHeight="false" outlineLevel="0" collapsed="false">
      <c r="B1921" s="2" t="n">
        <v>13</v>
      </c>
      <c r="C1921" s="2" t="n">
        <f aca="false">0</f>
        <v>0</v>
      </c>
      <c r="D1921" s="2" t="n">
        <f aca="false">C1921*(1-D$1907)+C1920*D$1907</f>
        <v>0</v>
      </c>
      <c r="E1921" s="2" t="n">
        <f aca="false">D1921*(1-E$1907)+D1920*E$1907</f>
        <v>0</v>
      </c>
      <c r="F1921" s="2" t="n">
        <f aca="false">E1921*(1-F$1907)+E1920*F$1907</f>
        <v>0</v>
      </c>
      <c r="G1921" s="2" t="n">
        <f aca="false">F1921*(1-G$1907)+F1920*G$1907</f>
        <v>0</v>
      </c>
      <c r="H1921" s="2" t="n">
        <f aca="false">G1921*(1-H$1907)+G1920*H$1907</f>
        <v>0</v>
      </c>
      <c r="I1921" s="2" t="n">
        <f aca="false">H1921*(1-I$1907)+H1920*I$1907</f>
        <v>0</v>
      </c>
      <c r="J1921" s="2" t="n">
        <f aca="false">I1921*(1-J$1907)+I1920*J$1907</f>
        <v>0</v>
      </c>
      <c r="K1921" s="2" t="n">
        <f aca="false">J1921*(1-K$1907)+J1920*K$1907</f>
        <v>0</v>
      </c>
      <c r="L1921" s="2" t="n">
        <f aca="false">K1921*(1-L$1907)+K1920*L$1907</f>
        <v>0</v>
      </c>
      <c r="M1921" s="2" t="n">
        <f aca="false">L1921*(1-M$1907)+L1920*M$1907</f>
        <v>0</v>
      </c>
      <c r="N1921" s="2" t="n">
        <f aca="false">M1921*(1-N$1907)+M1920*N$1907</f>
        <v>0</v>
      </c>
      <c r="O1921" s="2" t="n">
        <f aca="false">N1921*(1-O$1907)+N1920*O$1907</f>
        <v>0</v>
      </c>
    </row>
    <row r="1923" customFormat="false" ht="15" hidden="false" customHeight="false" outlineLevel="0" collapsed="false">
      <c r="A1923" s="1" t="s">
        <v>178</v>
      </c>
      <c r="C1923" s="2" t="n">
        <f aca="false">Schedule!G122</f>
        <v>0.0124242455439734</v>
      </c>
      <c r="D1923" s="2" t="n">
        <f aca="false">Schedule!L122</f>
        <v>0.447788771872616</v>
      </c>
      <c r="E1923" s="2" t="n">
        <f aca="false">Schedule!Q122</f>
        <v>0.729896500998765</v>
      </c>
      <c r="F1923" s="2" t="n">
        <f aca="false">Schedule!V122</f>
        <v>0.230409171603573</v>
      </c>
      <c r="G1923" s="2" t="n">
        <f aca="false">Schedule!AA122</f>
        <v>0.16478012998031</v>
      </c>
      <c r="H1923" s="2" t="n">
        <f aca="false">Schedule!AF122</f>
        <v>0.440382307629758</v>
      </c>
      <c r="I1923" s="2" t="n">
        <f aca="false">Schedule!AK122</f>
        <v>0.527405690960468</v>
      </c>
      <c r="J1923" s="2" t="n">
        <f aca="false">Schedule!AP122</f>
        <v>0.342279459683951</v>
      </c>
      <c r="K1923" s="2" t="n">
        <f aca="false">Schedule!AU122</f>
        <v>0.204685795347253</v>
      </c>
      <c r="L1923" s="2" t="n">
        <f aca="false">Schedule!AZ122</f>
        <v>0.598706325682924</v>
      </c>
      <c r="M1923" s="2" t="n">
        <f aca="false">Schedule!BE122</f>
        <v>0.174250711880542</v>
      </c>
      <c r="N1923" s="2" t="n">
        <f aca="false">Schedule!BJ122</f>
        <v>0.146859056375896</v>
      </c>
      <c r="O1923" s="2" t="n">
        <f aca="false">Schedule!BO122</f>
        <v>0.23807760572368</v>
      </c>
    </row>
    <row r="1924" customFormat="false" ht="15" hidden="false" customHeight="false" outlineLevel="0" collapsed="false">
      <c r="B1924" s="2" t="n">
        <v>0</v>
      </c>
      <c r="C1924" s="2" t="n">
        <f aca="false">1-C$1923</f>
        <v>0.987575754456027</v>
      </c>
      <c r="D1924" s="2" t="n">
        <f aca="false">C1924*(1-D$1923)</f>
        <v>0.545350420236991</v>
      </c>
      <c r="E1924" s="2" t="n">
        <f aca="false">D1924*(1-E$1923)</f>
        <v>0.147301056687805</v>
      </c>
      <c r="F1924" s="2" t="n">
        <f aca="false">E1924*(1-F$1923)</f>
        <v>0.113361542240037</v>
      </c>
      <c r="G1924" s="2" t="n">
        <f aca="false">F1924*(1-G$1923)</f>
        <v>0.0946818125749553</v>
      </c>
      <c r="H1924" s="2" t="n">
        <f aca="false">G1924*(1-H$1923)</f>
        <v>0.0529856174626283</v>
      </c>
      <c r="I1924" s="2" t="n">
        <f aca="false">H1924*(1-I$1923)</f>
        <v>0.0250407012737838</v>
      </c>
      <c r="J1924" s="2" t="n">
        <f aca="false">I1924*(1-J$1923)</f>
        <v>0.0164697835716858</v>
      </c>
      <c r="K1924" s="2" t="n">
        <f aca="false">J1924*(1-K$1923)</f>
        <v>0.0130986528221182</v>
      </c>
      <c r="L1924" s="2" t="n">
        <f aca="false">K1924*(1-L$1923)</f>
        <v>0.00525640651959156</v>
      </c>
      <c r="M1924" s="2" t="n">
        <f aca="false">L1924*(1-M$1923)</f>
        <v>0.0043404739416192</v>
      </c>
      <c r="N1924" s="2" t="n">
        <f aca="false">M1924*(1-N$1923)</f>
        <v>0.00370303603432884</v>
      </c>
      <c r="O1924" s="2" t="n">
        <f aca="false">N1924*(1-O$1923)</f>
        <v>0.00282142608136732</v>
      </c>
    </row>
    <row r="1925" customFormat="false" ht="15" hidden="false" customHeight="false" outlineLevel="0" collapsed="false">
      <c r="B1925" s="2" t="n">
        <v>1</v>
      </c>
      <c r="C1925" s="2" t="n">
        <f aca="false">C$1923</f>
        <v>0.0124242455439734</v>
      </c>
      <c r="D1925" s="2" t="n">
        <f aca="false">C1925*(1-D$1923)+C1924*D$1923</f>
        <v>0.44908614210943</v>
      </c>
      <c r="E1925" s="2" t="n">
        <f aca="false">D1925*(1-E$1923)+D1924*E$1923</f>
        <v>0.519349101885909</v>
      </c>
      <c r="F1925" s="2" t="n">
        <f aca="false">E1925*(1-F$1923)+E1924*F$1923</f>
        <v>0.433625819995085</v>
      </c>
      <c r="G1925" s="2" t="n">
        <f aca="false">F1925*(1-G$1923)+F1924*G$1923</f>
        <v>0.380852630678558</v>
      </c>
      <c r="H1925" s="2" t="n">
        <f aca="false">G1925*(1-H$1923)+G1924*H$1923</f>
        <v>0.254828065425798</v>
      </c>
      <c r="I1925" s="2" t="n">
        <f aca="false">H1925*(1-I$1923)+H1924*I$1923</f>
        <v>0.14837520969263</v>
      </c>
      <c r="J1925" s="2" t="n">
        <f aca="false">I1925*(1-J$1923)+I1924*J$1923</f>
        <v>0.106160340790642</v>
      </c>
      <c r="K1925" s="2" t="n">
        <f aca="false">J1925*(1-K$1923)+J1924*K$1923</f>
        <v>0.0878019577511414</v>
      </c>
      <c r="L1925" s="2" t="n">
        <f aca="false">K1925*(1-L$1923)+K1924*L$1923</f>
        <v>0.0430766165407149</v>
      </c>
      <c r="M1925" s="2" t="n">
        <f aca="false">L1925*(1-M$1923)+L1924*M$1923</f>
        <v>0.0364864180210625</v>
      </c>
      <c r="N1925" s="2" t="n">
        <f aca="false">M1925*(1-N$1923)+M1924*N$1923</f>
        <v>0.0317654950072432</v>
      </c>
      <c r="O1925" s="2" t="n">
        <f aca="false">N1925*(1-O$1923)+N1924*O$1923</f>
        <v>0.0250844519642527</v>
      </c>
    </row>
    <row r="1926" customFormat="false" ht="15" hidden="false" customHeight="false" outlineLevel="0" collapsed="false">
      <c r="B1926" s="2" t="n">
        <v>2</v>
      </c>
      <c r="C1926" s="2" t="n">
        <f aca="false">0</f>
        <v>0</v>
      </c>
      <c r="D1926" s="2" t="n">
        <f aca="false">C1926*(1-D$1923)+C1925*D$1923</f>
        <v>0.00556343765357964</v>
      </c>
      <c r="E1926" s="2" t="n">
        <f aca="false">D1926*(1-E$1923)+D1925*E$1923</f>
        <v>0.329289107749414</v>
      </c>
      <c r="F1926" s="2" t="n">
        <f aca="false">E1926*(1-F$1923)+E1925*F$1923</f>
        <v>0.373080673553384</v>
      </c>
      <c r="G1926" s="2" t="n">
        <f aca="false">F1926*(1-G$1923)+F1925*G$1923</f>
        <v>0.383057310653724</v>
      </c>
      <c r="H1926" s="2" t="n">
        <f aca="false">G1926*(1-H$1923)+G1925*H$1923</f>
        <v>0.382086408598675</v>
      </c>
      <c r="I1926" s="2" t="n">
        <f aca="false">H1926*(1-I$1923)+H1925*I$1923</f>
        <v>0.314969634187099</v>
      </c>
      <c r="J1926" s="2" t="n">
        <f aca="false">I1926*(1-J$1923)+I1925*J$1923</f>
        <v>0.257947784584774</v>
      </c>
      <c r="K1926" s="2" t="n">
        <f aca="false">J1926*(1-K$1923)+J1925*K$1923</f>
        <v>0.226879050928045</v>
      </c>
      <c r="L1926" s="2" t="n">
        <f aca="false">K1926*(1-L$1923)+K1925*L$1923</f>
        <v>0.14361271548544</v>
      </c>
      <c r="M1926" s="2" t="n">
        <f aca="false">L1926*(1-M$1923)+L1925*M$1923</f>
        <v>0.126094228674629</v>
      </c>
      <c r="N1926" s="2" t="n">
        <f aca="false">M1926*(1-N$1923)+M1925*N$1923</f>
        <v>0.112934510158136</v>
      </c>
      <c r="O1926" s="2" t="n">
        <f aca="false">N1926*(1-O$1923)+N1925*O$1923</f>
        <v>0.0936099853720624</v>
      </c>
    </row>
    <row r="1927" customFormat="false" ht="15" hidden="false" customHeight="false" outlineLevel="0" collapsed="false">
      <c r="B1927" s="2" t="n">
        <v>3</v>
      </c>
      <c r="C1927" s="2" t="n">
        <f aca="false">0</f>
        <v>0</v>
      </c>
      <c r="D1927" s="2" t="n">
        <f aca="false">C1927*(1-D$1923)+C1926*D$1923</f>
        <v>0</v>
      </c>
      <c r="E1927" s="2" t="n">
        <f aca="false">D1927*(1-E$1923)+D1926*E$1923</f>
        <v>0.00406073367687256</v>
      </c>
      <c r="F1927" s="2" t="n">
        <f aca="false">E1927*(1-F$1923)+E1926*F$1923</f>
        <v>0.0789963339289039</v>
      </c>
      <c r="G1927" s="2" t="n">
        <f aca="false">F1927*(1-G$1923)+F1926*G$1923</f>
        <v>0.127455589637399</v>
      </c>
      <c r="H1927" s="2" t="n">
        <f aca="false">G1927*(1-H$1923)+G1926*H$1923</f>
        <v>0.240018065372706</v>
      </c>
      <c r="I1927" s="2" t="n">
        <f aca="false">H1927*(1-I$1923)+H1926*I$1923</f>
        <v>0.314945718095407</v>
      </c>
      <c r="J1927" s="2" t="n">
        <f aca="false">I1927*(1-J$1923)+I1926*J$1923</f>
        <v>0.314953904082349</v>
      </c>
      <c r="K1927" s="2" t="n">
        <f aca="false">J1927*(1-K$1923)+J1926*K$1923</f>
        <v>0.303285561173328</v>
      </c>
      <c r="L1927" s="2" t="n">
        <f aca="false">K1927*(1-L$1923)+K1926*L$1923</f>
        <v>0.25754050016612</v>
      </c>
      <c r="M1927" s="2" t="n">
        <f aca="false">L1927*(1-M$1923)+L1926*M$1923</f>
        <v>0.237688502582538</v>
      </c>
      <c r="N1927" s="2" t="n">
        <f aca="false">M1927*(1-N$1923)+M1926*N$1923</f>
        <v>0.221299872819469</v>
      </c>
      <c r="O1927" s="2" t="n">
        <f aca="false">N1927*(1-O$1923)+N1926*O$1923</f>
        <v>0.195500506733681</v>
      </c>
    </row>
    <row r="1928" customFormat="false" ht="15" hidden="false" customHeight="false" outlineLevel="0" collapsed="false">
      <c r="B1928" s="2" t="n">
        <v>4</v>
      </c>
      <c r="C1928" s="2" t="n">
        <f aca="false">0</f>
        <v>0</v>
      </c>
      <c r="D1928" s="2" t="n">
        <f aca="false">C1928*(1-D$1923)+C1927*D$1923</f>
        <v>0</v>
      </c>
      <c r="E1928" s="2" t="n">
        <f aca="false">D1928*(1-E$1923)+D1927*E$1923</f>
        <v>0</v>
      </c>
      <c r="F1928" s="2" t="n">
        <f aca="false">E1928*(1-F$1923)+E1927*F$1923</f>
        <v>0.000935630282590939</v>
      </c>
      <c r="G1928" s="2" t="n">
        <f aca="false">F1928*(1-G$1923)+F1927*G$1923</f>
        <v>0.0137984831757849</v>
      </c>
      <c r="H1928" s="2" t="n">
        <f aca="false">G1928*(1-H$1923)+G1927*H$1923</f>
        <v>0.0638510619978717</v>
      </c>
      <c r="I1928" s="2" t="n">
        <f aca="false">H1928*(1-I$1923)+H1927*I$1923</f>
        <v>0.156762542137211</v>
      </c>
      <c r="J1928" s="2" t="n">
        <f aca="false">I1928*(1-J$1923)+I1927*J$1923</f>
        <v>0.210905394135274</v>
      </c>
      <c r="K1928" s="2" t="n">
        <f aca="false">J1928*(1-K$1923)+J1927*K$1923</f>
        <v>0.232202646148488</v>
      </c>
      <c r="L1928" s="2" t="n">
        <f aca="false">K1928*(1-L$1923)+K1927*L$1923</f>
        <v>0.274760437021841</v>
      </c>
      <c r="M1928" s="2" t="n">
        <f aca="false">L1928*(1-M$1923)+L1927*M$1923</f>
        <v>0.271759850766194</v>
      </c>
      <c r="N1928" s="2" t="n">
        <f aca="false">M1928*(1-N$1923)+M1927*N$1923</f>
        <v>0.266756164722487</v>
      </c>
      <c r="O1928" s="2" t="n">
        <f aca="false">N1928*(1-O$1923)+N1927*O$1923</f>
        <v>0.25593403958114</v>
      </c>
    </row>
    <row r="1929" customFormat="false" ht="15" hidden="false" customHeight="false" outlineLevel="0" collapsed="false">
      <c r="B1929" s="2" t="n">
        <v>5</v>
      </c>
      <c r="C1929" s="2" t="n">
        <f aca="false">0</f>
        <v>0</v>
      </c>
      <c r="D1929" s="2" t="n">
        <f aca="false">C1929*(1-D$1923)+C1928*D$1923</f>
        <v>0</v>
      </c>
      <c r="E1929" s="2" t="n">
        <f aca="false">D1929*(1-E$1923)+D1928*E$1923</f>
        <v>0</v>
      </c>
      <c r="F1929" s="2" t="n">
        <f aca="false">E1929*(1-F$1923)+E1928*F$1923</f>
        <v>0</v>
      </c>
      <c r="G1929" s="2" t="n">
        <f aca="false">F1929*(1-G$1923)+F1928*G$1923</f>
        <v>0.000154173279578849</v>
      </c>
      <c r="H1929" s="2" t="n">
        <f aca="false">G1929*(1-H$1923)+G1928*H$1923</f>
        <v>0.0061628859576856</v>
      </c>
      <c r="I1929" s="2" t="n">
        <f aca="false">H1929*(1-I$1923)+H1928*I$1923</f>
        <v>0.0365879583024091</v>
      </c>
      <c r="J1929" s="2" t="n">
        <f aca="false">I1929*(1-J$1923)+I1928*J$1923</f>
        <v>0.0777212499251289</v>
      </c>
      <c r="K1929" s="2" t="n">
        <f aca="false">J1929*(1-K$1923)+J1928*K$1923</f>
        <v>0.104982152410426</v>
      </c>
      <c r="L1929" s="2" t="n">
        <f aca="false">K1929*(1-L$1923)+K1928*L$1923</f>
        <v>0.181149866767908</v>
      </c>
      <c r="M1929" s="2" t="n">
        <f aca="false">L1929*(1-M$1923)+L1928*M$1923</f>
        <v>0.197461575274199</v>
      </c>
      <c r="N1929" s="2" t="n">
        <f aca="false">M1929*(1-N$1923)+M1928*N$1923</f>
        <v>0.20837294990331</v>
      </c>
      <c r="O1929" s="2" t="n">
        <f aca="false">N1929*(1-O$1923)+N1928*O$1923</f>
        <v>0.222272685901911</v>
      </c>
    </row>
    <row r="1930" customFormat="false" ht="15" hidden="false" customHeight="false" outlineLevel="0" collapsed="false">
      <c r="B1930" s="2" t="n">
        <v>6</v>
      </c>
      <c r="C1930" s="2" t="n">
        <f aca="false">0</f>
        <v>0</v>
      </c>
      <c r="D1930" s="2" t="n">
        <f aca="false">C1930*(1-D$1923)+C1929*D$1923</f>
        <v>0</v>
      </c>
      <c r="E1930" s="2" t="n">
        <f aca="false">D1930*(1-E$1923)+D1929*E$1923</f>
        <v>0</v>
      </c>
      <c r="F1930" s="2" t="n">
        <f aca="false">E1930*(1-F$1923)+E1929*F$1923</f>
        <v>0</v>
      </c>
      <c r="G1930" s="2" t="n">
        <f aca="false">F1930*(1-G$1923)+F1929*G$1923</f>
        <v>0</v>
      </c>
      <c r="H1930" s="2" t="n">
        <f aca="false">G1930*(1-H$1923)+G1929*H$1923</f>
        <v>6.78951846357815E-005</v>
      </c>
      <c r="I1930" s="2" t="n">
        <f aca="false">H1930*(1-I$1923)+H1929*I$1923</f>
        <v>0.0032824280046938</v>
      </c>
      <c r="J1930" s="2" t="n">
        <f aca="false">I1930*(1-J$1923)+I1929*J$1923</f>
        <v>0.0146822269194832</v>
      </c>
      <c r="K1930" s="2" t="n">
        <f aca="false">J1930*(1-K$1923)+J1929*K$1923</f>
        <v>0.0275854194813076</v>
      </c>
      <c r="L1930" s="2" t="n">
        <f aca="false">K1930*(1-L$1923)+K1929*L$1923</f>
        <v>0.0739233330731624</v>
      </c>
      <c r="M1930" s="2" t="n">
        <f aca="false">L1930*(1-M$1923)+L1929*M$1923</f>
        <v>0.0926076329019548</v>
      </c>
      <c r="N1930" s="2" t="n">
        <f aca="false">M1930*(1-N$1923)+M1929*N$1923</f>
        <v>0.108006383936035</v>
      </c>
      <c r="O1930" s="2" t="n">
        <f aca="false">N1930*(1-O$1923)+N1929*O$1923</f>
        <v>0.131901415656232</v>
      </c>
    </row>
    <row r="1931" customFormat="false" ht="15" hidden="false" customHeight="false" outlineLevel="0" collapsed="false">
      <c r="B1931" s="2" t="n">
        <v>7</v>
      </c>
      <c r="C1931" s="2" t="n">
        <f aca="false">0</f>
        <v>0</v>
      </c>
      <c r="D1931" s="2" t="n">
        <f aca="false">C1931*(1-D$1923)+C1930*D$1923</f>
        <v>0</v>
      </c>
      <c r="E1931" s="2" t="n">
        <f aca="false">D1931*(1-E$1923)+D1930*E$1923</f>
        <v>0</v>
      </c>
      <c r="F1931" s="2" t="n">
        <f aca="false">E1931*(1-F$1923)+E1930*F$1923</f>
        <v>0</v>
      </c>
      <c r="G1931" s="2" t="n">
        <f aca="false">F1931*(1-G$1923)+F1930*G$1923</f>
        <v>0</v>
      </c>
      <c r="H1931" s="2" t="n">
        <f aca="false">G1931*(1-H$1923)+G1930*H$1923</f>
        <v>0</v>
      </c>
      <c r="I1931" s="2" t="n">
        <f aca="false">H1931*(1-I$1923)+H1930*I$1923</f>
        <v>3.58083067657229E-005</v>
      </c>
      <c r="J1931" s="2" t="n">
        <f aca="false">I1931*(1-J$1923)+I1930*J$1923</f>
        <v>0.00114705954277182</v>
      </c>
      <c r="K1931" s="2" t="n">
        <f aca="false">J1931*(1-K$1923)+J1930*K$1923</f>
        <v>0.00391751604243218</v>
      </c>
      <c r="L1931" s="2" t="n">
        <f aca="false">K1931*(1-L$1923)+K1930*L$1923</f>
        <v>0.0180876395469395</v>
      </c>
      <c r="M1931" s="2" t="n">
        <f aca="false">L1931*(1-M$1923)+L1930*M$1923</f>
        <v>0.0278170488922276</v>
      </c>
      <c r="N1931" s="2" t="n">
        <f aca="false">M1931*(1-N$1923)+M1930*N$1923</f>
        <v>0.0373321329219394</v>
      </c>
      <c r="O1931" s="2" t="n">
        <f aca="false">N1931*(1-O$1923)+N1930*O$1923</f>
        <v>0.0541580893896896</v>
      </c>
    </row>
    <row r="1932" customFormat="false" ht="15" hidden="false" customHeight="false" outlineLevel="0" collapsed="false">
      <c r="B1932" s="2" t="n">
        <v>8</v>
      </c>
      <c r="C1932" s="2" t="n">
        <f aca="false">0</f>
        <v>0</v>
      </c>
      <c r="D1932" s="2" t="n">
        <f aca="false">C1932*(1-D$1923)+C1931*D$1923</f>
        <v>0</v>
      </c>
      <c r="E1932" s="2" t="n">
        <f aca="false">D1932*(1-E$1923)+D1931*E$1923</f>
        <v>0</v>
      </c>
      <c r="F1932" s="2" t="n">
        <f aca="false">E1932*(1-F$1923)+E1931*F$1923</f>
        <v>0</v>
      </c>
      <c r="G1932" s="2" t="n">
        <f aca="false">F1932*(1-G$1923)+F1931*G$1923</f>
        <v>0</v>
      </c>
      <c r="H1932" s="2" t="n">
        <f aca="false">G1932*(1-H$1923)+G1931*H$1923</f>
        <v>0</v>
      </c>
      <c r="I1932" s="2" t="n">
        <f aca="false">H1932*(1-I$1923)+H1931*I$1923</f>
        <v>0</v>
      </c>
      <c r="J1932" s="2" t="n">
        <f aca="false">I1932*(1-J$1923)+I1931*J$1923</f>
        <v>1.22564478919688E-005</v>
      </c>
      <c r="K1932" s="2" t="n">
        <f aca="false">J1932*(1-K$1923)+J1931*K$1923</f>
        <v>0.000244534521929974</v>
      </c>
      <c r="L1932" s="2" t="n">
        <f aca="false">K1932*(1-L$1923)+K1931*L$1923</f>
        <v>0.00244357179237113</v>
      </c>
      <c r="M1932" s="2" t="n">
        <f aca="false">L1932*(1-M$1923)+L1931*M$1923</f>
        <v>0.00516956173531211</v>
      </c>
      <c r="N1932" s="2" t="n">
        <f aca="false">M1932*(1-N$1923)+M1931*N$1923</f>
        <v>0.00849555032846194</v>
      </c>
      <c r="O1932" s="2" t="n">
        <f aca="false">N1932*(1-O$1923)+N1931*O$1923</f>
        <v>0.0153608948695702</v>
      </c>
    </row>
    <row r="1933" customFormat="false" ht="15" hidden="false" customHeight="false" outlineLevel="0" collapsed="false">
      <c r="B1933" s="2" t="n">
        <v>9</v>
      </c>
      <c r="C1933" s="2" t="n">
        <f aca="false">0</f>
        <v>0</v>
      </c>
      <c r="D1933" s="2" t="n">
        <f aca="false">C1933*(1-D$1923)+C1932*D$1923</f>
        <v>0</v>
      </c>
      <c r="E1933" s="2" t="n">
        <f aca="false">D1933*(1-E$1923)+D1932*E$1923</f>
        <v>0</v>
      </c>
      <c r="F1933" s="2" t="n">
        <f aca="false">E1933*(1-F$1923)+E1932*F$1923</f>
        <v>0</v>
      </c>
      <c r="G1933" s="2" t="n">
        <f aca="false">F1933*(1-G$1923)+F1932*G$1923</f>
        <v>0</v>
      </c>
      <c r="H1933" s="2" t="n">
        <f aca="false">G1933*(1-H$1923)+G1932*H$1923</f>
        <v>0</v>
      </c>
      <c r="I1933" s="2" t="n">
        <f aca="false">H1933*(1-I$1923)+H1932*I$1923</f>
        <v>0</v>
      </c>
      <c r="J1933" s="2" t="n">
        <f aca="false">I1933*(1-J$1923)+I1932*J$1923</f>
        <v>0</v>
      </c>
      <c r="K1933" s="2" t="n">
        <f aca="false">J1933*(1-K$1923)+J1932*K$1923</f>
        <v>2.50872078489979E-006</v>
      </c>
      <c r="L1933" s="2" t="n">
        <f aca="false">K1933*(1-L$1923)+K1932*L$1923</f>
        <v>0.000147411098908933</v>
      </c>
      <c r="M1933" s="2" t="n">
        <f aca="false">L1933*(1-M$1923)+L1932*M$1923</f>
        <v>0.000547518734336841</v>
      </c>
      <c r="N1933" s="2" t="n">
        <f aca="false">M1933*(1-N$1923)+M1932*N$1923</f>
        <v>0.00122630760798888</v>
      </c>
      <c r="O1933" s="2" t="n">
        <f aca="false">N1933*(1-O$1923)+N1932*O$1923</f>
        <v>0.0029569515103034</v>
      </c>
    </row>
    <row r="1934" customFormat="false" ht="15" hidden="false" customHeight="false" outlineLevel="0" collapsed="false">
      <c r="B1934" s="2" t="n">
        <v>10</v>
      </c>
      <c r="C1934" s="2" t="n">
        <f aca="false">0</f>
        <v>0</v>
      </c>
      <c r="D1934" s="2" t="n">
        <f aca="false">C1934*(1-D$1923)+C1933*D$1923</f>
        <v>0</v>
      </c>
      <c r="E1934" s="2" t="n">
        <f aca="false">D1934*(1-E$1923)+D1933*E$1923</f>
        <v>0</v>
      </c>
      <c r="F1934" s="2" t="n">
        <f aca="false">E1934*(1-F$1923)+E1933*F$1923</f>
        <v>0</v>
      </c>
      <c r="G1934" s="2" t="n">
        <f aca="false">F1934*(1-G$1923)+F1933*G$1923</f>
        <v>0</v>
      </c>
      <c r="H1934" s="2" t="n">
        <f aca="false">G1934*(1-H$1923)+G1933*H$1923</f>
        <v>0</v>
      </c>
      <c r="I1934" s="2" t="n">
        <f aca="false">H1934*(1-I$1923)+H1933*I$1923</f>
        <v>0</v>
      </c>
      <c r="J1934" s="2" t="n">
        <f aca="false">I1934*(1-J$1923)+I1933*J$1923</f>
        <v>0</v>
      </c>
      <c r="K1934" s="2" t="n">
        <f aca="false">J1934*(1-K$1923)+J1933*K$1923</f>
        <v>0</v>
      </c>
      <c r="L1934" s="2" t="n">
        <f aca="false">K1934*(1-L$1923)+K1933*L$1923</f>
        <v>1.50198700329174E-006</v>
      </c>
      <c r="M1934" s="2" t="n">
        <f aca="false">L1934*(1-M$1923)+L1933*M$1923</f>
        <v>2.69267536227075E-005</v>
      </c>
      <c r="N1934" s="2" t="n">
        <f aca="false">M1934*(1-N$1923)+M1933*N$1923</f>
        <v>0.000103380400667244</v>
      </c>
      <c r="O1934" s="2" t="n">
        <f aca="false">N1934*(1-O$1923)+N1933*O$1923</f>
        <v>0.000370724221588357</v>
      </c>
    </row>
    <row r="1935" customFormat="false" ht="15" hidden="false" customHeight="false" outlineLevel="0" collapsed="false">
      <c r="B1935" s="2" t="n">
        <v>11</v>
      </c>
      <c r="C1935" s="2" t="n">
        <f aca="false">0</f>
        <v>0</v>
      </c>
      <c r="D1935" s="2" t="n">
        <f aca="false">C1935*(1-D$1923)+C1934*D$1923</f>
        <v>0</v>
      </c>
      <c r="E1935" s="2" t="n">
        <f aca="false">D1935*(1-E$1923)+D1934*E$1923</f>
        <v>0</v>
      </c>
      <c r="F1935" s="2" t="n">
        <f aca="false">E1935*(1-F$1923)+E1934*F$1923</f>
        <v>0</v>
      </c>
      <c r="G1935" s="2" t="n">
        <f aca="false">F1935*(1-G$1923)+F1934*G$1923</f>
        <v>0</v>
      </c>
      <c r="H1935" s="2" t="n">
        <f aca="false">G1935*(1-H$1923)+G1934*H$1923</f>
        <v>0</v>
      </c>
      <c r="I1935" s="2" t="n">
        <f aca="false">H1935*(1-I$1923)+H1934*I$1923</f>
        <v>0</v>
      </c>
      <c r="J1935" s="2" t="n">
        <f aca="false">I1935*(1-J$1923)+I1934*J$1923</f>
        <v>0</v>
      </c>
      <c r="K1935" s="2" t="n">
        <f aca="false">J1935*(1-K$1923)+J1934*K$1923</f>
        <v>0</v>
      </c>
      <c r="L1935" s="2" t="n">
        <f aca="false">K1935*(1-L$1923)+K1934*L$1923</f>
        <v>0</v>
      </c>
      <c r="M1935" s="2" t="n">
        <f aca="false">L1935*(1-M$1923)+L1934*M$1923</f>
        <v>2.61722304558907E-007</v>
      </c>
      <c r="N1935" s="2" t="n">
        <f aca="false">M1935*(1-N$1923)+M1934*N$1923</f>
        <v>4.17772364217592E-006</v>
      </c>
      <c r="O1935" s="2" t="n">
        <f aca="false">N1935*(1-O$1923)+N1934*O$1923</f>
        <v>2.77956594696835E-005</v>
      </c>
    </row>
    <row r="1936" customFormat="false" ht="15" hidden="false" customHeight="false" outlineLevel="0" collapsed="false">
      <c r="B1936" s="2" t="n">
        <v>12</v>
      </c>
      <c r="C1936" s="2" t="n">
        <f aca="false">0</f>
        <v>0</v>
      </c>
      <c r="D1936" s="2" t="n">
        <f aca="false">C1936*(1-D$1923)+C1935*D$1923</f>
        <v>0</v>
      </c>
      <c r="E1936" s="2" t="n">
        <f aca="false">D1936*(1-E$1923)+D1935*E$1923</f>
        <v>0</v>
      </c>
      <c r="F1936" s="2" t="n">
        <f aca="false">E1936*(1-F$1923)+E1935*F$1923</f>
        <v>0</v>
      </c>
      <c r="G1936" s="2" t="n">
        <f aca="false">F1936*(1-G$1923)+F1935*G$1923</f>
        <v>0</v>
      </c>
      <c r="H1936" s="2" t="n">
        <f aca="false">G1936*(1-H$1923)+G1935*H$1923</f>
        <v>0</v>
      </c>
      <c r="I1936" s="2" t="n">
        <f aca="false">H1936*(1-I$1923)+H1935*I$1923</f>
        <v>0</v>
      </c>
      <c r="J1936" s="2" t="n">
        <f aca="false">I1936*(1-J$1923)+I1935*J$1923</f>
        <v>0</v>
      </c>
      <c r="K1936" s="2" t="n">
        <f aca="false">J1936*(1-K$1923)+J1935*K$1923</f>
        <v>0</v>
      </c>
      <c r="L1936" s="2" t="n">
        <f aca="false">K1936*(1-L$1923)+K1935*L$1923</f>
        <v>0</v>
      </c>
      <c r="M1936" s="2" t="n">
        <f aca="false">L1936*(1-M$1923)+L1935*M$1923</f>
        <v>0</v>
      </c>
      <c r="N1936" s="2" t="n">
        <f aca="false">M1936*(1-N$1923)+M1935*N$1923</f>
        <v>3.8436290680046E-008</v>
      </c>
      <c r="O1936" s="2" t="n">
        <f aca="false">N1936*(1-O$1923)+N1935*O$1923</f>
        <v>1.02390791272649E-006</v>
      </c>
    </row>
    <row r="1937" customFormat="false" ht="15" hidden="false" customHeight="false" outlineLevel="0" collapsed="false">
      <c r="B1937" s="2" t="n">
        <v>13</v>
      </c>
      <c r="C1937" s="2" t="n">
        <f aca="false">0</f>
        <v>0</v>
      </c>
      <c r="D1937" s="2" t="n">
        <f aca="false">C1937*(1-D$1923)+C1936*D$1923</f>
        <v>0</v>
      </c>
      <c r="E1937" s="2" t="n">
        <f aca="false">D1937*(1-E$1923)+D1936*E$1923</f>
        <v>0</v>
      </c>
      <c r="F1937" s="2" t="n">
        <f aca="false">E1937*(1-F$1923)+E1936*F$1923</f>
        <v>0</v>
      </c>
      <c r="G1937" s="2" t="n">
        <f aca="false">F1937*(1-G$1923)+F1936*G$1923</f>
        <v>0</v>
      </c>
      <c r="H1937" s="2" t="n">
        <f aca="false">G1937*(1-H$1923)+G1936*H$1923</f>
        <v>0</v>
      </c>
      <c r="I1937" s="2" t="n">
        <f aca="false">H1937*(1-I$1923)+H1936*I$1923</f>
        <v>0</v>
      </c>
      <c r="J1937" s="2" t="n">
        <f aca="false">I1937*(1-J$1923)+I1936*J$1923</f>
        <v>0</v>
      </c>
      <c r="K1937" s="2" t="n">
        <f aca="false">J1937*(1-K$1923)+J1936*K$1923</f>
        <v>0</v>
      </c>
      <c r="L1937" s="2" t="n">
        <f aca="false">K1937*(1-L$1923)+K1936*L$1923</f>
        <v>0</v>
      </c>
      <c r="M1937" s="2" t="n">
        <f aca="false">L1937*(1-M$1923)+L1936*M$1923</f>
        <v>0</v>
      </c>
      <c r="N1937" s="2" t="n">
        <f aca="false">M1937*(1-N$1923)+M1936*N$1923</f>
        <v>0</v>
      </c>
      <c r="O1937" s="2" t="n">
        <f aca="false">N1937*(1-O$1923)+N1936*O$1923</f>
        <v>9.15082005800473E-009</v>
      </c>
    </row>
    <row r="1939" customFormat="false" ht="15" hidden="false" customHeight="false" outlineLevel="0" collapsed="false">
      <c r="A1939" s="1" t="s">
        <v>179</v>
      </c>
      <c r="C1939" s="2" t="n">
        <f aca="false">Schedule!G123</f>
        <v>0.729896500998765</v>
      </c>
      <c r="D1939" s="2" t="n">
        <f aca="false">Schedule!L123</f>
        <v>0.552211228127384</v>
      </c>
      <c r="E1939" s="2" t="n">
        <f aca="false">Schedule!Q123</f>
        <v>0.0968004845856103</v>
      </c>
      <c r="F1939" s="2" t="n">
        <f aca="false">Schedule!V123</f>
        <v>0.080756659233771</v>
      </c>
      <c r="G1939" s="2" t="n">
        <f aca="false">Schedule!AA123</f>
        <v>0.943800276516705</v>
      </c>
      <c r="H1939" s="2" t="n">
        <f aca="false">Schedule!AF123</f>
        <v>0.814272166652096</v>
      </c>
      <c r="I1939" s="2" t="n">
        <f aca="false">Schedule!AK123</f>
        <v>0.605938963847754</v>
      </c>
      <c r="J1939" s="2" t="n">
        <f aca="false">Schedule!AP123</f>
        <v>0.389259328607937</v>
      </c>
      <c r="K1939" s="2" t="n">
        <f aca="false">Schedule!AU123</f>
        <v>0.335418337370169</v>
      </c>
      <c r="L1939" s="2" t="n">
        <f aca="false">Schedule!AZ123</f>
        <v>0.475082330970753</v>
      </c>
      <c r="M1939" s="2" t="n">
        <f aca="false">Schedule!BE123</f>
        <v>0.215494614210054</v>
      </c>
      <c r="N1939" s="2" t="n">
        <f aca="false">Schedule!BJ123</f>
        <v>0.708840313211654</v>
      </c>
      <c r="O1939" s="2" t="n">
        <f aca="false">Schedule!BO123</f>
        <v>0</v>
      </c>
    </row>
    <row r="1940" customFormat="false" ht="15" hidden="false" customHeight="false" outlineLevel="0" collapsed="false">
      <c r="B1940" s="2" t="n">
        <v>0</v>
      </c>
      <c r="C1940" s="2" t="n">
        <f aca="false">1-C$1939</f>
        <v>0.270103499001235</v>
      </c>
      <c r="D1940" s="2" t="n">
        <f aca="false">C1940*(1-D$1939)</f>
        <v>0.120949314096259</v>
      </c>
      <c r="E1940" s="2" t="n">
        <f aca="false">D1940*(1-E$1939)</f>
        <v>0.109241361881444</v>
      </c>
      <c r="F1940" s="2" t="n">
        <f aca="false">E1940*(1-F$1939)</f>
        <v>0.100419394445751</v>
      </c>
      <c r="G1940" s="2" t="n">
        <f aca="false">F1940*(1-G$1939)</f>
        <v>0.00564354220021119</v>
      </c>
      <c r="H1940" s="2" t="n">
        <f aca="false">G1940*(1-H$1939)</f>
        <v>0.00104816286525269</v>
      </c>
      <c r="I1940" s="2" t="n">
        <f aca="false">H1940*(1-I$1939)</f>
        <v>0.000413040144737781</v>
      </c>
      <c r="J1940" s="2" t="n">
        <f aca="false">I1940*(1-J$1939)</f>
        <v>0.000252260415309027</v>
      </c>
      <c r="K1940" s="2" t="n">
        <f aca="false">J1940*(1-K$1939)</f>
        <v>0.000167647646221765</v>
      </c>
      <c r="L1940" s="2" t="n">
        <f aca="false">K1940*(1-L$1939)</f>
        <v>8.80012116729686E-005</v>
      </c>
      <c r="M1940" s="2" t="n">
        <f aca="false">L1940*(1-M$1939)</f>
        <v>6.90374245134849E-005</v>
      </c>
      <c r="N1940" s="2" t="n">
        <f aca="false">M1940*(1-N$1939)</f>
        <v>2.01009148980204E-005</v>
      </c>
      <c r="O1940" s="2" t="n">
        <f aca="false">N1940*(1-O$1939)</f>
        <v>2.01009148980204E-005</v>
      </c>
    </row>
    <row r="1941" customFormat="false" ht="15" hidden="false" customHeight="false" outlineLevel="0" collapsed="false">
      <c r="B1941" s="2" t="n">
        <v>1</v>
      </c>
      <c r="C1941" s="2" t="n">
        <f aca="false">C$1939</f>
        <v>0.729896500998765</v>
      </c>
      <c r="D1941" s="2" t="n">
        <f aca="false">C1941*(1-D$1939)+C1940*D$1939</f>
        <v>0.475993642681332</v>
      </c>
      <c r="E1941" s="2" t="n">
        <f aca="false">D1941*(1-E$1939)+D1940*E$1939</f>
        <v>0.441625179624924</v>
      </c>
      <c r="F1941" s="2" t="n">
        <f aca="false">E1941*(1-F$1939)+E1940*F$1939</f>
        <v>0.414782972920594</v>
      </c>
      <c r="G1941" s="2" t="n">
        <f aca="false">F1941*(1-G$1939)+F1940*G$1939</f>
        <v>0.118086540629257</v>
      </c>
      <c r="H1941" s="2" t="n">
        <f aca="false">G1941*(1-H$1939)+G1940*H$1939</f>
        <v>0.0265273366735796</v>
      </c>
      <c r="I1941" s="2" t="n">
        <f aca="false">H1941*(1-I$1939)+H1940*I$1939</f>
        <v>0.0110885124964652</v>
      </c>
      <c r="J1941" s="2" t="n">
        <f aca="false">I1941*(1-J$1939)+I1940*J$1939</f>
        <v>0.00693298529625916</v>
      </c>
      <c r="K1941" s="2" t="n">
        <f aca="false">J1941*(1-K$1939)+J1940*K$1939</f>
        <v>0.00469214766426334</v>
      </c>
      <c r="L1941" s="2" t="n">
        <f aca="false">K1941*(1-L$1939)+K1940*L$1939</f>
        <v>0.00254263764921494</v>
      </c>
      <c r="M1941" s="2" t="n">
        <f aca="false">L1941*(1-M$1939)+L1940*M$1939</f>
        <v>0.00201367671708089</v>
      </c>
      <c r="N1941" s="2" t="n">
        <f aca="false">M1941*(1-N$1939)+M1940*N$1939</f>
        <v>0.000635237991853722</v>
      </c>
      <c r="O1941" s="2" t="n">
        <f aca="false">N1941*(1-O$1939)+N1940*O$1939</f>
        <v>0.000635237991853722</v>
      </c>
    </row>
    <row r="1942" customFormat="false" ht="15" hidden="false" customHeight="false" outlineLevel="0" collapsed="false">
      <c r="B1942" s="2" t="n">
        <v>2</v>
      </c>
      <c r="C1942" s="2" t="n">
        <f aca="false">0</f>
        <v>0</v>
      </c>
      <c r="D1942" s="2" t="n">
        <f aca="false">C1942*(1-D$1939)+C1941*D$1939</f>
        <v>0.403057043222409</v>
      </c>
      <c r="E1942" s="2" t="n">
        <f aca="false">D1942*(1-E$1939)+D1941*E$1939</f>
        <v>0.410117341394059</v>
      </c>
      <c r="F1942" s="2" t="n">
        <f aca="false">E1942*(1-F$1939)+E1941*F$1939</f>
        <v>0.412661809149262</v>
      </c>
      <c r="G1942" s="2" t="n">
        <f aca="false">F1942*(1-G$1939)+F1941*G$1939</f>
        <v>0.414663764103183</v>
      </c>
      <c r="H1942" s="2" t="n">
        <f aca="false">G1942*(1-H$1939)+G1941*H$1939</f>
        <v>0.173169185765406</v>
      </c>
      <c r="I1942" s="2" t="n">
        <f aca="false">H1942*(1-I$1939)+H1941*I$1939</f>
        <v>0.0843131756699861</v>
      </c>
      <c r="J1942" s="2" t="n">
        <f aca="false">I1942*(1-J$1939)+I1941*J$1939</f>
        <v>0.055809792445519</v>
      </c>
      <c r="K1942" s="2" t="n">
        <f aca="false">J1942*(1-K$1939)+J1941*K$1939</f>
        <v>0.0394156150555518</v>
      </c>
      <c r="L1942" s="2" t="n">
        <f aca="false">K1942*(1-L$1939)+K1941*L$1939</f>
        <v>0.0229191092279116</v>
      </c>
      <c r="M1942" s="2" t="n">
        <f aca="false">L1942*(1-M$1939)+L1941*M$1939</f>
        <v>0.0185280893460982</v>
      </c>
      <c r="N1942" s="2" t="n">
        <f aca="false">M1942*(1-N$1939)+M1941*N$1939</f>
        <v>0.00682200792563908</v>
      </c>
      <c r="O1942" s="2" t="n">
        <f aca="false">N1942*(1-O$1939)+N1941*O$1939</f>
        <v>0.00682200792563908</v>
      </c>
    </row>
    <row r="1943" customFormat="false" ht="15" hidden="false" customHeight="false" outlineLevel="0" collapsed="false">
      <c r="B1943" s="2" t="n">
        <v>3</v>
      </c>
      <c r="C1943" s="2" t="n">
        <f aca="false">0</f>
        <v>0</v>
      </c>
      <c r="D1943" s="2" t="n">
        <f aca="false">C1943*(1-D$1939)+C1942*D$1939</f>
        <v>0</v>
      </c>
      <c r="E1943" s="2" t="n">
        <f aca="false">D1943*(1-E$1939)+D1942*E$1939</f>
        <v>0.0390161170995724</v>
      </c>
      <c r="F1943" s="2" t="n">
        <f aca="false">E1943*(1-F$1939)+E1942*F$1939</f>
        <v>0.0689850122111575</v>
      </c>
      <c r="G1943" s="2" t="n">
        <f aca="false">F1943*(1-G$1939)+F1942*G$1939</f>
        <v>0.393347268193716</v>
      </c>
      <c r="H1943" s="2" t="n">
        <f aca="false">G1943*(1-H$1939)+G1942*H$1939</f>
        <v>0.410704697503348</v>
      </c>
      <c r="I1943" s="2" t="n">
        <f aca="false">H1943*(1-I$1939)+H1942*I$1939</f>
        <v>0.266772675643813</v>
      </c>
      <c r="J1943" s="2" t="n">
        <f aca="false">I1943*(1-J$1939)+I1942*J$1939</f>
        <v>0.195748613185861</v>
      </c>
      <c r="K1943" s="2" t="n">
        <f aca="false">J1943*(1-K$1939)+J1942*K$1939</f>
        <v>0.148810566599594</v>
      </c>
      <c r="L1943" s="2" t="n">
        <f aca="false">K1943*(1-L$1939)+K1942*L$1939</f>
        <v>0.0968389580236177</v>
      </c>
      <c r="M1943" s="2" t="n">
        <f aca="false">L1943*(1-M$1939)+L1942*M$1939</f>
        <v>0.0809096287249214</v>
      </c>
      <c r="N1943" s="2" t="n">
        <f aca="false">M1943*(1-N$1939)+M1942*N$1939</f>
        <v>0.0366910788130113</v>
      </c>
      <c r="O1943" s="2" t="n">
        <f aca="false">N1943*(1-O$1939)+N1942*O$1939</f>
        <v>0.0366910788130113</v>
      </c>
    </row>
    <row r="1944" customFormat="false" ht="15" hidden="false" customHeight="false" outlineLevel="0" collapsed="false">
      <c r="B1944" s="2" t="n">
        <v>4</v>
      </c>
      <c r="C1944" s="2" t="n">
        <f aca="false">0</f>
        <v>0</v>
      </c>
      <c r="D1944" s="2" t="n">
        <f aca="false">C1944*(1-D$1939)+C1943*D$1939</f>
        <v>0</v>
      </c>
      <c r="E1944" s="2" t="n">
        <f aca="false">D1944*(1-E$1939)+D1943*E$1939</f>
        <v>0</v>
      </c>
      <c r="F1944" s="2" t="n">
        <f aca="false">E1944*(1-F$1939)+E1943*F$1939</f>
        <v>0.00315081127323508</v>
      </c>
      <c r="G1944" s="2" t="n">
        <f aca="false">F1944*(1-G$1939)+F1943*G$1939</f>
        <v>0.0652851483227026</v>
      </c>
      <c r="H1944" s="2" t="n">
        <f aca="false">G1944*(1-H$1939)+G1943*H$1939</f>
        <v>0.332417001466552</v>
      </c>
      <c r="I1944" s="2" t="n">
        <f aca="false">H1944*(1-I$1939)+H1943*I$1939</f>
        <v>0.379854566885116</v>
      </c>
      <c r="J1944" s="2" t="n">
        <f aca="false">I1944*(1-J$1939)+I1943*J$1939</f>
        <v>0.335836385822811</v>
      </c>
      <c r="K1944" s="2" t="n">
        <f aca="false">J1944*(1-K$1939)+J1943*K$1939</f>
        <v>0.288848378039035</v>
      </c>
      <c r="L1944" s="2" t="n">
        <f aca="false">K1944*(1-L$1939)+K1943*L$1939</f>
        <v>0.222318888156342</v>
      </c>
      <c r="M1944" s="2" t="n">
        <f aca="false">L1944*(1-M$1939)+L1943*M$1939</f>
        <v>0.195278639021286</v>
      </c>
      <c r="N1944" s="2" t="n">
        <f aca="false">M1944*(1-N$1939)+M1943*N$1939</f>
        <v>0.114209273941104</v>
      </c>
      <c r="O1944" s="2" t="n">
        <f aca="false">N1944*(1-O$1939)+N1943*O$1939</f>
        <v>0.114209273941104</v>
      </c>
    </row>
    <row r="1945" customFormat="false" ht="15" hidden="false" customHeight="false" outlineLevel="0" collapsed="false">
      <c r="B1945" s="2" t="n">
        <v>5</v>
      </c>
      <c r="C1945" s="2" t="n">
        <f aca="false">0</f>
        <v>0</v>
      </c>
      <c r="D1945" s="2" t="n">
        <f aca="false">C1945*(1-D$1939)+C1944*D$1939</f>
        <v>0</v>
      </c>
      <c r="E1945" s="2" t="n">
        <f aca="false">D1945*(1-E$1939)+D1944*E$1939</f>
        <v>0</v>
      </c>
      <c r="F1945" s="2" t="n">
        <f aca="false">E1945*(1-F$1939)+E1944*F$1939</f>
        <v>0</v>
      </c>
      <c r="G1945" s="2" t="n">
        <f aca="false">F1945*(1-G$1939)+F1944*G$1939</f>
        <v>0.00297373655093122</v>
      </c>
      <c r="H1945" s="2" t="n">
        <f aca="false">G1945*(1-H$1939)+G1944*H$1939</f>
        <v>0.0537121848214824</v>
      </c>
      <c r="I1945" s="2" t="n">
        <f aca="false">H1945*(1-I$1939)+H1944*I$1939</f>
        <v>0.222590292638774</v>
      </c>
      <c r="J1945" s="2" t="n">
        <f aca="false">I1945*(1-J$1939)+I1944*J$1939</f>
        <v>0.28380687844592</v>
      </c>
      <c r="K1945" s="2" t="n">
        <f aca="false">J1945*(1-K$1939)+J1944*K$1939</f>
        <v>0.301258529304465</v>
      </c>
      <c r="L1945" s="2" t="n">
        <f aca="false">K1945*(1-L$1939)+K1944*L$1939</f>
        <v>0.295362685713585</v>
      </c>
      <c r="M1945" s="2" t="n">
        <f aca="false">L1945*(1-M$1939)+L1944*M$1939</f>
        <v>0.27962214073855</v>
      </c>
      <c r="N1945" s="2" t="n">
        <f aca="false">M1945*(1-N$1939)+M1944*N$1939</f>
        <v>0.219836066563917</v>
      </c>
      <c r="O1945" s="2" t="n">
        <f aca="false">N1945*(1-O$1939)+N1944*O$1939</f>
        <v>0.219836066563917</v>
      </c>
    </row>
    <row r="1946" customFormat="false" ht="15" hidden="false" customHeight="false" outlineLevel="0" collapsed="false">
      <c r="B1946" s="2" t="n">
        <v>6</v>
      </c>
      <c r="C1946" s="2" t="n">
        <f aca="false">0</f>
        <v>0</v>
      </c>
      <c r="D1946" s="2" t="n">
        <f aca="false">C1946*(1-D$1939)+C1945*D$1939</f>
        <v>0</v>
      </c>
      <c r="E1946" s="2" t="n">
        <f aca="false">D1946*(1-E$1939)+D1945*E$1939</f>
        <v>0</v>
      </c>
      <c r="F1946" s="2" t="n">
        <f aca="false">E1946*(1-F$1939)+E1945*F$1939</f>
        <v>0</v>
      </c>
      <c r="G1946" s="2" t="n">
        <f aca="false">F1946*(1-G$1939)+F1945*G$1939</f>
        <v>0</v>
      </c>
      <c r="H1946" s="2" t="n">
        <f aca="false">G1946*(1-H$1939)+G1945*H$1939</f>
        <v>0.00242143090437929</v>
      </c>
      <c r="I1946" s="2" t="n">
        <f aca="false">H1946*(1-I$1939)+H1945*I$1939</f>
        <v>0.0335004971878789</v>
      </c>
      <c r="J1946" s="2" t="n">
        <f aca="false">I1946*(1-J$1939)+I1945*J$1939</f>
        <v>0.107105464011707</v>
      </c>
      <c r="K1946" s="2" t="n">
        <f aca="false">J1946*(1-K$1939)+J1945*K$1939</f>
        <v>0.166374358652188</v>
      </c>
      <c r="L1946" s="2" t="n">
        <f aca="false">K1946*(1-L$1939)+K1945*L$1939</f>
        <v>0.230455444856729</v>
      </c>
      <c r="M1946" s="2" t="n">
        <f aca="false">L1946*(1-M$1939)+L1945*M$1939</f>
        <v>0.244442605684616</v>
      </c>
      <c r="N1946" s="2" t="n">
        <f aca="false">M1946*(1-N$1939)+M1945*N$1939</f>
        <v>0.269379278330887</v>
      </c>
      <c r="O1946" s="2" t="n">
        <f aca="false">N1946*(1-O$1939)+N1945*O$1939</f>
        <v>0.269379278330887</v>
      </c>
    </row>
    <row r="1947" customFormat="false" ht="15" hidden="false" customHeight="false" outlineLevel="0" collapsed="false">
      <c r="B1947" s="2" t="n">
        <v>7</v>
      </c>
      <c r="C1947" s="2" t="n">
        <f aca="false">0</f>
        <v>0</v>
      </c>
      <c r="D1947" s="2" t="n">
        <f aca="false">C1947*(1-D$1939)+C1946*D$1939</f>
        <v>0</v>
      </c>
      <c r="E1947" s="2" t="n">
        <f aca="false">D1947*(1-E$1939)+D1946*E$1939</f>
        <v>0</v>
      </c>
      <c r="F1947" s="2" t="n">
        <f aca="false">E1947*(1-F$1939)+E1946*F$1939</f>
        <v>0</v>
      </c>
      <c r="G1947" s="2" t="n">
        <f aca="false">F1947*(1-G$1939)+F1946*G$1939</f>
        <v>0</v>
      </c>
      <c r="H1947" s="2" t="n">
        <f aca="false">G1947*(1-H$1939)+G1946*H$1939</f>
        <v>0</v>
      </c>
      <c r="I1947" s="2" t="n">
        <f aca="false">H1947*(1-I$1939)+H1946*I$1939</f>
        <v>0.00146723933322852</v>
      </c>
      <c r="J1947" s="2" t="n">
        <f aca="false">I1947*(1-J$1939)+I1946*J$1939</f>
        <v>0.0139364837788546</v>
      </c>
      <c r="K1947" s="2" t="n">
        <f aca="false">J1947*(1-K$1939)+J1946*K$1939</f>
        <v>0.045187068223032</v>
      </c>
      <c r="L1947" s="2" t="n">
        <f aca="false">K1947*(1-L$1939)+K1946*L$1939</f>
        <v>0.102761008644145</v>
      </c>
      <c r="M1947" s="2" t="n">
        <f aca="false">L1947*(1-M$1939)+L1946*M$1939</f>
        <v>0.130278471912546</v>
      </c>
      <c r="N1947" s="2" t="n">
        <f aca="false">M1947*(1-N$1939)+M1946*N$1939</f>
        <v>0.211202612253077</v>
      </c>
      <c r="O1947" s="2" t="n">
        <f aca="false">N1947*(1-O$1939)+N1946*O$1939</f>
        <v>0.211202612253077</v>
      </c>
    </row>
    <row r="1948" customFormat="false" ht="15" hidden="false" customHeight="false" outlineLevel="0" collapsed="false">
      <c r="B1948" s="2" t="n">
        <v>8</v>
      </c>
      <c r="C1948" s="2" t="n">
        <f aca="false">0</f>
        <v>0</v>
      </c>
      <c r="D1948" s="2" t="n">
        <f aca="false">C1948*(1-D$1939)+C1947*D$1939</f>
        <v>0</v>
      </c>
      <c r="E1948" s="2" t="n">
        <f aca="false">D1948*(1-E$1939)+D1947*E$1939</f>
        <v>0</v>
      </c>
      <c r="F1948" s="2" t="n">
        <f aca="false">E1948*(1-F$1939)+E1947*F$1939</f>
        <v>0</v>
      </c>
      <c r="G1948" s="2" t="n">
        <f aca="false">F1948*(1-G$1939)+F1947*G$1939</f>
        <v>0</v>
      </c>
      <c r="H1948" s="2" t="n">
        <f aca="false">G1948*(1-H$1939)+G1947*H$1939</f>
        <v>0</v>
      </c>
      <c r="I1948" s="2" t="n">
        <f aca="false">H1948*(1-I$1939)+H1947*I$1939</f>
        <v>0</v>
      </c>
      <c r="J1948" s="2" t="n">
        <f aca="false">I1948*(1-J$1939)+I1947*J$1939</f>
        <v>0.000571136597759691</v>
      </c>
      <c r="K1948" s="2" t="n">
        <f aca="false">J1948*(1-K$1939)+J1947*K$1939</f>
        <v>0.00505411912761764</v>
      </c>
      <c r="L1948" s="2" t="n">
        <f aca="false">K1948*(1-L$1939)+K1947*L$1939</f>
        <v>0.0241205741325977</v>
      </c>
      <c r="M1948" s="2" t="n">
        <f aca="false">L1948*(1-M$1939)+L1947*M$1939</f>
        <v>0.0410671642289746</v>
      </c>
      <c r="N1948" s="2" t="n">
        <f aca="false">M1948*(1-N$1939)+M1947*N$1939</f>
        <v>0.104303735509418</v>
      </c>
      <c r="O1948" s="2" t="n">
        <f aca="false">N1948*(1-O$1939)+N1947*O$1939</f>
        <v>0.104303735509418</v>
      </c>
    </row>
    <row r="1949" customFormat="false" ht="15" hidden="false" customHeight="false" outlineLevel="0" collapsed="false">
      <c r="B1949" s="2" t="n">
        <v>9</v>
      </c>
      <c r="C1949" s="2" t="n">
        <f aca="false">0</f>
        <v>0</v>
      </c>
      <c r="D1949" s="2" t="n">
        <f aca="false">C1949*(1-D$1939)+C1948*D$1939</f>
        <v>0</v>
      </c>
      <c r="E1949" s="2" t="n">
        <f aca="false">D1949*(1-E$1939)+D1948*E$1939</f>
        <v>0</v>
      </c>
      <c r="F1949" s="2" t="n">
        <f aca="false">E1949*(1-F$1939)+E1948*F$1939</f>
        <v>0</v>
      </c>
      <c r="G1949" s="2" t="n">
        <f aca="false">F1949*(1-G$1939)+F1948*G$1939</f>
        <v>0</v>
      </c>
      <c r="H1949" s="2" t="n">
        <f aca="false">G1949*(1-H$1939)+G1948*H$1939</f>
        <v>0</v>
      </c>
      <c r="I1949" s="2" t="n">
        <f aca="false">H1949*(1-I$1939)+H1948*I$1939</f>
        <v>0</v>
      </c>
      <c r="J1949" s="2" t="n">
        <f aca="false">I1949*(1-J$1939)+I1948*J$1939</f>
        <v>0</v>
      </c>
      <c r="K1949" s="2" t="n">
        <f aca="false">J1949*(1-K$1939)+J1948*K$1939</f>
        <v>0.000191569688031811</v>
      </c>
      <c r="L1949" s="2" t="n">
        <f aca="false">K1949*(1-L$1939)+K1948*L$1939</f>
        <v>0.00250168101025078</v>
      </c>
      <c r="M1949" s="2" t="n">
        <f aca="false">L1949*(1-M$1939)+L1948*M$1939</f>
        <v>0.00716043604329931</v>
      </c>
      <c r="N1949" s="2" t="n">
        <f aca="false">M1949*(1-N$1939)+M1948*N$1939</f>
        <v>0.0311948918704158</v>
      </c>
      <c r="O1949" s="2" t="n">
        <f aca="false">N1949*(1-O$1939)+N1948*O$1939</f>
        <v>0.0311948918704158</v>
      </c>
    </row>
    <row r="1950" customFormat="false" ht="15" hidden="false" customHeight="false" outlineLevel="0" collapsed="false">
      <c r="B1950" s="2" t="n">
        <v>10</v>
      </c>
      <c r="C1950" s="2" t="n">
        <f aca="false">0</f>
        <v>0</v>
      </c>
      <c r="D1950" s="2" t="n">
        <f aca="false">C1950*(1-D$1939)+C1949*D$1939</f>
        <v>0</v>
      </c>
      <c r="E1950" s="2" t="n">
        <f aca="false">D1950*(1-E$1939)+D1949*E$1939</f>
        <v>0</v>
      </c>
      <c r="F1950" s="2" t="n">
        <f aca="false">E1950*(1-F$1939)+E1949*F$1939</f>
        <v>0</v>
      </c>
      <c r="G1950" s="2" t="n">
        <f aca="false">F1950*(1-G$1939)+F1949*G$1939</f>
        <v>0</v>
      </c>
      <c r="H1950" s="2" t="n">
        <f aca="false">G1950*(1-H$1939)+G1949*H$1939</f>
        <v>0</v>
      </c>
      <c r="I1950" s="2" t="n">
        <f aca="false">H1950*(1-I$1939)+H1949*I$1939</f>
        <v>0</v>
      </c>
      <c r="J1950" s="2" t="n">
        <f aca="false">I1950*(1-J$1939)+I1949*J$1939</f>
        <v>0</v>
      </c>
      <c r="K1950" s="2" t="n">
        <f aca="false">J1950*(1-K$1939)+J1949*K$1939</f>
        <v>0</v>
      </c>
      <c r="L1950" s="2" t="n">
        <f aca="false">K1950*(1-L$1939)+K1949*L$1939</f>
        <v>9.10113739334925E-005</v>
      </c>
      <c r="M1950" s="2" t="n">
        <f aca="false">L1950*(1-M$1939)+L1949*M$1939</f>
        <v>0.000610497697199577</v>
      </c>
      <c r="N1950" s="2" t="n">
        <f aca="false">M1950*(1-N$1939)+M1949*N$1939</f>
        <v>0.00525335804596593</v>
      </c>
      <c r="O1950" s="2" t="n">
        <f aca="false">N1950*(1-O$1939)+N1949*O$1939</f>
        <v>0.00525335804596593</v>
      </c>
    </row>
    <row r="1951" customFormat="false" ht="15" hidden="false" customHeight="false" outlineLevel="0" collapsed="false">
      <c r="B1951" s="2" t="n">
        <v>11</v>
      </c>
      <c r="C1951" s="2" t="n">
        <f aca="false">0</f>
        <v>0</v>
      </c>
      <c r="D1951" s="2" t="n">
        <f aca="false">C1951*(1-D$1939)+C1950*D$1939</f>
        <v>0</v>
      </c>
      <c r="E1951" s="2" t="n">
        <f aca="false">D1951*(1-E$1939)+D1950*E$1939</f>
        <v>0</v>
      </c>
      <c r="F1951" s="2" t="n">
        <f aca="false">E1951*(1-F$1939)+E1950*F$1939</f>
        <v>0</v>
      </c>
      <c r="G1951" s="2" t="n">
        <f aca="false">F1951*(1-G$1939)+F1950*G$1939</f>
        <v>0</v>
      </c>
      <c r="H1951" s="2" t="n">
        <f aca="false">G1951*(1-H$1939)+G1950*H$1939</f>
        <v>0</v>
      </c>
      <c r="I1951" s="2" t="n">
        <f aca="false">H1951*(1-I$1939)+H1950*I$1939</f>
        <v>0</v>
      </c>
      <c r="J1951" s="2" t="n">
        <f aca="false">I1951*(1-J$1939)+I1950*J$1939</f>
        <v>0</v>
      </c>
      <c r="K1951" s="2" t="n">
        <f aca="false">J1951*(1-K$1939)+J1950*K$1939</f>
        <v>0</v>
      </c>
      <c r="L1951" s="2" t="n">
        <f aca="false">K1951*(1-L$1939)+K1950*L$1939</f>
        <v>0</v>
      </c>
      <c r="M1951" s="2" t="n">
        <f aca="false">L1951*(1-M$1939)+L1950*M$1939</f>
        <v>1.9612460914525E-005</v>
      </c>
      <c r="N1951" s="2" t="n">
        <f aca="false">M1951*(1-N$1939)+M1950*N$1939</f>
        <v>0.000438455736874963</v>
      </c>
      <c r="O1951" s="2" t="n">
        <f aca="false">N1951*(1-O$1939)+N1950*O$1939</f>
        <v>0.000438455736874963</v>
      </c>
    </row>
    <row r="1952" customFormat="false" ht="15" hidden="false" customHeight="false" outlineLevel="0" collapsed="false">
      <c r="B1952" s="2" t="n">
        <v>12</v>
      </c>
      <c r="C1952" s="2" t="n">
        <f aca="false">0</f>
        <v>0</v>
      </c>
      <c r="D1952" s="2" t="n">
        <f aca="false">C1952*(1-D$1939)+C1951*D$1939</f>
        <v>0</v>
      </c>
      <c r="E1952" s="2" t="n">
        <f aca="false">D1952*(1-E$1939)+D1951*E$1939</f>
        <v>0</v>
      </c>
      <c r="F1952" s="2" t="n">
        <f aca="false">E1952*(1-F$1939)+E1951*F$1939</f>
        <v>0</v>
      </c>
      <c r="G1952" s="2" t="n">
        <f aca="false">F1952*(1-G$1939)+F1951*G$1939</f>
        <v>0</v>
      </c>
      <c r="H1952" s="2" t="n">
        <f aca="false">G1952*(1-H$1939)+G1951*H$1939</f>
        <v>0</v>
      </c>
      <c r="I1952" s="2" t="n">
        <f aca="false">H1952*(1-I$1939)+H1951*I$1939</f>
        <v>0</v>
      </c>
      <c r="J1952" s="2" t="n">
        <f aca="false">I1952*(1-J$1939)+I1951*J$1939</f>
        <v>0</v>
      </c>
      <c r="K1952" s="2" t="n">
        <f aca="false">J1952*(1-K$1939)+J1951*K$1939</f>
        <v>0</v>
      </c>
      <c r="L1952" s="2" t="n">
        <f aca="false">K1952*(1-L$1939)+K1951*L$1939</f>
        <v>0</v>
      </c>
      <c r="M1952" s="2" t="n">
        <f aca="false">L1952*(1-M$1939)+L1951*M$1939</f>
        <v>0</v>
      </c>
      <c r="N1952" s="2" t="n">
        <f aca="false">M1952*(1-N$1939)+M1951*N$1939</f>
        <v>1.39021029375032E-005</v>
      </c>
      <c r="O1952" s="2" t="n">
        <f aca="false">N1952*(1-O$1939)+N1951*O$1939</f>
        <v>1.39021029375032E-005</v>
      </c>
    </row>
    <row r="1953" customFormat="false" ht="15" hidden="false" customHeight="false" outlineLevel="0" collapsed="false">
      <c r="B1953" s="2" t="n">
        <v>13</v>
      </c>
      <c r="C1953" s="2" t="n">
        <f aca="false">0</f>
        <v>0</v>
      </c>
      <c r="D1953" s="2" t="n">
        <f aca="false">C1953*(1-D$1939)+C1952*D$1939</f>
        <v>0</v>
      </c>
      <c r="E1953" s="2" t="n">
        <f aca="false">D1953*(1-E$1939)+D1952*E$1939</f>
        <v>0</v>
      </c>
      <c r="F1953" s="2" t="n">
        <f aca="false">E1953*(1-F$1939)+E1952*F$1939</f>
        <v>0</v>
      </c>
      <c r="G1953" s="2" t="n">
        <f aca="false">F1953*(1-G$1939)+F1952*G$1939</f>
        <v>0</v>
      </c>
      <c r="H1953" s="2" t="n">
        <f aca="false">G1953*(1-H$1939)+G1952*H$1939</f>
        <v>0</v>
      </c>
      <c r="I1953" s="2" t="n">
        <f aca="false">H1953*(1-I$1939)+H1952*I$1939</f>
        <v>0</v>
      </c>
      <c r="J1953" s="2" t="n">
        <f aca="false">I1953*(1-J$1939)+I1952*J$1939</f>
        <v>0</v>
      </c>
      <c r="K1953" s="2" t="n">
        <f aca="false">J1953*(1-K$1939)+J1952*K$1939</f>
        <v>0</v>
      </c>
      <c r="L1953" s="2" t="n">
        <f aca="false">K1953*(1-L$1939)+K1952*L$1939</f>
        <v>0</v>
      </c>
      <c r="M1953" s="2" t="n">
        <f aca="false">L1953*(1-M$1939)+L1952*M$1939</f>
        <v>0</v>
      </c>
      <c r="N1953" s="2" t="n">
        <f aca="false">M1953*(1-N$1939)+M1952*N$1939</f>
        <v>0</v>
      </c>
      <c r="O1953" s="2" t="n">
        <f aca="false">N1953*(1-O$1939)+N1952*O$1939</f>
        <v>0</v>
      </c>
    </row>
    <row r="1955" customFormat="false" ht="15" hidden="false" customHeight="false" outlineLevel="0" collapsed="false">
      <c r="A1955" s="1" t="s">
        <v>180</v>
      </c>
      <c r="C1955" s="2" t="n">
        <f aca="false">Schedule!G124</f>
        <v>0.0160264617822193</v>
      </c>
      <c r="D1955" s="2" t="n">
        <f aca="false">Schedule!L124</f>
        <v>0.408560294059836</v>
      </c>
      <c r="E1955" s="2" t="n">
        <f aca="false">Schedule!Q124</f>
        <v>0.0340005146698224</v>
      </c>
      <c r="F1955" s="2" t="n">
        <f aca="false">Schedule!V124</f>
        <v>0.725746882249927</v>
      </c>
      <c r="G1955" s="2" t="n">
        <f aca="false">Schedule!AA124</f>
        <v>0.236147484972854</v>
      </c>
      <c r="H1955" s="2" t="n">
        <f aca="false">Schedule!AF124</f>
        <v>0.289019981362493</v>
      </c>
      <c r="I1955" s="2" t="n">
        <f aca="false">Schedule!AK124</f>
        <v>0.22474965994458</v>
      </c>
      <c r="J1955" s="2" t="n">
        <f aca="false">Schedule!AP124</f>
        <v>0.0726617610201275</v>
      </c>
      <c r="K1955" s="2" t="n">
        <f aca="false">Schedule!AU124</f>
        <v>0.401293674317076</v>
      </c>
      <c r="L1955" s="2" t="n">
        <f aca="false">Schedule!AZ124</f>
        <v>0.425634311844103</v>
      </c>
      <c r="M1955" s="2" t="n">
        <f aca="false">Schedule!BE124</f>
        <v>0.131623403929306</v>
      </c>
      <c r="N1955" s="2" t="n">
        <f aca="false">Schedule!BJ124</f>
        <v>0.613135249031273</v>
      </c>
      <c r="O1955" s="2" t="n">
        <f aca="false">Schedule!BO124</f>
        <v>0</v>
      </c>
    </row>
    <row r="1956" customFormat="false" ht="15" hidden="false" customHeight="false" outlineLevel="0" collapsed="false">
      <c r="B1956" s="2" t="n">
        <v>0</v>
      </c>
      <c r="C1956" s="2" t="n">
        <f aca="false">1-C$1955</f>
        <v>0.983973538217781</v>
      </c>
      <c r="D1956" s="2" t="n">
        <f aca="false">C1956*(1-D$1955)</f>
        <v>0.581961020096427</v>
      </c>
      <c r="E1956" s="2" t="n">
        <f aca="false">D1956*(1-E$1955)</f>
        <v>0.562174045895373</v>
      </c>
      <c r="F1956" s="2" t="n">
        <f aca="false">E1956*(1-F$1955)</f>
        <v>0.154177984804979</v>
      </c>
      <c r="G1956" s="2" t="n">
        <f aca="false">F1956*(1-G$1955)</f>
        <v>0.1177692414551</v>
      </c>
      <c r="H1956" s="2" t="n">
        <f aca="false">G1956*(1-H$1955)</f>
        <v>0.0837315774846722</v>
      </c>
      <c r="I1956" s="2" t="n">
        <f aca="false">H1956*(1-I$1955)</f>
        <v>0.0649129339183689</v>
      </c>
      <c r="J1956" s="2" t="n">
        <f aca="false">I1956*(1-J$1955)</f>
        <v>0.060196245826877</v>
      </c>
      <c r="K1956" s="2" t="n">
        <f aca="false">J1956*(1-K$1955)</f>
        <v>0.0360398731589156</v>
      </c>
      <c r="L1956" s="2" t="n">
        <f aca="false">K1956*(1-L$1955)</f>
        <v>0.0207000665479718</v>
      </c>
      <c r="M1956" s="2" t="n">
        <f aca="false">L1956*(1-M$1955)</f>
        <v>0.0179754533273646</v>
      </c>
      <c r="N1956" s="2" t="n">
        <f aca="false">M1956*(1-N$1955)</f>
        <v>0.00695406927504087</v>
      </c>
      <c r="O1956" s="2" t="n">
        <f aca="false">N1956*(1-O$1955)</f>
        <v>0.00695406927504087</v>
      </c>
    </row>
    <row r="1957" customFormat="false" ht="15" hidden="false" customHeight="false" outlineLevel="0" collapsed="false">
      <c r="B1957" s="2" t="n">
        <v>1</v>
      </c>
      <c r="C1957" s="2" t="n">
        <f aca="false">C$1955</f>
        <v>0.0160264617822193</v>
      </c>
      <c r="D1957" s="2" t="n">
        <f aca="false">C1957*(1-D$1955)+C1956*D$1955</f>
        <v>0.411491203965091</v>
      </c>
      <c r="E1957" s="2" t="n">
        <f aca="false">D1957*(1-E$1955)+D1956*E$1955</f>
        <v>0.417287265449227</v>
      </c>
      <c r="F1957" s="2" t="n">
        <f aca="false">E1957*(1-F$1955)+E1956*F$1955</f>
        <v>0.522438394637247</v>
      </c>
      <c r="G1957" s="2" t="n">
        <f aca="false">F1957*(1-G$1955)+F1956*G$1955</f>
        <v>0.435474625040284</v>
      </c>
      <c r="H1957" s="2" t="n">
        <f aca="false">G1957*(1-H$1955)+G1956*H$1955</f>
        <v>0.343651420997731</v>
      </c>
      <c r="I1957" s="2" t="n">
        <f aca="false">H1957*(1-I$1955)+H1956*I$1955</f>
        <v>0.285234524555322</v>
      </c>
      <c r="J1957" s="2" t="n">
        <f aca="false">I1957*(1-J$1955)+I1956*J$1955</f>
        <v>0.269225569788886</v>
      </c>
      <c r="K1957" s="2" t="n">
        <f aca="false">J1957*(1-K$1955)+J1956*K$1955</f>
        <v>0.185343424336157</v>
      </c>
      <c r="L1957" s="2" t="n">
        <f aca="false">K1957*(1-L$1955)+K1956*L$1955</f>
        <v>0.121794710074951</v>
      </c>
      <c r="M1957" s="2" t="n">
        <f aca="false">L1957*(1-M$1955)+L1956*M$1955</f>
        <v>0.10848828897491</v>
      </c>
      <c r="N1957" s="2" t="n">
        <f aca="false">M1957*(1-N$1955)+M1956*N$1955</f>
        <v>0.0529916789496256</v>
      </c>
      <c r="O1957" s="2" t="n">
        <f aca="false">N1957*(1-O$1955)+N1956*O$1955</f>
        <v>0.0529916789496256</v>
      </c>
    </row>
    <row r="1958" customFormat="false" ht="15" hidden="false" customHeight="false" outlineLevel="0" collapsed="false">
      <c r="B1958" s="2" t="n">
        <v>2</v>
      </c>
      <c r="C1958" s="2" t="n">
        <f aca="false">0</f>
        <v>0</v>
      </c>
      <c r="D1958" s="2" t="n">
        <f aca="false">C1958*(1-D$1955)+C1957*D$1955</f>
        <v>0.00654777593848227</v>
      </c>
      <c r="E1958" s="2" t="n">
        <f aca="false">D1958*(1-E$1955)+D1957*E$1955</f>
        <v>0.0203160609035492</v>
      </c>
      <c r="F1958" s="2" t="n">
        <f aca="false">E1958*(1-F$1955)+E1957*F$1955</f>
        <v>0.308416674945572</v>
      </c>
      <c r="G1958" s="2" t="n">
        <f aca="false">F1958*(1-G$1955)+F1957*G$1955</f>
        <v>0.358957365780327</v>
      </c>
      <c r="H1958" s="2" t="n">
        <f aca="false">G1958*(1-H$1955)+G1957*H$1955</f>
        <v>0.381072382625549</v>
      </c>
      <c r="I1958" s="2" t="n">
        <f aca="false">H1958*(1-I$1955)+H1957*I$1955</f>
        <v>0.372662034224897</v>
      </c>
      <c r="J1958" s="2" t="n">
        <f aca="false">I1958*(1-J$1955)+I1957*J$1955</f>
        <v>0.366309397410702</v>
      </c>
      <c r="K1958" s="2" t="n">
        <f aca="false">J1958*(1-K$1955)+J1957*K$1955</f>
        <v>0.327350271507578</v>
      </c>
      <c r="L1958" s="2" t="n">
        <f aca="false">K1958*(1-L$1955)+K1957*L$1955</f>
        <v>0.266907284834619</v>
      </c>
      <c r="M1958" s="2" t="n">
        <f aca="false">L1958*(1-M$1955)+L1957*M$1955</f>
        <v>0.247807073791806</v>
      </c>
      <c r="N1958" s="2" t="n">
        <f aca="false">M1958*(1-N$1955)+M1957*N$1955</f>
        <v>0.162385815968364</v>
      </c>
      <c r="O1958" s="2" t="n">
        <f aca="false">N1958*(1-O$1955)+N1957*O$1955</f>
        <v>0.162385815968364</v>
      </c>
    </row>
    <row r="1959" customFormat="false" ht="15" hidden="false" customHeight="false" outlineLevel="0" collapsed="false">
      <c r="B1959" s="2" t="n">
        <v>3</v>
      </c>
      <c r="C1959" s="2" t="n">
        <f aca="false">0</f>
        <v>0</v>
      </c>
      <c r="D1959" s="2" t="n">
        <f aca="false">C1959*(1-D$1955)+C1958*D$1955</f>
        <v>0</v>
      </c>
      <c r="E1959" s="2" t="n">
        <f aca="false">D1959*(1-E$1955)+D1958*E$1955</f>
        <v>0.000222627751851077</v>
      </c>
      <c r="F1959" s="2" t="n">
        <f aca="false">E1959*(1-F$1955)+E1958*F$1955</f>
        <v>0.0148053742153933</v>
      </c>
      <c r="G1959" s="2" t="n">
        <f aca="false">F1959*(1-G$1955)+F1958*G$1955</f>
        <v>0.0841409444424335</v>
      </c>
      <c r="H1959" s="2" t="n">
        <f aca="false">G1959*(1-H$1955)+G1958*H$1955</f>
        <v>0.163568381415619</v>
      </c>
      <c r="I1959" s="2" t="n">
        <f aca="false">H1959*(1-I$1955)+H1958*I$1955</f>
        <v>0.212452331724136</v>
      </c>
      <c r="J1959" s="2" t="n">
        <f aca="false">I1959*(1-J$1955)+I1958*J$1955</f>
        <v>0.224093450840352</v>
      </c>
      <c r="K1959" s="2" t="n">
        <f aca="false">J1959*(1-K$1955)+J1958*K$1955</f>
        <v>0.281163810586049</v>
      </c>
      <c r="L1959" s="2" t="n">
        <f aca="false">K1959*(1-L$1955)+K1958*L$1955</f>
        <v>0.300822353096898</v>
      </c>
      <c r="M1959" s="2" t="n">
        <f aca="false">L1959*(1-M$1955)+L1958*M$1955</f>
        <v>0.296358336367722</v>
      </c>
      <c r="N1959" s="2" t="n">
        <f aca="false">M1959*(1-N$1955)+M1958*N$1955</f>
        <v>0.266589845897455</v>
      </c>
      <c r="O1959" s="2" t="n">
        <f aca="false">N1959*(1-O$1955)+N1958*O$1955</f>
        <v>0.266589845897455</v>
      </c>
    </row>
    <row r="1960" customFormat="false" ht="15" hidden="false" customHeight="false" outlineLevel="0" collapsed="false">
      <c r="B1960" s="2" t="n">
        <v>4</v>
      </c>
      <c r="C1960" s="2" t="n">
        <f aca="false">0</f>
        <v>0</v>
      </c>
      <c r="D1960" s="2" t="n">
        <f aca="false">C1960*(1-D$1955)+C1959*D$1955</f>
        <v>0</v>
      </c>
      <c r="E1960" s="2" t="n">
        <f aca="false">D1960*(1-E$1955)+D1959*E$1955</f>
        <v>0</v>
      </c>
      <c r="F1960" s="2" t="n">
        <f aca="false">E1960*(1-F$1955)+E1959*F$1955</f>
        <v>0.000161571396808229</v>
      </c>
      <c r="G1960" s="2" t="n">
        <f aca="false">F1960*(1-G$1955)+F1959*G$1955</f>
        <v>0.00361966860285549</v>
      </c>
      <c r="H1960" s="2" t="n">
        <f aca="false">G1960*(1-H$1955)+G1959*H$1955</f>
        <v>0.0268919262452945</v>
      </c>
      <c r="I1960" s="2" t="n">
        <f aca="false">H1960*(1-I$1955)+H1959*I$1955</f>
        <v>0.0576099130672555</v>
      </c>
      <c r="J1960" s="2" t="n">
        <f aca="false">I1960*(1-J$1955)+I1959*J$1955</f>
        <v>0.0688610358874802</v>
      </c>
      <c r="K1960" s="2" t="n">
        <f aca="false">J1960*(1-K$1955)+J1959*K$1955</f>
        <v>0.131154822057031</v>
      </c>
      <c r="L1960" s="2" t="n">
        <f aca="false">K1960*(1-L$1955)+K1959*L$1955</f>
        <v>0.195003794660009</v>
      </c>
      <c r="M1960" s="2" t="n">
        <f aca="false">L1960*(1-M$1955)+L1959*M$1955</f>
        <v>0.208931993520365</v>
      </c>
      <c r="N1960" s="2" t="n">
        <f aca="false">M1960*(1-N$1955)+M1959*N$1955</f>
        <v>0.262536166013973</v>
      </c>
      <c r="O1960" s="2" t="n">
        <f aca="false">N1960*(1-O$1955)+N1959*O$1955</f>
        <v>0.262536166013973</v>
      </c>
    </row>
    <row r="1961" customFormat="false" ht="15" hidden="false" customHeight="false" outlineLevel="0" collapsed="false">
      <c r="B1961" s="2" t="n">
        <v>5</v>
      </c>
      <c r="C1961" s="2" t="n">
        <f aca="false">0</f>
        <v>0</v>
      </c>
      <c r="D1961" s="2" t="n">
        <f aca="false">C1961*(1-D$1955)+C1960*D$1955</f>
        <v>0</v>
      </c>
      <c r="E1961" s="2" t="n">
        <f aca="false">D1961*(1-E$1955)+D1960*E$1955</f>
        <v>0</v>
      </c>
      <c r="F1961" s="2" t="n">
        <f aca="false">E1961*(1-F$1955)+E1960*F$1955</f>
        <v>0</v>
      </c>
      <c r="G1961" s="2" t="n">
        <f aca="false">F1961*(1-G$1955)+F1960*G$1955</f>
        <v>3.81546789998144E-005</v>
      </c>
      <c r="H1961" s="2" t="n">
        <f aca="false">G1961*(1-H$1955)+G1960*H$1955</f>
        <v>0.00107328376652209</v>
      </c>
      <c r="I1961" s="2" t="n">
        <f aca="false">H1961*(1-I$1955)+H1960*I$1955</f>
        <v>0.00687601488385688</v>
      </c>
      <c r="J1961" s="2" t="n">
        <f aca="false">I1961*(1-J$1955)+I1960*J$1955</f>
        <v>0.0105624292692785</v>
      </c>
      <c r="K1961" s="2" t="n">
        <f aca="false">J1961*(1-K$1955)+J1960*K$1955</f>
        <v>0.0339572913266625</v>
      </c>
      <c r="L1961" s="2" t="n">
        <f aca="false">K1961*(1-L$1955)+K1960*L$1955</f>
        <v>0.075327895432029</v>
      </c>
      <c r="M1961" s="2" t="n">
        <f aca="false">L1961*(1-M$1955)+L1960*M$1955</f>
        <v>0.0910800446567164</v>
      </c>
      <c r="N1961" s="2" t="n">
        <f aca="false">M1961*(1-N$1955)+M1960*N$1955</f>
        <v>0.16333922867205</v>
      </c>
      <c r="O1961" s="2" t="n">
        <f aca="false">N1961*(1-O$1955)+N1960*O$1955</f>
        <v>0.16333922867205</v>
      </c>
    </row>
    <row r="1962" customFormat="false" ht="15" hidden="false" customHeight="false" outlineLevel="0" collapsed="false">
      <c r="B1962" s="2" t="n">
        <v>6</v>
      </c>
      <c r="C1962" s="2" t="n">
        <f aca="false">0</f>
        <v>0</v>
      </c>
      <c r="D1962" s="2" t="n">
        <f aca="false">C1962*(1-D$1955)+C1961*D$1955</f>
        <v>0</v>
      </c>
      <c r="E1962" s="2" t="n">
        <f aca="false">D1962*(1-E$1955)+D1961*E$1955</f>
        <v>0</v>
      </c>
      <c r="F1962" s="2" t="n">
        <f aca="false">E1962*(1-F$1955)+E1961*F$1955</f>
        <v>0</v>
      </c>
      <c r="G1962" s="2" t="n">
        <f aca="false">F1962*(1-G$1955)+F1961*G$1955</f>
        <v>0</v>
      </c>
      <c r="H1962" s="2" t="n">
        <f aca="false">G1962*(1-H$1955)+G1961*H$1955</f>
        <v>1.10274646134183E-005</v>
      </c>
      <c r="I1962" s="2" t="n">
        <f aca="false">H1962*(1-I$1955)+H1961*I$1955</f>
        <v>0.000249769207241379</v>
      </c>
      <c r="J1962" s="2" t="n">
        <f aca="false">I1962*(1-J$1955)+I1961*J$1955</f>
        <v>0.000731243887056267</v>
      </c>
      <c r="K1962" s="2" t="n">
        <f aca="false">J1962*(1-K$1955)+J1961*K$1955</f>
        <v>0.00467643639198054</v>
      </c>
      <c r="L1962" s="2" t="n">
        <f aca="false">K1962*(1-L$1955)+K1961*L$1955</f>
        <v>0.0171393729323109</v>
      </c>
      <c r="M1962" s="2" t="n">
        <f aca="false">L1962*(1-M$1955)+L1961*M$1955</f>
        <v>0.0247983443333408</v>
      </c>
      <c r="N1962" s="2" t="n">
        <f aca="false">M1962*(1-N$1955)+M1961*N$1955</f>
        <v>0.0654379911673299</v>
      </c>
      <c r="O1962" s="2" t="n">
        <f aca="false">N1962*(1-O$1955)+N1961*O$1955</f>
        <v>0.0654379911673299</v>
      </c>
    </row>
    <row r="1963" customFormat="false" ht="15" hidden="false" customHeight="false" outlineLevel="0" collapsed="false">
      <c r="B1963" s="2" t="n">
        <v>7</v>
      </c>
      <c r="C1963" s="2" t="n">
        <f aca="false">0</f>
        <v>0</v>
      </c>
      <c r="D1963" s="2" t="n">
        <f aca="false">C1963*(1-D$1955)+C1962*D$1955</f>
        <v>0</v>
      </c>
      <c r="E1963" s="2" t="n">
        <f aca="false">D1963*(1-E$1955)+D1962*E$1955</f>
        <v>0</v>
      </c>
      <c r="F1963" s="2" t="n">
        <f aca="false">E1963*(1-F$1955)+E1962*F$1955</f>
        <v>0</v>
      </c>
      <c r="G1963" s="2" t="n">
        <f aca="false">F1963*(1-G$1955)+F1962*G$1955</f>
        <v>0</v>
      </c>
      <c r="H1963" s="2" t="n">
        <f aca="false">G1963*(1-H$1955)+G1962*H$1955</f>
        <v>0</v>
      </c>
      <c r="I1963" s="2" t="n">
        <f aca="false">H1963*(1-I$1955)+H1962*I$1955</f>
        <v>2.47841892191664E-006</v>
      </c>
      <c r="J1963" s="2" t="n">
        <f aca="false">I1963*(1-J$1955)+I1962*J$1955</f>
        <v>2.04470030852644E-005</v>
      </c>
      <c r="K1963" s="2" t="n">
        <f aca="false">J1963*(1-K$1955)+J1962*K$1955</f>
        <v>0.000305685296347117</v>
      </c>
      <c r="L1963" s="2" t="n">
        <f aca="false">K1963*(1-L$1955)+K1962*L$1955</f>
        <v>0.00216602693117891</v>
      </c>
      <c r="M1963" s="2" t="n">
        <f aca="false">L1963*(1-M$1955)+L1962*M$1955</f>
        <v>0.00413686970005916</v>
      </c>
      <c r="N1963" s="2" t="n">
        <f aca="false">M1963*(1-N$1955)+M1962*N$1955</f>
        <v>0.0168051480946896</v>
      </c>
      <c r="O1963" s="2" t="n">
        <f aca="false">N1963*(1-O$1955)+N1962*O$1955</f>
        <v>0.0168051480946896</v>
      </c>
    </row>
    <row r="1964" customFormat="false" ht="15" hidden="false" customHeight="false" outlineLevel="0" collapsed="false">
      <c r="B1964" s="2" t="n">
        <v>8</v>
      </c>
      <c r="C1964" s="2" t="n">
        <f aca="false">0</f>
        <v>0</v>
      </c>
      <c r="D1964" s="2" t="n">
        <f aca="false">C1964*(1-D$1955)+C1963*D$1955</f>
        <v>0</v>
      </c>
      <c r="E1964" s="2" t="n">
        <f aca="false">D1964*(1-E$1955)+D1963*E$1955</f>
        <v>0</v>
      </c>
      <c r="F1964" s="2" t="n">
        <f aca="false">E1964*(1-F$1955)+E1963*F$1955</f>
        <v>0</v>
      </c>
      <c r="G1964" s="2" t="n">
        <f aca="false">F1964*(1-G$1955)+F1963*G$1955</f>
        <v>0</v>
      </c>
      <c r="H1964" s="2" t="n">
        <f aca="false">G1964*(1-H$1955)+G1963*H$1955</f>
        <v>0</v>
      </c>
      <c r="I1964" s="2" t="n">
        <f aca="false">H1964*(1-I$1955)+H1963*I$1955</f>
        <v>0</v>
      </c>
      <c r="J1964" s="2" t="n">
        <f aca="false">I1964*(1-J$1955)+I1963*J$1955</f>
        <v>1.80086283412069E-007</v>
      </c>
      <c r="K1964" s="2" t="n">
        <f aca="false">J1964*(1-K$1955)+J1963*K$1955</f>
        <v>8.31307179390587E-006</v>
      </c>
      <c r="L1964" s="2" t="n">
        <f aca="false">K1964*(1-L$1955)+K1963*L$1955</f>
        <v>0.000134884893953162</v>
      </c>
      <c r="M1964" s="2" t="n">
        <f aca="false">L1964*(1-M$1955)+L1963*M$1955</f>
        <v>0.00040223072275672</v>
      </c>
      <c r="N1964" s="2" t="n">
        <f aca="false">M1964*(1-N$1955)+M1963*N$1955</f>
        <v>0.00269206952214695</v>
      </c>
      <c r="O1964" s="2" t="n">
        <f aca="false">N1964*(1-O$1955)+N1963*O$1955</f>
        <v>0.00269206952214695</v>
      </c>
    </row>
    <row r="1965" customFormat="false" ht="15" hidden="false" customHeight="false" outlineLevel="0" collapsed="false">
      <c r="B1965" s="2" t="n">
        <v>9</v>
      </c>
      <c r="C1965" s="2" t="n">
        <f aca="false">0</f>
        <v>0</v>
      </c>
      <c r="D1965" s="2" t="n">
        <f aca="false">C1965*(1-D$1955)+C1964*D$1955</f>
        <v>0</v>
      </c>
      <c r="E1965" s="2" t="n">
        <f aca="false">D1965*(1-E$1955)+D1964*E$1955</f>
        <v>0</v>
      </c>
      <c r="F1965" s="2" t="n">
        <f aca="false">E1965*(1-F$1955)+E1964*F$1955</f>
        <v>0</v>
      </c>
      <c r="G1965" s="2" t="n">
        <f aca="false">F1965*(1-G$1955)+F1964*G$1955</f>
        <v>0</v>
      </c>
      <c r="H1965" s="2" t="n">
        <f aca="false">G1965*(1-H$1955)+G1964*H$1955</f>
        <v>0</v>
      </c>
      <c r="I1965" s="2" t="n">
        <f aca="false">H1965*(1-I$1955)+H1964*I$1955</f>
        <v>0</v>
      </c>
      <c r="J1965" s="2" t="n">
        <f aca="false">I1965*(1-J$1955)+I1964*J$1955</f>
        <v>0</v>
      </c>
      <c r="K1965" s="2" t="n">
        <f aca="false">J1965*(1-K$1955)+J1964*K$1955</f>
        <v>7.22674863645356E-008</v>
      </c>
      <c r="L1965" s="2" t="n">
        <f aca="false">K1965*(1-L$1955)+K1964*L$1955</f>
        <v>3.57983655684681E-006</v>
      </c>
      <c r="M1965" s="2" t="n">
        <f aca="false">L1965*(1-M$1955)+L1964*M$1955</f>
        <v>2.08626551644827E-005</v>
      </c>
      <c r="N1965" s="2" t="n">
        <f aca="false">M1965*(1-N$1955)+M1964*N$1955</f>
        <v>0.000254692860260225</v>
      </c>
      <c r="O1965" s="2" t="n">
        <f aca="false">N1965*(1-O$1955)+N1964*O$1955</f>
        <v>0.000254692860260225</v>
      </c>
    </row>
    <row r="1966" customFormat="false" ht="15" hidden="false" customHeight="false" outlineLevel="0" collapsed="false">
      <c r="B1966" s="2" t="n">
        <v>10</v>
      </c>
      <c r="C1966" s="2" t="n">
        <f aca="false">0</f>
        <v>0</v>
      </c>
      <c r="D1966" s="2" t="n">
        <f aca="false">C1966*(1-D$1955)+C1965*D$1955</f>
        <v>0</v>
      </c>
      <c r="E1966" s="2" t="n">
        <f aca="false">D1966*(1-E$1955)+D1965*E$1955</f>
        <v>0</v>
      </c>
      <c r="F1966" s="2" t="n">
        <f aca="false">E1966*(1-F$1955)+E1965*F$1955</f>
        <v>0</v>
      </c>
      <c r="G1966" s="2" t="n">
        <f aca="false">F1966*(1-G$1955)+F1965*G$1955</f>
        <v>0</v>
      </c>
      <c r="H1966" s="2" t="n">
        <f aca="false">G1966*(1-H$1955)+G1965*H$1955</f>
        <v>0</v>
      </c>
      <c r="I1966" s="2" t="n">
        <f aca="false">H1966*(1-I$1955)+H1965*I$1955</f>
        <v>0</v>
      </c>
      <c r="J1966" s="2" t="n">
        <f aca="false">I1966*(1-J$1955)+I1965*J$1955</f>
        <v>0</v>
      </c>
      <c r="K1966" s="2" t="n">
        <f aca="false">J1966*(1-K$1955)+J1965*K$1955</f>
        <v>0</v>
      </c>
      <c r="L1966" s="2" t="n">
        <f aca="false">K1966*(1-L$1955)+K1965*L$1955</f>
        <v>3.07595218274722E-008</v>
      </c>
      <c r="M1966" s="2" t="n">
        <f aca="false">L1966*(1-M$1955)+L1965*M$1955</f>
        <v>4.97901121984047E-007</v>
      </c>
      <c r="N1966" s="2" t="n">
        <f aca="false">M1966*(1-N$1955)+M1965*N$1955</f>
        <v>1.29842496632921E-005</v>
      </c>
      <c r="O1966" s="2" t="n">
        <f aca="false">N1966*(1-O$1955)+N1965*O$1955</f>
        <v>1.29842496632921E-005</v>
      </c>
    </row>
    <row r="1967" customFormat="false" ht="15" hidden="false" customHeight="false" outlineLevel="0" collapsed="false">
      <c r="B1967" s="2" t="n">
        <v>11</v>
      </c>
      <c r="C1967" s="2" t="n">
        <f aca="false">0</f>
        <v>0</v>
      </c>
      <c r="D1967" s="2" t="n">
        <f aca="false">C1967*(1-D$1955)+C1966*D$1955</f>
        <v>0</v>
      </c>
      <c r="E1967" s="2" t="n">
        <f aca="false">D1967*(1-E$1955)+D1966*E$1955</f>
        <v>0</v>
      </c>
      <c r="F1967" s="2" t="n">
        <f aca="false">E1967*(1-F$1955)+E1966*F$1955</f>
        <v>0</v>
      </c>
      <c r="G1967" s="2" t="n">
        <f aca="false">F1967*(1-G$1955)+F1966*G$1955</f>
        <v>0</v>
      </c>
      <c r="H1967" s="2" t="n">
        <f aca="false">G1967*(1-H$1955)+G1966*H$1955</f>
        <v>0</v>
      </c>
      <c r="I1967" s="2" t="n">
        <f aca="false">H1967*(1-I$1955)+H1966*I$1955</f>
        <v>0</v>
      </c>
      <c r="J1967" s="2" t="n">
        <f aca="false">I1967*(1-J$1955)+I1966*J$1955</f>
        <v>0</v>
      </c>
      <c r="K1967" s="2" t="n">
        <f aca="false">J1967*(1-K$1955)+J1966*K$1955</f>
        <v>0</v>
      </c>
      <c r="L1967" s="2" t="n">
        <f aca="false">K1967*(1-L$1955)+K1966*L$1955</f>
        <v>0</v>
      </c>
      <c r="M1967" s="2" t="n">
        <f aca="false">L1967*(1-M$1955)+L1966*M$1955</f>
        <v>4.04867296616968E-009</v>
      </c>
      <c r="N1967" s="2" t="n">
        <f aca="false">M1967*(1-N$1955)+M1966*N$1955</f>
        <v>3.0684701727945E-007</v>
      </c>
      <c r="O1967" s="2" t="n">
        <f aca="false">N1967*(1-O$1955)+N1966*O$1955</f>
        <v>3.0684701727945E-007</v>
      </c>
    </row>
    <row r="1968" customFormat="false" ht="15" hidden="false" customHeight="false" outlineLevel="0" collapsed="false">
      <c r="B1968" s="2" t="n">
        <v>12</v>
      </c>
      <c r="C1968" s="2" t="n">
        <f aca="false">0</f>
        <v>0</v>
      </c>
      <c r="D1968" s="2" t="n">
        <f aca="false">C1968*(1-D$1955)+C1967*D$1955</f>
        <v>0</v>
      </c>
      <c r="E1968" s="2" t="n">
        <f aca="false">D1968*(1-E$1955)+D1967*E$1955</f>
        <v>0</v>
      </c>
      <c r="F1968" s="2" t="n">
        <f aca="false">E1968*(1-F$1955)+E1967*F$1955</f>
        <v>0</v>
      </c>
      <c r="G1968" s="2" t="n">
        <f aca="false">F1968*(1-G$1955)+F1967*G$1955</f>
        <v>0</v>
      </c>
      <c r="H1968" s="2" t="n">
        <f aca="false">G1968*(1-H$1955)+G1967*H$1955</f>
        <v>0</v>
      </c>
      <c r="I1968" s="2" t="n">
        <f aca="false">H1968*(1-I$1955)+H1967*I$1955</f>
        <v>0</v>
      </c>
      <c r="J1968" s="2" t="n">
        <f aca="false">I1968*(1-J$1955)+I1967*J$1955</f>
        <v>0</v>
      </c>
      <c r="K1968" s="2" t="n">
        <f aca="false">J1968*(1-K$1955)+J1967*K$1955</f>
        <v>0</v>
      </c>
      <c r="L1968" s="2" t="n">
        <f aca="false">K1968*(1-L$1955)+K1967*L$1955</f>
        <v>0</v>
      </c>
      <c r="M1968" s="2" t="n">
        <f aca="false">L1968*(1-M$1955)+L1967*M$1955</f>
        <v>0</v>
      </c>
      <c r="N1968" s="2" t="n">
        <f aca="false">M1968*(1-N$1955)+M1967*N$1955</f>
        <v>2.48238410735863E-009</v>
      </c>
      <c r="O1968" s="2" t="n">
        <f aca="false">N1968*(1-O$1955)+N1967*O$1955</f>
        <v>2.48238410735863E-009</v>
      </c>
    </row>
    <row r="1969" customFormat="false" ht="15" hidden="false" customHeight="false" outlineLevel="0" collapsed="false">
      <c r="B1969" s="2" t="n">
        <v>13</v>
      </c>
      <c r="C1969" s="2" t="n">
        <f aca="false">0</f>
        <v>0</v>
      </c>
      <c r="D1969" s="2" t="n">
        <f aca="false">C1969*(1-D$1955)+C1968*D$1955</f>
        <v>0</v>
      </c>
      <c r="E1969" s="2" t="n">
        <f aca="false">D1969*(1-E$1955)+D1968*E$1955</f>
        <v>0</v>
      </c>
      <c r="F1969" s="2" t="n">
        <f aca="false">E1969*(1-F$1955)+E1968*F$1955</f>
        <v>0</v>
      </c>
      <c r="G1969" s="2" t="n">
        <f aca="false">F1969*(1-G$1955)+F1968*G$1955</f>
        <v>0</v>
      </c>
      <c r="H1969" s="2" t="n">
        <f aca="false">G1969*(1-H$1955)+G1968*H$1955</f>
        <v>0</v>
      </c>
      <c r="I1969" s="2" t="n">
        <f aca="false">H1969*(1-I$1955)+H1968*I$1955</f>
        <v>0</v>
      </c>
      <c r="J1969" s="2" t="n">
        <f aca="false">I1969*(1-J$1955)+I1968*J$1955</f>
        <v>0</v>
      </c>
      <c r="K1969" s="2" t="n">
        <f aca="false">J1969*(1-K$1955)+J1968*K$1955</f>
        <v>0</v>
      </c>
      <c r="L1969" s="2" t="n">
        <f aca="false">K1969*(1-L$1955)+K1968*L$1955</f>
        <v>0</v>
      </c>
      <c r="M1969" s="2" t="n">
        <f aca="false">L1969*(1-M$1955)+L1968*M$1955</f>
        <v>0</v>
      </c>
      <c r="N1969" s="2" t="n">
        <f aca="false">M1969*(1-N$1955)+M1968*N$1955</f>
        <v>0</v>
      </c>
      <c r="O1969" s="2" t="n">
        <f aca="false">N1969*(1-O$1955)+N1968*O$1955</f>
        <v>0</v>
      </c>
    </row>
    <row r="1971" customFormat="false" ht="15" hidden="false" customHeight="false" outlineLevel="0" collapsed="false">
      <c r="A1971" s="1" t="s">
        <v>181</v>
      </c>
      <c r="C1971" s="2" t="n">
        <f aca="false">Schedule!G125</f>
        <v>0.0287165598160018</v>
      </c>
      <c r="D1971" s="2" t="n">
        <f aca="false">Schedule!L125</f>
        <v>0.807508056658567</v>
      </c>
      <c r="E1971" s="2" t="n">
        <f aca="false">Schedule!Q125</f>
        <v>0.278433975231589</v>
      </c>
      <c r="F1971" s="2" t="n">
        <f aca="false">Schedule!V125</f>
        <v>0.155649523346769</v>
      </c>
      <c r="G1971" s="2" t="n">
        <f aca="false">Schedule!AA125</f>
        <v>0.825749288119458</v>
      </c>
      <c r="H1971" s="2" t="n">
        <f aca="false">Schedule!AF125</f>
        <v>0.102265121621565</v>
      </c>
      <c r="I1971" s="2" t="n">
        <f aca="false">Schedule!AK125</f>
        <v>0.213670492940356</v>
      </c>
      <c r="J1971" s="2" t="n">
        <f aca="false">Schedule!AP125</f>
        <v>0.126363665515411</v>
      </c>
      <c r="K1971" s="2" t="n">
        <f aca="false">Schedule!AU125</f>
        <v>0.715237094620453</v>
      </c>
      <c r="L1971" s="2" t="n">
        <f aca="false">Schedule!AZ125</f>
        <v>0.247856657564262</v>
      </c>
      <c r="M1971" s="2" t="n">
        <f aca="false">Schedule!BE125</f>
        <v>0.192491943341433</v>
      </c>
      <c r="N1971" s="2" t="n">
        <f aca="false">Schedule!BJ125</f>
        <v>0.299791595468696</v>
      </c>
      <c r="O1971" s="2" t="n">
        <f aca="false">Schedule!BO125</f>
        <v>0</v>
      </c>
    </row>
    <row r="1972" customFormat="false" ht="15" hidden="false" customHeight="false" outlineLevel="0" collapsed="false">
      <c r="B1972" s="2" t="n">
        <v>0</v>
      </c>
      <c r="C1972" s="2" t="n">
        <f aca="false">1-C$1971</f>
        <v>0.971283440183998</v>
      </c>
      <c r="D1972" s="2" t="n">
        <f aca="false">C1972*(1-D$1971)</f>
        <v>0.186964236936371</v>
      </c>
      <c r="E1972" s="2" t="n">
        <f aca="false">D1972*(1-E$1971)</f>
        <v>0.134907041220036</v>
      </c>
      <c r="F1972" s="2" t="n">
        <f aca="false">E1972*(1-F$1971)</f>
        <v>0.113908824558015</v>
      </c>
      <c r="G1972" s="2" t="n">
        <f aca="false">F1972*(1-G$1971)</f>
        <v>0.0198486937687099</v>
      </c>
      <c r="H1972" s="2" t="n">
        <f aca="false">G1972*(1-H$1971)</f>
        <v>0.0178188646864236</v>
      </c>
      <c r="I1972" s="2" t="n">
        <f aca="false">H1972*(1-I$1971)</f>
        <v>0.0140114990852379</v>
      </c>
      <c r="J1972" s="2" t="n">
        <f aca="false">I1972*(1-J$1971)</f>
        <v>0.0122409547014614</v>
      </c>
      <c r="K1972" s="2" t="n">
        <f aca="false">J1972*(1-K$1971)</f>
        <v>0.00348576982540758</v>
      </c>
      <c r="L1972" s="2" t="n">
        <f aca="false">K1972*(1-L$1971)</f>
        <v>0.0026217985674437</v>
      </c>
      <c r="M1972" s="2" t="n">
        <f aca="false">L1972*(1-M$1971)</f>
        <v>0.00211712346614667</v>
      </c>
      <c r="N1972" s="2" t="n">
        <f aca="false">M1972*(1-N$1971)</f>
        <v>0.00148242764442635</v>
      </c>
      <c r="O1972" s="2" t="n">
        <f aca="false">N1972*(1-O$1971)</f>
        <v>0.00148242764442635</v>
      </c>
    </row>
    <row r="1973" customFormat="false" ht="15" hidden="false" customHeight="false" outlineLevel="0" collapsed="false">
      <c r="B1973" s="2" t="n">
        <v>1</v>
      </c>
      <c r="C1973" s="2" t="n">
        <f aca="false">C$1971</f>
        <v>0.0287165598160018</v>
      </c>
      <c r="D1973" s="2" t="n">
        <f aca="false">C1973*(1-D$1971)+C1972*D$1971</f>
        <v>0.78984690965269</v>
      </c>
      <c r="E1973" s="2" t="n">
        <f aca="false">D1973*(1-E$1971)+D1972*E$1971</f>
        <v>0.62198389049004</v>
      </c>
      <c r="F1973" s="2" t="n">
        <f aca="false">E1973*(1-F$1971)+E1972*F$1971</f>
        <v>0.546170611067919</v>
      </c>
      <c r="G1973" s="2" t="n">
        <f aca="false">F1973*(1-G$1971)+F1972*G$1971</f>
        <v>0.189230748576121</v>
      </c>
      <c r="H1973" s="2" t="n">
        <f aca="false">G1973*(1-H$1971)+G1972*H$1971</f>
        <v>0.17190887214073</v>
      </c>
      <c r="I1973" s="2" t="n">
        <f aca="false">H1973*(1-I$1971)+H1972*I$1971</f>
        <v>0.138984384290785</v>
      </c>
      <c r="J1973" s="2" t="n">
        <f aca="false">I1973*(1-J$1971)+I1972*J$1971</f>
        <v>0.123192352426176</v>
      </c>
      <c r="K1973" s="2" t="n">
        <f aca="false">J1973*(1-K$1971)+J1972*K$1971</f>
        <v>0.0438357970734727</v>
      </c>
      <c r="L1973" s="2" t="n">
        <f aca="false">K1973*(1-L$1971)+K1972*L$1971</f>
        <v>0.0338347741871404</v>
      </c>
      <c r="M1973" s="2" t="n">
        <f aca="false">L1973*(1-M$1971)+L1972*M$1971</f>
        <v>0.0278265278526362</v>
      </c>
      <c r="N1973" s="2" t="n">
        <f aca="false">M1973*(1-N$1971)+M1972*N$1971</f>
        <v>0.0201190644930606</v>
      </c>
      <c r="O1973" s="2" t="n">
        <f aca="false">N1973*(1-O$1971)+N1972*O$1971</f>
        <v>0.0201190644930606</v>
      </c>
    </row>
    <row r="1974" customFormat="false" ht="15" hidden="false" customHeight="false" outlineLevel="0" collapsed="false">
      <c r="B1974" s="2" t="n">
        <v>2</v>
      </c>
      <c r="C1974" s="2" t="n">
        <f aca="false">0</f>
        <v>0</v>
      </c>
      <c r="D1974" s="2" t="n">
        <f aca="false">C1974*(1-D$1971)+C1973*D$1971</f>
        <v>0.0231888534109391</v>
      </c>
      <c r="E1974" s="2" t="n">
        <f aca="false">D1974*(1-E$1971)+D1973*E$1971</f>
        <v>0.236652503653653</v>
      </c>
      <c r="F1974" s="2" t="n">
        <f aca="false">E1974*(1-F$1971)+E1973*F$1971</f>
        <v>0.296629150345286</v>
      </c>
      <c r="G1974" s="2" t="n">
        <f aca="false">F1974*(1-G$1971)+F1973*G$1971</f>
        <v>0.502687833893289</v>
      </c>
      <c r="H1974" s="2" t="n">
        <f aca="false">G1974*(1-H$1971)+G1973*H$1971</f>
        <v>0.470632106940188</v>
      </c>
      <c r="I1974" s="2" t="n">
        <f aca="false">H1974*(1-I$1971)+H1973*I$1971</f>
        <v>0.40680376610785</v>
      </c>
      <c r="J1974" s="2" t="n">
        <f aca="false">I1974*(1-J$1971)+I1973*J$1971</f>
        <v>0.372961127325374</v>
      </c>
      <c r="K1974" s="2" t="n">
        <f aca="false">J1974*(1-K$1971)+J1973*K$1971</f>
        <v>0.194317234439562</v>
      </c>
      <c r="L1974" s="2" t="n">
        <f aca="false">K1974*(1-L$1971)+K1973*L$1971</f>
        <v>0.157019408348537</v>
      </c>
      <c r="M1974" s="2" t="n">
        <f aca="false">L1974*(1-M$1971)+L1973*M$1971</f>
        <v>0.133307358729006</v>
      </c>
      <c r="N1974" s="2" t="n">
        <f aca="false">M1974*(1-N$1971)+M1973*N$1971</f>
        <v>0.101685092149215</v>
      </c>
      <c r="O1974" s="2" t="n">
        <f aca="false">N1974*(1-O$1971)+N1973*O$1971</f>
        <v>0.101685092149215</v>
      </c>
    </row>
    <row r="1975" customFormat="false" ht="15" hidden="false" customHeight="false" outlineLevel="0" collapsed="false">
      <c r="B1975" s="2" t="n">
        <v>3</v>
      </c>
      <c r="C1975" s="2" t="n">
        <f aca="false">0</f>
        <v>0</v>
      </c>
      <c r="D1975" s="2" t="n">
        <f aca="false">C1975*(1-D$1971)+C1974*D$1971</f>
        <v>0</v>
      </c>
      <c r="E1975" s="2" t="n">
        <f aca="false">D1975*(1-E$1971)+D1974*E$1971</f>
        <v>0.00645656463627037</v>
      </c>
      <c r="F1975" s="2" t="n">
        <f aca="false">E1975*(1-F$1971)+E1974*F$1971</f>
        <v>0.0422864528206878</v>
      </c>
      <c r="G1975" s="2" t="n">
        <f aca="false">F1975*(1-G$1971)+F1974*G$1971</f>
        <v>0.252309754240007</v>
      </c>
      <c r="H1975" s="2" t="n">
        <f aca="false">G1975*(1-H$1971)+G1974*H$1971</f>
        <v>0.277914699007124</v>
      </c>
      <c r="I1975" s="2" t="n">
        <f aca="false">H1975*(1-I$1971)+H1974*I$1971</f>
        <v>0.31909272255837</v>
      </c>
      <c r="J1975" s="2" t="n">
        <f aca="false">I1975*(1-J$1971)+I1974*J$1971</f>
        <v>0.330176211527464</v>
      </c>
      <c r="K1975" s="2" t="n">
        <f aca="false">J1975*(1-K$1971)+J1974*K$1971</f>
        <v>0.360777570396342</v>
      </c>
      <c r="L1975" s="2" t="n">
        <f aca="false">K1975*(1-L$1971)+K1974*L$1971</f>
        <v>0.31951926790907</v>
      </c>
      <c r="M1975" s="2" t="n">
        <f aca="false">L1975*(1-M$1971)+L1974*M$1971</f>
        <v>0.288239354149553</v>
      </c>
      <c r="N1975" s="2" t="n">
        <f aca="false">M1975*(1-N$1971)+M1974*N$1971</f>
        <v>0.241792044053279</v>
      </c>
      <c r="O1975" s="2" t="n">
        <f aca="false">N1975*(1-O$1971)+N1974*O$1971</f>
        <v>0.241792044053279</v>
      </c>
    </row>
    <row r="1976" customFormat="false" ht="15" hidden="false" customHeight="false" outlineLevel="0" collapsed="false">
      <c r="B1976" s="2" t="n">
        <v>4</v>
      </c>
      <c r="C1976" s="2" t="n">
        <f aca="false">0</f>
        <v>0</v>
      </c>
      <c r="D1976" s="2" t="n">
        <f aca="false">C1976*(1-D$1971)+C1975*D$1971</f>
        <v>0</v>
      </c>
      <c r="E1976" s="2" t="n">
        <f aca="false">D1976*(1-E$1971)+D1975*E$1971</f>
        <v>0</v>
      </c>
      <c r="F1976" s="2" t="n">
        <f aca="false">E1976*(1-F$1971)+E1975*F$1971</f>
        <v>0.00100496120809308</v>
      </c>
      <c r="G1976" s="2" t="n">
        <f aca="false">F1976*(1-G$1971)+F1975*G$1971</f>
        <v>0.0350931235197025</v>
      </c>
      <c r="H1976" s="2" t="n">
        <f aca="false">G1976*(1-H$1971)+G1975*H$1971</f>
        <v>0.057306808678541</v>
      </c>
      <c r="I1976" s="2" t="n">
        <f aca="false">H1976*(1-I$1971)+H1975*I$1971</f>
        <v>0.104444205351581</v>
      </c>
      <c r="J1976" s="2" t="n">
        <f aca="false">I1976*(1-J$1971)+I1975*J$1971</f>
        <v>0.131567978783279</v>
      </c>
      <c r="K1976" s="2" t="n">
        <f aca="false">J1976*(1-K$1971)+J1975*K$1971</f>
        <v>0.273619954138933</v>
      </c>
      <c r="L1976" s="2" t="n">
        <f aca="false">K1976*(1-L$1971)+K1975*L$1971</f>
        <v>0.295222549585763</v>
      </c>
      <c r="M1976" s="2" t="n">
        <f aca="false">L1976*(1-M$1971)+L1975*M$1971</f>
        <v>0.299899472112636</v>
      </c>
      <c r="N1976" s="2" t="n">
        <f aca="false">M1976*(1-N$1971)+M1975*N$1971</f>
        <v>0.29640386674513</v>
      </c>
      <c r="O1976" s="2" t="n">
        <f aca="false">N1976*(1-O$1971)+N1975*O$1971</f>
        <v>0.29640386674513</v>
      </c>
    </row>
    <row r="1977" customFormat="false" ht="15" hidden="false" customHeight="false" outlineLevel="0" collapsed="false">
      <c r="B1977" s="2" t="n">
        <v>5</v>
      </c>
      <c r="C1977" s="2" t="n">
        <f aca="false">0</f>
        <v>0</v>
      </c>
      <c r="D1977" s="2" t="n">
        <f aca="false">C1977*(1-D$1971)+C1976*D$1971</f>
        <v>0</v>
      </c>
      <c r="E1977" s="2" t="n">
        <f aca="false">D1977*(1-E$1971)+D1976*E$1971</f>
        <v>0</v>
      </c>
      <c r="F1977" s="2" t="n">
        <f aca="false">E1977*(1-F$1971)+E1976*F$1971</f>
        <v>0</v>
      </c>
      <c r="G1977" s="2" t="n">
        <f aca="false">F1977*(1-G$1971)+F1976*G$1971</f>
        <v>0.000829846002170534</v>
      </c>
      <c r="H1977" s="2" t="n">
        <f aca="false">G1977*(1-H$1971)+G1976*H$1971</f>
        <v>0.00433378424465436</v>
      </c>
      <c r="I1977" s="2" t="n">
        <f aca="false">H1977*(1-I$1971)+H1976*I$1971</f>
        <v>0.0156525564879844</v>
      </c>
      <c r="J1977" s="2" t="n">
        <f aca="false">I1977*(1-J$1971)+I1976*J$1971</f>
        <v>0.0268725947055459</v>
      </c>
      <c r="K1977" s="2" t="n">
        <f aca="false">J1977*(1-K$1971)+J1976*K$1971</f>
        <v>0.101754617033476</v>
      </c>
      <c r="L1977" s="2" t="n">
        <f aca="false">K1977*(1-L$1971)+K1976*L$1971</f>
        <v>0.14435258503959</v>
      </c>
      <c r="M1977" s="2" t="n">
        <f aca="false">L1977*(1-M$1971)+L1976*M$1971</f>
        <v>0.173393837706936</v>
      </c>
      <c r="N1977" s="2" t="n">
        <f aca="false">M1977*(1-N$1971)+M1976*N$1971</f>
        <v>0.2113191636812</v>
      </c>
      <c r="O1977" s="2" t="n">
        <f aca="false">N1977*(1-O$1971)+N1976*O$1971</f>
        <v>0.2113191636812</v>
      </c>
    </row>
    <row r="1978" customFormat="false" ht="15" hidden="false" customHeight="false" outlineLevel="0" collapsed="false">
      <c r="B1978" s="2" t="n">
        <v>6</v>
      </c>
      <c r="C1978" s="2" t="n">
        <f aca="false">0</f>
        <v>0</v>
      </c>
      <c r="D1978" s="2" t="n">
        <f aca="false">C1978*(1-D$1971)+C1977*D$1971</f>
        <v>0</v>
      </c>
      <c r="E1978" s="2" t="n">
        <f aca="false">D1978*(1-E$1971)+D1977*E$1971</f>
        <v>0</v>
      </c>
      <c r="F1978" s="2" t="n">
        <f aca="false">E1978*(1-F$1971)+E1977*F$1971</f>
        <v>0</v>
      </c>
      <c r="G1978" s="2" t="n">
        <f aca="false">F1978*(1-G$1971)+F1977*G$1971</f>
        <v>0</v>
      </c>
      <c r="H1978" s="2" t="n">
        <f aca="false">G1978*(1-H$1971)+G1977*H$1971</f>
        <v>8.48643023391389E-005</v>
      </c>
      <c r="I1978" s="2" t="n">
        <f aca="false">H1978*(1-I$1971)+H1977*I$1971</f>
        <v>0.000992733120877743</v>
      </c>
      <c r="J1978" s="2" t="n">
        <f aca="false">I1978*(1-J$1971)+I1977*J$1971</f>
        <v>0.00284520213735382</v>
      </c>
      <c r="K1978" s="2" t="n">
        <f aca="false">J1978*(1-K$1971)+J1977*K$1971</f>
        <v>0.0200304845891326</v>
      </c>
      <c r="L1978" s="2" t="n">
        <f aca="false">K1978*(1-L$1971)+K1977*L$1971</f>
        <v>0.0402863548991266</v>
      </c>
      <c r="M1978" s="2" t="n">
        <f aca="false">L1978*(1-M$1971)+L1977*M$1971</f>
        <v>0.0603182657750812</v>
      </c>
      <c r="N1978" s="2" t="n">
        <f aca="false">M1978*(1-N$1971)+M1977*N$1971</f>
        <v>0.0942173718930672</v>
      </c>
      <c r="O1978" s="2" t="n">
        <f aca="false">N1978*(1-O$1971)+N1977*O$1971</f>
        <v>0.0942173718930672</v>
      </c>
    </row>
    <row r="1979" customFormat="false" ht="15" hidden="false" customHeight="false" outlineLevel="0" collapsed="false">
      <c r="B1979" s="2" t="n">
        <v>7</v>
      </c>
      <c r="C1979" s="2" t="n">
        <f aca="false">0</f>
        <v>0</v>
      </c>
      <c r="D1979" s="2" t="n">
        <f aca="false">C1979*(1-D$1971)+C1978*D$1971</f>
        <v>0</v>
      </c>
      <c r="E1979" s="2" t="n">
        <f aca="false">D1979*(1-E$1971)+D1978*E$1971</f>
        <v>0</v>
      </c>
      <c r="F1979" s="2" t="n">
        <f aca="false">E1979*(1-F$1971)+E1978*F$1971</f>
        <v>0</v>
      </c>
      <c r="G1979" s="2" t="n">
        <f aca="false">F1979*(1-G$1971)+F1978*G$1971</f>
        <v>0</v>
      </c>
      <c r="H1979" s="2" t="n">
        <f aca="false">G1979*(1-H$1971)+G1978*H$1971</f>
        <v>0</v>
      </c>
      <c r="I1979" s="2" t="n">
        <f aca="false">H1979*(1-I$1971)+H1978*I$1971</f>
        <v>1.81329973138432E-005</v>
      </c>
      <c r="J1979" s="2" t="n">
        <f aca="false">I1979*(1-J$1971)+I1978*J$1971</f>
        <v>0.00014128704133915</v>
      </c>
      <c r="K1979" s="2" t="n">
        <f aca="false">J1979*(1-K$1971)+J1978*K$1971</f>
        <v>0.00207522741871307</v>
      </c>
      <c r="L1979" s="2" t="n">
        <f aca="false">K1979*(1-L$1971)+K1978*L$1971</f>
        <v>0.00652555744668</v>
      </c>
      <c r="M1979" s="2" t="n">
        <f aca="false">L1979*(1-M$1971)+L1978*M$1971</f>
        <v>0.013024238957058</v>
      </c>
      <c r="N1979" s="2" t="n">
        <f aca="false">M1979*(1-N$1971)+M1978*N$1971</f>
        <v>0.0272025907129724</v>
      </c>
      <c r="O1979" s="2" t="n">
        <f aca="false">N1979*(1-O$1971)+N1978*O$1971</f>
        <v>0.0272025907129724</v>
      </c>
    </row>
    <row r="1980" customFormat="false" ht="15" hidden="false" customHeight="false" outlineLevel="0" collapsed="false">
      <c r="B1980" s="2" t="n">
        <v>8</v>
      </c>
      <c r="C1980" s="2" t="n">
        <f aca="false">0</f>
        <v>0</v>
      </c>
      <c r="D1980" s="2" t="n">
        <f aca="false">C1980*(1-D$1971)+C1979*D$1971</f>
        <v>0</v>
      </c>
      <c r="E1980" s="2" t="n">
        <f aca="false">D1980*(1-E$1971)+D1979*E$1971</f>
        <v>0</v>
      </c>
      <c r="F1980" s="2" t="n">
        <f aca="false">E1980*(1-F$1971)+E1979*F$1971</f>
        <v>0</v>
      </c>
      <c r="G1980" s="2" t="n">
        <f aca="false">F1980*(1-G$1971)+F1979*G$1971</f>
        <v>0</v>
      </c>
      <c r="H1980" s="2" t="n">
        <f aca="false">G1980*(1-H$1971)+G1979*H$1971</f>
        <v>0</v>
      </c>
      <c r="I1980" s="2" t="n">
        <f aca="false">H1980*(1-I$1971)+H1979*I$1971</f>
        <v>0</v>
      </c>
      <c r="J1980" s="2" t="n">
        <f aca="false">I1980*(1-J$1971)+I1979*J$1971</f>
        <v>2.29135200735834E-006</v>
      </c>
      <c r="K1980" s="2" t="n">
        <f aca="false">J1980*(1-K$1971)+J1979*K$1971</f>
        <v>0.000101706225009796</v>
      </c>
      <c r="L1980" s="2" t="n">
        <f aca="false">K1980*(1-L$1971)+K1979*L$1971</f>
        <v>0.000590856591713323</v>
      </c>
      <c r="M1980" s="2" t="n">
        <f aca="false">L1980*(1-M$1971)+L1979*M$1971</f>
        <v>0.00173323869243592</v>
      </c>
      <c r="N1980" s="2" t="n">
        <f aca="false">M1980*(1-N$1971)+M1979*N$1971</f>
        <v>0.00511818567620443</v>
      </c>
      <c r="O1980" s="2" t="n">
        <f aca="false">N1980*(1-O$1971)+N1979*O$1971</f>
        <v>0.00511818567620443</v>
      </c>
    </row>
    <row r="1981" customFormat="false" ht="15" hidden="false" customHeight="false" outlineLevel="0" collapsed="false">
      <c r="B1981" s="2" t="n">
        <v>9</v>
      </c>
      <c r="C1981" s="2" t="n">
        <f aca="false">0</f>
        <v>0</v>
      </c>
      <c r="D1981" s="2" t="n">
        <f aca="false">C1981*(1-D$1971)+C1980*D$1971</f>
        <v>0</v>
      </c>
      <c r="E1981" s="2" t="n">
        <f aca="false">D1981*(1-E$1971)+D1980*E$1971</f>
        <v>0</v>
      </c>
      <c r="F1981" s="2" t="n">
        <f aca="false">E1981*(1-F$1971)+E1980*F$1971</f>
        <v>0</v>
      </c>
      <c r="G1981" s="2" t="n">
        <f aca="false">F1981*(1-G$1971)+F1980*G$1971</f>
        <v>0</v>
      </c>
      <c r="H1981" s="2" t="n">
        <f aca="false">G1981*(1-H$1971)+G1980*H$1971</f>
        <v>0</v>
      </c>
      <c r="I1981" s="2" t="n">
        <f aca="false">H1981*(1-I$1971)+H1980*I$1971</f>
        <v>0</v>
      </c>
      <c r="J1981" s="2" t="n">
        <f aca="false">I1981*(1-J$1971)+I1980*J$1971</f>
        <v>0</v>
      </c>
      <c r="K1981" s="2" t="n">
        <f aca="false">J1981*(1-K$1971)+J1980*K$1971</f>
        <v>1.63885995249572E-006</v>
      </c>
      <c r="L1981" s="2" t="n">
        <f aca="false">K1981*(1-L$1971)+K1980*L$1971</f>
        <v>2.64412225868611E-005</v>
      </c>
      <c r="M1981" s="2" t="n">
        <f aca="false">L1981*(1-M$1971)+L1980*M$1971</f>
        <v>0.000135086633841786</v>
      </c>
      <c r="N1981" s="2" t="n">
        <f aca="false">M1981*(1-N$1971)+M1980*N$1971</f>
        <v>0.000614199189289304</v>
      </c>
      <c r="O1981" s="2" t="n">
        <f aca="false">N1981*(1-O$1971)+N1980*O$1971</f>
        <v>0.000614199189289304</v>
      </c>
    </row>
    <row r="1982" customFormat="false" ht="15" hidden="false" customHeight="false" outlineLevel="0" collapsed="false">
      <c r="B1982" s="2" t="n">
        <v>10</v>
      </c>
      <c r="C1982" s="2" t="n">
        <f aca="false">0</f>
        <v>0</v>
      </c>
      <c r="D1982" s="2" t="n">
        <f aca="false">C1982*(1-D$1971)+C1981*D$1971</f>
        <v>0</v>
      </c>
      <c r="E1982" s="2" t="n">
        <f aca="false">D1982*(1-E$1971)+D1981*E$1971</f>
        <v>0</v>
      </c>
      <c r="F1982" s="2" t="n">
        <f aca="false">E1982*(1-F$1971)+E1981*F$1971</f>
        <v>0</v>
      </c>
      <c r="G1982" s="2" t="n">
        <f aca="false">F1982*(1-G$1971)+F1981*G$1971</f>
        <v>0</v>
      </c>
      <c r="H1982" s="2" t="n">
        <f aca="false">G1982*(1-H$1971)+G1981*H$1971</f>
        <v>0</v>
      </c>
      <c r="I1982" s="2" t="n">
        <f aca="false">H1982*(1-I$1971)+H1981*I$1971</f>
        <v>0</v>
      </c>
      <c r="J1982" s="2" t="n">
        <f aca="false">I1982*(1-J$1971)+I1981*J$1971</f>
        <v>0</v>
      </c>
      <c r="K1982" s="2" t="n">
        <f aca="false">J1982*(1-K$1971)+J1981*K$1971</f>
        <v>0</v>
      </c>
      <c r="L1982" s="2" t="n">
        <f aca="false">K1982*(1-L$1971)+K1981*L$1971</f>
        <v>4.06202350041515E-007</v>
      </c>
      <c r="M1982" s="2" t="n">
        <f aca="false">L1982*(1-M$1971)+L1981*M$1971</f>
        <v>5.41773399036047E-006</v>
      </c>
      <c r="N1982" s="2" t="n">
        <f aca="false">M1982*(1-N$1971)+M1981*N$1971</f>
        <v>4.42913803594899E-005</v>
      </c>
      <c r="O1982" s="2" t="n">
        <f aca="false">N1982*(1-O$1971)+N1981*O$1971</f>
        <v>4.42913803594899E-005</v>
      </c>
    </row>
    <row r="1983" customFormat="false" ht="15" hidden="false" customHeight="false" outlineLevel="0" collapsed="false">
      <c r="B1983" s="2" t="n">
        <v>11</v>
      </c>
      <c r="C1983" s="2" t="n">
        <f aca="false">0</f>
        <v>0</v>
      </c>
      <c r="D1983" s="2" t="n">
        <f aca="false">C1983*(1-D$1971)+C1982*D$1971</f>
        <v>0</v>
      </c>
      <c r="E1983" s="2" t="n">
        <f aca="false">D1983*(1-E$1971)+D1982*E$1971</f>
        <v>0</v>
      </c>
      <c r="F1983" s="2" t="n">
        <f aca="false">E1983*(1-F$1971)+E1982*F$1971</f>
        <v>0</v>
      </c>
      <c r="G1983" s="2" t="n">
        <f aca="false">F1983*(1-G$1971)+F1982*G$1971</f>
        <v>0</v>
      </c>
      <c r="H1983" s="2" t="n">
        <f aca="false">G1983*(1-H$1971)+G1982*H$1971</f>
        <v>0</v>
      </c>
      <c r="I1983" s="2" t="n">
        <f aca="false">H1983*(1-I$1971)+H1982*I$1971</f>
        <v>0</v>
      </c>
      <c r="J1983" s="2" t="n">
        <f aca="false">I1983*(1-J$1971)+I1982*J$1971</f>
        <v>0</v>
      </c>
      <c r="K1983" s="2" t="n">
        <f aca="false">J1983*(1-K$1971)+J1982*K$1971</f>
        <v>0</v>
      </c>
      <c r="L1983" s="2" t="n">
        <f aca="false">K1983*(1-L$1971)+K1982*L$1971</f>
        <v>0</v>
      </c>
      <c r="M1983" s="2" t="n">
        <f aca="false">L1983*(1-M$1971)+L1982*M$1971</f>
        <v>7.81906797493484E-008</v>
      </c>
      <c r="N1983" s="2" t="n">
        <f aca="false">M1983*(1-N$1971)+M1982*N$1971</f>
        <v>1.67894088791166E-006</v>
      </c>
      <c r="O1983" s="2" t="n">
        <f aca="false">N1983*(1-O$1971)+N1982*O$1971</f>
        <v>1.67894088791166E-006</v>
      </c>
    </row>
    <row r="1984" customFormat="false" ht="15" hidden="false" customHeight="false" outlineLevel="0" collapsed="false">
      <c r="B1984" s="2" t="n">
        <v>12</v>
      </c>
      <c r="C1984" s="2" t="n">
        <f aca="false">0</f>
        <v>0</v>
      </c>
      <c r="D1984" s="2" t="n">
        <f aca="false">C1984*(1-D$1971)+C1983*D$1971</f>
        <v>0</v>
      </c>
      <c r="E1984" s="2" t="n">
        <f aca="false">D1984*(1-E$1971)+D1983*E$1971</f>
        <v>0</v>
      </c>
      <c r="F1984" s="2" t="n">
        <f aca="false">E1984*(1-F$1971)+E1983*F$1971</f>
        <v>0</v>
      </c>
      <c r="G1984" s="2" t="n">
        <f aca="false">F1984*(1-G$1971)+F1983*G$1971</f>
        <v>0</v>
      </c>
      <c r="H1984" s="2" t="n">
        <f aca="false">G1984*(1-H$1971)+G1983*H$1971</f>
        <v>0</v>
      </c>
      <c r="I1984" s="2" t="n">
        <f aca="false">H1984*(1-I$1971)+H1983*I$1971</f>
        <v>0</v>
      </c>
      <c r="J1984" s="2" t="n">
        <f aca="false">I1984*(1-J$1971)+I1983*J$1971</f>
        <v>0</v>
      </c>
      <c r="K1984" s="2" t="n">
        <f aca="false">J1984*(1-K$1971)+J1983*K$1971</f>
        <v>0</v>
      </c>
      <c r="L1984" s="2" t="n">
        <f aca="false">K1984*(1-L$1971)+K1983*L$1971</f>
        <v>0</v>
      </c>
      <c r="M1984" s="2" t="n">
        <f aca="false">L1984*(1-M$1971)+L1983*M$1971</f>
        <v>0</v>
      </c>
      <c r="N1984" s="2" t="n">
        <f aca="false">M1984*(1-N$1971)+M1983*N$1971</f>
        <v>2.3440908632839E-008</v>
      </c>
      <c r="O1984" s="2" t="n">
        <f aca="false">N1984*(1-O$1971)+N1983*O$1971</f>
        <v>2.3440908632839E-008</v>
      </c>
    </row>
    <row r="1985" customFormat="false" ht="15" hidden="false" customHeight="false" outlineLevel="0" collapsed="false">
      <c r="B1985" s="2" t="n">
        <v>13</v>
      </c>
      <c r="C1985" s="2" t="n">
        <f aca="false">0</f>
        <v>0</v>
      </c>
      <c r="D1985" s="2" t="n">
        <f aca="false">C1985*(1-D$1971)+C1984*D$1971</f>
        <v>0</v>
      </c>
      <c r="E1985" s="2" t="n">
        <f aca="false">D1985*(1-E$1971)+D1984*E$1971</f>
        <v>0</v>
      </c>
      <c r="F1985" s="2" t="n">
        <f aca="false">E1985*(1-F$1971)+E1984*F$1971</f>
        <v>0</v>
      </c>
      <c r="G1985" s="2" t="n">
        <f aca="false">F1985*(1-G$1971)+F1984*G$1971</f>
        <v>0</v>
      </c>
      <c r="H1985" s="2" t="n">
        <f aca="false">G1985*(1-H$1971)+G1984*H$1971</f>
        <v>0</v>
      </c>
      <c r="I1985" s="2" t="n">
        <f aca="false">H1985*(1-I$1971)+H1984*I$1971</f>
        <v>0</v>
      </c>
      <c r="J1985" s="2" t="n">
        <f aca="false">I1985*(1-J$1971)+I1984*J$1971</f>
        <v>0</v>
      </c>
      <c r="K1985" s="2" t="n">
        <f aca="false">J1985*(1-K$1971)+J1984*K$1971</f>
        <v>0</v>
      </c>
      <c r="L1985" s="2" t="n">
        <f aca="false">K1985*(1-L$1971)+K1984*L$1971</f>
        <v>0</v>
      </c>
      <c r="M1985" s="2" t="n">
        <f aca="false">L1985*(1-M$1971)+L1984*M$1971</f>
        <v>0</v>
      </c>
      <c r="N1985" s="2" t="n">
        <f aca="false">M1985*(1-N$1971)+M1984*N$1971</f>
        <v>0</v>
      </c>
      <c r="O1985" s="2" t="n">
        <f aca="false">N1985*(1-O$1971)+N1984*O$1971</f>
        <v>0</v>
      </c>
    </row>
    <row r="1987" customFormat="false" ht="15" hidden="false" customHeight="false" outlineLevel="0" collapsed="false">
      <c r="A1987" s="1" t="s">
        <v>182</v>
      </c>
      <c r="C1987" s="2" t="n">
        <f aca="false">Schedule!G126</f>
        <v>0.0299689595332247</v>
      </c>
      <c r="D1987" s="2" t="n">
        <f aca="false">Schedule!L126</f>
        <v>0.993790334674224</v>
      </c>
      <c r="E1987" s="2" t="n">
        <f aca="false">Schedule!Q126</f>
        <v>0.12507193563715</v>
      </c>
      <c r="F1987" s="2" t="n">
        <f aca="false">Schedule!V126</f>
        <v>0.158655253931457</v>
      </c>
      <c r="G1987" s="2" t="n">
        <f aca="false">Schedule!AA126</f>
        <v>0.293306760083888</v>
      </c>
      <c r="H1987" s="2" t="n">
        <f aca="false">Schedule!AF126</f>
        <v>0.342279459683951</v>
      </c>
      <c r="I1987" s="2" t="n">
        <f aca="false">Schedule!AK126</f>
        <v>0.622669718470157</v>
      </c>
      <c r="J1987" s="2" t="n">
        <f aca="false">Schedule!AP126</f>
        <v>0.30415056015288</v>
      </c>
      <c r="K1987" s="2" t="n">
        <f aca="false">Schedule!AU126</f>
        <v>0.25182748330014</v>
      </c>
      <c r="L1987" s="2" t="n">
        <f aca="false">Schedule!AZ126</f>
        <v>0.452736711249588</v>
      </c>
      <c r="M1987" s="2" t="n">
        <f aca="false">Schedule!BE126</f>
        <v>0.423185819619029</v>
      </c>
      <c r="N1987" s="2" t="n">
        <f aca="false">Schedule!BJ126</f>
        <v>0.634482847309957</v>
      </c>
      <c r="O1987" s="2" t="n">
        <f aca="false">Schedule!BO126</f>
        <v>0</v>
      </c>
    </row>
    <row r="1988" customFormat="false" ht="15" hidden="false" customHeight="false" outlineLevel="0" collapsed="false">
      <c r="B1988" s="2" t="n">
        <v>0</v>
      </c>
      <c r="C1988" s="2" t="n">
        <f aca="false">1-C$1987</f>
        <v>0.970031040466775</v>
      </c>
      <c r="D1988" s="2" t="n">
        <f aca="false">C1988*(1-D$1987)</f>
        <v>0.00602356811691311</v>
      </c>
      <c r="E1988" s="2" t="n">
        <f aca="false">D1988*(1-E$1987)</f>
        <v>0.00527018879308856</v>
      </c>
      <c r="F1988" s="2" t="n">
        <f aca="false">E1988*(1-F$1987)</f>
        <v>0.00443404565185437</v>
      </c>
      <c r="G1988" s="2" t="n">
        <f aca="false">F1988*(1-G$1987)</f>
        <v>0.00313351008764492</v>
      </c>
      <c r="H1988" s="2" t="n">
        <f aca="false">G1988*(1-H$1987)</f>
        <v>0.00206097394793161</v>
      </c>
      <c r="I1988" s="2" t="n">
        <f aca="false">H1988*(1-I$1987)</f>
        <v>0.000777667879998705</v>
      </c>
      <c r="J1988" s="2" t="n">
        <f aca="false">I1988*(1-J$1987)</f>
        <v>0.000541139758684196</v>
      </c>
      <c r="K1988" s="2" t="n">
        <f aca="false">J1988*(1-K$1987)</f>
        <v>0.00040486589514111</v>
      </c>
      <c r="L1988" s="2" t="n">
        <f aca="false">K1988*(1-L$1987)</f>
        <v>0.000221568241277803</v>
      </c>
      <c r="M1988" s="2" t="n">
        <f aca="false">L1988*(1-M$1987)</f>
        <v>0.000127803703491109</v>
      </c>
      <c r="N1988" s="2" t="n">
        <f aca="false">M1988*(1-N$1987)</f>
        <v>4.67144458033127E-005</v>
      </c>
      <c r="O1988" s="2" t="n">
        <f aca="false">N1988*(1-O$1987)</f>
        <v>4.67144458033127E-005</v>
      </c>
    </row>
    <row r="1989" customFormat="false" ht="15" hidden="false" customHeight="false" outlineLevel="0" collapsed="false">
      <c r="B1989" s="2" t="n">
        <v>1</v>
      </c>
      <c r="C1989" s="2" t="n">
        <f aca="false">C$1987</f>
        <v>0.0299689595332247</v>
      </c>
      <c r="D1989" s="2" t="n">
        <f aca="false">C1989*(1-D$1987)+C1988*D$1987</f>
        <v>0.964193569558725</v>
      </c>
      <c r="E1989" s="2" t="n">
        <f aca="false">D1989*(1-E$1987)+D1988*E$1987</f>
        <v>0.844353392808947</v>
      </c>
      <c r="F1989" s="2" t="n">
        <f aca="false">E1989*(1-F$1987)+E1988*F$1987</f>
        <v>0.71122843400619</v>
      </c>
      <c r="G1989" s="2" t="n">
        <f aca="false">F1989*(1-G$1987)+F1988*G$1987</f>
        <v>0.503920861912507</v>
      </c>
      <c r="H1989" s="2" t="n">
        <f aca="false">G1989*(1-H$1987)+G1988*H$1987</f>
        <v>0.332511637713337</v>
      </c>
      <c r="I1989" s="2" t="n">
        <f aca="false">H1989*(1-I$1987)+H1988*I$1987</f>
        <v>0.126750015938255</v>
      </c>
      <c r="J1989" s="2" t="n">
        <f aca="false">I1989*(1-J$1987)+I1988*J$1987</f>
        <v>0.0884354557125631</v>
      </c>
      <c r="K1989" s="2" t="n">
        <f aca="false">J1989*(1-K$1987)+J1988*K$1987</f>
        <v>0.0663012513295104</v>
      </c>
      <c r="L1989" s="2" t="n">
        <f aca="false">K1989*(1-L$1987)+K1988*L$1987</f>
        <v>0.0364675385047188</v>
      </c>
      <c r="M1989" s="2" t="n">
        <f aca="false">L1989*(1-M$1987)+L1988*M$1987</f>
        <v>0.0211287578708976</v>
      </c>
      <c r="N1989" s="2" t="n">
        <f aca="false">M1989*(1-N$1987)+M1988*N$1987</f>
        <v>0.0078040126745356</v>
      </c>
      <c r="O1989" s="2" t="n">
        <f aca="false">N1989*(1-O$1987)+N1988*O$1987</f>
        <v>0.0078040126745356</v>
      </c>
    </row>
    <row r="1990" customFormat="false" ht="15" hidden="false" customHeight="false" outlineLevel="0" collapsed="false">
      <c r="B1990" s="2" t="n">
        <v>2</v>
      </c>
      <c r="C1990" s="2" t="n">
        <f aca="false">0</f>
        <v>0</v>
      </c>
      <c r="D1990" s="2" t="n">
        <f aca="false">C1990*(1-D$1987)+C1989*D$1987</f>
        <v>0.0297828623243616</v>
      </c>
      <c r="E1990" s="2" t="n">
        <f aca="false">D1990*(1-E$1987)+D1989*E$1987</f>
        <v>0.146651418158242</v>
      </c>
      <c r="F1990" s="2" t="n">
        <f aca="false">E1990*(1-F$1987)+E1989*F$1987</f>
        <v>0.257345502114929</v>
      </c>
      <c r="G1990" s="2" t="n">
        <f aca="false">F1990*(1-G$1987)+F1989*G$1987</f>
        <v>0.390472434325331</v>
      </c>
      <c r="H1990" s="2" t="n">
        <f aca="false">G1990*(1-H$1987)+G1989*H$1987</f>
        <v>0.429303500821863</v>
      </c>
      <c r="I1990" s="2" t="n">
        <f aca="false">H1990*(1-I$1987)+H1989*I$1987</f>
        <v>0.369034138669875</v>
      </c>
      <c r="J1990" s="2" t="n">
        <f aca="false">I1990*(1-J$1987)+I1989*J$1987</f>
        <v>0.295343287024904</v>
      </c>
      <c r="K1990" s="2" t="n">
        <f aca="false">J1990*(1-K$1987)+J1989*K$1987</f>
        <v>0.243238208590427</v>
      </c>
      <c r="L1990" s="2" t="n">
        <f aca="false">K1990*(1-L$1987)+K1989*L$1987</f>
        <v>0.163132352461611</v>
      </c>
      <c r="M1990" s="2" t="n">
        <f aca="false">L1990*(1-M$1987)+L1989*M$1987</f>
        <v>0.109529599350372</v>
      </c>
      <c r="N1990" s="2" t="n">
        <f aca="false">M1990*(1-N$1987)+M1989*N$1987</f>
        <v>0.0534407817438787</v>
      </c>
      <c r="O1990" s="2" t="n">
        <f aca="false">N1990*(1-O$1987)+N1989*O$1987</f>
        <v>0.0534407817438787</v>
      </c>
    </row>
    <row r="1991" customFormat="false" ht="15" hidden="false" customHeight="false" outlineLevel="0" collapsed="false">
      <c r="B1991" s="2" t="n">
        <v>3</v>
      </c>
      <c r="C1991" s="2" t="n">
        <f aca="false">0</f>
        <v>0</v>
      </c>
      <c r="D1991" s="2" t="n">
        <f aca="false">C1991*(1-D$1987)+C1990*D$1987</f>
        <v>0</v>
      </c>
      <c r="E1991" s="2" t="n">
        <f aca="false">D1991*(1-E$1987)+D1990*E$1987</f>
        <v>0.00372500023972267</v>
      </c>
      <c r="F1991" s="2" t="n">
        <f aca="false">E1991*(1-F$1987)+E1990*F$1987</f>
        <v>0.0264010273680989</v>
      </c>
      <c r="G1991" s="2" t="n">
        <f aca="false">F1991*(1-G$1987)+F1990*G$1987</f>
        <v>0.0941386030153668</v>
      </c>
      <c r="H1991" s="2" t="n">
        <f aca="false">G1991*(1-H$1987)+G1990*H$1987</f>
        <v>0.195567586682216</v>
      </c>
      <c r="I1991" s="2" t="n">
        <f aca="false">H1991*(1-I$1987)+H1990*I$1987</f>
        <v>0.341107862535915</v>
      </c>
      <c r="J1991" s="2" t="n">
        <f aca="false">I1991*(1-J$1987)+I1990*J$1987</f>
        <v>0.349601655065043</v>
      </c>
      <c r="K1991" s="2" t="n">
        <f aca="false">J1991*(1-K$1987)+J1990*K$1987</f>
        <v>0.335937906793522</v>
      </c>
      <c r="L1991" s="2" t="n">
        <f aca="false">K1991*(1-L$1987)+K1990*L$1987</f>
        <v>0.293969350295224</v>
      </c>
      <c r="M1991" s="2" t="n">
        <f aca="false">L1991*(1-M$1987)+L1990*M$1987</f>
        <v>0.238600988130513</v>
      </c>
      <c r="N1991" s="2" t="n">
        <f aca="false">M1991*(1-N$1987)+M1990*N$1987</f>
        <v>0.156707405871038</v>
      </c>
      <c r="O1991" s="2" t="n">
        <f aca="false">N1991*(1-O$1987)+N1990*O$1987</f>
        <v>0.156707405871038</v>
      </c>
    </row>
    <row r="1992" customFormat="false" ht="15" hidden="false" customHeight="false" outlineLevel="0" collapsed="false">
      <c r="B1992" s="2" t="n">
        <v>4</v>
      </c>
      <c r="C1992" s="2" t="n">
        <f aca="false">0</f>
        <v>0</v>
      </c>
      <c r="D1992" s="2" t="n">
        <f aca="false">C1992*(1-D$1987)+C1991*D$1987</f>
        <v>0</v>
      </c>
      <c r="E1992" s="2" t="n">
        <f aca="false">D1992*(1-E$1987)+D1991*E$1987</f>
        <v>0</v>
      </c>
      <c r="F1992" s="2" t="n">
        <f aca="false">E1992*(1-F$1987)+E1991*F$1987</f>
        <v>0.000590990858927938</v>
      </c>
      <c r="G1992" s="2" t="n">
        <f aca="false">F1992*(1-G$1987)+F1991*G$1987</f>
        <v>0.00816124904507973</v>
      </c>
      <c r="H1992" s="2" t="n">
        <f aca="false">G1992*(1-H$1987)+G1991*H$1987</f>
        <v>0.0375895313070854</v>
      </c>
      <c r="I1992" s="2" t="n">
        <f aca="false">H1992*(1-I$1987)+H1991*I$1987</f>
        <v>0.135957682571981</v>
      </c>
      <c r="J1992" s="2" t="n">
        <f aca="false">I1992*(1-J$1987)+I1991*J$1987</f>
        <v>0.198354224723476</v>
      </c>
      <c r="K1992" s="2" t="n">
        <f aca="false">J1992*(1-K$1987)+J1991*K$1987</f>
        <v>0.236442484462006</v>
      </c>
      <c r="L1992" s="2" t="n">
        <f aca="false">K1992*(1-L$1987)+K1991*L$1987</f>
        <v>0.281487714752765</v>
      </c>
      <c r="M1992" s="2" t="n">
        <f aca="false">L1992*(1-M$1987)+L1991*M$1987</f>
        <v>0.286769765919986</v>
      </c>
      <c r="N1992" s="2" t="n">
        <f aca="false">M1992*(1-N$1987)+M1991*N$1987</f>
        <v>0.256207502636681</v>
      </c>
      <c r="O1992" s="2" t="n">
        <f aca="false">N1992*(1-O$1987)+N1991*O$1987</f>
        <v>0.256207502636681</v>
      </c>
    </row>
    <row r="1993" customFormat="false" ht="15" hidden="false" customHeight="false" outlineLevel="0" collapsed="false">
      <c r="B1993" s="2" t="n">
        <v>5</v>
      </c>
      <c r="C1993" s="2" t="n">
        <f aca="false">0</f>
        <v>0</v>
      </c>
      <c r="D1993" s="2" t="n">
        <f aca="false">C1993*(1-D$1987)+C1992*D$1987</f>
        <v>0</v>
      </c>
      <c r="E1993" s="2" t="n">
        <f aca="false">D1993*(1-E$1987)+D1992*E$1987</f>
        <v>0</v>
      </c>
      <c r="F1993" s="2" t="n">
        <f aca="false">E1993*(1-F$1987)+E1992*F$1987</f>
        <v>0</v>
      </c>
      <c r="G1993" s="2" t="n">
        <f aca="false">F1993*(1-G$1987)+F1992*G$1987</f>
        <v>0.000173341614071347</v>
      </c>
      <c r="H1993" s="2" t="n">
        <f aca="false">G1993*(1-H$1987)+G1992*H$1987</f>
        <v>0.00290743825356231</v>
      </c>
      <c r="I1993" s="2" t="n">
        <f aca="false">H1993*(1-I$1987)+H1992*I$1987</f>
        <v>0.0245029273711553</v>
      </c>
      <c r="J1993" s="2" t="n">
        <f aca="false">I1993*(1-J$1987)+I1992*J$1987</f>
        <v>0.0584019535971885</v>
      </c>
      <c r="K1993" s="2" t="n">
        <f aca="false">J1993*(1-K$1987)+J1992*K$1987</f>
        <v>0.0936457818170603</v>
      </c>
      <c r="L1993" s="2" t="n">
        <f aca="false">K1993*(1-L$1987)+K1992*L$1987</f>
        <v>0.158295091349818</v>
      </c>
      <c r="M1993" s="2" t="n">
        <f aca="false">L1993*(1-M$1987)+L1992*M$1987</f>
        <v>0.210428462655613</v>
      </c>
      <c r="N1993" s="2" t="n">
        <f aca="false">M1993*(1-N$1987)+M1992*N$1987</f>
        <v>0.258865710118146</v>
      </c>
      <c r="O1993" s="2" t="n">
        <f aca="false">N1993*(1-O$1987)+N1992*O$1987</f>
        <v>0.258865710118146</v>
      </c>
    </row>
    <row r="1994" customFormat="false" ht="15" hidden="false" customHeight="false" outlineLevel="0" collapsed="false">
      <c r="B1994" s="2" t="n">
        <v>6</v>
      </c>
      <c r="C1994" s="2" t="n">
        <f aca="false">0</f>
        <v>0</v>
      </c>
      <c r="D1994" s="2" t="n">
        <f aca="false">C1994*(1-D$1987)+C1993*D$1987</f>
        <v>0</v>
      </c>
      <c r="E1994" s="2" t="n">
        <f aca="false">D1994*(1-E$1987)+D1993*E$1987</f>
        <v>0</v>
      </c>
      <c r="F1994" s="2" t="n">
        <f aca="false">E1994*(1-F$1987)+E1993*F$1987</f>
        <v>0</v>
      </c>
      <c r="G1994" s="2" t="n">
        <f aca="false">F1994*(1-G$1987)+F1993*G$1987</f>
        <v>0</v>
      </c>
      <c r="H1994" s="2" t="n">
        <f aca="false">G1994*(1-H$1987)+G1993*H$1987</f>
        <v>5.93312740050847E-005</v>
      </c>
      <c r="I1994" s="2" t="n">
        <f aca="false">H1994*(1-I$1987)+H1993*I$1987</f>
        <v>0.00183276124513887</v>
      </c>
      <c r="J1994" s="2" t="n">
        <f aca="false">I1994*(1-J$1987)+I1993*J$1987</f>
        <v>0.00872790497112561</v>
      </c>
      <c r="K1994" s="2" t="n">
        <f aca="false">J1994*(1-K$1987)+J1993*K$1987</f>
        <v>0.0212371956219558</v>
      </c>
      <c r="L1994" s="2" t="n">
        <f aca="false">K1994*(1-L$1987)+K1993*L$1987</f>
        <v>0.0540192208021597</v>
      </c>
      <c r="M1994" s="2" t="n">
        <f aca="false">L1994*(1-M$1987)+L1993*M$1987</f>
        <v>0.0981472905463584</v>
      </c>
      <c r="N1994" s="2" t="n">
        <f aca="false">M1994*(1-N$1987)+M1993*N$1987</f>
        <v>0.169387768325537</v>
      </c>
      <c r="O1994" s="2" t="n">
        <f aca="false">N1994*(1-O$1987)+N1993*O$1987</f>
        <v>0.169387768325537</v>
      </c>
    </row>
    <row r="1995" customFormat="false" ht="15" hidden="false" customHeight="false" outlineLevel="0" collapsed="false">
      <c r="B1995" s="2" t="n">
        <v>7</v>
      </c>
      <c r="C1995" s="2" t="n">
        <f aca="false">0</f>
        <v>0</v>
      </c>
      <c r="D1995" s="2" t="n">
        <f aca="false">C1995*(1-D$1987)+C1994*D$1987</f>
        <v>0</v>
      </c>
      <c r="E1995" s="2" t="n">
        <f aca="false">D1995*(1-E$1987)+D1994*E$1987</f>
        <v>0</v>
      </c>
      <c r="F1995" s="2" t="n">
        <f aca="false">E1995*(1-F$1987)+E1994*F$1987</f>
        <v>0</v>
      </c>
      <c r="G1995" s="2" t="n">
        <f aca="false">F1995*(1-G$1987)+F1994*G$1987</f>
        <v>0</v>
      </c>
      <c r="H1995" s="2" t="n">
        <f aca="false">G1995*(1-H$1987)+G1994*H$1987</f>
        <v>0</v>
      </c>
      <c r="I1995" s="2" t="n">
        <f aca="false">H1995*(1-I$1987)+H1994*I$1987</f>
        <v>3.69437876812219E-005</v>
      </c>
      <c r="J1995" s="2" t="n">
        <f aca="false">I1995*(1-J$1987)+I1994*J$1987</f>
        <v>0.000583142673299287</v>
      </c>
      <c r="K1995" s="2" t="n">
        <f aca="false">J1995*(1-K$1987)+J1994*K$1987</f>
        <v>0.00263421766483876</v>
      </c>
      <c r="L1995" s="2" t="n">
        <f aca="false">K1995*(1-L$1987)+K1994*L$1987</f>
        <v>0.0110564687245925</v>
      </c>
      <c r="M1995" s="2" t="n">
        <f aca="false">L1995*(1-M$1987)+L1994*M$1987</f>
        <v>0.029237696175627</v>
      </c>
      <c r="N1995" s="2" t="n">
        <f aca="false">M1995*(1-N$1987)+M1994*N$1987</f>
        <v>0.0729596518189428</v>
      </c>
      <c r="O1995" s="2" t="n">
        <f aca="false">N1995*(1-O$1987)+N1994*O$1987</f>
        <v>0.0729596518189428</v>
      </c>
    </row>
    <row r="1996" customFormat="false" ht="15" hidden="false" customHeight="false" outlineLevel="0" collapsed="false">
      <c r="B1996" s="2" t="n">
        <v>8</v>
      </c>
      <c r="C1996" s="2" t="n">
        <f aca="false">0</f>
        <v>0</v>
      </c>
      <c r="D1996" s="2" t="n">
        <f aca="false">C1996*(1-D$1987)+C1995*D$1987</f>
        <v>0</v>
      </c>
      <c r="E1996" s="2" t="n">
        <f aca="false">D1996*(1-E$1987)+D1995*E$1987</f>
        <v>0</v>
      </c>
      <c r="F1996" s="2" t="n">
        <f aca="false">E1996*(1-F$1987)+E1995*F$1987</f>
        <v>0</v>
      </c>
      <c r="G1996" s="2" t="n">
        <f aca="false">F1996*(1-G$1987)+F1995*G$1987</f>
        <v>0</v>
      </c>
      <c r="H1996" s="2" t="n">
        <f aca="false">G1996*(1-H$1987)+G1995*H$1987</f>
        <v>0</v>
      </c>
      <c r="I1996" s="2" t="n">
        <f aca="false">H1996*(1-I$1987)+H1995*I$1987</f>
        <v>0</v>
      </c>
      <c r="J1996" s="2" t="n">
        <f aca="false">I1996*(1-J$1987)+I1995*J$1987</f>
        <v>1.12364737174127E-005</v>
      </c>
      <c r="K1996" s="2" t="n">
        <f aca="false">J1996*(1-K$1987)+J1995*K$1987</f>
        <v>0.000155258172641864</v>
      </c>
      <c r="L1996" s="2" t="n">
        <f aca="false">K1996*(1-L$1987)+K1995*L$1987</f>
        <v>0.00127757414046003</v>
      </c>
      <c r="M1996" s="2" t="n">
        <f aca="false">L1996*(1-M$1987)+L1995*M$1987</f>
        <v>0.00541586366001423</v>
      </c>
      <c r="N1996" s="2" t="n">
        <f aca="false">M1996*(1-N$1987)+M1995*N$1987</f>
        <v>0.0205304077826611</v>
      </c>
      <c r="O1996" s="2" t="n">
        <f aca="false">N1996*(1-O$1987)+N1995*O$1987</f>
        <v>0.0205304077826611</v>
      </c>
    </row>
    <row r="1997" customFormat="false" ht="15" hidden="false" customHeight="false" outlineLevel="0" collapsed="false">
      <c r="B1997" s="2" t="n">
        <v>9</v>
      </c>
      <c r="C1997" s="2" t="n">
        <f aca="false">0</f>
        <v>0</v>
      </c>
      <c r="D1997" s="2" t="n">
        <f aca="false">C1997*(1-D$1987)+C1996*D$1987</f>
        <v>0</v>
      </c>
      <c r="E1997" s="2" t="n">
        <f aca="false">D1997*(1-E$1987)+D1996*E$1987</f>
        <v>0</v>
      </c>
      <c r="F1997" s="2" t="n">
        <f aca="false">E1997*(1-F$1987)+E1996*F$1987</f>
        <v>0</v>
      </c>
      <c r="G1997" s="2" t="n">
        <f aca="false">F1997*(1-G$1987)+F1996*G$1987</f>
        <v>0</v>
      </c>
      <c r="H1997" s="2" t="n">
        <f aca="false">G1997*(1-H$1987)+G1996*H$1987</f>
        <v>0</v>
      </c>
      <c r="I1997" s="2" t="n">
        <f aca="false">H1997*(1-I$1987)+H1996*I$1987</f>
        <v>0</v>
      </c>
      <c r="J1997" s="2" t="n">
        <f aca="false">I1997*(1-J$1987)+I1996*J$1987</f>
        <v>0</v>
      </c>
      <c r="K1997" s="2" t="n">
        <f aca="false">J1997*(1-K$1987)+J1996*K$1987</f>
        <v>2.82965289742421E-006</v>
      </c>
      <c r="L1997" s="2" t="n">
        <f aca="false">K1997*(1-L$1987)+K1996*L$1987</f>
        <v>7.18396396271647E-005</v>
      </c>
      <c r="M1997" s="2" t="n">
        <f aca="false">L1997*(1-M$1987)+L1996*M$1987</f>
        <v>0.000582089382605064</v>
      </c>
      <c r="N1997" s="2" t="n">
        <f aca="false">M1997*(1-N$1987)+M1996*N$1987</f>
        <v>0.00364903624938926</v>
      </c>
      <c r="O1997" s="2" t="n">
        <f aca="false">N1997*(1-O$1987)+N1996*O$1987</f>
        <v>0.00364903624938926</v>
      </c>
    </row>
    <row r="1998" customFormat="false" ht="15" hidden="false" customHeight="false" outlineLevel="0" collapsed="false">
      <c r="B1998" s="2" t="n">
        <v>10</v>
      </c>
      <c r="C1998" s="2" t="n">
        <f aca="false">0</f>
        <v>0</v>
      </c>
      <c r="D1998" s="2" t="n">
        <f aca="false">C1998*(1-D$1987)+C1997*D$1987</f>
        <v>0</v>
      </c>
      <c r="E1998" s="2" t="n">
        <f aca="false">D1998*(1-E$1987)+D1997*E$1987</f>
        <v>0</v>
      </c>
      <c r="F1998" s="2" t="n">
        <f aca="false">E1998*(1-F$1987)+E1997*F$1987</f>
        <v>0</v>
      </c>
      <c r="G1998" s="2" t="n">
        <f aca="false">F1998*(1-G$1987)+F1997*G$1987</f>
        <v>0</v>
      </c>
      <c r="H1998" s="2" t="n">
        <f aca="false">G1998*(1-H$1987)+G1997*H$1987</f>
        <v>0</v>
      </c>
      <c r="I1998" s="2" t="n">
        <f aca="false">H1998*(1-I$1987)+H1997*I$1987</f>
        <v>0</v>
      </c>
      <c r="J1998" s="2" t="n">
        <f aca="false">I1998*(1-J$1987)+I1997*J$1987</f>
        <v>0</v>
      </c>
      <c r="K1998" s="2" t="n">
        <f aca="false">J1998*(1-K$1987)+J1997*K$1987</f>
        <v>0</v>
      </c>
      <c r="L1998" s="2" t="n">
        <f aca="false">K1998*(1-L$1987)+K1997*L$1987</f>
        <v>1.2810877467577E-006</v>
      </c>
      <c r="M1998" s="2" t="n">
        <f aca="false">L1998*(1-M$1987)+L1997*M$1987</f>
        <v>3.11404663553995E-005</v>
      </c>
      <c r="N1998" s="2" t="n">
        <f aca="false">M1998*(1-N$1987)+M1997*N$1987</f>
        <v>0.000380708103459822</v>
      </c>
      <c r="O1998" s="2" t="n">
        <f aca="false">N1998*(1-O$1987)+N1997*O$1987</f>
        <v>0.000380708103459822</v>
      </c>
    </row>
    <row r="1999" customFormat="false" ht="15" hidden="false" customHeight="false" outlineLevel="0" collapsed="false">
      <c r="B1999" s="2" t="n">
        <v>11</v>
      </c>
      <c r="C1999" s="2" t="n">
        <f aca="false">0</f>
        <v>0</v>
      </c>
      <c r="D1999" s="2" t="n">
        <f aca="false">C1999*(1-D$1987)+C1998*D$1987</f>
        <v>0</v>
      </c>
      <c r="E1999" s="2" t="n">
        <f aca="false">D1999*(1-E$1987)+D1998*E$1987</f>
        <v>0</v>
      </c>
      <c r="F1999" s="2" t="n">
        <f aca="false">E1999*(1-F$1987)+E1998*F$1987</f>
        <v>0</v>
      </c>
      <c r="G1999" s="2" t="n">
        <f aca="false">F1999*(1-G$1987)+F1998*G$1987</f>
        <v>0</v>
      </c>
      <c r="H1999" s="2" t="n">
        <f aca="false">G1999*(1-H$1987)+G1998*H$1987</f>
        <v>0</v>
      </c>
      <c r="I1999" s="2" t="n">
        <f aca="false">H1999*(1-I$1987)+H1998*I$1987</f>
        <v>0</v>
      </c>
      <c r="J1999" s="2" t="n">
        <f aca="false">I1999*(1-J$1987)+I1998*J$1987</f>
        <v>0</v>
      </c>
      <c r="K1999" s="2" t="n">
        <f aca="false">J1999*(1-K$1987)+J1998*K$1987</f>
        <v>0</v>
      </c>
      <c r="L1999" s="2" t="n">
        <f aca="false">K1999*(1-L$1987)+K1998*L$1987</f>
        <v>0</v>
      </c>
      <c r="M1999" s="2" t="n">
        <f aca="false">L1999*(1-M$1987)+L1998*M$1987</f>
        <v>5.42138168115555E-007</v>
      </c>
      <c r="N1999" s="2" t="n">
        <f aca="false">M1999*(1-N$1987)+M1998*N$1987</f>
        <v>1.9956252559308E-005</v>
      </c>
      <c r="O1999" s="2" t="n">
        <f aca="false">N1999*(1-O$1987)+N1998*O$1987</f>
        <v>1.9956252559308E-005</v>
      </c>
    </row>
    <row r="2000" customFormat="false" ht="15" hidden="false" customHeight="false" outlineLevel="0" collapsed="false">
      <c r="B2000" s="2" t="n">
        <v>12</v>
      </c>
      <c r="C2000" s="2" t="n">
        <f aca="false">0</f>
        <v>0</v>
      </c>
      <c r="D2000" s="2" t="n">
        <f aca="false">C2000*(1-D$1987)+C1999*D$1987</f>
        <v>0</v>
      </c>
      <c r="E2000" s="2" t="n">
        <f aca="false">D2000*(1-E$1987)+D1999*E$1987</f>
        <v>0</v>
      </c>
      <c r="F2000" s="2" t="n">
        <f aca="false">E2000*(1-F$1987)+E1999*F$1987</f>
        <v>0</v>
      </c>
      <c r="G2000" s="2" t="n">
        <f aca="false">F2000*(1-G$1987)+F1999*G$1987</f>
        <v>0</v>
      </c>
      <c r="H2000" s="2" t="n">
        <f aca="false">G2000*(1-H$1987)+G1999*H$1987</f>
        <v>0</v>
      </c>
      <c r="I2000" s="2" t="n">
        <f aca="false">H2000*(1-I$1987)+H1999*I$1987</f>
        <v>0</v>
      </c>
      <c r="J2000" s="2" t="n">
        <f aca="false">I2000*(1-J$1987)+I1999*J$1987</f>
        <v>0</v>
      </c>
      <c r="K2000" s="2" t="n">
        <f aca="false">J2000*(1-K$1987)+J1999*K$1987</f>
        <v>0</v>
      </c>
      <c r="L2000" s="2" t="n">
        <f aca="false">K2000*(1-L$1987)+K1999*L$1987</f>
        <v>0</v>
      </c>
      <c r="M2000" s="2" t="n">
        <f aca="false">L2000*(1-M$1987)+L1999*M$1987</f>
        <v>0</v>
      </c>
      <c r="N2000" s="2" t="n">
        <f aca="false">M2000*(1-N$1987)+M1999*N$1987</f>
        <v>3.43977368541361E-007</v>
      </c>
      <c r="O2000" s="2" t="n">
        <f aca="false">N2000*(1-O$1987)+N1999*O$1987</f>
        <v>3.43977368541361E-007</v>
      </c>
    </row>
    <row r="2001" customFormat="false" ht="15" hidden="false" customHeight="false" outlineLevel="0" collapsed="false">
      <c r="B2001" s="2" t="n">
        <v>13</v>
      </c>
      <c r="C2001" s="2" t="n">
        <f aca="false">0</f>
        <v>0</v>
      </c>
      <c r="D2001" s="2" t="n">
        <f aca="false">C2001*(1-D$1987)+C2000*D$1987</f>
        <v>0</v>
      </c>
      <c r="E2001" s="2" t="n">
        <f aca="false">D2001*(1-E$1987)+D2000*E$1987</f>
        <v>0</v>
      </c>
      <c r="F2001" s="2" t="n">
        <f aca="false">E2001*(1-F$1987)+E2000*F$1987</f>
        <v>0</v>
      </c>
      <c r="G2001" s="2" t="n">
        <f aca="false">F2001*(1-G$1987)+F2000*G$1987</f>
        <v>0</v>
      </c>
      <c r="H2001" s="2" t="n">
        <f aca="false">G2001*(1-H$1987)+G2000*H$1987</f>
        <v>0</v>
      </c>
      <c r="I2001" s="2" t="n">
        <f aca="false">H2001*(1-I$1987)+H2000*I$1987</f>
        <v>0</v>
      </c>
      <c r="J2001" s="2" t="n">
        <f aca="false">I2001*(1-J$1987)+I2000*J$1987</f>
        <v>0</v>
      </c>
      <c r="K2001" s="2" t="n">
        <f aca="false">J2001*(1-K$1987)+J2000*K$1987</f>
        <v>0</v>
      </c>
      <c r="L2001" s="2" t="n">
        <f aca="false">K2001*(1-L$1987)+K2000*L$1987</f>
        <v>0</v>
      </c>
      <c r="M2001" s="2" t="n">
        <f aca="false">L2001*(1-M$1987)+L2000*M$1987</f>
        <v>0</v>
      </c>
      <c r="N2001" s="2" t="n">
        <f aca="false">M2001*(1-N$1987)+M2000*N$1987</f>
        <v>0</v>
      </c>
      <c r="O2001" s="2" t="n">
        <f aca="false">N2001*(1-O$1987)+N2000*O$1987</f>
        <v>0</v>
      </c>
    </row>
    <row r="2003" customFormat="false" ht="15" hidden="false" customHeight="false" outlineLevel="0" collapsed="false">
      <c r="A2003" s="1" t="s">
        <v>183</v>
      </c>
      <c r="C2003" s="2" t="n">
        <f aca="false">Schedule!G127</f>
        <v>0.00395075066077681</v>
      </c>
      <c r="D2003" s="2" t="n">
        <f aca="false">Schedule!L127</f>
        <v>0.919243340766229</v>
      </c>
      <c r="E2003" s="2" t="n">
        <f aca="false">Schedule!Q127</f>
        <v>0.299791595468696</v>
      </c>
      <c r="F2003" s="2" t="n">
        <f aca="false">Schedule!V127</f>
        <v>0.0175913210080447</v>
      </c>
      <c r="G2003" s="2" t="n">
        <f aca="false">Schedule!AA127</f>
        <v>0.185727833347904</v>
      </c>
      <c r="H2003" s="2" t="n">
        <f aca="false">Schedule!AF127</f>
        <v>0.408560294059836</v>
      </c>
      <c r="I2003" s="2" t="n">
        <f aca="false">Schedule!AK127</f>
        <v>0.293306760083888</v>
      </c>
      <c r="J2003" s="2" t="n">
        <f aca="false">Schedule!AP127</f>
        <v>0.721566024768411</v>
      </c>
      <c r="K2003" s="2" t="n">
        <f aca="false">Schedule!AU127</f>
        <v>0.328611670769279</v>
      </c>
      <c r="L2003" s="2" t="n">
        <f aca="false">Schedule!AZ127</f>
        <v>0.547263288750412</v>
      </c>
      <c r="M2003" s="2" t="n">
        <f aca="false">Schedule!BE127</f>
        <v>0.194206216543996</v>
      </c>
      <c r="N2003" s="2" t="n">
        <f aca="false">Schedule!BJ127</f>
        <v>0.240016340681267</v>
      </c>
      <c r="O2003" s="2" t="n">
        <f aca="false">Schedule!BO127</f>
        <v>0</v>
      </c>
    </row>
    <row r="2004" customFormat="false" ht="15" hidden="false" customHeight="false" outlineLevel="0" collapsed="false">
      <c r="B2004" s="2" t="n">
        <v>0</v>
      </c>
      <c r="C2004" s="2" t="n">
        <f aca="false">1-C$2003</f>
        <v>0.996049249339223</v>
      </c>
      <c r="D2004" s="2" t="n">
        <f aca="false">C2004*(1-D$2003)</f>
        <v>0.080437609808941</v>
      </c>
      <c r="E2004" s="2" t="n">
        <f aca="false">D2004*(1-E$2003)</f>
        <v>0.0563230904286302</v>
      </c>
      <c r="F2004" s="2" t="n">
        <f aca="false">E2004*(1-F$2003)</f>
        <v>0.055332292864735</v>
      </c>
      <c r="G2004" s="2" t="n">
        <f aca="false">F2004*(1-G$2003)</f>
        <v>0.0450555459967961</v>
      </c>
      <c r="H2004" s="2" t="n">
        <f aca="false">G2004*(1-H$2003)</f>
        <v>0.0266476388753186</v>
      </c>
      <c r="I2004" s="2" t="n">
        <f aca="false">H2004*(1-I$2003)</f>
        <v>0.0188317062529135</v>
      </c>
      <c r="J2004" s="2" t="n">
        <f aca="false">I2004*(1-J$2003)</f>
        <v>0.00524338683239226</v>
      </c>
      <c r="K2004" s="2" t="n">
        <f aca="false">J2004*(1-K$2003)</f>
        <v>0.0035203487249102</v>
      </c>
      <c r="L2004" s="2" t="n">
        <f aca="false">K2004*(1-L$2003)</f>
        <v>0.00159379110416753</v>
      </c>
      <c r="M2004" s="2" t="n">
        <f aca="false">L2004*(1-M$2003)</f>
        <v>0.00128426696386567</v>
      </c>
      <c r="N2004" s="2" t="n">
        <f aca="false">M2004*(1-N$2003)</f>
        <v>0.000976021906740794</v>
      </c>
      <c r="O2004" s="2" t="n">
        <f aca="false">N2004*(1-O$2003)</f>
        <v>0.000976021906740794</v>
      </c>
    </row>
    <row r="2005" customFormat="false" ht="15" hidden="false" customHeight="false" outlineLevel="0" collapsed="false">
      <c r="B2005" s="2" t="n">
        <v>1</v>
      </c>
      <c r="C2005" s="2" t="n">
        <f aca="false">C$2003</f>
        <v>0.00395075066077681</v>
      </c>
      <c r="D2005" s="2" t="n">
        <f aca="false">C2005*(1-D$2003)+C2004*D$2003</f>
        <v>0.915930688955112</v>
      </c>
      <c r="E2005" s="2" t="n">
        <f aca="false">D2005*(1-E$2003)+D2004*E$2003</f>
        <v>0.665456885754828</v>
      </c>
      <c r="F2005" s="2" t="n">
        <f aca="false">E2005*(1-F$2003)+E2004*F$2003</f>
        <v>0.654741417624396</v>
      </c>
      <c r="G2005" s="2" t="n">
        <f aca="false">F2005*(1-G$2003)+F2004*G$2003</f>
        <v>0.543414459593821</v>
      </c>
      <c r="H2005" s="2" t="n">
        <f aca="false">G2005*(1-H$2003)+G2004*H$2003</f>
        <v>0.33980479530728</v>
      </c>
      <c r="I2005" s="2" t="n">
        <f aca="false">H2005*(1-I$2003)+H2004*I$2003</f>
        <v>0.247953684357138</v>
      </c>
      <c r="J2005" s="2" t="n">
        <f aca="false">I2005*(1-J$2003)+I2004*J$2003</f>
        <v>0.0826270494293979</v>
      </c>
      <c r="K2005" s="2" t="n">
        <f aca="false">J2005*(1-K$2003)+J2004*K$2003</f>
        <v>0.0571978747731497</v>
      </c>
      <c r="L2005" s="2" t="n">
        <f aca="false">K2005*(1-L$2003)+K2004*L$2003</f>
        <v>0.0278221353360042</v>
      </c>
      <c r="M2005" s="2" t="n">
        <f aca="false">L2005*(1-M$2003)+L2004*M$2003</f>
        <v>0.0227284278365257</v>
      </c>
      <c r="N2005" s="2" t="n">
        <f aca="false">M2005*(1-N$2003)+M2004*N$2003</f>
        <v>0.0175814788148894</v>
      </c>
      <c r="O2005" s="2" t="n">
        <f aca="false">N2005*(1-O$2003)+N2004*O$2003</f>
        <v>0.0175814788148894</v>
      </c>
    </row>
    <row r="2006" customFormat="false" ht="15" hidden="false" customHeight="false" outlineLevel="0" collapsed="false">
      <c r="B2006" s="2" t="n">
        <v>2</v>
      </c>
      <c r="C2006" s="2" t="n">
        <f aca="false">0</f>
        <v>0</v>
      </c>
      <c r="D2006" s="2" t="n">
        <f aca="false">C2006*(1-D$2003)+C2005*D$2003</f>
        <v>0.00363170123594686</v>
      </c>
      <c r="E2006" s="2" t="n">
        <f aca="false">D2006*(1-E$2003)+D2005*E$2003</f>
        <v>0.277131270308752</v>
      </c>
      <c r="F2006" s="2" t="n">
        <f aca="false">E2006*(1-F$2003)+E2005*F$2003</f>
        <v>0.28396243086571</v>
      </c>
      <c r="G2006" s="2" t="n">
        <f aca="false">F2006*(1-G$2003)+F2005*G$2003</f>
        <v>0.352826408727332</v>
      </c>
      <c r="H2006" s="2" t="n">
        <f aca="false">G2006*(1-H$2003)+G2005*H$2003</f>
        <v>0.430693118833636</v>
      </c>
      <c r="I2006" s="2" t="n">
        <f aca="false">H2006*(1-I$2003)+H2005*I$2003</f>
        <v>0.404034959130664</v>
      </c>
      <c r="J2006" s="2" t="n">
        <f aca="false">I2006*(1-J$2003)+I2005*J$2003</f>
        <v>0.291412014151545</v>
      </c>
      <c r="K2006" s="2" t="n">
        <f aca="false">J2006*(1-K$2003)+J2005*K$2003</f>
        <v>0.222802838062695</v>
      </c>
      <c r="L2006" s="2" t="n">
        <f aca="false">K2006*(1-L$2003)+K2005*L$2003</f>
        <v>0.132173321219467</v>
      </c>
      <c r="M2006" s="2" t="n">
        <f aca="false">L2006*(1-M$2003)+L2005*M$2003</f>
        <v>0.111907672217161</v>
      </c>
      <c r="N2006" s="2" t="n">
        <f aca="false">M2006*(1-N$2003)+M2005*N$2003</f>
        <v>0.0905031963162002</v>
      </c>
      <c r="O2006" s="2" t="n">
        <f aca="false">N2006*(1-O$2003)+N2005*O$2003</f>
        <v>0.0905031963162002</v>
      </c>
    </row>
    <row r="2007" customFormat="false" ht="15" hidden="false" customHeight="false" outlineLevel="0" collapsed="false">
      <c r="B2007" s="2" t="n">
        <v>3</v>
      </c>
      <c r="C2007" s="2" t="n">
        <f aca="false">0</f>
        <v>0</v>
      </c>
      <c r="D2007" s="2" t="n">
        <f aca="false">C2007*(1-D$2003)+C2006*D$2003</f>
        <v>0</v>
      </c>
      <c r="E2007" s="2" t="n">
        <f aca="false">D2007*(1-E$2003)+D2006*E$2003</f>
        <v>0.00108875350779014</v>
      </c>
      <c r="F2007" s="2" t="n">
        <f aca="false">E2007*(1-F$2003)+E2006*F$2003</f>
        <v>0.00594470603270444</v>
      </c>
      <c r="G2007" s="2" t="n">
        <f aca="false">F2007*(1-G$2003)+F2006*G$2003</f>
        <v>0.0575803356982523</v>
      </c>
      <c r="H2007" s="2" t="n">
        <f aca="false">G2007*(1-H$2003)+G2006*H$2003</f>
        <v>0.178206158115025</v>
      </c>
      <c r="I2007" s="2" t="n">
        <f aca="false">H2007*(1-I$2003)+H2006*I$2003</f>
        <v>0.252262290526829</v>
      </c>
      <c r="J2007" s="2" t="n">
        <f aca="false">I2007*(1-J$2003)+I2006*J$2003</f>
        <v>0.361776291679792</v>
      </c>
      <c r="K2007" s="2" t="n">
        <f aca="false">J2007*(1-K$2003)+J2006*K$2003</f>
        <v>0.338653768878761</v>
      </c>
      <c r="L2007" s="2" t="n">
        <f aca="false">K2007*(1-L$2003)+K2006*L$2003</f>
        <v>0.275252807475564</v>
      </c>
      <c r="M2007" s="2" t="n">
        <f aca="false">L2007*(1-M$2003)+L2006*M$2003</f>
        <v>0.247465881784709</v>
      </c>
      <c r="N2007" s="2" t="n">
        <f aca="false">M2007*(1-N$2003)+M2006*N$2003</f>
        <v>0.214929696375002</v>
      </c>
      <c r="O2007" s="2" t="n">
        <f aca="false">N2007*(1-O$2003)+N2006*O$2003</f>
        <v>0.214929696375002</v>
      </c>
    </row>
    <row r="2008" customFormat="false" ht="15" hidden="false" customHeight="false" outlineLevel="0" collapsed="false">
      <c r="B2008" s="2" t="n">
        <v>4</v>
      </c>
      <c r="C2008" s="2" t="n">
        <f aca="false">0</f>
        <v>0</v>
      </c>
      <c r="D2008" s="2" t="n">
        <f aca="false">C2008*(1-D$2003)+C2007*D$2003</f>
        <v>0</v>
      </c>
      <c r="E2008" s="2" t="n">
        <f aca="false">D2008*(1-E$2003)+D2007*E$2003</f>
        <v>0</v>
      </c>
      <c r="F2008" s="2" t="n">
        <f aca="false">E2008*(1-F$2003)+E2007*F$2003</f>
        <v>1.91526124541712E-005</v>
      </c>
      <c r="G2008" s="2" t="n">
        <f aca="false">F2008*(1-G$2003)+F2007*G$2003</f>
        <v>0.00111969281058452</v>
      </c>
      <c r="H2008" s="2" t="n">
        <f aca="false">G2008*(1-H$2003)+G2007*H$2003</f>
        <v>0.0241872696715775</v>
      </c>
      <c r="I2008" s="2" t="n">
        <f aca="false">H2008*(1-I$2003)+H2007*I$2003</f>
        <v>0.0693620508326468</v>
      </c>
      <c r="J2008" s="2" t="n">
        <f aca="false">I2008*(1-J$2003)+I2007*J$2003</f>
        <v>0.201336649717967</v>
      </c>
      <c r="K2008" s="2" t="n">
        <f aca="false">J2008*(1-K$2003)+J2007*K$2003</f>
        <v>0.254058988520667</v>
      </c>
      <c r="L2008" s="2" t="n">
        <f aca="false">K2008*(1-L$2003)+K2007*L$2003</f>
        <v>0.300354606230557</v>
      </c>
      <c r="M2008" s="2" t="n">
        <f aca="false">L2008*(1-M$2003)+L2007*M$2003</f>
        <v>0.295479680865901</v>
      </c>
      <c r="N2008" s="2" t="n">
        <f aca="false">M2008*(1-N$2003)+M2007*N$2003</f>
        <v>0.283955584508228</v>
      </c>
      <c r="O2008" s="2" t="n">
        <f aca="false">N2008*(1-O$2003)+N2007*O$2003</f>
        <v>0.283955584508228</v>
      </c>
    </row>
    <row r="2009" customFormat="false" ht="15" hidden="false" customHeight="false" outlineLevel="0" collapsed="false">
      <c r="B2009" s="2" t="n">
        <v>5</v>
      </c>
      <c r="C2009" s="2" t="n">
        <f aca="false">0</f>
        <v>0</v>
      </c>
      <c r="D2009" s="2" t="n">
        <f aca="false">C2009*(1-D$2003)+C2008*D$2003</f>
        <v>0</v>
      </c>
      <c r="E2009" s="2" t="n">
        <f aca="false">D2009*(1-E$2003)+D2008*E$2003</f>
        <v>0</v>
      </c>
      <c r="F2009" s="2" t="n">
        <f aca="false">E2009*(1-F$2003)+E2008*F$2003</f>
        <v>0</v>
      </c>
      <c r="G2009" s="2" t="n">
        <f aca="false">F2009*(1-G$2003)+F2008*G$2003</f>
        <v>3.55717321406529E-006</v>
      </c>
      <c r="H2009" s="2" t="n">
        <f aca="false">G2009*(1-H$2003)+G2008*H$2003</f>
        <v>0.000459565877428799</v>
      </c>
      <c r="I2009" s="2" t="n">
        <f aca="false">H2009*(1-I$2003)+H2008*I$2003</f>
        <v>0.00741906180152072</v>
      </c>
      <c r="J2009" s="2" t="n">
        <f aca="false">I2009*(1-J$2003)+I2008*J$2003</f>
        <v>0.0521150181589837</v>
      </c>
      <c r="K2009" s="2" t="n">
        <f aca="false">J2009*(1-K$2003)+J2008*K$2003</f>
        <v>0.101150987820499</v>
      </c>
      <c r="L2009" s="2" t="n">
        <f aca="false">K2009*(1-L$2003)+K2008*L$2003</f>
        <v>0.184831923159923</v>
      </c>
      <c r="M2009" s="2" t="n">
        <f aca="false">L2009*(1-M$2003)+L2008*M$2003</f>
        <v>0.207267146364082</v>
      </c>
      <c r="N2009" s="2" t="n">
        <f aca="false">M2009*(1-N$2003)+M2008*N$2003</f>
        <v>0.228439596097429</v>
      </c>
      <c r="O2009" s="2" t="n">
        <f aca="false">N2009*(1-O$2003)+N2008*O$2003</f>
        <v>0.228439596097429</v>
      </c>
    </row>
    <row r="2010" customFormat="false" ht="15" hidden="false" customHeight="false" outlineLevel="0" collapsed="false">
      <c r="B2010" s="2" t="n">
        <v>6</v>
      </c>
      <c r="C2010" s="2" t="n">
        <f aca="false">0</f>
        <v>0</v>
      </c>
      <c r="D2010" s="2" t="n">
        <f aca="false">C2010*(1-D$2003)+C2009*D$2003</f>
        <v>0</v>
      </c>
      <c r="E2010" s="2" t="n">
        <f aca="false">D2010*(1-E$2003)+D2009*E$2003</f>
        <v>0</v>
      </c>
      <c r="F2010" s="2" t="n">
        <f aca="false">E2010*(1-F$2003)+E2009*F$2003</f>
        <v>0</v>
      </c>
      <c r="G2010" s="2" t="n">
        <f aca="false">F2010*(1-G$2003)+F2009*G$2003</f>
        <v>0</v>
      </c>
      <c r="H2010" s="2" t="n">
        <f aca="false">G2010*(1-H$2003)+G2009*H$2003</f>
        <v>1.45331973436029E-006</v>
      </c>
      <c r="I2010" s="2" t="n">
        <f aca="false">H2010*(1-I$2003)+H2009*I$2003</f>
        <v>0.000135820829785459</v>
      </c>
      <c r="J2010" s="2" t="n">
        <f aca="false">I2010*(1-J$2003)+I2009*J$2003</f>
        <v>0.00539116006519089</v>
      </c>
      <c r="K2010" s="2" t="n">
        <f aca="false">J2010*(1-K$2003)+J2009*K$2003</f>
        <v>0.0207451651381788</v>
      </c>
      <c r="L2010" s="2" t="n">
        <f aca="false">K2010*(1-L$2003)+K2009*L$2003</f>
        <v>0.0647483200939878</v>
      </c>
      <c r="M2010" s="2" t="n">
        <f aca="false">L2010*(1-M$2003)+L2009*M$2003</f>
        <v>0.0880693023143941</v>
      </c>
      <c r="N2010" s="2" t="n">
        <f aca="false">M2010*(1-N$2003)+M2009*N$2003</f>
        <v>0.116678732660297</v>
      </c>
      <c r="O2010" s="2" t="n">
        <f aca="false">N2010*(1-O$2003)+N2009*O$2003</f>
        <v>0.116678732660297</v>
      </c>
    </row>
    <row r="2011" customFormat="false" ht="15" hidden="false" customHeight="false" outlineLevel="0" collapsed="false">
      <c r="B2011" s="2" t="n">
        <v>7</v>
      </c>
      <c r="C2011" s="2" t="n">
        <f aca="false">0</f>
        <v>0</v>
      </c>
      <c r="D2011" s="2" t="n">
        <f aca="false">C2011*(1-D$2003)+C2010*D$2003</f>
        <v>0</v>
      </c>
      <c r="E2011" s="2" t="n">
        <f aca="false">D2011*(1-E$2003)+D2010*E$2003</f>
        <v>0</v>
      </c>
      <c r="F2011" s="2" t="n">
        <f aca="false">E2011*(1-F$2003)+E2010*F$2003</f>
        <v>0</v>
      </c>
      <c r="G2011" s="2" t="n">
        <f aca="false">F2011*(1-G$2003)+F2010*G$2003</f>
        <v>0</v>
      </c>
      <c r="H2011" s="2" t="n">
        <f aca="false">G2011*(1-H$2003)+G2010*H$2003</f>
        <v>0</v>
      </c>
      <c r="I2011" s="2" t="n">
        <f aca="false">H2011*(1-I$2003)+H2010*I$2003</f>
        <v>4.26268502651192E-007</v>
      </c>
      <c r="J2011" s="2" t="n">
        <f aca="false">I2011*(1-J$2003)+I2010*J$2003</f>
        <v>9.812238386275E-005</v>
      </c>
      <c r="K2011" s="2" t="n">
        <f aca="false">J2011*(1-K$2003)+J2010*K$2003</f>
        <v>0.00183747633976874</v>
      </c>
      <c r="L2011" s="2" t="n">
        <f aca="false">K2011*(1-L$2003)+K2010*L$2003</f>
        <v>0.012184960294256</v>
      </c>
      <c r="M2011" s="2" t="n">
        <f aca="false">L2011*(1-M$2003)+L2010*M$2003</f>
        <v>0.0223930915298027</v>
      </c>
      <c r="N2011" s="2" t="n">
        <f aca="false">M2011*(1-N$2003)+M2010*N$2003</f>
        <v>0.0381564553121319</v>
      </c>
      <c r="O2011" s="2" t="n">
        <f aca="false">N2011*(1-O$2003)+N2010*O$2003</f>
        <v>0.0381564553121319</v>
      </c>
    </row>
    <row r="2012" customFormat="false" ht="15" hidden="false" customHeight="false" outlineLevel="0" collapsed="false">
      <c r="B2012" s="2" t="n">
        <v>8</v>
      </c>
      <c r="C2012" s="2" t="n">
        <f aca="false">0</f>
        <v>0</v>
      </c>
      <c r="D2012" s="2" t="n">
        <f aca="false">C2012*(1-D$2003)+C2011*D$2003</f>
        <v>0</v>
      </c>
      <c r="E2012" s="2" t="n">
        <f aca="false">D2012*(1-E$2003)+D2011*E$2003</f>
        <v>0</v>
      </c>
      <c r="F2012" s="2" t="n">
        <f aca="false">E2012*(1-F$2003)+E2011*F$2003</f>
        <v>0</v>
      </c>
      <c r="G2012" s="2" t="n">
        <f aca="false">F2012*(1-G$2003)+F2011*G$2003</f>
        <v>0</v>
      </c>
      <c r="H2012" s="2" t="n">
        <f aca="false">G2012*(1-H$2003)+G2011*H$2003</f>
        <v>0</v>
      </c>
      <c r="I2012" s="2" t="n">
        <f aca="false">H2012*(1-I$2003)+H2011*I$2003</f>
        <v>0</v>
      </c>
      <c r="J2012" s="2" t="n">
        <f aca="false">I2012*(1-J$2003)+I2011*J$2003</f>
        <v>3.07580868942004E-007</v>
      </c>
      <c r="K2012" s="2" t="n">
        <f aca="false">J2012*(1-K$2003)+J2011*K$2003</f>
        <v>3.24506667067051E-005</v>
      </c>
      <c r="L2012" s="2" t="n">
        <f aca="false">K2012*(1-L$2003)+K2011*L$2003</f>
        <v>0.00102027495282556</v>
      </c>
      <c r="M2012" s="2" t="n">
        <f aca="false">L2012*(1-M$2003)+L2011*M$2003</f>
        <v>0.00318852625188897</v>
      </c>
      <c r="N2012" s="2" t="n">
        <f aca="false">M2012*(1-N$2003)+M2011*N$2003</f>
        <v>0.00779793573426833</v>
      </c>
      <c r="O2012" s="2" t="n">
        <f aca="false">N2012*(1-O$2003)+N2011*O$2003</f>
        <v>0.00779793573426833</v>
      </c>
    </row>
    <row r="2013" customFormat="false" ht="15" hidden="false" customHeight="false" outlineLevel="0" collapsed="false">
      <c r="B2013" s="2" t="n">
        <v>9</v>
      </c>
      <c r="C2013" s="2" t="n">
        <f aca="false">0</f>
        <v>0</v>
      </c>
      <c r="D2013" s="2" t="n">
        <f aca="false">C2013*(1-D$2003)+C2012*D$2003</f>
        <v>0</v>
      </c>
      <c r="E2013" s="2" t="n">
        <f aca="false">D2013*(1-E$2003)+D2012*E$2003</f>
        <v>0</v>
      </c>
      <c r="F2013" s="2" t="n">
        <f aca="false">E2013*(1-F$2003)+E2012*F$2003</f>
        <v>0</v>
      </c>
      <c r="G2013" s="2" t="n">
        <f aca="false">F2013*(1-G$2003)+F2012*G$2003</f>
        <v>0</v>
      </c>
      <c r="H2013" s="2" t="n">
        <f aca="false">G2013*(1-H$2003)+G2012*H$2003</f>
        <v>0</v>
      </c>
      <c r="I2013" s="2" t="n">
        <f aca="false">H2013*(1-I$2003)+H2012*I$2003</f>
        <v>0</v>
      </c>
      <c r="J2013" s="2" t="n">
        <f aca="false">I2013*(1-J$2003)+I2012*J$2003</f>
        <v>0</v>
      </c>
      <c r="K2013" s="2" t="n">
        <f aca="false">J2013*(1-K$2003)+J2012*K$2003</f>
        <v>1.01074663239698E-007</v>
      </c>
      <c r="L2013" s="2" t="n">
        <f aca="false">K2013*(1-L$2003)+K2012*L$2003</f>
        <v>1.78048187946808E-005</v>
      </c>
      <c r="M2013" s="2" t="n">
        <f aca="false">L2013*(1-M$2003)+L2012*M$2003</f>
        <v>0.00021249075072317</v>
      </c>
      <c r="N2013" s="2" t="n">
        <f aca="false">M2013*(1-N$2003)+M2012*N$2003</f>
        <v>0.000926787901450525</v>
      </c>
      <c r="O2013" s="2" t="n">
        <f aca="false">N2013*(1-O$2003)+N2012*O$2003</f>
        <v>0.000926787901450525</v>
      </c>
    </row>
    <row r="2014" customFormat="false" ht="15" hidden="false" customHeight="false" outlineLevel="0" collapsed="false">
      <c r="B2014" s="2" t="n">
        <v>10</v>
      </c>
      <c r="C2014" s="2" t="n">
        <f aca="false">0</f>
        <v>0</v>
      </c>
      <c r="D2014" s="2" t="n">
        <f aca="false">C2014*(1-D$2003)+C2013*D$2003</f>
        <v>0</v>
      </c>
      <c r="E2014" s="2" t="n">
        <f aca="false">D2014*(1-E$2003)+D2013*E$2003</f>
        <v>0</v>
      </c>
      <c r="F2014" s="2" t="n">
        <f aca="false">E2014*(1-F$2003)+E2013*F$2003</f>
        <v>0</v>
      </c>
      <c r="G2014" s="2" t="n">
        <f aca="false">F2014*(1-G$2003)+F2013*G$2003</f>
        <v>0</v>
      </c>
      <c r="H2014" s="2" t="n">
        <f aca="false">G2014*(1-H$2003)+G2013*H$2003</f>
        <v>0</v>
      </c>
      <c r="I2014" s="2" t="n">
        <f aca="false">H2014*(1-I$2003)+H2013*I$2003</f>
        <v>0</v>
      </c>
      <c r="J2014" s="2" t="n">
        <f aca="false">I2014*(1-J$2003)+I2013*J$2003</f>
        <v>0</v>
      </c>
      <c r="K2014" s="2" t="n">
        <f aca="false">J2014*(1-K$2003)+J2013*K$2003</f>
        <v>0</v>
      </c>
      <c r="L2014" s="2" t="n">
        <f aca="false">K2014*(1-L$2003)+K2013*L$2003</f>
        <v>5.53144526138978E-008</v>
      </c>
      <c r="M2014" s="2" t="n">
        <f aca="false">L2014*(1-M$2003)+L2013*M$2003</f>
        <v>3.50237853641793E-006</v>
      </c>
      <c r="N2014" s="2" t="n">
        <f aca="false">M2014*(1-N$2003)+M2013*N$2003</f>
        <v>5.36630028736168E-005</v>
      </c>
      <c r="O2014" s="2" t="n">
        <f aca="false">N2014*(1-O$2003)+N2013*O$2003</f>
        <v>5.36630028736168E-005</v>
      </c>
    </row>
    <row r="2015" customFormat="false" ht="15" hidden="false" customHeight="false" outlineLevel="0" collapsed="false">
      <c r="B2015" s="2" t="n">
        <v>11</v>
      </c>
      <c r="C2015" s="2" t="n">
        <f aca="false">0</f>
        <v>0</v>
      </c>
      <c r="D2015" s="2" t="n">
        <f aca="false">C2015*(1-D$2003)+C2014*D$2003</f>
        <v>0</v>
      </c>
      <c r="E2015" s="2" t="n">
        <f aca="false">D2015*(1-E$2003)+D2014*E$2003</f>
        <v>0</v>
      </c>
      <c r="F2015" s="2" t="n">
        <f aca="false">E2015*(1-F$2003)+E2014*F$2003</f>
        <v>0</v>
      </c>
      <c r="G2015" s="2" t="n">
        <f aca="false">F2015*(1-G$2003)+F2014*G$2003</f>
        <v>0</v>
      </c>
      <c r="H2015" s="2" t="n">
        <f aca="false">G2015*(1-H$2003)+G2014*H$2003</f>
        <v>0</v>
      </c>
      <c r="I2015" s="2" t="n">
        <f aca="false">H2015*(1-I$2003)+H2014*I$2003</f>
        <v>0</v>
      </c>
      <c r="J2015" s="2" t="n">
        <f aca="false">I2015*(1-J$2003)+I2014*J$2003</f>
        <v>0</v>
      </c>
      <c r="K2015" s="2" t="n">
        <f aca="false">J2015*(1-K$2003)+J2014*K$2003</f>
        <v>0</v>
      </c>
      <c r="L2015" s="2" t="n">
        <f aca="false">K2015*(1-L$2003)+K2014*L$2003</f>
        <v>0</v>
      </c>
      <c r="M2015" s="2" t="n">
        <f aca="false">L2015*(1-M$2003)+L2014*M$2003</f>
        <v>1.07424105623472E-008</v>
      </c>
      <c r="N2015" s="2" t="n">
        <f aca="false">M2015*(1-N$2003)+M2014*N$2003</f>
        <v>8.48792136480718E-007</v>
      </c>
      <c r="O2015" s="2" t="n">
        <f aca="false">N2015*(1-O$2003)+N2014*O$2003</f>
        <v>8.48792136480718E-007</v>
      </c>
    </row>
    <row r="2016" customFormat="false" ht="15" hidden="false" customHeight="false" outlineLevel="0" collapsed="false">
      <c r="B2016" s="2" t="n">
        <v>12</v>
      </c>
      <c r="C2016" s="2" t="n">
        <f aca="false">0</f>
        <v>0</v>
      </c>
      <c r="D2016" s="2" t="n">
        <f aca="false">C2016*(1-D$2003)+C2015*D$2003</f>
        <v>0</v>
      </c>
      <c r="E2016" s="2" t="n">
        <f aca="false">D2016*(1-E$2003)+D2015*E$2003</f>
        <v>0</v>
      </c>
      <c r="F2016" s="2" t="n">
        <f aca="false">E2016*(1-F$2003)+E2015*F$2003</f>
        <v>0</v>
      </c>
      <c r="G2016" s="2" t="n">
        <f aca="false">F2016*(1-G$2003)+F2015*G$2003</f>
        <v>0</v>
      </c>
      <c r="H2016" s="2" t="n">
        <f aca="false">G2016*(1-H$2003)+G2015*H$2003</f>
        <v>0</v>
      </c>
      <c r="I2016" s="2" t="n">
        <f aca="false">H2016*(1-I$2003)+H2015*I$2003</f>
        <v>0</v>
      </c>
      <c r="J2016" s="2" t="n">
        <f aca="false">I2016*(1-J$2003)+I2015*J$2003</f>
        <v>0</v>
      </c>
      <c r="K2016" s="2" t="n">
        <f aca="false">J2016*(1-K$2003)+J2015*K$2003</f>
        <v>0</v>
      </c>
      <c r="L2016" s="2" t="n">
        <f aca="false">K2016*(1-L$2003)+K2015*L$2003</f>
        <v>0</v>
      </c>
      <c r="M2016" s="2" t="n">
        <f aca="false">L2016*(1-M$2003)+L2015*M$2003</f>
        <v>0</v>
      </c>
      <c r="N2016" s="2" t="n">
        <f aca="false">M2016*(1-N$2003)+M2015*N$2003</f>
        <v>2.57835407327037E-009</v>
      </c>
      <c r="O2016" s="2" t="n">
        <f aca="false">N2016*(1-O$2003)+N2015*O$2003</f>
        <v>2.57835407327037E-009</v>
      </c>
    </row>
    <row r="2017" customFormat="false" ht="15" hidden="false" customHeight="false" outlineLevel="0" collapsed="false">
      <c r="B2017" s="2" t="n">
        <v>13</v>
      </c>
      <c r="C2017" s="2" t="n">
        <f aca="false">0</f>
        <v>0</v>
      </c>
      <c r="D2017" s="2" t="n">
        <f aca="false">C2017*(1-D$2003)+C2016*D$2003</f>
        <v>0</v>
      </c>
      <c r="E2017" s="2" t="n">
        <f aca="false">D2017*(1-E$2003)+D2016*E$2003</f>
        <v>0</v>
      </c>
      <c r="F2017" s="2" t="n">
        <f aca="false">E2017*(1-F$2003)+E2016*F$2003</f>
        <v>0</v>
      </c>
      <c r="G2017" s="2" t="n">
        <f aca="false">F2017*(1-G$2003)+F2016*G$2003</f>
        <v>0</v>
      </c>
      <c r="H2017" s="2" t="n">
        <f aca="false">G2017*(1-H$2003)+G2016*H$2003</f>
        <v>0</v>
      </c>
      <c r="I2017" s="2" t="n">
        <f aca="false">H2017*(1-I$2003)+H2016*I$2003</f>
        <v>0</v>
      </c>
      <c r="J2017" s="2" t="n">
        <f aca="false">I2017*(1-J$2003)+I2016*J$2003</f>
        <v>0</v>
      </c>
      <c r="K2017" s="2" t="n">
        <f aca="false">J2017*(1-K$2003)+J2016*K$2003</f>
        <v>0</v>
      </c>
      <c r="L2017" s="2" t="n">
        <f aca="false">K2017*(1-L$2003)+K2016*L$2003</f>
        <v>0</v>
      </c>
      <c r="M2017" s="2" t="n">
        <f aca="false">L2017*(1-M$2003)+L2016*M$2003</f>
        <v>0</v>
      </c>
      <c r="N2017" s="2" t="n">
        <f aca="false">M2017*(1-N$2003)+M2016*N$2003</f>
        <v>0</v>
      </c>
      <c r="O2017" s="2" t="n">
        <f aca="false">N2017*(1-O$2003)+N2016*O$2003</f>
        <v>0</v>
      </c>
    </row>
    <row r="2019" customFormat="false" ht="15" hidden="false" customHeight="false" outlineLevel="0" collapsed="false">
      <c r="A2019" s="1" t="s">
        <v>184</v>
      </c>
      <c r="C2019" s="2" t="n">
        <f aca="false">Schedule!G128</f>
        <v>0.00558236840601682</v>
      </c>
      <c r="D2019" s="2" t="n">
        <f aca="false">Schedule!L128</f>
        <v>0.942371777723847</v>
      </c>
      <c r="E2019" s="2" t="n">
        <f aca="false">Schedule!Q128</f>
        <v>0.00765419337737332</v>
      </c>
      <c r="F2019" s="2" t="n">
        <f aca="false">Schedule!V128</f>
        <v>0.241963652223073</v>
      </c>
      <c r="G2019" s="2" t="n">
        <f aca="false">Schedule!AA128</f>
        <v>0.0865200720760435</v>
      </c>
      <c r="H2019" s="2" t="n">
        <f aca="false">Schedule!AF128</f>
        <v>0.374958048081219</v>
      </c>
      <c r="I2019" s="2" t="n">
        <f aca="false">Schedule!AK128</f>
        <v>0.472594309039532</v>
      </c>
      <c r="J2019" s="2" t="n">
        <f aca="false">Schedule!AP128</f>
        <v>0.105649773666855</v>
      </c>
      <c r="K2019" s="2" t="n">
        <f aca="false">Schedule!AU128</f>
        <v>0.187404883098225</v>
      </c>
      <c r="L2019" s="2" t="n">
        <f aca="false">Schedule!AZ128</f>
        <v>0.353830233327276</v>
      </c>
      <c r="M2019" s="2" t="n">
        <f aca="false">Schedule!BE128</f>
        <v>0.122516212343049</v>
      </c>
      <c r="N2019" s="2" t="n">
        <f aca="false">Schedule!BJ128</f>
        <v>0.386864750968727</v>
      </c>
      <c r="O2019" s="2" t="n">
        <f aca="false">Schedule!BO128</f>
        <v>0</v>
      </c>
    </row>
    <row r="2020" customFormat="false" ht="15" hidden="false" customHeight="false" outlineLevel="0" collapsed="false">
      <c r="B2020" s="2" t="n">
        <v>0</v>
      </c>
      <c r="C2020" s="2" t="n">
        <f aca="false">1-C$2019</f>
        <v>0.994417631593983</v>
      </c>
      <c r="D2020" s="2" t="n">
        <f aca="false">C2020*(1-D$2019)</f>
        <v>0.0573065203088239</v>
      </c>
      <c r="E2020" s="2" t="n">
        <f aca="false">D2020*(1-E$2019)</f>
        <v>0.0568678851205958</v>
      </c>
      <c r="F2020" s="2" t="n">
        <f aca="false">E2020*(1-F$2019)</f>
        <v>0.0431079239426143</v>
      </c>
      <c r="G2020" s="2" t="n">
        <f aca="false">F2020*(1-G$2019)</f>
        <v>0.0393782232560507</v>
      </c>
      <c r="H2020" s="2" t="n">
        <f aca="false">G2020*(1-H$2019)</f>
        <v>0.0246130415270555</v>
      </c>
      <c r="I2020" s="2" t="n">
        <f aca="false">H2020*(1-I$2019)</f>
        <v>0.0129810581732154</v>
      </c>
      <c r="J2020" s="2" t="n">
        <f aca="false">I2020*(1-J$2019)</f>
        <v>0.0116096123152589</v>
      </c>
      <c r="K2020" s="2" t="n">
        <f aca="false">J2020*(1-K$2019)</f>
        <v>0.00943391427650209</v>
      </c>
      <c r="L2020" s="2" t="n">
        <f aca="false">K2020*(1-L$2019)</f>
        <v>0.00609591018685783</v>
      </c>
      <c r="M2020" s="2" t="n">
        <f aca="false">L2020*(1-M$2019)</f>
        <v>0.0053490623599806</v>
      </c>
      <c r="N2020" s="2" t="n">
        <f aca="false">M2020*(1-N$2019)</f>
        <v>0.00327969868217052</v>
      </c>
      <c r="O2020" s="2" t="n">
        <f aca="false">N2020*(1-O$2019)</f>
        <v>0.00327969868217052</v>
      </c>
    </row>
    <row r="2021" customFormat="false" ht="15" hidden="false" customHeight="false" outlineLevel="0" collapsed="false">
      <c r="B2021" s="2" t="n">
        <v>1</v>
      </c>
      <c r="C2021" s="2" t="n">
        <f aca="false">C$2019</f>
        <v>0.00558236840601682</v>
      </c>
      <c r="D2021" s="2" t="n">
        <f aca="false">C2021*(1-D$2019)+C2020*D$2019</f>
        <v>0.937432813252489</v>
      </c>
      <c r="E2021" s="2" t="n">
        <f aca="false">D2021*(1-E$2019)+D2020*E$2019</f>
        <v>0.930696156409787</v>
      </c>
      <c r="F2021" s="2" t="n">
        <f aca="false">E2021*(1-F$2019)+E2020*F$2019</f>
        <v>0.71926147647288</v>
      </c>
      <c r="G2021" s="2" t="n">
        <f aca="false">F2021*(1-G$2019)+F2020*G$2019</f>
        <v>0.660760622373489</v>
      </c>
      <c r="H2021" s="2" t="n">
        <f aca="false">G2021*(1-H$2019)+G2020*H$2019</f>
        <v>0.427768290888389</v>
      </c>
      <c r="I2021" s="2" t="n">
        <f aca="false">H2021*(1-I$2019)+H2020*I$2019</f>
        <v>0.23723941438081</v>
      </c>
      <c r="J2021" s="2" t="n">
        <f aca="false">I2021*(1-J$2019)+I2020*J$2019</f>
        <v>0.213546569804576</v>
      </c>
      <c r="K2021" s="2" t="n">
        <f aca="false">J2021*(1-K$2019)+J2020*K$2019</f>
        <v>0.17570259789308</v>
      </c>
      <c r="L2021" s="2" t="n">
        <f aca="false">K2021*(1-L$2019)+K2020*L$2019</f>
        <v>0.116871710774007</v>
      </c>
      <c r="M2021" s="2" t="n">
        <f aca="false">L2021*(1-M$2019)+L2020*M$2019</f>
        <v>0.1032998792668</v>
      </c>
      <c r="N2021" s="2" t="n">
        <f aca="false">M2021*(1-N$2019)+M2020*N$2019</f>
        <v>0.0654061608769602</v>
      </c>
      <c r="O2021" s="2" t="n">
        <f aca="false">N2021*(1-O$2019)+N2020*O$2019</f>
        <v>0.0654061608769602</v>
      </c>
    </row>
    <row r="2022" customFormat="false" ht="15" hidden="false" customHeight="false" outlineLevel="0" collapsed="false">
      <c r="B2022" s="2" t="n">
        <v>2</v>
      </c>
      <c r="C2022" s="2" t="n">
        <f aca="false">0</f>
        <v>0</v>
      </c>
      <c r="D2022" s="2" t="n">
        <f aca="false">C2022*(1-D$2019)+C2021*D$2019</f>
        <v>0.00526066643868751</v>
      </c>
      <c r="E2022" s="2" t="n">
        <f aca="false">D2022*(1-E$2019)+D2021*E$2019</f>
        <v>0.0123956923114016</v>
      </c>
      <c r="F2022" s="2" t="n">
        <f aca="false">E2022*(1-F$2019)+E2021*F$2019</f>
        <v>0.23459102644279</v>
      </c>
      <c r="G2022" s="2" t="n">
        <f aca="false">F2022*(1-G$2019)+F2021*G$2019</f>
        <v>0.276524748712522</v>
      </c>
      <c r="H2022" s="2" t="n">
        <f aca="false">G2022*(1-H$2019)+G2021*H$2019</f>
        <v>0.42059708190322</v>
      </c>
      <c r="I2022" s="2" t="n">
        <f aca="false">H2022*(1-I$2019)+H2021*I$2019</f>
        <v>0.423986154458544</v>
      </c>
      <c r="J2022" s="2" t="n">
        <f aca="false">I2022*(1-J$2019)+I2021*J$2019</f>
        <v>0.404256403636308</v>
      </c>
      <c r="K2022" s="2" t="n">
        <f aca="false">J2022*(1-K$2019)+J2021*K$2019</f>
        <v>0.368516449521391</v>
      </c>
      <c r="L2022" s="2" t="n">
        <f aca="false">K2022*(1-L$2019)+K2021*L$2019</f>
        <v>0.300293079411015</v>
      </c>
      <c r="M2022" s="2" t="n">
        <f aca="false">L2022*(1-M$2019)+L2021*M$2019</f>
        <v>0.27782098806283</v>
      </c>
      <c r="N2022" s="2" t="n">
        <f aca="false">M2022*(1-N$2019)+M2021*N$2019</f>
        <v>0.210304922769668</v>
      </c>
      <c r="O2022" s="2" t="n">
        <f aca="false">N2022*(1-O$2019)+N2021*O$2019</f>
        <v>0.210304922769668</v>
      </c>
    </row>
    <row r="2023" customFormat="false" ht="15" hidden="false" customHeight="false" outlineLevel="0" collapsed="false">
      <c r="B2023" s="2" t="n">
        <v>3</v>
      </c>
      <c r="C2023" s="2" t="n">
        <f aca="false">0</f>
        <v>0</v>
      </c>
      <c r="D2023" s="2" t="n">
        <f aca="false">C2023*(1-D$2019)+C2022*D$2019</f>
        <v>0</v>
      </c>
      <c r="E2023" s="2" t="n">
        <f aca="false">D2023*(1-E$2019)+D2022*E$2019</f>
        <v>4.0266158215572E-005</v>
      </c>
      <c r="F2023" s="2" t="n">
        <f aca="false">E2023*(1-F$2019)+E2022*F$2019</f>
        <v>0.00302983019501293</v>
      </c>
      <c r="G2023" s="2" t="n">
        <f aca="false">F2023*(1-G$2019)+F2022*G$2019</f>
        <v>0.0230645215843854</v>
      </c>
      <c r="H2023" s="2" t="n">
        <f aca="false">G2023*(1-H$2019)+G2022*H$2019</f>
        <v>0.118101473614574</v>
      </c>
      <c r="I2023" s="2" t="n">
        <f aca="false">H2023*(1-I$2019)+H2022*I$2019</f>
        <v>0.261059176601239</v>
      </c>
      <c r="J2023" s="2" t="n">
        <f aca="false">I2023*(1-J$2019)+I2022*J$2019</f>
        <v>0.278272374936088</v>
      </c>
      <c r="K2023" s="2" t="n">
        <f aca="false">J2023*(1-K$2019)+J2022*K$2019</f>
        <v>0.301882397106896</v>
      </c>
      <c r="L2023" s="2" t="n">
        <f aca="false">K2023*(1-L$2019)+K2022*L$2019</f>
        <v>0.325459539420259</v>
      </c>
      <c r="M2023" s="2" t="n">
        <f aca="false">L2023*(1-M$2019)+L2022*M$2019</f>
        <v>0.322376240061843</v>
      </c>
      <c r="N2023" s="2" t="n">
        <f aca="false">M2023*(1-N$2019)+M2022*N$2019</f>
        <v>0.305139383592896</v>
      </c>
      <c r="O2023" s="2" t="n">
        <f aca="false">N2023*(1-O$2019)+N2022*O$2019</f>
        <v>0.305139383592896</v>
      </c>
    </row>
    <row r="2024" customFormat="false" ht="15" hidden="false" customHeight="false" outlineLevel="0" collapsed="false">
      <c r="B2024" s="2" t="n">
        <v>4</v>
      </c>
      <c r="C2024" s="2" t="n">
        <f aca="false">0</f>
        <v>0</v>
      </c>
      <c r="D2024" s="2" t="n">
        <f aca="false">C2024*(1-D$2019)+C2023*D$2019</f>
        <v>0</v>
      </c>
      <c r="E2024" s="2" t="n">
        <f aca="false">D2024*(1-E$2019)+D2023*E$2019</f>
        <v>0</v>
      </c>
      <c r="F2024" s="2" t="n">
        <f aca="false">E2024*(1-F$2019)+E2023*F$2019</f>
        <v>9.7429467028319E-006</v>
      </c>
      <c r="G2024" s="2" t="n">
        <f aca="false">F2024*(1-G$2019)+F2023*G$2019</f>
        <v>0.000271041113102561</v>
      </c>
      <c r="H2024" s="2" t="n">
        <f aca="false">G2024*(1-H$2019)+G2023*H$2019</f>
        <v>0.00881764005959216</v>
      </c>
      <c r="I2024" s="2" t="n">
        <f aca="false">H2024*(1-I$2019)+H2023*I$2019</f>
        <v>0.0604645578676999</v>
      </c>
      <c r="J2024" s="2" t="n">
        <f aca="false">I2024*(1-J$2019)+I2023*J$2019</f>
        <v>0.0816573339356874</v>
      </c>
      <c r="K2024" s="2" t="n">
        <f aca="false">J2024*(1-K$2019)+J2023*K$2019</f>
        <v>0.11850395270972</v>
      </c>
      <c r="L2024" s="2" t="n">
        <f aca="false">K2024*(1-L$2019)+K2023*L$2019</f>
        <v>0.183388790477966</v>
      </c>
      <c r="M2024" s="2" t="n">
        <f aca="false">L2024*(1-M$2019)+L2023*M$2019</f>
        <v>0.200794760523116</v>
      </c>
      <c r="N2024" s="2" t="n">
        <f aca="false">M2024*(1-N$2019)+M2023*N$2019</f>
        <v>0.247830349327275</v>
      </c>
      <c r="O2024" s="2" t="n">
        <f aca="false">N2024*(1-O$2019)+N2023*O$2019</f>
        <v>0.247830349327275</v>
      </c>
    </row>
    <row r="2025" customFormat="false" ht="15" hidden="false" customHeight="false" outlineLevel="0" collapsed="false">
      <c r="B2025" s="2" t="n">
        <v>5</v>
      </c>
      <c r="C2025" s="2" t="n">
        <f aca="false">0</f>
        <v>0</v>
      </c>
      <c r="D2025" s="2" t="n">
        <f aca="false">C2025*(1-D$2019)+C2024*D$2019</f>
        <v>0</v>
      </c>
      <c r="E2025" s="2" t="n">
        <f aca="false">D2025*(1-E$2019)+D2024*E$2019</f>
        <v>0</v>
      </c>
      <c r="F2025" s="2" t="n">
        <f aca="false">E2025*(1-F$2019)+E2024*F$2019</f>
        <v>0</v>
      </c>
      <c r="G2025" s="2" t="n">
        <f aca="false">F2025*(1-G$2019)+F2024*G$2019</f>
        <v>8.42960450962066E-007</v>
      </c>
      <c r="H2025" s="2" t="n">
        <f aca="false">G2025*(1-H$2019)+G2024*H$2019</f>
        <v>0.000102155932364357</v>
      </c>
      <c r="I2025" s="2" t="n">
        <f aca="false">H2025*(1-I$2019)+H2024*I$2019</f>
        <v>0.00422104413141659</v>
      </c>
      <c r="J2025" s="2" t="n">
        <f aca="false">I2025*(1-J$2019)+I2024*J$2019</f>
        <v>0.0101631586278836</v>
      </c>
      <c r="K2025" s="2" t="n">
        <f aca="false">J2025*(1-K$2019)+J2024*K$2019</f>
        <v>0.0235615161936465</v>
      </c>
      <c r="L2025" s="2" t="n">
        <f aca="false">K2025*(1-L$2019)+K2024*L$2019</f>
        <v>0.057155020658789</v>
      </c>
      <c r="M2025" s="2" t="n">
        <f aca="false">L2025*(1-M$2019)+L2024*M$2019</f>
        <v>0.0726207040068189</v>
      </c>
      <c r="N2025" s="2" t="n">
        <f aca="false">M2025*(1-N$2019)+M2024*N$2019</f>
        <v>0.122206728461648</v>
      </c>
      <c r="O2025" s="2" t="n">
        <f aca="false">N2025*(1-O$2019)+N2024*O$2019</f>
        <v>0.122206728461648</v>
      </c>
    </row>
    <row r="2026" customFormat="false" ht="15" hidden="false" customHeight="false" outlineLevel="0" collapsed="false">
      <c r="B2026" s="2" t="n">
        <v>6</v>
      </c>
      <c r="C2026" s="2" t="n">
        <f aca="false">0</f>
        <v>0</v>
      </c>
      <c r="D2026" s="2" t="n">
        <f aca="false">C2026*(1-D$2019)+C2025*D$2019</f>
        <v>0</v>
      </c>
      <c r="E2026" s="2" t="n">
        <f aca="false">D2026*(1-E$2019)+D2025*E$2019</f>
        <v>0</v>
      </c>
      <c r="F2026" s="2" t="n">
        <f aca="false">E2026*(1-F$2019)+E2025*F$2019</f>
        <v>0</v>
      </c>
      <c r="G2026" s="2" t="n">
        <f aca="false">F2026*(1-G$2019)+F2025*G$2019</f>
        <v>0</v>
      </c>
      <c r="H2026" s="2" t="n">
        <f aca="false">G2026*(1-H$2019)+G2025*H$2019</f>
        <v>3.160748053024E-007</v>
      </c>
      <c r="I2026" s="2" t="n">
        <f aca="false">H2026*(1-I$2019)+H2025*I$2019</f>
        <v>4.84450119211081E-005</v>
      </c>
      <c r="J2026" s="2" t="n">
        <f aca="false">I2026*(1-J$2019)+I2025*J$2019</f>
        <v>0.000489279164498325</v>
      </c>
      <c r="K2026" s="2" t="n">
        <f aca="false">J2026*(1-K$2019)+J2025*K$2019</f>
        <v>0.00230221141444035</v>
      </c>
      <c r="L2026" s="2" t="n">
        <f aca="false">K2026*(1-L$2019)+K2025*L$2019</f>
        <v>0.00982439618484256</v>
      </c>
      <c r="M2026" s="2" t="n">
        <f aca="false">L2026*(1-M$2019)+L2025*M$2019</f>
        <v>0.0156231650232217</v>
      </c>
      <c r="N2026" s="2" t="n">
        <f aca="false">M2026*(1-N$2019)+M2025*N$2019</f>
        <v>0.0376735037479413</v>
      </c>
      <c r="O2026" s="2" t="n">
        <f aca="false">N2026*(1-O$2019)+N2025*O$2019</f>
        <v>0.0376735037479413</v>
      </c>
    </row>
    <row r="2027" customFormat="false" ht="15" hidden="false" customHeight="false" outlineLevel="0" collapsed="false">
      <c r="B2027" s="2" t="n">
        <v>7</v>
      </c>
      <c r="C2027" s="2" t="n">
        <f aca="false">0</f>
        <v>0</v>
      </c>
      <c r="D2027" s="2" t="n">
        <f aca="false">C2027*(1-D$2019)+C2026*D$2019</f>
        <v>0</v>
      </c>
      <c r="E2027" s="2" t="n">
        <f aca="false">D2027*(1-E$2019)+D2026*E$2019</f>
        <v>0</v>
      </c>
      <c r="F2027" s="2" t="n">
        <f aca="false">E2027*(1-F$2019)+E2026*F$2019</f>
        <v>0</v>
      </c>
      <c r="G2027" s="2" t="n">
        <f aca="false">F2027*(1-G$2019)+F2026*G$2019</f>
        <v>0</v>
      </c>
      <c r="H2027" s="2" t="n">
        <f aca="false">G2027*(1-H$2019)+G2026*H$2019</f>
        <v>0</v>
      </c>
      <c r="I2027" s="2" t="n">
        <f aca="false">H2027*(1-I$2019)+H2026*I$2019</f>
        <v>1.49375154216692E-007</v>
      </c>
      <c r="J2027" s="2" t="n">
        <f aca="false">I2027*(1-J$2019)+I2026*J$2019</f>
        <v>5.25179824773542E-006</v>
      </c>
      <c r="K2027" s="2" t="n">
        <f aca="false">J2027*(1-K$2019)+J2026*K$2019</f>
        <v>9.59608902362688E-005</v>
      </c>
      <c r="L2027" s="2" t="n">
        <f aca="false">K2027*(1-L$2019)+K2026*L$2019</f>
        <v>0.000876599027993826</v>
      </c>
      <c r="M2027" s="2" t="n">
        <f aca="false">L2027*(1-M$2019)+L2026*M$2019</f>
        <v>0.00197284924446484</v>
      </c>
      <c r="N2027" s="2" t="n">
        <f aca="false">M2027*(1-N$2019)+M2026*N$2019</f>
        <v>0.0072536752588581</v>
      </c>
      <c r="O2027" s="2" t="n">
        <f aca="false">N2027*(1-O$2019)+N2026*O$2019</f>
        <v>0.0072536752588581</v>
      </c>
    </row>
    <row r="2028" customFormat="false" ht="15" hidden="false" customHeight="false" outlineLevel="0" collapsed="false">
      <c r="B2028" s="2" t="n">
        <v>8</v>
      </c>
      <c r="C2028" s="2" t="n">
        <f aca="false">0</f>
        <v>0</v>
      </c>
      <c r="D2028" s="2" t="n">
        <f aca="false">C2028*(1-D$2019)+C2027*D$2019</f>
        <v>0</v>
      </c>
      <c r="E2028" s="2" t="n">
        <f aca="false">D2028*(1-E$2019)+D2027*E$2019</f>
        <v>0</v>
      </c>
      <c r="F2028" s="2" t="n">
        <f aca="false">E2028*(1-F$2019)+E2027*F$2019</f>
        <v>0</v>
      </c>
      <c r="G2028" s="2" t="n">
        <f aca="false">F2028*(1-G$2019)+F2027*G$2019</f>
        <v>0</v>
      </c>
      <c r="H2028" s="2" t="n">
        <f aca="false">G2028*(1-H$2019)+G2027*H$2019</f>
        <v>0</v>
      </c>
      <c r="I2028" s="2" t="n">
        <f aca="false">H2028*(1-I$2019)+H2027*I$2019</f>
        <v>0</v>
      </c>
      <c r="J2028" s="2" t="n">
        <f aca="false">I2028*(1-J$2019)+I2027*J$2019</f>
        <v>1.57814512344451E-008</v>
      </c>
      <c r="K2028" s="2" t="n">
        <f aca="false">J2028*(1-K$2019)+J2027*K$2019</f>
        <v>9.97036566883051E-007</v>
      </c>
      <c r="L2028" s="2" t="n">
        <f aca="false">K2028*(1-L$2019)+K2027*L$2019</f>
        <v>3.45981190683791E-005</v>
      </c>
      <c r="M2028" s="2" t="n">
        <f aca="false">L2028*(1-M$2019)+L2027*M$2019</f>
        <v>0.00013775688121933</v>
      </c>
      <c r="N2028" s="2" t="n">
        <f aca="false">M2028*(1-N$2019)+M2027*N$2019</f>
        <v>0.000847689431330916</v>
      </c>
      <c r="O2028" s="2" t="n">
        <f aca="false">N2028*(1-O$2019)+N2027*O$2019</f>
        <v>0.000847689431330916</v>
      </c>
    </row>
    <row r="2029" customFormat="false" ht="15" hidden="false" customHeight="false" outlineLevel="0" collapsed="false">
      <c r="B2029" s="2" t="n">
        <v>9</v>
      </c>
      <c r="C2029" s="2" t="n">
        <f aca="false">0</f>
        <v>0</v>
      </c>
      <c r="D2029" s="2" t="n">
        <f aca="false">C2029*(1-D$2019)+C2028*D$2019</f>
        <v>0</v>
      </c>
      <c r="E2029" s="2" t="n">
        <f aca="false">D2029*(1-E$2019)+D2028*E$2019</f>
        <v>0</v>
      </c>
      <c r="F2029" s="2" t="n">
        <f aca="false">E2029*(1-F$2019)+E2028*F$2019</f>
        <v>0</v>
      </c>
      <c r="G2029" s="2" t="n">
        <f aca="false">F2029*(1-G$2019)+F2028*G$2019</f>
        <v>0</v>
      </c>
      <c r="H2029" s="2" t="n">
        <f aca="false">G2029*(1-H$2019)+G2028*H$2019</f>
        <v>0</v>
      </c>
      <c r="I2029" s="2" t="n">
        <f aca="false">H2029*(1-I$2019)+H2028*I$2019</f>
        <v>0</v>
      </c>
      <c r="J2029" s="2" t="n">
        <f aca="false">I2029*(1-J$2019)+I2028*J$2019</f>
        <v>0</v>
      </c>
      <c r="K2029" s="2" t="n">
        <f aca="false">J2029*(1-K$2019)+J2028*K$2019</f>
        <v>2.95752102371152E-009</v>
      </c>
      <c r="L2029" s="2" t="n">
        <f aca="false">K2029*(1-L$2019)+K2028*L$2019</f>
        <v>3.54692741765878E-007</v>
      </c>
      <c r="M2029" s="2" t="n">
        <f aca="false">L2029*(1-M$2019)+L2028*M$2019</f>
        <v>4.55006763295079E-006</v>
      </c>
      <c r="N2029" s="2" t="n">
        <f aca="false">M2029*(1-N$2019)+M2028*N$2019</f>
        <v>5.60830883983829E-005</v>
      </c>
      <c r="O2029" s="2" t="n">
        <f aca="false">N2029*(1-O$2019)+N2028*O$2019</f>
        <v>5.60830883983829E-005</v>
      </c>
    </row>
    <row r="2030" customFormat="false" ht="15" hidden="false" customHeight="false" outlineLevel="0" collapsed="false">
      <c r="B2030" s="2" t="n">
        <v>10</v>
      </c>
      <c r="C2030" s="2" t="n">
        <f aca="false">0</f>
        <v>0</v>
      </c>
      <c r="D2030" s="2" t="n">
        <f aca="false">C2030*(1-D$2019)+C2029*D$2019</f>
        <v>0</v>
      </c>
      <c r="E2030" s="2" t="n">
        <f aca="false">D2030*(1-E$2019)+D2029*E$2019</f>
        <v>0</v>
      </c>
      <c r="F2030" s="2" t="n">
        <f aca="false">E2030*(1-F$2019)+E2029*F$2019</f>
        <v>0</v>
      </c>
      <c r="G2030" s="2" t="n">
        <f aca="false">F2030*(1-G$2019)+F2029*G$2019</f>
        <v>0</v>
      </c>
      <c r="H2030" s="2" t="n">
        <f aca="false">G2030*(1-H$2019)+G2029*H$2019</f>
        <v>0</v>
      </c>
      <c r="I2030" s="2" t="n">
        <f aca="false">H2030*(1-I$2019)+H2029*I$2019</f>
        <v>0</v>
      </c>
      <c r="J2030" s="2" t="n">
        <f aca="false">I2030*(1-J$2019)+I2029*J$2019</f>
        <v>0</v>
      </c>
      <c r="K2030" s="2" t="n">
        <f aca="false">J2030*(1-K$2019)+J2029*K$2019</f>
        <v>0</v>
      </c>
      <c r="L2030" s="2" t="n">
        <f aca="false">K2030*(1-L$2019)+K2029*L$2019</f>
        <v>1.04646035389017E-009</v>
      </c>
      <c r="M2030" s="2" t="n">
        <f aca="false">L2030*(1-M$2019)+L2029*M$2019</f>
        <v>4.43738632616911E-008</v>
      </c>
      <c r="N2030" s="2" t="n">
        <f aca="false">M2030*(1-N$2019)+M2029*N$2019</f>
        <v>1.78746796141381E-006</v>
      </c>
      <c r="O2030" s="2" t="n">
        <f aca="false">N2030*(1-O$2019)+N2029*O$2019</f>
        <v>1.78746796141381E-006</v>
      </c>
    </row>
    <row r="2031" customFormat="false" ht="15" hidden="false" customHeight="false" outlineLevel="0" collapsed="false">
      <c r="B2031" s="2" t="n">
        <v>11</v>
      </c>
      <c r="C2031" s="2" t="n">
        <f aca="false">0</f>
        <v>0</v>
      </c>
      <c r="D2031" s="2" t="n">
        <f aca="false">C2031*(1-D$2019)+C2030*D$2019</f>
        <v>0</v>
      </c>
      <c r="E2031" s="2" t="n">
        <f aca="false">D2031*(1-E$2019)+D2030*E$2019</f>
        <v>0</v>
      </c>
      <c r="F2031" s="2" t="n">
        <f aca="false">E2031*(1-F$2019)+E2030*F$2019</f>
        <v>0</v>
      </c>
      <c r="G2031" s="2" t="n">
        <f aca="false">F2031*(1-G$2019)+F2030*G$2019</f>
        <v>0</v>
      </c>
      <c r="H2031" s="2" t="n">
        <f aca="false">G2031*(1-H$2019)+G2030*H$2019</f>
        <v>0</v>
      </c>
      <c r="I2031" s="2" t="n">
        <f aca="false">H2031*(1-I$2019)+H2030*I$2019</f>
        <v>0</v>
      </c>
      <c r="J2031" s="2" t="n">
        <f aca="false">I2031*(1-J$2019)+I2030*J$2019</f>
        <v>0</v>
      </c>
      <c r="K2031" s="2" t="n">
        <f aca="false">J2031*(1-K$2019)+J2030*K$2019</f>
        <v>0</v>
      </c>
      <c r="L2031" s="2" t="n">
        <f aca="false">K2031*(1-L$2019)+K2030*L$2019</f>
        <v>0</v>
      </c>
      <c r="M2031" s="2" t="n">
        <f aca="false">L2031*(1-M$2019)+L2030*M$2019</f>
        <v>1.28208358925791E-010</v>
      </c>
      <c r="N2031" s="2" t="n">
        <f aca="false">M2031*(1-N$2019)+M2030*N$2019</f>
        <v>1.72452926243323E-008</v>
      </c>
      <c r="O2031" s="2" t="n">
        <f aca="false">N2031*(1-O$2019)+N2030*O$2019</f>
        <v>1.72452926243323E-008</v>
      </c>
    </row>
    <row r="2032" customFormat="false" ht="15" hidden="false" customHeight="false" outlineLevel="0" collapsed="false">
      <c r="B2032" s="2" t="n">
        <v>12</v>
      </c>
      <c r="C2032" s="2" t="n">
        <f aca="false">0</f>
        <v>0</v>
      </c>
      <c r="D2032" s="2" t="n">
        <f aca="false">C2032*(1-D$2019)+C2031*D$2019</f>
        <v>0</v>
      </c>
      <c r="E2032" s="2" t="n">
        <f aca="false">D2032*(1-E$2019)+D2031*E$2019</f>
        <v>0</v>
      </c>
      <c r="F2032" s="2" t="n">
        <f aca="false">E2032*(1-F$2019)+E2031*F$2019</f>
        <v>0</v>
      </c>
      <c r="G2032" s="2" t="n">
        <f aca="false">F2032*(1-G$2019)+F2031*G$2019</f>
        <v>0</v>
      </c>
      <c r="H2032" s="2" t="n">
        <f aca="false">G2032*(1-H$2019)+G2031*H$2019</f>
        <v>0</v>
      </c>
      <c r="I2032" s="2" t="n">
        <f aca="false">H2032*(1-I$2019)+H2031*I$2019</f>
        <v>0</v>
      </c>
      <c r="J2032" s="2" t="n">
        <f aca="false">I2032*(1-J$2019)+I2031*J$2019</f>
        <v>0</v>
      </c>
      <c r="K2032" s="2" t="n">
        <f aca="false">J2032*(1-K$2019)+J2031*K$2019</f>
        <v>0</v>
      </c>
      <c r="L2032" s="2" t="n">
        <f aca="false">K2032*(1-L$2019)+K2031*L$2019</f>
        <v>0</v>
      </c>
      <c r="M2032" s="2" t="n">
        <f aca="false">L2032*(1-M$2019)+L2031*M$2019</f>
        <v>0</v>
      </c>
      <c r="N2032" s="2" t="n">
        <f aca="false">M2032*(1-N$2019)+M2031*N$2019</f>
        <v>4.95992948479354E-011</v>
      </c>
      <c r="O2032" s="2" t="n">
        <f aca="false">N2032*(1-O$2019)+N2031*O$2019</f>
        <v>4.95992948479354E-011</v>
      </c>
    </row>
    <row r="2033" customFormat="false" ht="15" hidden="false" customHeight="false" outlineLevel="0" collapsed="false">
      <c r="B2033" s="2" t="n">
        <v>13</v>
      </c>
      <c r="C2033" s="2" t="n">
        <f aca="false">0</f>
        <v>0</v>
      </c>
      <c r="D2033" s="2" t="n">
        <f aca="false">C2033*(1-D$2019)+C2032*D$2019</f>
        <v>0</v>
      </c>
      <c r="E2033" s="2" t="n">
        <f aca="false">D2033*(1-E$2019)+D2032*E$2019</f>
        <v>0</v>
      </c>
      <c r="F2033" s="2" t="n">
        <f aca="false">E2033*(1-F$2019)+E2032*F$2019</f>
        <v>0</v>
      </c>
      <c r="G2033" s="2" t="n">
        <f aca="false">F2033*(1-G$2019)+F2032*G$2019</f>
        <v>0</v>
      </c>
      <c r="H2033" s="2" t="n">
        <f aca="false">G2033*(1-H$2019)+G2032*H$2019</f>
        <v>0</v>
      </c>
      <c r="I2033" s="2" t="n">
        <f aca="false">H2033*(1-I$2019)+H2032*I$2019</f>
        <v>0</v>
      </c>
      <c r="J2033" s="2" t="n">
        <f aca="false">I2033*(1-J$2019)+I2032*J$2019</f>
        <v>0</v>
      </c>
      <c r="K2033" s="2" t="n">
        <f aca="false">J2033*(1-K$2019)+J2032*K$2019</f>
        <v>0</v>
      </c>
      <c r="L2033" s="2" t="n">
        <f aca="false">K2033*(1-L$2019)+K2032*L$2019</f>
        <v>0</v>
      </c>
      <c r="M2033" s="2" t="n">
        <f aca="false">L2033*(1-M$2019)+L2032*M$2019</f>
        <v>0</v>
      </c>
      <c r="N2033" s="2" t="n">
        <f aca="false">M2033*(1-N$2019)+M2032*N$2019</f>
        <v>0</v>
      </c>
      <c r="O2033" s="2" t="n">
        <f aca="false">N2033*(1-O$2019)+N2032*O$2019</f>
        <v>0</v>
      </c>
    </row>
    <row r="2035" customFormat="false" ht="15" hidden="false" customHeight="false" outlineLevel="0" collapsed="false">
      <c r="A2035" s="1" t="s">
        <v>185</v>
      </c>
      <c r="C2035" s="2" t="n">
        <f aca="false">Schedule!G129</f>
        <v>0.880002642100988</v>
      </c>
      <c r="D2035" s="2" t="n">
        <f aca="false">Schedule!L129</f>
        <v>0.0150508345580185</v>
      </c>
      <c r="E2035" s="2" t="n">
        <f aca="false">Schedule!Q129</f>
        <v>0.346882811263147</v>
      </c>
      <c r="F2035" s="2" t="n">
        <f aca="false">Schedule!V129</f>
        <v>0.118751711857465</v>
      </c>
      <c r="G2035" s="2" t="n">
        <f aca="false">Schedule!AA129</f>
        <v>0.171056126308482</v>
      </c>
      <c r="H2035" s="2" t="n">
        <f aca="false">Schedule!AF129</f>
        <v>0.339986490349139</v>
      </c>
      <c r="I2035" s="2" t="n">
        <f aca="false">Schedule!AK129</f>
        <v>0.317393486641259</v>
      </c>
      <c r="J2035" s="2" t="n">
        <f aca="false">Schedule!AP129</f>
        <v>0.639173324850217</v>
      </c>
      <c r="K2035" s="2" t="n">
        <f aca="false">Schedule!AU129</f>
        <v>0.139792961067114</v>
      </c>
      <c r="L2035" s="2" t="n">
        <f aca="false">Schedule!AZ129</f>
        <v>0.189091261050782</v>
      </c>
      <c r="M2035" s="2" t="n">
        <f aca="false">Schedule!BE129</f>
        <v>0.41098963713127</v>
      </c>
      <c r="N2035" s="2" t="n">
        <f aca="false">Schedule!BJ129</f>
        <v>0.154160834280354</v>
      </c>
      <c r="O2035" s="2" t="n">
        <f aca="false">Schedule!BO129</f>
        <v>0</v>
      </c>
    </row>
    <row r="2036" customFormat="false" ht="15" hidden="false" customHeight="false" outlineLevel="0" collapsed="false">
      <c r="B2036" s="2" t="n">
        <v>0</v>
      </c>
      <c r="C2036" s="2" t="n">
        <f aca="false">1-C$2035</f>
        <v>0.119997357899012</v>
      </c>
      <c r="D2036" s="2" t="n">
        <f aca="false">C2036*(1-D$2035)</f>
        <v>0.118191297517875</v>
      </c>
      <c r="E2036" s="2" t="n">
        <f aca="false">D2036*(1-E$2035)</f>
        <v>0.0771927679680356</v>
      </c>
      <c r="F2036" s="2" t="n">
        <f aca="false">E2036*(1-F$2035)</f>
        <v>0.0680259946288153</v>
      </c>
      <c r="G2036" s="2" t="n">
        <f aca="false">F2036*(1-G$2035)</f>
        <v>0.0563897314993286</v>
      </c>
      <c r="H2036" s="2" t="n">
        <f aca="false">G2036*(1-H$2035)</f>
        <v>0.0372179845951416</v>
      </c>
      <c r="I2036" s="2" t="n">
        <f aca="false">H2036*(1-I$2035)</f>
        <v>0.0254052386987289</v>
      </c>
      <c r="J2036" s="2" t="n">
        <f aca="false">I2036*(1-J$2035)</f>
        <v>0.00916688781104896</v>
      </c>
      <c r="K2036" s="2" t="n">
        <f aca="false">J2036*(1-K$2035)</f>
        <v>0.0078854214201724</v>
      </c>
      <c r="L2036" s="2" t="n">
        <f aca="false">K2036*(1-L$2035)</f>
        <v>0.00639435713991515</v>
      </c>
      <c r="M2036" s="2" t="n">
        <f aca="false">L2036*(1-M$2035)</f>
        <v>0.00376634261929367</v>
      </c>
      <c r="N2036" s="2" t="n">
        <f aca="false">M2036*(1-N$2035)</f>
        <v>0.00318572009891771</v>
      </c>
      <c r="O2036" s="2" t="n">
        <f aca="false">N2036*(1-O$2035)</f>
        <v>0.00318572009891771</v>
      </c>
    </row>
    <row r="2037" customFormat="false" ht="15" hidden="false" customHeight="false" outlineLevel="0" collapsed="false">
      <c r="B2037" s="2" t="n">
        <v>1</v>
      </c>
      <c r="C2037" s="2" t="n">
        <f aca="false">C$2035</f>
        <v>0.880002642100988</v>
      </c>
      <c r="D2037" s="2" t="n">
        <f aca="false">C2037*(1-D$2035)+C2036*D$2035</f>
        <v>0.868563928305244</v>
      </c>
      <c r="E2037" s="2" t="n">
        <f aca="false">D2037*(1-E$2035)+D2036*E$2035</f>
        <v>0.608272560642798</v>
      </c>
      <c r="F2037" s="2" t="n">
        <f aca="false">E2037*(1-F$2035)+E2036*F$2035</f>
        <v>0.545205926129763</v>
      </c>
      <c r="G2037" s="2" t="n">
        <f aca="false">F2037*(1-G$2035)+F2036*G$2035</f>
        <v>0.463581375495064</v>
      </c>
      <c r="H2037" s="2" t="n">
        <f aca="false">G2037*(1-H$2035)+G2036*H$2035</f>
        <v>0.325141717553458</v>
      </c>
      <c r="I2037" s="2" t="n">
        <f aca="false">H2037*(1-I$2035)+H2036*I$2035</f>
        <v>0.233756600063051</v>
      </c>
      <c r="J2037" s="2" t="n">
        <f aca="false">I2037*(1-J$2035)+I2036*J$2035</f>
        <v>0.100583967682748</v>
      </c>
      <c r="K2037" s="2" t="n">
        <f aca="false">J2037*(1-K$2035)+J2036*K$2035</f>
        <v>0.0878045033953746</v>
      </c>
      <c r="L2037" s="2" t="n">
        <f aca="false">K2037*(1-L$2035)+K2036*L$2035</f>
        <v>0.0726925034026628</v>
      </c>
      <c r="M2037" s="2" t="n">
        <f aca="false">L2037*(1-M$2035)+L2036*M$2035</f>
        <v>0.0454446523276602</v>
      </c>
      <c r="N2037" s="2" t="n">
        <f aca="false">M2037*(1-N$2035)+M2036*N$2035</f>
        <v>0.0390194893316235</v>
      </c>
      <c r="O2037" s="2" t="n">
        <f aca="false">N2037*(1-O$2035)+N2036*O$2035</f>
        <v>0.0390194893316235</v>
      </c>
    </row>
    <row r="2038" customFormat="false" ht="15" hidden="false" customHeight="false" outlineLevel="0" collapsed="false">
      <c r="B2038" s="2" t="n">
        <v>2</v>
      </c>
      <c r="C2038" s="2" t="n">
        <f aca="false">0</f>
        <v>0</v>
      </c>
      <c r="D2038" s="2" t="n">
        <f aca="false">C2038*(1-D$2035)+C2037*D$2035</f>
        <v>0.0132447741768811</v>
      </c>
      <c r="E2038" s="2" t="n">
        <f aca="false">D2038*(1-E$2035)+D2037*E$2035</f>
        <v>0.309940286888144</v>
      </c>
      <c r="F2038" s="2" t="n">
        <f aca="false">E2038*(1-F$2035)+E2037*F$2035</f>
        <v>0.345367755098839</v>
      </c>
      <c r="G2038" s="2" t="n">
        <f aca="false">F2038*(1-G$2035)+F2037*G$2035</f>
        <v>0.379551298523961</v>
      </c>
      <c r="H2038" s="2" t="n">
        <f aca="false">G2038*(1-H$2035)+G2037*H$2035</f>
        <v>0.408120389477134</v>
      </c>
      <c r="I2038" s="2" t="n">
        <f aca="false">H2038*(1-I$2035)+H2037*I$2035</f>
        <v>0.381783499478417</v>
      </c>
      <c r="J2038" s="2" t="n">
        <f aca="false">I2038*(1-J$2035)+I2037*J$2035</f>
        <v>0.287168654011829</v>
      </c>
      <c r="K2038" s="2" t="n">
        <f aca="false">J2038*(1-K$2035)+J2037*K$2035</f>
        <v>0.261085428220108</v>
      </c>
      <c r="L2038" s="2" t="n">
        <f aca="false">K2038*(1-L$2035)+K2037*L$2035</f>
        <v>0.228319519628954</v>
      </c>
      <c r="M2038" s="2" t="n">
        <f aca="false">L2038*(1-M$2035)+L2037*M$2035</f>
        <v>0.164358428702288</v>
      </c>
      <c r="N2038" s="2" t="n">
        <f aca="false">M2038*(1-N$2035)+M2037*N$2035</f>
        <v>0.146026581728948</v>
      </c>
      <c r="O2038" s="2" t="n">
        <f aca="false">N2038*(1-O$2035)+N2037*O$2035</f>
        <v>0.146026581728948</v>
      </c>
    </row>
    <row r="2039" customFormat="false" ht="15" hidden="false" customHeight="false" outlineLevel="0" collapsed="false">
      <c r="B2039" s="2" t="n">
        <v>3</v>
      </c>
      <c r="C2039" s="2" t="n">
        <f aca="false">0</f>
        <v>0</v>
      </c>
      <c r="D2039" s="2" t="n">
        <f aca="false">C2039*(1-D$2035)+C2038*D$2035</f>
        <v>0</v>
      </c>
      <c r="E2039" s="2" t="n">
        <f aca="false">D2039*(1-E$2035)+D2038*E$2035</f>
        <v>0.00459438450102205</v>
      </c>
      <c r="F2039" s="2" t="n">
        <f aca="false">E2039*(1-F$2035)+E2038*F$2035</f>
        <v>0.0408547331181552</v>
      </c>
      <c r="G2039" s="2" t="n">
        <f aca="false">F2039*(1-G$2035)+F2038*G$2035</f>
        <v>0.0929435510686606</v>
      </c>
      <c r="H2039" s="2" t="n">
        <f aca="false">G2039*(1-H$2035)+G2038*H$2035</f>
        <v>0.19038631323286</v>
      </c>
      <c r="I2039" s="2" t="n">
        <f aca="false">H2039*(1-I$2035)+H2038*I$2035</f>
        <v>0.259493690852644</v>
      </c>
      <c r="J2039" s="2" t="n">
        <f aca="false">I2039*(1-J$2035)+I2038*J$2035</f>
        <v>0.337658074427276</v>
      </c>
      <c r="K2039" s="2" t="n">
        <f aca="false">J2039*(1-K$2035)+J2038*K$2035</f>
        <v>0.330600008844839</v>
      </c>
      <c r="L2039" s="2" t="n">
        <f aca="false">K2039*(1-L$2035)+K2038*L$2035</f>
        <v>0.317455409133092</v>
      </c>
      <c r="M2039" s="2" t="n">
        <f aca="false">L2039*(1-M$2035)+L2038*M$2035</f>
        <v>0.280821482250413</v>
      </c>
      <c r="N2039" s="2" t="n">
        <f aca="false">M2039*(1-N$2035)+M2038*N$2035</f>
        <v>0.262867440752597</v>
      </c>
      <c r="O2039" s="2" t="n">
        <f aca="false">N2039*(1-O$2035)+N2038*O$2035</f>
        <v>0.262867440752597</v>
      </c>
    </row>
    <row r="2040" customFormat="false" ht="15" hidden="false" customHeight="false" outlineLevel="0" collapsed="false">
      <c r="B2040" s="2" t="n">
        <v>4</v>
      </c>
      <c r="C2040" s="2" t="n">
        <f aca="false">0</f>
        <v>0</v>
      </c>
      <c r="D2040" s="2" t="n">
        <f aca="false">C2040*(1-D$2035)+C2039*D$2035</f>
        <v>0</v>
      </c>
      <c r="E2040" s="2" t="n">
        <f aca="false">D2040*(1-E$2035)+D2039*E$2035</f>
        <v>0</v>
      </c>
      <c r="F2040" s="2" t="n">
        <f aca="false">E2040*(1-F$2035)+E2039*F$2035</f>
        <v>0.000545591024427773</v>
      </c>
      <c r="G2040" s="2" t="n">
        <f aca="false">F2040*(1-G$2035)+F2039*G$2035</f>
        <v>0.00744071672579895</v>
      </c>
      <c r="H2040" s="2" t="n">
        <f aca="false">G2040*(1-H$2035)+G2039*H$2035</f>
        <v>0.0365105252889323</v>
      </c>
      <c r="I2040" s="2" t="n">
        <f aca="false">H2040*(1-I$2035)+H2039*I$2035</f>
        <v>0.0853496981341266</v>
      </c>
      <c r="J2040" s="2" t="n">
        <f aca="false">I2040*(1-J$2035)+I2039*J$2035</f>
        <v>0.196657892962713</v>
      </c>
      <c r="K2040" s="2" t="n">
        <f aca="false">J2040*(1-K$2035)+J2039*K$2035</f>
        <v>0.216368725840645</v>
      </c>
      <c r="L2040" s="2" t="n">
        <f aca="false">K2040*(1-L$2035)+K2039*L$2035</f>
        <v>0.237968863195357</v>
      </c>
      <c r="M2040" s="2" t="n">
        <f aca="false">L2040*(1-M$2035)+L2039*M$2035</f>
        <v>0.270637009867125</v>
      </c>
      <c r="N2040" s="2" t="n">
        <f aca="false">M2040*(1-N$2035)+M2039*N$2035</f>
        <v>0.272207056626438</v>
      </c>
      <c r="O2040" s="2" t="n">
        <f aca="false">N2040*(1-O$2035)+N2039*O$2035</f>
        <v>0.272207056626438</v>
      </c>
    </row>
    <row r="2041" customFormat="false" ht="15" hidden="false" customHeight="false" outlineLevel="0" collapsed="false">
      <c r="B2041" s="2" t="n">
        <v>5</v>
      </c>
      <c r="C2041" s="2" t="n">
        <f aca="false">0</f>
        <v>0</v>
      </c>
      <c r="D2041" s="2" t="n">
        <f aca="false">C2041*(1-D$2035)+C2040*D$2035</f>
        <v>0</v>
      </c>
      <c r="E2041" s="2" t="n">
        <f aca="false">D2041*(1-E$2035)+D2040*E$2035</f>
        <v>0</v>
      </c>
      <c r="F2041" s="2" t="n">
        <f aca="false">E2041*(1-F$2035)+E2040*F$2035</f>
        <v>0</v>
      </c>
      <c r="G2041" s="2" t="n">
        <f aca="false">F2041*(1-G$2035)+F2040*G$2035</f>
        <v>9.33266871872911E-005</v>
      </c>
      <c r="H2041" s="2" t="n">
        <f aca="false">G2041*(1-H$2035)+G2040*H$2035</f>
        <v>0.00259134003964109</v>
      </c>
      <c r="I2041" s="2" t="n">
        <f aca="false">H2041*(1-I$2035)+H2040*I$2035</f>
        <v>0.0133570685099444</v>
      </c>
      <c r="J2041" s="2" t="n">
        <f aca="false">I2041*(1-J$2035)+I2040*J$2035</f>
        <v>0.0593728369515432</v>
      </c>
      <c r="K2041" s="2" t="n">
        <f aca="false">J2041*(1-K$2035)+J2040*K$2035</f>
        <v>0.0785643214416092</v>
      </c>
      <c r="L2041" s="2" t="n">
        <f aca="false">K2041*(1-L$2035)+K2040*L$2035</f>
        <v>0.104621930047775</v>
      </c>
      <c r="M2041" s="2" t="n">
        <f aca="false">L2041*(1-M$2035)+L2040*M$2035</f>
        <v>0.159426137714667</v>
      </c>
      <c r="N2041" s="2" t="n">
        <f aca="false">M2041*(1-N$2035)+M2040*N$2035</f>
        <v>0.176570498546736</v>
      </c>
      <c r="O2041" s="2" t="n">
        <f aca="false">N2041*(1-O$2035)+N2040*O$2035</f>
        <v>0.176570498546736</v>
      </c>
    </row>
    <row r="2042" customFormat="false" ht="15" hidden="false" customHeight="false" outlineLevel="0" collapsed="false">
      <c r="B2042" s="2" t="n">
        <v>6</v>
      </c>
      <c r="C2042" s="2" t="n">
        <f aca="false">0</f>
        <v>0</v>
      </c>
      <c r="D2042" s="2" t="n">
        <f aca="false">C2042*(1-D$2035)+C2041*D$2035</f>
        <v>0</v>
      </c>
      <c r="E2042" s="2" t="n">
        <f aca="false">D2042*(1-E$2035)+D2041*E$2035</f>
        <v>0</v>
      </c>
      <c r="F2042" s="2" t="n">
        <f aca="false">E2042*(1-F$2035)+E2041*F$2035</f>
        <v>0</v>
      </c>
      <c r="G2042" s="2" t="n">
        <f aca="false">F2042*(1-G$2035)+F2041*G$2035</f>
        <v>0</v>
      </c>
      <c r="H2042" s="2" t="n">
        <f aca="false">G2042*(1-H$2035)+G2041*H$2035</f>
        <v>3.1729812832719E-005</v>
      </c>
      <c r="I2042" s="2" t="n">
        <f aca="false">H2042*(1-I$2035)+H2041*I$2035</f>
        <v>0.000844133427162052</v>
      </c>
      <c r="J2042" s="2" t="n">
        <f aca="false">I2042*(1-J$2035)+I2041*J$2035</f>
        <v>0.00884206774765895</v>
      </c>
      <c r="K2042" s="2" t="n">
        <f aca="false">J2042*(1-K$2035)+J2041*K$2035</f>
        <v>0.0159059135996688</v>
      </c>
      <c r="L2042" s="2" t="n">
        <f aca="false">K2042*(1-L$2035)+K2041*L$2035</f>
        <v>0.0277540709539356</v>
      </c>
      <c r="M2042" s="2" t="n">
        <f aca="false">L2042*(1-M$2035)+L2041*M$2035</f>
        <v>0.0593459644699702</v>
      </c>
      <c r="N2042" s="2" t="n">
        <f aca="false">M2042*(1-N$2035)+M2041*N$2035</f>
        <v>0.0747744074722951</v>
      </c>
      <c r="O2042" s="2" t="n">
        <f aca="false">N2042*(1-O$2035)+N2041*O$2035</f>
        <v>0.0747744074722951</v>
      </c>
    </row>
    <row r="2043" customFormat="false" ht="15" hidden="false" customHeight="false" outlineLevel="0" collapsed="false">
      <c r="B2043" s="2" t="n">
        <v>7</v>
      </c>
      <c r="C2043" s="2" t="n">
        <f aca="false">0</f>
        <v>0</v>
      </c>
      <c r="D2043" s="2" t="n">
        <f aca="false">C2043*(1-D$2035)+C2042*D$2035</f>
        <v>0</v>
      </c>
      <c r="E2043" s="2" t="n">
        <f aca="false">D2043*(1-E$2035)+D2042*E$2035</f>
        <v>0</v>
      </c>
      <c r="F2043" s="2" t="n">
        <f aca="false">E2043*(1-F$2035)+E2042*F$2035</f>
        <v>0</v>
      </c>
      <c r="G2043" s="2" t="n">
        <f aca="false">F2043*(1-G$2035)+F2042*G$2035</f>
        <v>0</v>
      </c>
      <c r="H2043" s="2" t="n">
        <f aca="false">G2043*(1-H$2035)+G2042*H$2035</f>
        <v>0</v>
      </c>
      <c r="I2043" s="2" t="n">
        <f aca="false">H2043*(1-I$2035)+H2042*I$2035</f>
        <v>1.00708359254513E-005</v>
      </c>
      <c r="J2043" s="2" t="n">
        <f aca="false">I2043*(1-J$2035)+I2042*J$2035</f>
        <v>0.000543181395499336</v>
      </c>
      <c r="K2043" s="2" t="n">
        <f aca="false">J2043*(1-K$2035)+J2042*K$2035</f>
        <v>0.00170330729222719</v>
      </c>
      <c r="L2043" s="2" t="n">
        <f aca="false">K2043*(1-L$2035)+K2042*L$2035</f>
        <v>0.00438889602910913</v>
      </c>
      <c r="M2043" s="2" t="n">
        <f aca="false">L2043*(1-M$2035)+L2042*M$2035</f>
        <v>0.0139917407929722</v>
      </c>
      <c r="N2043" s="2" t="n">
        <f aca="false">M2043*(1-N$2035)+M2042*N$2035</f>
        <v>0.020983585753156</v>
      </c>
      <c r="O2043" s="2" t="n">
        <f aca="false">N2043*(1-O$2035)+N2042*O$2035</f>
        <v>0.020983585753156</v>
      </c>
    </row>
    <row r="2044" customFormat="false" ht="15" hidden="false" customHeight="false" outlineLevel="0" collapsed="false">
      <c r="B2044" s="2" t="n">
        <v>8</v>
      </c>
      <c r="C2044" s="2" t="n">
        <f aca="false">0</f>
        <v>0</v>
      </c>
      <c r="D2044" s="2" t="n">
        <f aca="false">C2044*(1-D$2035)+C2043*D$2035</f>
        <v>0</v>
      </c>
      <c r="E2044" s="2" t="n">
        <f aca="false">D2044*(1-E$2035)+D2043*E$2035</f>
        <v>0</v>
      </c>
      <c r="F2044" s="2" t="n">
        <f aca="false">E2044*(1-F$2035)+E2043*F$2035</f>
        <v>0</v>
      </c>
      <c r="G2044" s="2" t="n">
        <f aca="false">F2044*(1-G$2035)+F2043*G$2035</f>
        <v>0</v>
      </c>
      <c r="H2044" s="2" t="n">
        <f aca="false">G2044*(1-H$2035)+G2043*H$2035</f>
        <v>0</v>
      </c>
      <c r="I2044" s="2" t="n">
        <f aca="false">H2044*(1-I$2035)+H2043*I$2035</f>
        <v>0</v>
      </c>
      <c r="J2044" s="2" t="n">
        <f aca="false">I2044*(1-J$2035)+I2043*J$2035</f>
        <v>6.43700968249169E-006</v>
      </c>
      <c r="K2044" s="2" t="n">
        <f aca="false">J2044*(1-K$2035)+J2043*K$2035</f>
        <v>8.14700967119777E-005</v>
      </c>
      <c r="L2044" s="2" t="n">
        <f aca="false">K2044*(1-L$2035)+K2043*L$2035</f>
        <v>0.000388145337231013</v>
      </c>
      <c r="M2044" s="2" t="n">
        <f aca="false">L2044*(1-M$2035)+L2043*M$2035</f>
        <v>0.00203241241233868</v>
      </c>
      <c r="N2044" s="2" t="n">
        <f aca="false">M2044*(1-N$2035)+M2043*N$2035</f>
        <v>0.00387607245292985</v>
      </c>
      <c r="O2044" s="2" t="n">
        <f aca="false">N2044*(1-O$2035)+N2043*O$2035</f>
        <v>0.00387607245292985</v>
      </c>
    </row>
    <row r="2045" customFormat="false" ht="15" hidden="false" customHeight="false" outlineLevel="0" collapsed="false">
      <c r="B2045" s="2" t="n">
        <v>9</v>
      </c>
      <c r="C2045" s="2" t="n">
        <f aca="false">0</f>
        <v>0</v>
      </c>
      <c r="D2045" s="2" t="n">
        <f aca="false">C2045*(1-D$2035)+C2044*D$2035</f>
        <v>0</v>
      </c>
      <c r="E2045" s="2" t="n">
        <f aca="false">D2045*(1-E$2035)+D2044*E$2035</f>
        <v>0</v>
      </c>
      <c r="F2045" s="2" t="n">
        <f aca="false">E2045*(1-F$2035)+E2044*F$2035</f>
        <v>0</v>
      </c>
      <c r="G2045" s="2" t="n">
        <f aca="false">F2045*(1-G$2035)+F2044*G$2035</f>
        <v>0</v>
      </c>
      <c r="H2045" s="2" t="n">
        <f aca="false">G2045*(1-H$2035)+G2044*H$2035</f>
        <v>0</v>
      </c>
      <c r="I2045" s="2" t="n">
        <f aca="false">H2045*(1-I$2035)+H2044*I$2035</f>
        <v>0</v>
      </c>
      <c r="J2045" s="2" t="n">
        <f aca="false">I2045*(1-J$2035)+I2044*J$2035</f>
        <v>0</v>
      </c>
      <c r="K2045" s="2" t="n">
        <f aca="false">J2045*(1-K$2035)+J2044*K$2035</f>
        <v>8.99848643933194E-007</v>
      </c>
      <c r="L2045" s="2" t="n">
        <f aca="false">K2045*(1-L$2035)+K2044*L$2035</f>
        <v>1.61349784542941E-005</v>
      </c>
      <c r="M2045" s="2" t="n">
        <f aca="false">L2045*(1-M$2035)+L2044*M$2035</f>
        <v>0.000169027380817012</v>
      </c>
      <c r="N2045" s="2" t="n">
        <f aca="false">M2045*(1-N$2035)+M2044*N$2035</f>
        <v>0.000456288371861915</v>
      </c>
      <c r="O2045" s="2" t="n">
        <f aca="false">N2045*(1-O$2035)+N2044*O$2035</f>
        <v>0.000456288371861915</v>
      </c>
    </row>
    <row r="2046" customFormat="false" ht="15" hidden="false" customHeight="false" outlineLevel="0" collapsed="false">
      <c r="B2046" s="2" t="n">
        <v>10</v>
      </c>
      <c r="C2046" s="2" t="n">
        <f aca="false">0</f>
        <v>0</v>
      </c>
      <c r="D2046" s="2" t="n">
        <f aca="false">C2046*(1-D$2035)+C2045*D$2035</f>
        <v>0</v>
      </c>
      <c r="E2046" s="2" t="n">
        <f aca="false">D2046*(1-E$2035)+D2045*E$2035</f>
        <v>0</v>
      </c>
      <c r="F2046" s="2" t="n">
        <f aca="false">E2046*(1-F$2035)+E2045*F$2035</f>
        <v>0</v>
      </c>
      <c r="G2046" s="2" t="n">
        <f aca="false">F2046*(1-G$2035)+F2045*G$2035</f>
        <v>0</v>
      </c>
      <c r="H2046" s="2" t="n">
        <f aca="false">G2046*(1-H$2035)+G2045*H$2035</f>
        <v>0</v>
      </c>
      <c r="I2046" s="2" t="n">
        <f aca="false">H2046*(1-I$2035)+H2045*I$2035</f>
        <v>0</v>
      </c>
      <c r="J2046" s="2" t="n">
        <f aca="false">I2046*(1-J$2035)+I2045*J$2035</f>
        <v>0</v>
      </c>
      <c r="K2046" s="2" t="n">
        <f aca="false">J2046*(1-K$2035)+J2045*K$2035</f>
        <v>0</v>
      </c>
      <c r="L2046" s="2" t="n">
        <f aca="false">K2046*(1-L$2035)+K2045*L$2035</f>
        <v>1.70153514836164E-007</v>
      </c>
      <c r="M2046" s="2" t="n">
        <f aca="false">L2046*(1-M$2035)+L2045*M$2035</f>
        <v>6.73153112356824E-006</v>
      </c>
      <c r="N2046" s="2" t="n">
        <f aca="false">M2046*(1-N$2035)+M2045*N$2035</f>
        <v>3.17511947125483E-005</v>
      </c>
      <c r="O2046" s="2" t="n">
        <f aca="false">N2046*(1-O$2035)+N2045*O$2035</f>
        <v>3.17511947125483E-005</v>
      </c>
    </row>
    <row r="2047" customFormat="false" ht="15" hidden="false" customHeight="false" outlineLevel="0" collapsed="false">
      <c r="B2047" s="2" t="n">
        <v>11</v>
      </c>
      <c r="C2047" s="2" t="n">
        <f aca="false">0</f>
        <v>0</v>
      </c>
      <c r="D2047" s="2" t="n">
        <f aca="false">C2047*(1-D$2035)+C2046*D$2035</f>
        <v>0</v>
      </c>
      <c r="E2047" s="2" t="n">
        <f aca="false">D2047*(1-E$2035)+D2046*E$2035</f>
        <v>0</v>
      </c>
      <c r="F2047" s="2" t="n">
        <f aca="false">E2047*(1-F$2035)+E2046*F$2035</f>
        <v>0</v>
      </c>
      <c r="G2047" s="2" t="n">
        <f aca="false">F2047*(1-G$2035)+F2046*G$2035</f>
        <v>0</v>
      </c>
      <c r="H2047" s="2" t="n">
        <f aca="false">G2047*(1-H$2035)+G2046*H$2035</f>
        <v>0</v>
      </c>
      <c r="I2047" s="2" t="n">
        <f aca="false">H2047*(1-I$2035)+H2046*I$2035</f>
        <v>0</v>
      </c>
      <c r="J2047" s="2" t="n">
        <f aca="false">I2047*(1-J$2035)+I2046*J$2035</f>
        <v>0</v>
      </c>
      <c r="K2047" s="2" t="n">
        <f aca="false">J2047*(1-K$2035)+J2046*K$2035</f>
        <v>0</v>
      </c>
      <c r="L2047" s="2" t="n">
        <f aca="false">K2047*(1-L$2035)+K2046*L$2035</f>
        <v>0</v>
      </c>
      <c r="M2047" s="2" t="n">
        <f aca="false">L2047*(1-M$2035)+L2046*M$2035</f>
        <v>6.99313313191254E-008</v>
      </c>
      <c r="N2047" s="2" t="n">
        <f aca="false">M2047*(1-N$2035)+M2046*N$2035</f>
        <v>1.09688911293408E-006</v>
      </c>
      <c r="O2047" s="2" t="n">
        <f aca="false">N2047*(1-O$2035)+N2046*O$2035</f>
        <v>1.09688911293408E-006</v>
      </c>
    </row>
    <row r="2048" customFormat="false" ht="15" hidden="false" customHeight="false" outlineLevel="0" collapsed="false">
      <c r="B2048" s="2" t="n">
        <v>12</v>
      </c>
      <c r="C2048" s="2" t="n">
        <f aca="false">0</f>
        <v>0</v>
      </c>
      <c r="D2048" s="2" t="n">
        <f aca="false">C2048*(1-D$2035)+C2047*D$2035</f>
        <v>0</v>
      </c>
      <c r="E2048" s="2" t="n">
        <f aca="false">D2048*(1-E$2035)+D2047*E$2035</f>
        <v>0</v>
      </c>
      <c r="F2048" s="2" t="n">
        <f aca="false">E2048*(1-F$2035)+E2047*F$2035</f>
        <v>0</v>
      </c>
      <c r="G2048" s="2" t="n">
        <f aca="false">F2048*(1-G$2035)+F2047*G$2035</f>
        <v>0</v>
      </c>
      <c r="H2048" s="2" t="n">
        <f aca="false">G2048*(1-H$2035)+G2047*H$2035</f>
        <v>0</v>
      </c>
      <c r="I2048" s="2" t="n">
        <f aca="false">H2048*(1-I$2035)+H2047*I$2035</f>
        <v>0</v>
      </c>
      <c r="J2048" s="2" t="n">
        <f aca="false">I2048*(1-J$2035)+I2047*J$2035</f>
        <v>0</v>
      </c>
      <c r="K2048" s="2" t="n">
        <f aca="false">J2048*(1-K$2035)+J2047*K$2035</f>
        <v>0</v>
      </c>
      <c r="L2048" s="2" t="n">
        <f aca="false">K2048*(1-L$2035)+K2047*L$2035</f>
        <v>0</v>
      </c>
      <c r="M2048" s="2" t="n">
        <f aca="false">L2048*(1-M$2035)+L2047*M$2035</f>
        <v>0</v>
      </c>
      <c r="N2048" s="2" t="n">
        <f aca="false">M2048*(1-N$2035)+M2047*N$2035</f>
        <v>1.07806723784922E-008</v>
      </c>
      <c r="O2048" s="2" t="n">
        <f aca="false">N2048*(1-O$2035)+N2047*O$2035</f>
        <v>1.07806723784922E-008</v>
      </c>
    </row>
    <row r="2049" customFormat="false" ht="15" hidden="false" customHeight="false" outlineLevel="0" collapsed="false">
      <c r="B2049" s="2" t="n">
        <v>13</v>
      </c>
      <c r="C2049" s="2" t="n">
        <f aca="false">0</f>
        <v>0</v>
      </c>
      <c r="D2049" s="2" t="n">
        <f aca="false">C2049*(1-D$2035)+C2048*D$2035</f>
        <v>0</v>
      </c>
      <c r="E2049" s="2" t="n">
        <f aca="false">D2049*(1-E$2035)+D2048*E$2035</f>
        <v>0</v>
      </c>
      <c r="F2049" s="2" t="n">
        <f aca="false">E2049*(1-F$2035)+E2048*F$2035</f>
        <v>0</v>
      </c>
      <c r="G2049" s="2" t="n">
        <f aca="false">F2049*(1-G$2035)+F2048*G$2035</f>
        <v>0</v>
      </c>
      <c r="H2049" s="2" t="n">
        <f aca="false">G2049*(1-H$2035)+G2048*H$2035</f>
        <v>0</v>
      </c>
      <c r="I2049" s="2" t="n">
        <f aca="false">H2049*(1-I$2035)+H2048*I$2035</f>
        <v>0</v>
      </c>
      <c r="J2049" s="2" t="n">
        <f aca="false">I2049*(1-J$2035)+I2048*J$2035</f>
        <v>0</v>
      </c>
      <c r="K2049" s="2" t="n">
        <f aca="false">J2049*(1-K$2035)+J2048*K$2035</f>
        <v>0</v>
      </c>
      <c r="L2049" s="2" t="n">
        <f aca="false">K2049*(1-L$2035)+K2048*L$2035</f>
        <v>0</v>
      </c>
      <c r="M2049" s="2" t="n">
        <f aca="false">L2049*(1-M$2035)+L2048*M$2035</f>
        <v>0</v>
      </c>
      <c r="N2049" s="2" t="n">
        <f aca="false">M2049*(1-N$2035)+M2048*N$2035</f>
        <v>0</v>
      </c>
      <c r="O2049" s="2" t="n">
        <f aca="false">N2049*(1-O$2035)+N2048*O$2035</f>
        <v>0</v>
      </c>
    </row>
    <row r="2051" customFormat="false" ht="15" hidden="false" customHeight="false" outlineLevel="0" collapsed="false">
      <c r="A2051" s="1" t="s">
        <v>186</v>
      </c>
      <c r="C2051" s="2" t="n">
        <f aca="false">Schedule!G130</f>
        <v>0.00954548153638615</v>
      </c>
      <c r="D2051" s="2" t="n">
        <f aca="false">Schedule!L130</f>
        <v>0.736061463030662</v>
      </c>
      <c r="E2051" s="2" t="n">
        <f aca="false">Schedule!Q130</f>
        <v>0.000159108590157534</v>
      </c>
      <c r="F2051" s="2" t="n">
        <f aca="false">Schedule!V130</f>
        <v>0.627409464153284</v>
      </c>
      <c r="G2051" s="2" t="n">
        <f aca="false">Schedule!AA130</f>
        <v>0.306340579285027</v>
      </c>
      <c r="H2051" s="2" t="n">
        <f aca="false">Schedule!AF130</f>
        <v>0.118751711857465</v>
      </c>
      <c r="I2051" s="2" t="n">
        <f aca="false">Schedule!AK130</f>
        <v>0.0735292596096484</v>
      </c>
      <c r="J2051" s="2" t="n">
        <f aca="false">Schedule!AP130</f>
        <v>0.574365688155897</v>
      </c>
      <c r="K2051" s="2" t="n">
        <f aca="false">Schedule!AU130</f>
        <v>0.462653875444673</v>
      </c>
      <c r="L2051" s="2" t="n">
        <f aca="false">Schedule!AZ130</f>
        <v>0.268040532802408</v>
      </c>
      <c r="M2051" s="2" t="n">
        <f aca="false">Schedule!BE130</f>
        <v>0.160172296919609</v>
      </c>
      <c r="N2051" s="2" t="n">
        <f aca="false">Schedule!BJ130</f>
        <v>0.291159686788346</v>
      </c>
      <c r="O2051" s="2" t="n">
        <f aca="false">Schedule!BO130</f>
        <v>0</v>
      </c>
    </row>
    <row r="2052" customFormat="false" ht="15" hidden="false" customHeight="false" outlineLevel="0" collapsed="false">
      <c r="B2052" s="2" t="n">
        <v>0</v>
      </c>
      <c r="C2052" s="2" t="n">
        <f aca="false">1-C$2051</f>
        <v>0.990454518463614</v>
      </c>
      <c r="D2052" s="2" t="n">
        <f aca="false">C2052*(1-D$2051)</f>
        <v>0.261419116537956</v>
      </c>
      <c r="E2052" s="2" t="n">
        <f aca="false">D2052*(1-E$2051)</f>
        <v>0.261377522510884</v>
      </c>
      <c r="F2052" s="2" t="n">
        <f aca="false">E2052*(1-F$2051)</f>
        <v>0.0973867911706171</v>
      </c>
      <c r="G2052" s="2" t="n">
        <f aca="false">F2052*(1-G$2051)</f>
        <v>0.0675532651487003</v>
      </c>
      <c r="H2052" s="2" t="n">
        <f aca="false">G2052*(1-H$2051)</f>
        <v>0.059531199270731</v>
      </c>
      <c r="I2052" s="2" t="n">
        <f aca="false">H2052*(1-I$2051)</f>
        <v>0.0551539142646797</v>
      </c>
      <c r="J2052" s="2" t="n">
        <f aca="false">I2052*(1-J$2051)</f>
        <v>0.0234753983435556</v>
      </c>
      <c r="K2052" s="2" t="n">
        <f aca="false">J2052*(1-K$2051)</f>
        <v>0.0126144143223021</v>
      </c>
      <c r="L2052" s="2" t="n">
        <f aca="false">K2052*(1-L$2051)</f>
        <v>0.00923323998636194</v>
      </c>
      <c r="M2052" s="2" t="n">
        <f aca="false">L2052*(1-M$2051)</f>
        <v>0.00775433072973638</v>
      </c>
      <c r="N2052" s="2" t="n">
        <f aca="false">M2052*(1-N$2051)</f>
        <v>0.00549658222321308</v>
      </c>
      <c r="O2052" s="2" t="n">
        <f aca="false">N2052*(1-O$2051)</f>
        <v>0.00549658222321308</v>
      </c>
    </row>
    <row r="2053" customFormat="false" ht="15" hidden="false" customHeight="false" outlineLevel="0" collapsed="false">
      <c r="B2053" s="2" t="n">
        <v>1</v>
      </c>
      <c r="C2053" s="2" t="n">
        <f aca="false">C$2051</f>
        <v>0.00954548153638615</v>
      </c>
      <c r="D2053" s="2" t="n">
        <f aca="false">C2053*(1-D$2051)+C2052*D$2051</f>
        <v>0.731554822357039</v>
      </c>
      <c r="E2053" s="2" t="n">
        <f aca="false">D2053*(1-E$2051)+D2052*E$2051</f>
        <v>0.731480019727704</v>
      </c>
      <c r="F2053" s="2" t="n">
        <f aca="false">E2053*(1-F$2051)+E2052*F$2051</f>
        <v>0.436533263851778</v>
      </c>
      <c r="G2053" s="2" t="n">
        <f aca="false">F2053*(1-G$2051)+F2052*G$2051</f>
        <v>0.332638936948158</v>
      </c>
      <c r="H2053" s="2" t="n">
        <f aca="false">G2053*(1-H$2051)+G2052*H$2051</f>
        <v>0.301159559633086</v>
      </c>
      <c r="I2053" s="2" t="n">
        <f aca="false">H2053*(1-I$2051)+H2052*I$2051</f>
        <v>0.283392805194949</v>
      </c>
      <c r="J2053" s="2" t="n">
        <f aca="false">I2053*(1-J$2051)+I2052*J$2051</f>
        <v>0.152300217541846</v>
      </c>
      <c r="K2053" s="2" t="n">
        <f aca="false">J2053*(1-K$2051)+J2052*K$2051</f>
        <v>0.0926989156862975</v>
      </c>
      <c r="L2053" s="2" t="n">
        <f aca="false">K2053*(1-L$2051)+K2052*L$2051</f>
        <v>0.0712330232714771</v>
      </c>
      <c r="M2053" s="2" t="n">
        <f aca="false">L2053*(1-M$2051)+L2052*M$2051</f>
        <v>0.0613023755741822</v>
      </c>
      <c r="N2053" s="2" t="n">
        <f aca="false">M2053*(1-N$2051)+M2052*N$2051</f>
        <v>0.045711343609145</v>
      </c>
      <c r="O2053" s="2" t="n">
        <f aca="false">N2053*(1-O$2051)+N2052*O$2051</f>
        <v>0.045711343609145</v>
      </c>
    </row>
    <row r="2054" customFormat="false" ht="15" hidden="false" customHeight="false" outlineLevel="0" collapsed="false">
      <c r="B2054" s="2" t="n">
        <v>2</v>
      </c>
      <c r="C2054" s="2" t="n">
        <f aca="false">0</f>
        <v>0</v>
      </c>
      <c r="D2054" s="2" t="n">
        <f aca="false">C2054*(1-D$2051)+C2053*D$2051</f>
        <v>0.00702606110500457</v>
      </c>
      <c r="E2054" s="2" t="n">
        <f aca="false">D2054*(1-E$2051)+D2053*E$2051</f>
        <v>0.00714133985473596</v>
      </c>
      <c r="F2054" s="2" t="n">
        <f aca="false">E2054*(1-F$2051)+E2053*F$2051</f>
        <v>0.461598282859332</v>
      </c>
      <c r="G2054" s="2" t="n">
        <f aca="false">F2054*(1-G$2051)+F2053*G$2051</f>
        <v>0.453919850416768</v>
      </c>
      <c r="H2054" s="2" t="n">
        <f aca="false">G2054*(1-H$2051)+G2053*H$2051</f>
        <v>0.439517534326733</v>
      </c>
      <c r="I2054" s="2" t="n">
        <f aca="false">H2054*(1-I$2051)+H2053*I$2051</f>
        <v>0.429344174886419</v>
      </c>
      <c r="J2054" s="2" t="n">
        <f aca="false">I2054*(1-J$2051)+I2053*J$2051</f>
        <v>0.345514715996282</v>
      </c>
      <c r="K2054" s="2" t="n">
        <f aca="false">J2054*(1-K$2051)+J2053*K$2051</f>
        <v>0.256123279494238</v>
      </c>
      <c r="L2054" s="2" t="n">
        <f aca="false">K2054*(1-L$2051)+K2053*L$2051</f>
        <v>0.212318925946263</v>
      </c>
      <c r="M2054" s="2" t="n">
        <f aca="false">L2054*(1-M$2051)+L2053*M$2051</f>
        <v>0.189720872851866</v>
      </c>
      <c r="N2054" s="2" t="n">
        <f aca="false">M2054*(1-N$2051)+M2053*N$2051</f>
        <v>0.152330583406666</v>
      </c>
      <c r="O2054" s="2" t="n">
        <f aca="false">N2054*(1-O$2051)+N2053*O$2051</f>
        <v>0.152330583406666</v>
      </c>
    </row>
    <row r="2055" customFormat="false" ht="15" hidden="false" customHeight="false" outlineLevel="0" collapsed="false">
      <c r="B2055" s="2" t="n">
        <v>3</v>
      </c>
      <c r="C2055" s="2" t="n">
        <f aca="false">0</f>
        <v>0</v>
      </c>
      <c r="D2055" s="2" t="n">
        <f aca="false">C2055*(1-D$2051)+C2054*D$2051</f>
        <v>0</v>
      </c>
      <c r="E2055" s="2" t="n">
        <f aca="false">D2055*(1-E$2051)+D2054*E$2051</f>
        <v>1.11790667677796E-006</v>
      </c>
      <c r="F2055" s="2" t="n">
        <f aca="false">E2055*(1-F$2051)+E2054*F$2051</f>
        <v>0.00448096073304411</v>
      </c>
      <c r="G2055" s="2" t="n">
        <f aca="false">F2055*(1-G$2051)+F2054*G$2051</f>
        <v>0.144514545994431</v>
      </c>
      <c r="H2055" s="2" t="n">
        <f aca="false">G2055*(1-H$2051)+G2054*H$2051</f>
        <v>0.181256955552364</v>
      </c>
      <c r="I2055" s="2" t="n">
        <f aca="false">H2055*(1-I$2051)+H2054*I$2051</f>
        <v>0.200246664696002</v>
      </c>
      <c r="J2055" s="2" t="n">
        <f aca="false">I2055*(1-J$2051)+I2054*J$2051</f>
        <v>0.331832413791324</v>
      </c>
      <c r="K2055" s="2" t="n">
        <f aca="false">J2055*(1-K$2051)+J2054*K$2051</f>
        <v>0.338162583931453</v>
      </c>
      <c r="L2055" s="2" t="n">
        <f aca="false">K2055*(1-L$2051)+K2054*L$2051</f>
        <v>0.316172725059363</v>
      </c>
      <c r="M2055" s="2" t="n">
        <f aca="false">L2055*(1-M$2051)+L2054*M$2051</f>
        <v>0.29953822351159</v>
      </c>
      <c r="N2055" s="2" t="n">
        <f aca="false">M2055*(1-N$2051)+M2054*N$2051</f>
        <v>0.267563838089579</v>
      </c>
      <c r="O2055" s="2" t="n">
        <f aca="false">N2055*(1-O$2051)+N2054*O$2051</f>
        <v>0.267563838089579</v>
      </c>
    </row>
    <row r="2056" customFormat="false" ht="15" hidden="false" customHeight="false" outlineLevel="0" collapsed="false">
      <c r="B2056" s="2" t="n">
        <v>4</v>
      </c>
      <c r="C2056" s="2" t="n">
        <f aca="false">0</f>
        <v>0</v>
      </c>
      <c r="D2056" s="2" t="n">
        <f aca="false">C2056*(1-D$2051)+C2055*D$2051</f>
        <v>0</v>
      </c>
      <c r="E2056" s="2" t="n">
        <f aca="false">D2056*(1-E$2051)+D2055*E$2051</f>
        <v>0</v>
      </c>
      <c r="F2056" s="2" t="n">
        <f aca="false">E2056*(1-F$2051)+E2055*F$2051</f>
        <v>7.01385229050638E-007</v>
      </c>
      <c r="G2056" s="2" t="n">
        <f aca="false">F2056*(1-G$2051)+F2055*G$2051</f>
        <v>0.00137318662918587</v>
      </c>
      <c r="H2056" s="2" t="n">
        <f aca="false">G2056*(1-H$2051)+G2055*H$2051</f>
        <v>0.0183714680914133</v>
      </c>
      <c r="I2056" s="2" t="n">
        <f aca="false">H2056*(1-I$2051)+H2055*I$2051</f>
        <v>0.0303483173855737</v>
      </c>
      <c r="J2056" s="2" t="n">
        <f aca="false">I2056*(1-J$2051)+I2055*J$2051</f>
        <v>0.127932098555078</v>
      </c>
      <c r="K2056" s="2" t="n">
        <f aca="false">J2056*(1-K$2051)+J2055*K$2051</f>
        <v>0.222267369603517</v>
      </c>
      <c r="L2056" s="2" t="n">
        <f aca="false">K2056*(1-L$2051)+K2055*L$2051</f>
        <v>0.253331984601226</v>
      </c>
      <c r="M2056" s="2" t="n">
        <f aca="false">L2056*(1-M$2051)+L2055*M$2051</f>
        <v>0.263397330340535</v>
      </c>
      <c r="N2056" s="2" t="n">
        <f aca="false">M2056*(1-N$2051)+M2055*N$2051</f>
        <v>0.273920101476471</v>
      </c>
      <c r="O2056" s="2" t="n">
        <f aca="false">N2056*(1-O$2051)+N2055*O$2051</f>
        <v>0.273920101476471</v>
      </c>
    </row>
    <row r="2057" customFormat="false" ht="15" hidden="false" customHeight="false" outlineLevel="0" collapsed="false">
      <c r="B2057" s="2" t="n">
        <v>5</v>
      </c>
      <c r="C2057" s="2" t="n">
        <f aca="false">0</f>
        <v>0</v>
      </c>
      <c r="D2057" s="2" t="n">
        <f aca="false">C2057*(1-D$2051)+C2056*D$2051</f>
        <v>0</v>
      </c>
      <c r="E2057" s="2" t="n">
        <f aca="false">D2057*(1-E$2051)+D2056*E$2051</f>
        <v>0</v>
      </c>
      <c r="F2057" s="2" t="n">
        <f aca="false">E2057*(1-F$2051)+E2056*F$2051</f>
        <v>0</v>
      </c>
      <c r="G2057" s="2" t="n">
        <f aca="false">F2057*(1-G$2051)+F2056*G$2051</f>
        <v>2.14862757369334E-007</v>
      </c>
      <c r="H2057" s="2" t="n">
        <f aca="false">G2057*(1-H$2051)+G2056*H$2051</f>
        <v>0.000163257610352721</v>
      </c>
      <c r="I2057" s="2" t="n">
        <f aca="false">H2057*(1-I$2051)+H2056*I$2051</f>
        <v>0.00150209384584175</v>
      </c>
      <c r="J2057" s="2" t="n">
        <f aca="false">I2057*(1-J$2051)+I2056*J$2051</f>
        <v>0.0180703748799387</v>
      </c>
      <c r="K2057" s="2" t="n">
        <f aca="false">J2057*(1-K$2051)+J2056*K$2051</f>
        <v>0.0688983271012736</v>
      </c>
      <c r="L2057" s="2" t="n">
        <f aca="false">K2057*(1-L$2051)+K2056*L$2051</f>
        <v>0.11000744696897</v>
      </c>
      <c r="M2057" s="2" t="n">
        <f aca="false">L2057*(1-M$2051)+L2056*M$2051</f>
        <v>0.132964067366469</v>
      </c>
      <c r="N2057" s="2" t="n">
        <f aca="false">M2057*(1-N$2051)+M2056*N$2051</f>
        <v>0.17094097536078</v>
      </c>
      <c r="O2057" s="2" t="n">
        <f aca="false">N2057*(1-O$2051)+N2056*O$2051</f>
        <v>0.17094097536078</v>
      </c>
    </row>
    <row r="2058" customFormat="false" ht="15" hidden="false" customHeight="false" outlineLevel="0" collapsed="false">
      <c r="B2058" s="2" t="n">
        <v>6</v>
      </c>
      <c r="C2058" s="2" t="n">
        <f aca="false">0</f>
        <v>0</v>
      </c>
      <c r="D2058" s="2" t="n">
        <f aca="false">C2058*(1-D$2051)+C2057*D$2051</f>
        <v>0</v>
      </c>
      <c r="E2058" s="2" t="n">
        <f aca="false">D2058*(1-E$2051)+D2057*E$2051</f>
        <v>0</v>
      </c>
      <c r="F2058" s="2" t="n">
        <f aca="false">E2058*(1-F$2051)+E2057*F$2051</f>
        <v>0</v>
      </c>
      <c r="G2058" s="2" t="n">
        <f aca="false">F2058*(1-G$2051)+F2057*G$2051</f>
        <v>0</v>
      </c>
      <c r="H2058" s="2" t="n">
        <f aca="false">G2058*(1-H$2051)+G2057*H$2051</f>
        <v>2.55153202520235E-008</v>
      </c>
      <c r="I2058" s="2" t="n">
        <f aca="false">H2058*(1-I$2051)+H2057*I$2051</f>
        <v>1.20278504125212E-005</v>
      </c>
      <c r="J2058" s="2" t="n">
        <f aca="false">I2058*(1-J$2051)+I2057*J$2051</f>
        <v>0.000867870631274929</v>
      </c>
      <c r="K2058" s="2" t="n">
        <f aca="false">J2058*(1-K$2051)+J2057*K$2051</f>
        <v>0.00882667588927268</v>
      </c>
      <c r="L2058" s="2" t="n">
        <f aca="false">K2058*(1-L$2051)+K2057*L$2051</f>
        <v>0.0249283132864578</v>
      </c>
      <c r="M2058" s="2" t="n">
        <f aca="false">L2058*(1-M$2051)+L2057*M$2051</f>
        <v>0.0385556335483162</v>
      </c>
      <c r="N2058" s="2" t="n">
        <f aca="false">M2058*(1-N$2051)+M2057*N$2051</f>
        <v>0.0660435635689881</v>
      </c>
      <c r="O2058" s="2" t="n">
        <f aca="false">N2058*(1-O$2051)+N2057*O$2051</f>
        <v>0.0660435635689881</v>
      </c>
    </row>
    <row r="2059" customFormat="false" ht="15" hidden="false" customHeight="false" outlineLevel="0" collapsed="false">
      <c r="B2059" s="2" t="n">
        <v>7</v>
      </c>
      <c r="C2059" s="2" t="n">
        <f aca="false">0</f>
        <v>0</v>
      </c>
      <c r="D2059" s="2" t="n">
        <f aca="false">C2059*(1-D$2051)+C2058*D$2051</f>
        <v>0</v>
      </c>
      <c r="E2059" s="2" t="n">
        <f aca="false">D2059*(1-E$2051)+D2058*E$2051</f>
        <v>0</v>
      </c>
      <c r="F2059" s="2" t="n">
        <f aca="false">E2059*(1-F$2051)+E2058*F$2051</f>
        <v>0</v>
      </c>
      <c r="G2059" s="2" t="n">
        <f aca="false">F2059*(1-G$2051)+F2058*G$2051</f>
        <v>0</v>
      </c>
      <c r="H2059" s="2" t="n">
        <f aca="false">G2059*(1-H$2051)+G2058*H$2051</f>
        <v>0</v>
      </c>
      <c r="I2059" s="2" t="n">
        <f aca="false">H2059*(1-I$2051)+H2058*I$2051</f>
        <v>1.87612260683435E-009</v>
      </c>
      <c r="J2059" s="2" t="n">
        <f aca="false">I2059*(1-J$2051)+I2058*J$2051</f>
        <v>6.90918312137865E-006</v>
      </c>
      <c r="K2059" s="2" t="n">
        <f aca="false">J2059*(1-K$2051)+J2058*K$2051</f>
        <v>0.000405236333718077</v>
      </c>
      <c r="L2059" s="2" t="n">
        <f aca="false">K2059*(1-L$2051)+K2058*L$2051</f>
        <v>0.00266252347915221</v>
      </c>
      <c r="M2059" s="2" t="n">
        <f aca="false">L2059*(1-M$2051)+L2058*M$2051</f>
        <v>0.00622888617531755</v>
      </c>
      <c r="N2059" s="2" t="n">
        <f aca="false">M2059*(1-N$2051)+M2058*N$2051</f>
        <v>0.0156411318153258</v>
      </c>
      <c r="O2059" s="2" t="n">
        <f aca="false">N2059*(1-O$2051)+N2058*O$2051</f>
        <v>0.0156411318153258</v>
      </c>
    </row>
    <row r="2060" customFormat="false" ht="15" hidden="false" customHeight="false" outlineLevel="0" collapsed="false">
      <c r="B2060" s="2" t="n">
        <v>8</v>
      </c>
      <c r="C2060" s="2" t="n">
        <f aca="false">0</f>
        <v>0</v>
      </c>
      <c r="D2060" s="2" t="n">
        <f aca="false">C2060*(1-D$2051)+C2059*D$2051</f>
        <v>0</v>
      </c>
      <c r="E2060" s="2" t="n">
        <f aca="false">D2060*(1-E$2051)+D2059*E$2051</f>
        <v>0</v>
      </c>
      <c r="F2060" s="2" t="n">
        <f aca="false">E2060*(1-F$2051)+E2059*F$2051</f>
        <v>0</v>
      </c>
      <c r="G2060" s="2" t="n">
        <f aca="false">F2060*(1-G$2051)+F2059*G$2051</f>
        <v>0</v>
      </c>
      <c r="H2060" s="2" t="n">
        <f aca="false">G2060*(1-H$2051)+G2059*H$2051</f>
        <v>0</v>
      </c>
      <c r="I2060" s="2" t="n">
        <f aca="false">H2060*(1-I$2051)+H2059*I$2051</f>
        <v>0</v>
      </c>
      <c r="J2060" s="2" t="n">
        <f aca="false">I2060*(1-J$2051)+I2059*J$2051</f>
        <v>1.07758045213925E-009</v>
      </c>
      <c r="K2060" s="2" t="n">
        <f aca="false">J2060*(1-K$2051)+J2059*K$2051</f>
        <v>3.19713938094261E-006</v>
      </c>
      <c r="L2060" s="2" t="n">
        <f aca="false">K2060*(1-L$2051)+K2059*L$2051</f>
        <v>0.000110959939238519</v>
      </c>
      <c r="M2060" s="2" t="n">
        <f aca="false">L2060*(1-M$2051)+L2059*M$2051</f>
        <v>0.000519649732162821</v>
      </c>
      <c r="N2060" s="2" t="n">
        <f aca="false">M2060*(1-N$2051)+M2059*N$2051</f>
        <v>0.00218194922675237</v>
      </c>
      <c r="O2060" s="2" t="n">
        <f aca="false">N2060*(1-O$2051)+N2059*O$2051</f>
        <v>0.00218194922675237</v>
      </c>
    </row>
    <row r="2061" customFormat="false" ht="15" hidden="false" customHeight="false" outlineLevel="0" collapsed="false">
      <c r="B2061" s="2" t="n">
        <v>9</v>
      </c>
      <c r="C2061" s="2" t="n">
        <f aca="false">0</f>
        <v>0</v>
      </c>
      <c r="D2061" s="2" t="n">
        <f aca="false">C2061*(1-D$2051)+C2060*D$2051</f>
        <v>0</v>
      </c>
      <c r="E2061" s="2" t="n">
        <f aca="false">D2061*(1-E$2051)+D2060*E$2051</f>
        <v>0</v>
      </c>
      <c r="F2061" s="2" t="n">
        <f aca="false">E2061*(1-F$2051)+E2060*F$2051</f>
        <v>0</v>
      </c>
      <c r="G2061" s="2" t="n">
        <f aca="false">F2061*(1-G$2051)+F2060*G$2051</f>
        <v>0</v>
      </c>
      <c r="H2061" s="2" t="n">
        <f aca="false">G2061*(1-H$2051)+G2060*H$2051</f>
        <v>0</v>
      </c>
      <c r="I2061" s="2" t="n">
        <f aca="false">H2061*(1-I$2051)+H2060*I$2051</f>
        <v>0</v>
      </c>
      <c r="J2061" s="2" t="n">
        <f aca="false">I2061*(1-J$2051)+I2060*J$2051</f>
        <v>0</v>
      </c>
      <c r="K2061" s="2" t="n">
        <f aca="false">J2061*(1-K$2051)+J2060*K$2051</f>
        <v>4.98546772285646E-010</v>
      </c>
      <c r="L2061" s="2" t="n">
        <f aca="false">K2061*(1-L$2051)+K2060*L$2051</f>
        <v>8.57327859141233E-007</v>
      </c>
      <c r="M2061" s="2" t="n">
        <f aca="false">L2061*(1-M$2051)+L2060*M$2051</f>
        <v>1.84927160206232E-005</v>
      </c>
      <c r="N2061" s="2" t="n">
        <f aca="false">M2061*(1-N$2051)+M2060*N$2051</f>
        <v>0.000164409435872368</v>
      </c>
      <c r="O2061" s="2" t="n">
        <f aca="false">N2061*(1-O$2051)+N2060*O$2051</f>
        <v>0.000164409435872368</v>
      </c>
    </row>
    <row r="2062" customFormat="false" ht="15" hidden="false" customHeight="false" outlineLevel="0" collapsed="false">
      <c r="B2062" s="2" t="n">
        <v>10</v>
      </c>
      <c r="C2062" s="2" t="n">
        <f aca="false">0</f>
        <v>0</v>
      </c>
      <c r="D2062" s="2" t="n">
        <f aca="false">C2062*(1-D$2051)+C2061*D$2051</f>
        <v>0</v>
      </c>
      <c r="E2062" s="2" t="n">
        <f aca="false">D2062*(1-E$2051)+D2061*E$2051</f>
        <v>0</v>
      </c>
      <c r="F2062" s="2" t="n">
        <f aca="false">E2062*(1-F$2051)+E2061*F$2051</f>
        <v>0</v>
      </c>
      <c r="G2062" s="2" t="n">
        <f aca="false">F2062*(1-G$2051)+F2061*G$2051</f>
        <v>0</v>
      </c>
      <c r="H2062" s="2" t="n">
        <f aca="false">G2062*(1-H$2051)+G2061*H$2051</f>
        <v>0</v>
      </c>
      <c r="I2062" s="2" t="n">
        <f aca="false">H2062*(1-I$2051)+H2061*I$2051</f>
        <v>0</v>
      </c>
      <c r="J2062" s="2" t="n">
        <f aca="false">I2062*(1-J$2051)+I2061*J$2051</f>
        <v>0</v>
      </c>
      <c r="K2062" s="2" t="n">
        <f aca="false">J2062*(1-K$2051)+J2061*K$2051</f>
        <v>0</v>
      </c>
      <c r="L2062" s="2" t="n">
        <f aca="false">K2062*(1-L$2051)+K2061*L$2051</f>
        <v>1.33630742470365E-010</v>
      </c>
      <c r="M2062" s="2" t="n">
        <f aca="false">L2062*(1-M$2051)+L2061*M$2051</f>
        <v>1.37432399211332E-007</v>
      </c>
      <c r="N2062" s="2" t="n">
        <f aca="false">M2062*(1-N$2051)+M2061*N$2051</f>
        <v>5.48175102933287E-006</v>
      </c>
      <c r="O2062" s="2" t="n">
        <f aca="false">N2062*(1-O$2051)+N2061*O$2051</f>
        <v>5.48175102933287E-006</v>
      </c>
    </row>
    <row r="2063" customFormat="false" ht="15" hidden="false" customHeight="false" outlineLevel="0" collapsed="false">
      <c r="B2063" s="2" t="n">
        <v>11</v>
      </c>
      <c r="C2063" s="2" t="n">
        <f aca="false">0</f>
        <v>0</v>
      </c>
      <c r="D2063" s="2" t="n">
        <f aca="false">C2063*(1-D$2051)+C2062*D$2051</f>
        <v>0</v>
      </c>
      <c r="E2063" s="2" t="n">
        <f aca="false">D2063*(1-E$2051)+D2062*E$2051</f>
        <v>0</v>
      </c>
      <c r="F2063" s="2" t="n">
        <f aca="false">E2063*(1-F$2051)+E2062*F$2051</f>
        <v>0</v>
      </c>
      <c r="G2063" s="2" t="n">
        <f aca="false">F2063*(1-G$2051)+F2062*G$2051</f>
        <v>0</v>
      </c>
      <c r="H2063" s="2" t="n">
        <f aca="false">G2063*(1-H$2051)+G2062*H$2051</f>
        <v>0</v>
      </c>
      <c r="I2063" s="2" t="n">
        <f aca="false">H2063*(1-I$2051)+H2062*I$2051</f>
        <v>0</v>
      </c>
      <c r="J2063" s="2" t="n">
        <f aca="false">I2063*(1-J$2051)+I2062*J$2051</f>
        <v>0</v>
      </c>
      <c r="K2063" s="2" t="n">
        <f aca="false">J2063*(1-K$2051)+J2062*K$2051</f>
        <v>0</v>
      </c>
      <c r="L2063" s="2" t="n">
        <f aca="false">K2063*(1-L$2051)+K2062*L$2051</f>
        <v>0</v>
      </c>
      <c r="M2063" s="2" t="n">
        <f aca="false">L2063*(1-M$2051)+L2062*M$2051</f>
        <v>2.14039429605511E-011</v>
      </c>
      <c r="N2063" s="2" t="n">
        <f aca="false">M2063*(1-N$2051)+M2062*N$2051</f>
        <v>4.00299462865745E-008</v>
      </c>
      <c r="O2063" s="2" t="n">
        <f aca="false">N2063*(1-O$2051)+N2062*O$2051</f>
        <v>4.00299462865745E-008</v>
      </c>
    </row>
    <row r="2064" customFormat="false" ht="15" hidden="false" customHeight="false" outlineLevel="0" collapsed="false">
      <c r="B2064" s="2" t="n">
        <v>12</v>
      </c>
      <c r="C2064" s="2" t="n">
        <f aca="false">0</f>
        <v>0</v>
      </c>
      <c r="D2064" s="2" t="n">
        <f aca="false">C2064*(1-D$2051)+C2063*D$2051</f>
        <v>0</v>
      </c>
      <c r="E2064" s="2" t="n">
        <f aca="false">D2064*(1-E$2051)+D2063*E$2051</f>
        <v>0</v>
      </c>
      <c r="F2064" s="2" t="n">
        <f aca="false">E2064*(1-F$2051)+E2063*F$2051</f>
        <v>0</v>
      </c>
      <c r="G2064" s="2" t="n">
        <f aca="false">F2064*(1-G$2051)+F2063*G$2051</f>
        <v>0</v>
      </c>
      <c r="H2064" s="2" t="n">
        <f aca="false">G2064*(1-H$2051)+G2063*H$2051</f>
        <v>0</v>
      </c>
      <c r="I2064" s="2" t="n">
        <f aca="false">H2064*(1-I$2051)+H2063*I$2051</f>
        <v>0</v>
      </c>
      <c r="J2064" s="2" t="n">
        <f aca="false">I2064*(1-J$2051)+I2063*J$2051</f>
        <v>0</v>
      </c>
      <c r="K2064" s="2" t="n">
        <f aca="false">J2064*(1-K$2051)+J2063*K$2051</f>
        <v>0</v>
      </c>
      <c r="L2064" s="2" t="n">
        <f aca="false">K2064*(1-L$2051)+K2063*L$2051</f>
        <v>0</v>
      </c>
      <c r="M2064" s="2" t="n">
        <f aca="false">L2064*(1-M$2051)+L2063*M$2051</f>
        <v>0</v>
      </c>
      <c r="N2064" s="2" t="n">
        <f aca="false">M2064*(1-N$2051)+M2063*N$2051</f>
        <v>6.23196532842969E-012</v>
      </c>
      <c r="O2064" s="2" t="n">
        <f aca="false">N2064*(1-O$2051)+N2063*O$2051</f>
        <v>6.23196532842969E-012</v>
      </c>
    </row>
    <row r="2065" customFormat="false" ht="15" hidden="false" customHeight="false" outlineLevel="0" collapsed="false">
      <c r="B2065" s="2" t="n">
        <v>13</v>
      </c>
      <c r="C2065" s="2" t="n">
        <f aca="false">0</f>
        <v>0</v>
      </c>
      <c r="D2065" s="2" t="n">
        <f aca="false">C2065*(1-D$2051)+C2064*D$2051</f>
        <v>0</v>
      </c>
      <c r="E2065" s="2" t="n">
        <f aca="false">D2065*(1-E$2051)+D2064*E$2051</f>
        <v>0</v>
      </c>
      <c r="F2065" s="2" t="n">
        <f aca="false">E2065*(1-F$2051)+E2064*F$2051</f>
        <v>0</v>
      </c>
      <c r="G2065" s="2" t="n">
        <f aca="false">F2065*(1-G$2051)+F2064*G$2051</f>
        <v>0</v>
      </c>
      <c r="H2065" s="2" t="n">
        <f aca="false">G2065*(1-H$2051)+G2064*H$2051</f>
        <v>0</v>
      </c>
      <c r="I2065" s="2" t="n">
        <f aca="false">H2065*(1-I$2051)+H2064*I$2051</f>
        <v>0</v>
      </c>
      <c r="J2065" s="2" t="n">
        <f aca="false">I2065*(1-J$2051)+I2064*J$2051</f>
        <v>0</v>
      </c>
      <c r="K2065" s="2" t="n">
        <f aca="false">J2065*(1-K$2051)+J2064*K$2051</f>
        <v>0</v>
      </c>
      <c r="L2065" s="2" t="n">
        <f aca="false">K2065*(1-L$2051)+K2064*L$2051</f>
        <v>0</v>
      </c>
      <c r="M2065" s="2" t="n">
        <f aca="false">L2065*(1-M$2051)+L2064*M$2051</f>
        <v>0</v>
      </c>
      <c r="N2065" s="2" t="n">
        <f aca="false">M2065*(1-N$2051)+M2064*N$2051</f>
        <v>0</v>
      </c>
      <c r="O2065" s="2" t="n">
        <f aca="false">N2065*(1-O$2051)+N2064*O$2051</f>
        <v>0</v>
      </c>
    </row>
    <row r="2067" customFormat="false" ht="15" hidden="false" customHeight="false" outlineLevel="0" collapsed="false">
      <c r="A2067" s="1" t="s">
        <v>187</v>
      </c>
      <c r="C2067" s="2" t="n">
        <f aca="false">Schedule!G131</f>
        <v>0.0359303191129258</v>
      </c>
      <c r="D2067" s="2" t="n">
        <f aca="false">Schedule!L131</f>
        <v>0.802337456877308</v>
      </c>
      <c r="E2067" s="2" t="n">
        <f aca="false">Schedule!Q131</f>
        <v>0.0241340740047248</v>
      </c>
      <c r="F2067" s="2" t="n">
        <f aca="false">Schedule!V131</f>
        <v>0.066807201268858</v>
      </c>
      <c r="G2067" s="2" t="n">
        <f aca="false">Schedule!AA131</f>
        <v>0.259868780665061</v>
      </c>
      <c r="H2067" s="2" t="n">
        <f aca="false">Schedule!AF131</f>
        <v>0.394061036152246</v>
      </c>
      <c r="I2067" s="2" t="n">
        <f aca="false">Schedule!AK131</f>
        <v>0.0905297411381762</v>
      </c>
      <c r="J2067" s="2" t="n">
        <f aca="false">Schedule!AP131</f>
        <v>0.425634311844103</v>
      </c>
      <c r="K2067" s="2" t="n">
        <f aca="false">Schedule!AU131</f>
        <v>0.295461142462736</v>
      </c>
      <c r="L2067" s="2" t="n">
        <f aca="false">Schedule!AZ131</f>
        <v>0.18406012534676</v>
      </c>
      <c r="M2067" s="2" t="n">
        <f aca="false">Schedule!BE131</f>
        <v>0.680375828482882</v>
      </c>
      <c r="N2067" s="2" t="n">
        <f aca="false">Schedule!BJ131</f>
        <v>0.315169414269309</v>
      </c>
      <c r="O2067" s="2" t="n">
        <f aca="false">Schedule!BO131</f>
        <v>0</v>
      </c>
    </row>
    <row r="2068" customFormat="false" ht="15" hidden="false" customHeight="false" outlineLevel="0" collapsed="false">
      <c r="B2068" s="2" t="n">
        <v>0</v>
      </c>
      <c r="C2068" s="2" t="n">
        <f aca="false">1-C$2067</f>
        <v>0.964069680887074</v>
      </c>
      <c r="D2068" s="2" t="n">
        <f aca="false">C2068*(1-D$2067)</f>
        <v>0.190560464871622</v>
      </c>
      <c r="E2068" s="2" t="n">
        <f aca="false">D2068*(1-E$2067)</f>
        <v>0.185961464510035</v>
      </c>
      <c r="F2068" s="2" t="n">
        <f aca="false">E2068*(1-F$2067)</f>
        <v>0.173537899522262</v>
      </c>
      <c r="G2068" s="2" t="n">
        <f aca="false">F2068*(1-G$2067)</f>
        <v>0.128440817174236</v>
      </c>
      <c r="H2068" s="2" t="n">
        <f aca="false">G2068*(1-H$2067)</f>
        <v>0.0778272956743151</v>
      </c>
      <c r="I2068" s="2" t="n">
        <f aca="false">H2068*(1-I$2067)</f>
        <v>0.0707816107434351</v>
      </c>
      <c r="J2068" s="2" t="n">
        <f aca="false">I2068*(1-J$2067)</f>
        <v>0.0406545285634359</v>
      </c>
      <c r="K2068" s="2" t="n">
        <f aca="false">J2068*(1-K$2067)</f>
        <v>0.0286426951077992</v>
      </c>
      <c r="L2068" s="2" t="n">
        <f aca="false">K2068*(1-L$2067)</f>
        <v>0.0233707170559887</v>
      </c>
      <c r="M2068" s="2" t="n">
        <f aca="false">L2068*(1-M$2067)</f>
        <v>0.00746984607678135</v>
      </c>
      <c r="N2068" s="2" t="n">
        <f aca="false">M2068*(1-N$2067)</f>
        <v>0.00511557906408028</v>
      </c>
      <c r="O2068" s="2" t="n">
        <f aca="false">N2068*(1-O$2067)</f>
        <v>0.00511557906408028</v>
      </c>
    </row>
    <row r="2069" customFormat="false" ht="15" hidden="false" customHeight="false" outlineLevel="0" collapsed="false">
      <c r="B2069" s="2" t="n">
        <v>1</v>
      </c>
      <c r="C2069" s="2" t="n">
        <f aca="false">C$2067</f>
        <v>0.0359303191129258</v>
      </c>
      <c r="D2069" s="2" t="n">
        <f aca="false">C2069*(1-D$2067)+C2068*D$2067</f>
        <v>0.780611294266523</v>
      </c>
      <c r="E2069" s="2" t="n">
        <f aca="false">D2069*(1-E$2067)+D2068*E$2067</f>
        <v>0.766370963883358</v>
      </c>
      <c r="F2069" s="2" t="n">
        <f aca="false">E2069*(1-F$2067)+E2068*F$2067</f>
        <v>0.727595429640367</v>
      </c>
      <c r="G2069" s="2" t="n">
        <f aca="false">F2069*(1-G$2067)+F2068*G$2067</f>
        <v>0.583613174870279</v>
      </c>
      <c r="H2069" s="2" t="n">
        <f aca="false">G2069*(1-H$2067)+G2068*H$2067</f>
        <v>0.404247483968716</v>
      </c>
      <c r="I2069" s="2" t="n">
        <f aca="false">H2069*(1-I$2067)+H2068*I$2067</f>
        <v>0.374696748820149</v>
      </c>
      <c r="J2069" s="2" t="n">
        <f aca="false">I2069*(1-J$2067)+I2068*J$2067</f>
        <v>0.245340038165861</v>
      </c>
      <c r="K2069" s="2" t="n">
        <f aca="false">J2069*(1-K$2067)+J2068*K$2067</f>
        <v>0.184863423653161</v>
      </c>
      <c r="L2069" s="2" t="n">
        <f aca="false">K2069*(1-L$2067)+K2068*L$2067</f>
        <v>0.15610941677534</v>
      </c>
      <c r="M2069" s="2" t="n">
        <f aca="false">L2069*(1-M$2067)+L2068*M$2067</f>
        <v>0.0657972139820458</v>
      </c>
      <c r="N2069" s="2" t="n">
        <f aca="false">M2069*(1-N$2067)+M2068*N$2067</f>
        <v>0.0474142116034731</v>
      </c>
      <c r="O2069" s="2" t="n">
        <f aca="false">N2069*(1-O$2067)+N2068*O$2067</f>
        <v>0.0474142116034731</v>
      </c>
    </row>
    <row r="2070" customFormat="false" ht="15" hidden="false" customHeight="false" outlineLevel="0" collapsed="false">
      <c r="B2070" s="2" t="n">
        <v>2</v>
      </c>
      <c r="C2070" s="2" t="n">
        <f aca="false">0</f>
        <v>0</v>
      </c>
      <c r="D2070" s="2" t="n">
        <f aca="false">C2070*(1-D$2067)+C2069*D$2067</f>
        <v>0.028828240861855</v>
      </c>
      <c r="E2070" s="2" t="n">
        <f aca="false">D2070*(1-E$2067)+D2069*E$2067</f>
        <v>0.0469718287082212</v>
      </c>
      <c r="F2070" s="2" t="n">
        <f aca="false">E2070*(1-F$2067)+E2069*F$2067</f>
        <v>0.095032871524509</v>
      </c>
      <c r="G2070" s="2" t="n">
        <f aca="false">F2070*(1-G$2067)+F2069*G$2067</f>
        <v>0.259416132196449</v>
      </c>
      <c r="H2070" s="2" t="n">
        <f aca="false">G2070*(1-H$2067)+G2069*H$2067</f>
        <v>0.387169554749992</v>
      </c>
      <c r="I2070" s="2" t="n">
        <f aca="false">H2070*(1-I$2067)+H2069*I$2067</f>
        <v>0.388715615261339</v>
      </c>
      <c r="J2070" s="2" t="n">
        <f aca="false">I2070*(1-J$2067)+I2069*J$2067</f>
        <v>0.382748704690809</v>
      </c>
      <c r="K2070" s="2" t="n">
        <f aca="false">J2070*(1-K$2067)+J2069*K$2067</f>
        <v>0.342149783095067</v>
      </c>
      <c r="L2070" s="2" t="n">
        <f aca="false">K2070*(1-L$2067)+K2069*L$2067</f>
        <v>0.313199636060854</v>
      </c>
      <c r="M2070" s="2" t="n">
        <f aca="false">L2070*(1-M$2067)+L2069*M$2067</f>
        <v>0.206319247967915</v>
      </c>
      <c r="N2070" s="2" t="n">
        <f aca="false">M2070*(1-N$2067)+M2069*N$2067</f>
        <v>0.162031000824657</v>
      </c>
      <c r="O2070" s="2" t="n">
        <f aca="false">N2070*(1-O$2067)+N2069*O$2067</f>
        <v>0.162031000824657</v>
      </c>
    </row>
    <row r="2071" customFormat="false" ht="15" hidden="false" customHeight="false" outlineLevel="0" collapsed="false">
      <c r="B2071" s="2" t="n">
        <v>3</v>
      </c>
      <c r="C2071" s="2" t="n">
        <f aca="false">0</f>
        <v>0</v>
      </c>
      <c r="D2071" s="2" t="n">
        <f aca="false">C2071*(1-D$2067)+C2070*D$2067</f>
        <v>0</v>
      </c>
      <c r="E2071" s="2" t="n">
        <f aca="false">D2071*(1-E$2067)+D2070*E$2067</f>
        <v>0.000695742898386039</v>
      </c>
      <c r="F2071" s="2" t="n">
        <f aca="false">E2071*(1-F$2067)+E2070*F$2067</f>
        <v>0.00378731867701864</v>
      </c>
      <c r="G2071" s="2" t="n">
        <f aca="false">F2071*(1-G$2067)+F2070*G$2067</f>
        <v>0.0274991892366054</v>
      </c>
      <c r="H2071" s="2" t="n">
        <f aca="false">G2071*(1-H$2067)+G2070*H$2067</f>
        <v>0.118888620080623</v>
      </c>
      <c r="I2071" s="2" t="n">
        <f aca="false">H2071*(1-I$2067)+H2070*I$2067</f>
        <v>0.143176023648549</v>
      </c>
      <c r="J2071" s="2" t="n">
        <f aca="false">I2071*(1-J$2067)+I2070*J$2067</f>
        <v>0.247686098755141</v>
      </c>
      <c r="K2071" s="2" t="n">
        <f aca="false">J2071*(1-K$2067)+J2070*K$2067</f>
        <v>0.287591850608888</v>
      </c>
      <c r="L2071" s="2" t="n">
        <f aca="false">K2071*(1-L$2067)+K2070*L$2067</f>
        <v>0.297633790500954</v>
      </c>
      <c r="M2071" s="2" t="n">
        <f aca="false">L2071*(1-M$2067)+L2070*M$2067</f>
        <v>0.308224415569808</v>
      </c>
      <c r="N2071" s="2" t="n">
        <f aca="false">M2071*(1-N$2067)+M2070*N$2067</f>
        <v>0.276107023585703</v>
      </c>
      <c r="O2071" s="2" t="n">
        <f aca="false">N2071*(1-O$2067)+N2070*O$2067</f>
        <v>0.276107023585703</v>
      </c>
    </row>
    <row r="2072" customFormat="false" ht="15" hidden="false" customHeight="false" outlineLevel="0" collapsed="false">
      <c r="B2072" s="2" t="n">
        <v>4</v>
      </c>
      <c r="C2072" s="2" t="n">
        <f aca="false">0</f>
        <v>0</v>
      </c>
      <c r="D2072" s="2" t="n">
        <f aca="false">C2072*(1-D$2067)+C2071*D$2067</f>
        <v>0</v>
      </c>
      <c r="E2072" s="2" t="n">
        <f aca="false">D2072*(1-E$2067)+D2071*E$2067</f>
        <v>0</v>
      </c>
      <c r="F2072" s="2" t="n">
        <f aca="false">E2072*(1-F$2067)+E2071*F$2067</f>
        <v>4.64806358438548E-005</v>
      </c>
      <c r="G2072" s="2" t="n">
        <f aca="false">F2072*(1-G$2067)+F2071*G$2067</f>
        <v>0.00101860765626942</v>
      </c>
      <c r="H2072" s="2" t="n">
        <f aca="false">G2072*(1-H$2067)+G2071*H$2067</f>
        <v>0.0114535730717307</v>
      </c>
      <c r="I2072" s="2" t="n">
        <f aca="false">H2072*(1-I$2067)+H2071*I$2067</f>
        <v>0.0211796400666135</v>
      </c>
      <c r="J2072" s="2" t="n">
        <f aca="false">I2072*(1-J$2067)+I2071*J$2067</f>
        <v>0.0731054868399796</v>
      </c>
      <c r="K2072" s="2" t="n">
        <f aca="false">J2072*(1-K$2067)+J2071*K$2067</f>
        <v>0.124687273888277</v>
      </c>
      <c r="L2072" s="2" t="n">
        <f aca="false">K2072*(1-L$2067)+K2071*L$2067</f>
        <v>0.154671510699033</v>
      </c>
      <c r="M2072" s="2" t="n">
        <f aca="false">L2072*(1-M$2067)+L2071*M$2067</f>
        <v>0.251939590261067</v>
      </c>
      <c r="N2072" s="2" t="n">
        <f aca="false">M2072*(1-N$2067)+M2071*N$2067</f>
        <v>0.269678845685873</v>
      </c>
      <c r="O2072" s="2" t="n">
        <f aca="false">N2072*(1-O$2067)+N2071*O$2067</f>
        <v>0.269678845685873</v>
      </c>
    </row>
    <row r="2073" customFormat="false" ht="15" hidden="false" customHeight="false" outlineLevel="0" collapsed="false">
      <c r="B2073" s="2" t="n">
        <v>5</v>
      </c>
      <c r="C2073" s="2" t="n">
        <f aca="false">0</f>
        <v>0</v>
      </c>
      <c r="D2073" s="2" t="n">
        <f aca="false">C2073*(1-D$2067)+C2072*D$2067</f>
        <v>0</v>
      </c>
      <c r="E2073" s="2" t="n">
        <f aca="false">D2073*(1-E$2067)+D2072*E$2067</f>
        <v>0</v>
      </c>
      <c r="F2073" s="2" t="n">
        <f aca="false">E2073*(1-F$2067)+E2072*F$2067</f>
        <v>0</v>
      </c>
      <c r="G2073" s="2" t="n">
        <f aca="false">F2073*(1-G$2067)+F2072*G$2067</f>
        <v>1.20788661612793E-005</v>
      </c>
      <c r="H2073" s="2" t="n">
        <f aca="false">G2073*(1-H$2067)+G2072*H$2067</f>
        <v>0.000408712644108361</v>
      </c>
      <c r="I2073" s="2" t="n">
        <f aca="false">H2073*(1-I$2067)+H2072*I$2067</f>
        <v>0.0014086009995283</v>
      </c>
      <c r="J2073" s="2" t="n">
        <f aca="false">I2073*(1-J$2067)+I2072*J$2067</f>
        <v>0.00982383360728996</v>
      </c>
      <c r="K2073" s="2" t="n">
        <f aca="false">J2073*(1-K$2067)+J2072*K$2067</f>
        <v>0.0285211031683511</v>
      </c>
      <c r="L2073" s="2" t="n">
        <f aca="false">K2073*(1-L$2067)+K2072*L$2067</f>
        <v>0.0462214606051785</v>
      </c>
      <c r="M2073" s="2" t="n">
        <f aca="false">L2073*(1-M$2067)+L2072*M$2067</f>
        <v>0.120008253286795</v>
      </c>
      <c r="N2073" s="2" t="n">
        <f aca="false">M2073*(1-N$2067)+M2072*N$2067</f>
        <v>0.161588975484743</v>
      </c>
      <c r="O2073" s="2" t="n">
        <f aca="false">N2073*(1-O$2067)+N2072*O$2067</f>
        <v>0.161588975484743</v>
      </c>
    </row>
    <row r="2074" customFormat="false" ht="15" hidden="false" customHeight="false" outlineLevel="0" collapsed="false">
      <c r="B2074" s="2" t="n">
        <v>6</v>
      </c>
      <c r="C2074" s="2" t="n">
        <f aca="false">0</f>
        <v>0</v>
      </c>
      <c r="D2074" s="2" t="n">
        <f aca="false">C2074*(1-D$2067)+C2073*D$2067</f>
        <v>0</v>
      </c>
      <c r="E2074" s="2" t="n">
        <f aca="false">D2074*(1-E$2067)+D2073*E$2067</f>
        <v>0</v>
      </c>
      <c r="F2074" s="2" t="n">
        <f aca="false">E2074*(1-F$2067)+E2073*F$2067</f>
        <v>0</v>
      </c>
      <c r="G2074" s="2" t="n">
        <f aca="false">F2074*(1-G$2067)+F2073*G$2067</f>
        <v>0</v>
      </c>
      <c r="H2074" s="2" t="n">
        <f aca="false">G2074*(1-H$2067)+G2073*H$2067</f>
        <v>4.75981051505801E-006</v>
      </c>
      <c r="I2074" s="2" t="n">
        <f aca="false">H2074*(1-I$2067)+H2073*I$2067</f>
        <v>4.13295559722925E-005</v>
      </c>
      <c r="J2074" s="2" t="n">
        <f aca="false">I2074*(1-J$2067)+I2073*J$2067</f>
        <v>0.000623287195954345</v>
      </c>
      <c r="K2074" s="2" t="n">
        <f aca="false">J2074*(1-K$2067)+J2073*K$2067</f>
        <v>0.00334169114992899</v>
      </c>
      <c r="L2074" s="2" t="n">
        <f aca="false">K2074*(1-L$2067)+K2073*L$2067</f>
        <v>0.00797621688219747</v>
      </c>
      <c r="M2074" s="2" t="n">
        <f aca="false">L2074*(1-M$2067)+L2073*M$2067</f>
        <v>0.0339973562657505</v>
      </c>
      <c r="N2074" s="2" t="n">
        <f aca="false">M2074*(1-N$2067)+M2073*N$2067</f>
        <v>0.0611053603006509</v>
      </c>
      <c r="O2074" s="2" t="n">
        <f aca="false">N2074*(1-O$2067)+N2073*O$2067</f>
        <v>0.0611053603006509</v>
      </c>
    </row>
    <row r="2075" customFormat="false" ht="15" hidden="false" customHeight="false" outlineLevel="0" collapsed="false">
      <c r="B2075" s="2" t="n">
        <v>7</v>
      </c>
      <c r="C2075" s="2" t="n">
        <f aca="false">0</f>
        <v>0</v>
      </c>
      <c r="D2075" s="2" t="n">
        <f aca="false">C2075*(1-D$2067)+C2074*D$2067</f>
        <v>0</v>
      </c>
      <c r="E2075" s="2" t="n">
        <f aca="false">D2075*(1-E$2067)+D2074*E$2067</f>
        <v>0</v>
      </c>
      <c r="F2075" s="2" t="n">
        <f aca="false">E2075*(1-F$2067)+E2074*F$2067</f>
        <v>0</v>
      </c>
      <c r="G2075" s="2" t="n">
        <f aca="false">F2075*(1-G$2067)+F2074*G$2067</f>
        <v>0</v>
      </c>
      <c r="H2075" s="2" t="n">
        <f aca="false">G2075*(1-H$2067)+G2074*H$2067</f>
        <v>0</v>
      </c>
      <c r="I2075" s="2" t="n">
        <f aca="false">H2075*(1-I$2067)+H2074*I$2067</f>
        <v>4.30904413794971E-007</v>
      </c>
      <c r="J2075" s="2" t="n">
        <f aca="false">I2075*(1-J$2067)+I2074*J$2067</f>
        <v>1.78387738252478E-005</v>
      </c>
      <c r="K2075" s="2" t="n">
        <f aca="false">J2075*(1-K$2067)+J2074*K$2067</f>
        <v>0.000196725256329772</v>
      </c>
      <c r="L2075" s="2" t="n">
        <f aca="false">K2075*(1-L$2067)+K2074*L$2067</f>
        <v>0.000775588072916927</v>
      </c>
      <c r="M2075" s="2" t="n">
        <f aca="false">L2075*(1-M$2067)+L2074*M$2067</f>
        <v>0.00567472186462889</v>
      </c>
      <c r="N2075" s="2" t="n">
        <f aca="false">M2075*(1-N$2067)+M2074*N$2067</f>
        <v>0.0146011499593941</v>
      </c>
      <c r="O2075" s="2" t="n">
        <f aca="false">N2075*(1-O$2067)+N2074*O$2067</f>
        <v>0.0146011499593941</v>
      </c>
    </row>
    <row r="2076" customFormat="false" ht="15" hidden="false" customHeight="false" outlineLevel="0" collapsed="false">
      <c r="B2076" s="2" t="n">
        <v>8</v>
      </c>
      <c r="C2076" s="2" t="n">
        <f aca="false">0</f>
        <v>0</v>
      </c>
      <c r="D2076" s="2" t="n">
        <f aca="false">C2076*(1-D$2067)+C2075*D$2067</f>
        <v>0</v>
      </c>
      <c r="E2076" s="2" t="n">
        <f aca="false">D2076*(1-E$2067)+D2075*E$2067</f>
        <v>0</v>
      </c>
      <c r="F2076" s="2" t="n">
        <f aca="false">E2076*(1-F$2067)+E2075*F$2067</f>
        <v>0</v>
      </c>
      <c r="G2076" s="2" t="n">
        <f aca="false">F2076*(1-G$2067)+F2075*G$2067</f>
        <v>0</v>
      </c>
      <c r="H2076" s="2" t="n">
        <f aca="false">G2076*(1-H$2067)+G2075*H$2067</f>
        <v>0</v>
      </c>
      <c r="I2076" s="2" t="n">
        <f aca="false">H2076*(1-I$2067)+H2075*I$2067</f>
        <v>0</v>
      </c>
      <c r="J2076" s="2" t="n">
        <f aca="false">I2076*(1-J$2067)+I2075*J$2067</f>
        <v>1.83407703636209E-007</v>
      </c>
      <c r="K2076" s="2" t="n">
        <f aca="false">J2076*(1-K$2067)+J2075*K$2067</f>
        <v>5.39988234852546E-006</v>
      </c>
      <c r="L2076" s="2" t="n">
        <f aca="false">K2076*(1-L$2067)+K2075*L$2067</f>
        <v>4.06152546655293E-005</v>
      </c>
      <c r="M2076" s="2" t="n">
        <f aca="false">L2076*(1-M$2067)+L2075*M$2067</f>
        <v>0.000540672994795723</v>
      </c>
      <c r="N2076" s="2" t="n">
        <f aca="false">M2076*(1-N$2067)+M2075*N$2067</f>
        <v>0.00215876816993105</v>
      </c>
      <c r="O2076" s="2" t="n">
        <f aca="false">N2076*(1-O$2067)+N2075*O$2067</f>
        <v>0.00215876816993105</v>
      </c>
    </row>
    <row r="2077" customFormat="false" ht="15" hidden="false" customHeight="false" outlineLevel="0" collapsed="false">
      <c r="B2077" s="2" t="n">
        <v>9</v>
      </c>
      <c r="C2077" s="2" t="n">
        <f aca="false">0</f>
        <v>0</v>
      </c>
      <c r="D2077" s="2" t="n">
        <f aca="false">C2077*(1-D$2067)+C2076*D$2067</f>
        <v>0</v>
      </c>
      <c r="E2077" s="2" t="n">
        <f aca="false">D2077*(1-E$2067)+D2076*E$2067</f>
        <v>0</v>
      </c>
      <c r="F2077" s="2" t="n">
        <f aca="false">E2077*(1-F$2067)+E2076*F$2067</f>
        <v>0</v>
      </c>
      <c r="G2077" s="2" t="n">
        <f aca="false">F2077*(1-G$2067)+F2076*G$2067</f>
        <v>0</v>
      </c>
      <c r="H2077" s="2" t="n">
        <f aca="false">G2077*(1-H$2067)+G2076*H$2067</f>
        <v>0</v>
      </c>
      <c r="I2077" s="2" t="n">
        <f aca="false">H2077*(1-I$2067)+H2076*I$2067</f>
        <v>0</v>
      </c>
      <c r="J2077" s="2" t="n">
        <f aca="false">I2077*(1-J$2067)+I2076*J$2067</f>
        <v>0</v>
      </c>
      <c r="K2077" s="2" t="n">
        <f aca="false">J2077*(1-K$2067)+J2076*K$2067</f>
        <v>5.41898496528212E-008</v>
      </c>
      <c r="L2077" s="2" t="n">
        <f aca="false">K2077*(1-L$2067)+K2076*L$2067</f>
        <v>1.03811868106055E-006</v>
      </c>
      <c r="M2077" s="2" t="n">
        <f aca="false">L2077*(1-M$2067)+L2076*M$2067</f>
        <v>2.79654453654732E-005</v>
      </c>
      <c r="N2077" s="2" t="n">
        <f aca="false">M2077*(1-N$2067)+M2076*N$2067</f>
        <v>0.000189555183410858</v>
      </c>
      <c r="O2077" s="2" t="n">
        <f aca="false">N2077*(1-O$2067)+N2076*O$2067</f>
        <v>0.000189555183410858</v>
      </c>
    </row>
    <row r="2078" customFormat="false" ht="15" hidden="false" customHeight="false" outlineLevel="0" collapsed="false">
      <c r="B2078" s="2" t="n">
        <v>10</v>
      </c>
      <c r="C2078" s="2" t="n">
        <f aca="false">0</f>
        <v>0</v>
      </c>
      <c r="D2078" s="2" t="n">
        <f aca="false">C2078*(1-D$2067)+C2077*D$2067</f>
        <v>0</v>
      </c>
      <c r="E2078" s="2" t="n">
        <f aca="false">D2078*(1-E$2067)+D2077*E$2067</f>
        <v>0</v>
      </c>
      <c r="F2078" s="2" t="n">
        <f aca="false">E2078*(1-F$2067)+E2077*F$2067</f>
        <v>0</v>
      </c>
      <c r="G2078" s="2" t="n">
        <f aca="false">F2078*(1-G$2067)+F2077*G$2067</f>
        <v>0</v>
      </c>
      <c r="H2078" s="2" t="n">
        <f aca="false">G2078*(1-H$2067)+G2077*H$2067</f>
        <v>0</v>
      </c>
      <c r="I2078" s="2" t="n">
        <f aca="false">H2078*(1-I$2067)+H2077*I$2067</f>
        <v>0</v>
      </c>
      <c r="J2078" s="2" t="n">
        <f aca="false">I2078*(1-J$2067)+I2077*J$2067</f>
        <v>0</v>
      </c>
      <c r="K2078" s="2" t="n">
        <f aca="false">J2078*(1-K$2067)+J2077*K$2067</f>
        <v>0</v>
      </c>
      <c r="L2078" s="2" t="n">
        <f aca="false">K2078*(1-L$2067)+K2077*L$2067</f>
        <v>9.97419051962033E-009</v>
      </c>
      <c r="M2078" s="2" t="n">
        <f aca="false">L2078*(1-M$2067)+L2077*M$2067</f>
        <v>7.09498850071517E-007</v>
      </c>
      <c r="N2078" s="2" t="n">
        <f aca="false">M2078*(1-N$2067)+M2077*N$2067</f>
        <v>9.29973954868625E-006</v>
      </c>
      <c r="O2078" s="2" t="n">
        <f aca="false">N2078*(1-O$2067)+N2077*O$2067</f>
        <v>9.29973954868625E-006</v>
      </c>
    </row>
    <row r="2079" customFormat="false" ht="15" hidden="false" customHeight="false" outlineLevel="0" collapsed="false">
      <c r="B2079" s="2" t="n">
        <v>11</v>
      </c>
      <c r="C2079" s="2" t="n">
        <f aca="false">0</f>
        <v>0</v>
      </c>
      <c r="D2079" s="2" t="n">
        <f aca="false">C2079*(1-D$2067)+C2078*D$2067</f>
        <v>0</v>
      </c>
      <c r="E2079" s="2" t="n">
        <f aca="false">D2079*(1-E$2067)+D2078*E$2067</f>
        <v>0</v>
      </c>
      <c r="F2079" s="2" t="n">
        <f aca="false">E2079*(1-F$2067)+E2078*F$2067</f>
        <v>0</v>
      </c>
      <c r="G2079" s="2" t="n">
        <f aca="false">F2079*(1-G$2067)+F2078*G$2067</f>
        <v>0</v>
      </c>
      <c r="H2079" s="2" t="n">
        <f aca="false">G2079*(1-H$2067)+G2078*H$2067</f>
        <v>0</v>
      </c>
      <c r="I2079" s="2" t="n">
        <f aca="false">H2079*(1-I$2067)+H2078*I$2067</f>
        <v>0</v>
      </c>
      <c r="J2079" s="2" t="n">
        <f aca="false">I2079*(1-J$2067)+I2078*J$2067</f>
        <v>0</v>
      </c>
      <c r="K2079" s="2" t="n">
        <f aca="false">J2079*(1-K$2067)+J2078*K$2067</f>
        <v>0</v>
      </c>
      <c r="L2079" s="2" t="n">
        <f aca="false">K2079*(1-L$2067)+K2078*L$2067</f>
        <v>0</v>
      </c>
      <c r="M2079" s="2" t="n">
        <f aca="false">L2079*(1-M$2067)+L2078*M$2067</f>
        <v>6.78619813823279E-009</v>
      </c>
      <c r="N2079" s="2" t="n">
        <f aca="false">M2079*(1-N$2067)+M2078*N$2067</f>
        <v>2.28259733047678E-007</v>
      </c>
      <c r="O2079" s="2" t="n">
        <f aca="false">N2079*(1-O$2067)+N2078*O$2067</f>
        <v>2.28259733047678E-007</v>
      </c>
    </row>
    <row r="2080" customFormat="false" ht="15" hidden="false" customHeight="false" outlineLevel="0" collapsed="false">
      <c r="B2080" s="2" t="n">
        <v>12</v>
      </c>
      <c r="C2080" s="2" t="n">
        <f aca="false">0</f>
        <v>0</v>
      </c>
      <c r="D2080" s="2" t="n">
        <f aca="false">C2080*(1-D$2067)+C2079*D$2067</f>
        <v>0</v>
      </c>
      <c r="E2080" s="2" t="n">
        <f aca="false">D2080*(1-E$2067)+D2079*E$2067</f>
        <v>0</v>
      </c>
      <c r="F2080" s="2" t="n">
        <f aca="false">E2080*(1-F$2067)+E2079*F$2067</f>
        <v>0</v>
      </c>
      <c r="G2080" s="2" t="n">
        <f aca="false">F2080*(1-G$2067)+F2079*G$2067</f>
        <v>0</v>
      </c>
      <c r="H2080" s="2" t="n">
        <f aca="false">G2080*(1-H$2067)+G2079*H$2067</f>
        <v>0</v>
      </c>
      <c r="I2080" s="2" t="n">
        <f aca="false">H2080*(1-I$2067)+H2079*I$2067</f>
        <v>0</v>
      </c>
      <c r="J2080" s="2" t="n">
        <f aca="false">I2080*(1-J$2067)+I2079*J$2067</f>
        <v>0</v>
      </c>
      <c r="K2080" s="2" t="n">
        <f aca="false">J2080*(1-K$2067)+J2079*K$2067</f>
        <v>0</v>
      </c>
      <c r="L2080" s="2" t="n">
        <f aca="false">K2080*(1-L$2067)+K2079*L$2067</f>
        <v>0</v>
      </c>
      <c r="M2080" s="2" t="n">
        <f aca="false">L2080*(1-M$2067)+L2079*M$2067</f>
        <v>0</v>
      </c>
      <c r="N2080" s="2" t="n">
        <f aca="false">M2080*(1-N$2067)+M2079*N$2067</f>
        <v>2.1388020923423E-009</v>
      </c>
      <c r="O2080" s="2" t="n">
        <f aca="false">N2080*(1-O$2067)+N2079*O$2067</f>
        <v>2.1388020923423E-009</v>
      </c>
    </row>
    <row r="2081" customFormat="false" ht="15" hidden="false" customHeight="false" outlineLevel="0" collapsed="false">
      <c r="B2081" s="2" t="n">
        <v>13</v>
      </c>
      <c r="C2081" s="2" t="n">
        <f aca="false">0</f>
        <v>0</v>
      </c>
      <c r="D2081" s="2" t="n">
        <f aca="false">C2081*(1-D$2067)+C2080*D$2067</f>
        <v>0</v>
      </c>
      <c r="E2081" s="2" t="n">
        <f aca="false">D2081*(1-E$2067)+D2080*E$2067</f>
        <v>0</v>
      </c>
      <c r="F2081" s="2" t="n">
        <f aca="false">E2081*(1-F$2067)+E2080*F$2067</f>
        <v>0</v>
      </c>
      <c r="G2081" s="2" t="n">
        <f aca="false">F2081*(1-G$2067)+F2080*G$2067</f>
        <v>0</v>
      </c>
      <c r="H2081" s="2" t="n">
        <f aca="false">G2081*(1-H$2067)+G2080*H$2067</f>
        <v>0</v>
      </c>
      <c r="I2081" s="2" t="n">
        <f aca="false">H2081*(1-I$2067)+H2080*I$2067</f>
        <v>0</v>
      </c>
      <c r="J2081" s="2" t="n">
        <f aca="false">I2081*(1-J$2067)+I2080*J$2067</f>
        <v>0</v>
      </c>
      <c r="K2081" s="2" t="n">
        <f aca="false">J2081*(1-K$2067)+J2080*K$2067</f>
        <v>0</v>
      </c>
      <c r="L2081" s="2" t="n">
        <f aca="false">K2081*(1-L$2067)+K2080*L$2067</f>
        <v>0</v>
      </c>
      <c r="M2081" s="2" t="n">
        <f aca="false">L2081*(1-M$2067)+L2080*M$2067</f>
        <v>0</v>
      </c>
      <c r="N2081" s="2" t="n">
        <f aca="false">M2081*(1-N$2067)+M2080*N$2067</f>
        <v>0</v>
      </c>
      <c r="O2081" s="2" t="n">
        <f aca="false">N2081*(1-O$2067)+N2080*O$2067</f>
        <v>0</v>
      </c>
    </row>
    <row r="2083" customFormat="false" ht="15" hidden="false" customHeight="false" outlineLevel="0" collapsed="false">
      <c r="A2083" s="1" t="s">
        <v>188</v>
      </c>
      <c r="C2083" s="2" t="n">
        <f aca="false">Schedule!G132</f>
        <v>0.270103499001235</v>
      </c>
      <c r="D2083" s="2" t="n">
        <f aca="false">Schedule!L132</f>
        <v>0.906373647510212</v>
      </c>
      <c r="E2083" s="2" t="n">
        <f aca="false">Schedule!Q132</f>
        <v>0.0628538088582518</v>
      </c>
      <c r="F2083" s="2" t="n">
        <f aca="false">Schedule!V132</f>
        <v>0.116287887754489</v>
      </c>
      <c r="G2083" s="2" t="n">
        <f aca="false">Schedule!AA132</f>
        <v>0.773372647623132</v>
      </c>
      <c r="H2083" s="2" t="n">
        <f aca="false">Schedule!AF132</f>
        <v>0.247856657564262</v>
      </c>
      <c r="I2083" s="2" t="n">
        <f aca="false">Schedule!AK132</f>
        <v>0.284762905379547</v>
      </c>
      <c r="J2083" s="2" t="n">
        <f aca="false">Schedule!AP132</f>
        <v>0.480061194161628</v>
      </c>
      <c r="K2083" s="2" t="n">
        <f aca="false">Schedule!AU132</f>
        <v>0.537346124555327</v>
      </c>
      <c r="L2083" s="2" t="n">
        <f aca="false">Schedule!AZ132</f>
        <v>0.230409171603573</v>
      </c>
      <c r="M2083" s="2" t="n">
        <f aca="false">Schedule!BE132</f>
        <v>0.249837882471777</v>
      </c>
      <c r="N2083" s="2" t="n">
        <f aca="false">Schedule!BJ132</f>
        <v>0.0726617610201275</v>
      </c>
      <c r="O2083" s="2" t="n">
        <f aca="false">Schedule!BO132</f>
        <v>0</v>
      </c>
    </row>
    <row r="2084" customFormat="false" ht="15" hidden="false" customHeight="false" outlineLevel="0" collapsed="false">
      <c r="B2084" s="2" t="n">
        <v>0</v>
      </c>
      <c r="C2084" s="2" t="n">
        <f aca="false">1-C$2083</f>
        <v>0.729896500998765</v>
      </c>
      <c r="D2084" s="2" t="n">
        <f aca="false">C2084*(1-D$2083)</f>
        <v>0.0683375470835733</v>
      </c>
      <c r="E2084" s="2" t="n">
        <f aca="false">D2084*(1-E$2083)</f>
        <v>0.0640422719613406</v>
      </c>
      <c r="F2084" s="2" t="n">
        <f aca="false">E2084*(1-F$2083)</f>
        <v>0.0565949314279578</v>
      </c>
      <c r="G2084" s="2" t="n">
        <f aca="false">F2084*(1-G$2083)</f>
        <v>0.0128259594674685</v>
      </c>
      <c r="H2084" s="2" t="n">
        <f aca="false">G2084*(1-H$2083)</f>
        <v>0.00964696002380704</v>
      </c>
      <c r="I2084" s="2" t="n">
        <f aca="false">H2084*(1-I$2083)</f>
        <v>0.0068998636593474</v>
      </c>
      <c r="J2084" s="2" t="n">
        <f aca="false">I2084*(1-J$2083)</f>
        <v>0.00358750687148867</v>
      </c>
      <c r="K2084" s="2" t="n">
        <f aca="false">J2084*(1-K$2083)</f>
        <v>0.00165977395727863</v>
      </c>
      <c r="L2084" s="2" t="n">
        <f aca="false">K2084*(1-L$2083)</f>
        <v>0.00127734681473288</v>
      </c>
      <c r="M2084" s="2" t="n">
        <f aca="false">L2084*(1-M$2083)</f>
        <v>0.000958217191357944</v>
      </c>
      <c r="N2084" s="2" t="n">
        <f aca="false">M2084*(1-N$2083)</f>
        <v>0.000888591442794116</v>
      </c>
      <c r="O2084" s="2" t="n">
        <f aca="false">N2084*(1-O$2083)</f>
        <v>0.000888591442794116</v>
      </c>
    </row>
    <row r="2085" customFormat="false" ht="15" hidden="false" customHeight="false" outlineLevel="0" collapsed="false">
      <c r="B2085" s="2" t="n">
        <v>1</v>
      </c>
      <c r="C2085" s="2" t="n">
        <f aca="false">C$2083</f>
        <v>0.270103499001235</v>
      </c>
      <c r="D2085" s="2" t="n">
        <f aca="false">C2085*(1-D$2083)+C2084*D$2083</f>
        <v>0.686847759321406</v>
      </c>
      <c r="E2085" s="2" t="n">
        <f aca="false">D2085*(1-E$2083)+D2084*E$2083</f>
        <v>0.647972036664533</v>
      </c>
      <c r="F2085" s="2" t="n">
        <f aca="false">E2085*(1-F$2083)+E2084*F$2083</f>
        <v>0.580068077730223</v>
      </c>
      <c r="G2085" s="2" t="n">
        <f aca="false">F2085*(1-G$2083)+F2084*G$2083</f>
        <v>0.175228264614829</v>
      </c>
      <c r="H2085" s="2" t="n">
        <f aca="false">G2085*(1-H$2083)+G2084*H$2083</f>
        <v>0.134975772080273</v>
      </c>
      <c r="I2085" s="2" t="n">
        <f aca="false">H2085*(1-I$2083)+H2084*I$2083</f>
        <v>0.0992867754313065</v>
      </c>
      <c r="J2085" s="2" t="n">
        <f aca="false">I2085*(1-J$2083)+I2084*J$2083</f>
        <v>0.0549354042411549</v>
      </c>
      <c r="K2085" s="2" t="n">
        <f aca="false">J2085*(1-K$2083)+J2084*K$2083</f>
        <v>0.0273438105855001</v>
      </c>
      <c r="L2085" s="2" t="n">
        <f aca="false">K2085*(1-L$2083)+K2084*L$2083</f>
        <v>0.0214259729825557</v>
      </c>
      <c r="M2085" s="2" t="n">
        <f aca="false">L2085*(1-M$2083)+L2084*M$2083</f>
        <v>0.0163920828860714</v>
      </c>
      <c r="N2085" s="2" t="n">
        <f aca="false">M2085*(1-N$2083)+M2084*N$2083</f>
        <v>0.0152706310253454</v>
      </c>
      <c r="O2085" s="2" t="n">
        <f aca="false">N2085*(1-O$2083)+N2084*O$2083</f>
        <v>0.0152706310253454</v>
      </c>
    </row>
    <row r="2086" customFormat="false" ht="15" hidden="false" customHeight="false" outlineLevel="0" collapsed="false">
      <c r="B2086" s="2" t="n">
        <v>2</v>
      </c>
      <c r="C2086" s="2" t="n">
        <f aca="false">0</f>
        <v>0</v>
      </c>
      <c r="D2086" s="2" t="n">
        <f aca="false">C2086*(1-D$2083)+C2085*D$2083</f>
        <v>0.244814693595021</v>
      </c>
      <c r="E2086" s="2" t="n">
        <f aca="false">D2086*(1-E$2083)+D2085*E$2083</f>
        <v>0.272598155417214</v>
      </c>
      <c r="F2086" s="2" t="n">
        <f aca="false">E2086*(1-F$2083)+E2085*F$2083</f>
        <v>0.316249591185669</v>
      </c>
      <c r="G2086" s="2" t="n">
        <f aca="false">F2086*(1-G$2083)+F2085*G$2083</f>
        <v>0.520279592616558</v>
      </c>
      <c r="H2086" s="2" t="n">
        <f aca="false">G2086*(1-H$2083)+G2085*H$2083</f>
        <v>0.43475632376994</v>
      </c>
      <c r="I2086" s="2" t="n">
        <f aca="false">H2086*(1-I$2083)+H2085*I$2083</f>
        <v>0.349389942894507</v>
      </c>
      <c r="J2086" s="2" t="n">
        <f aca="false">I2086*(1-J$2083)+I2085*J$2083</f>
        <v>0.229325117658517</v>
      </c>
      <c r="K2086" s="2" t="n">
        <f aca="false">J2086*(1-K$2083)+J2085*K$2083</f>
        <v>0.135617480991384</v>
      </c>
      <c r="L2086" s="2" t="n">
        <f aca="false">K2086*(1-L$2083)+K2085*L$2083</f>
        <v>0.110670234286686</v>
      </c>
      <c r="M2086" s="2" t="n">
        <f aca="false">L2086*(1-M$2083)+L2085*M$2083</f>
        <v>0.0883736370197038</v>
      </c>
      <c r="N2086" s="2" t="n">
        <f aca="false">M2086*(1-N$2083)+M2085*N$2083</f>
        <v>0.0831433305353885</v>
      </c>
      <c r="O2086" s="2" t="n">
        <f aca="false">N2086*(1-O$2083)+N2085*O$2083</f>
        <v>0.0831433305353885</v>
      </c>
    </row>
    <row r="2087" customFormat="false" ht="15" hidden="false" customHeight="false" outlineLevel="0" collapsed="false">
      <c r="B2087" s="2" t="n">
        <v>3</v>
      </c>
      <c r="C2087" s="2" t="n">
        <f aca="false">0</f>
        <v>0</v>
      </c>
      <c r="D2087" s="2" t="n">
        <f aca="false">C2087*(1-D$2083)+C2086*D$2083</f>
        <v>0</v>
      </c>
      <c r="E2087" s="2" t="n">
        <f aca="false">D2087*(1-E$2083)+D2086*E$2083</f>
        <v>0.0153875359569129</v>
      </c>
      <c r="F2087" s="2" t="n">
        <f aca="false">E2087*(1-F$2083)+E2086*F$2083</f>
        <v>0.0452980156019749</v>
      </c>
      <c r="G2087" s="2" t="n">
        <f aca="false">F2087*(1-G$2083)+F2086*G$2083</f>
        <v>0.254844552988795</v>
      </c>
      <c r="H2087" s="2" t="n">
        <f aca="false">G2087*(1-H$2083)+G2086*H$2083</f>
        <v>0.32063439471137</v>
      </c>
      <c r="I2087" s="2" t="n">
        <f aca="false">H2087*(1-I$2083)+H2086*I$2083</f>
        <v>0.353132086797607</v>
      </c>
      <c r="J2087" s="2" t="n">
        <f aca="false">I2087*(1-J$2083)+I2086*J$2083</f>
        <v>0.35133562872676</v>
      </c>
      <c r="K2087" s="2" t="n">
        <f aca="false">J2087*(1-K$2083)+J2086*K$2083</f>
        <v>0.285773753449225</v>
      </c>
      <c r="L2087" s="2" t="n">
        <f aca="false">K2087*(1-L$2083)+K2086*L$2083</f>
        <v>0.251176371101133</v>
      </c>
      <c r="M2087" s="2" t="n">
        <f aca="false">L2087*(1-M$2083)+L2086*M$2083</f>
        <v>0.216072615405122</v>
      </c>
      <c r="N2087" s="2" t="n">
        <f aca="false">M2087*(1-N$2083)+M2086*N$2083</f>
        <v>0.206793782755166</v>
      </c>
      <c r="O2087" s="2" t="n">
        <f aca="false">N2087*(1-O$2083)+N2086*O$2083</f>
        <v>0.206793782755166</v>
      </c>
    </row>
    <row r="2088" customFormat="false" ht="15" hidden="false" customHeight="false" outlineLevel="0" collapsed="false">
      <c r="B2088" s="2" t="n">
        <v>4</v>
      </c>
      <c r="C2088" s="2" t="n">
        <f aca="false">0</f>
        <v>0</v>
      </c>
      <c r="D2088" s="2" t="n">
        <f aca="false">C2088*(1-D$2083)+C2087*D$2083</f>
        <v>0</v>
      </c>
      <c r="E2088" s="2" t="n">
        <f aca="false">D2088*(1-E$2083)+D2087*E$2083</f>
        <v>0</v>
      </c>
      <c r="F2088" s="2" t="n">
        <f aca="false">E2088*(1-F$2083)+E2087*F$2083</f>
        <v>0.00178938405417565</v>
      </c>
      <c r="G2088" s="2" t="n">
        <f aca="false">F2088*(1-G$2083)+F2087*G$2083</f>
        <v>0.0354377696287565</v>
      </c>
      <c r="H2088" s="2" t="n">
        <f aca="false">G2088*(1-H$2083)+G2087*H$2083</f>
        <v>0.0898192015993019</v>
      </c>
      <c r="I2088" s="2" t="n">
        <f aca="false">H2088*(1-I$2083)+H2087*I$2083</f>
        <v>0.155546806595636</v>
      </c>
      <c r="J2088" s="2" t="n">
        <f aca="false">I2088*(1-J$2083)+I2087*J$2083</f>
        <v>0.250399832158154</v>
      </c>
      <c r="K2088" s="2" t="n">
        <f aca="false">J2088*(1-K$2083)+J2087*K$2083</f>
        <v>0.304637291273199</v>
      </c>
      <c r="L2088" s="2" t="n">
        <f aca="false">K2088*(1-L$2083)+K2087*L$2083</f>
        <v>0.300290959149665</v>
      </c>
      <c r="M2088" s="2" t="n">
        <f aca="false">L2088*(1-M$2083)+L2087*M$2083</f>
        <v>0.288020274473146</v>
      </c>
      <c r="N2088" s="2" t="n">
        <f aca="false">M2088*(1-N$2083)+M2087*N$2083</f>
        <v>0.282792430863988</v>
      </c>
      <c r="O2088" s="2" t="n">
        <f aca="false">N2088*(1-O$2083)+N2087*O$2083</f>
        <v>0.282792430863988</v>
      </c>
    </row>
    <row r="2089" customFormat="false" ht="15" hidden="false" customHeight="false" outlineLevel="0" collapsed="false">
      <c r="B2089" s="2" t="n">
        <v>5</v>
      </c>
      <c r="C2089" s="2" t="n">
        <f aca="false">0</f>
        <v>0</v>
      </c>
      <c r="D2089" s="2" t="n">
        <f aca="false">C2089*(1-D$2083)+C2088*D$2083</f>
        <v>0</v>
      </c>
      <c r="E2089" s="2" t="n">
        <f aca="false">D2089*(1-E$2083)+D2088*E$2083</f>
        <v>0</v>
      </c>
      <c r="F2089" s="2" t="n">
        <f aca="false">E2089*(1-F$2083)+E2088*F$2083</f>
        <v>0</v>
      </c>
      <c r="G2089" s="2" t="n">
        <f aca="false">F2089*(1-G$2083)+F2088*G$2083</f>
        <v>0.00138386068359243</v>
      </c>
      <c r="H2089" s="2" t="n">
        <f aca="false">G2089*(1-H$2083)+G2088*H$2083</f>
        <v>0.00982434873173852</v>
      </c>
      <c r="I2089" s="2" t="n">
        <f aca="false">H2089*(1-I$2083)+H2088*I$2083</f>
        <v>0.0326039154497153</v>
      </c>
      <c r="J2089" s="2" t="n">
        <f aca="false">I2089*(1-J$2083)+I2088*J$2083</f>
        <v>0.0916240265869088</v>
      </c>
      <c r="K2089" s="2" t="n">
        <f aca="false">J2089*(1-K$2083)+J2088*K$2083</f>
        <v>0.176941590383767</v>
      </c>
      <c r="L2089" s="2" t="n">
        <f aca="false">K2089*(1-L$2083)+K2088*L$2083</f>
        <v>0.206363851043039</v>
      </c>
      <c r="M2089" s="2" t="n">
        <f aca="false">L2089*(1-M$2083)+L2088*M$2083</f>
        <v>0.229830400839096</v>
      </c>
      <c r="N2089" s="2" t="n">
        <f aca="false">M2089*(1-N$2083)+M2088*N$2083</f>
        <v>0.234058579530885</v>
      </c>
      <c r="O2089" s="2" t="n">
        <f aca="false">N2089*(1-O$2083)+N2088*O$2083</f>
        <v>0.234058579530885</v>
      </c>
    </row>
    <row r="2090" customFormat="false" ht="15" hidden="false" customHeight="false" outlineLevel="0" collapsed="false">
      <c r="B2090" s="2" t="n">
        <v>6</v>
      </c>
      <c r="C2090" s="2" t="n">
        <f aca="false">0</f>
        <v>0</v>
      </c>
      <c r="D2090" s="2" t="n">
        <f aca="false">C2090*(1-D$2083)+C2089*D$2083</f>
        <v>0</v>
      </c>
      <c r="E2090" s="2" t="n">
        <f aca="false">D2090*(1-E$2083)+D2089*E$2083</f>
        <v>0</v>
      </c>
      <c r="F2090" s="2" t="n">
        <f aca="false">E2090*(1-F$2083)+E2089*F$2083</f>
        <v>0</v>
      </c>
      <c r="G2090" s="2" t="n">
        <f aca="false">F2090*(1-G$2083)+F2089*G$2083</f>
        <v>0</v>
      </c>
      <c r="H2090" s="2" t="n">
        <f aca="false">G2090*(1-H$2083)+G2089*H$2083</f>
        <v>0.000342999083569816</v>
      </c>
      <c r="I2090" s="2" t="n">
        <f aca="false">H2090*(1-I$2083)+H2089*I$2083</f>
        <v>0.00304293575630168</v>
      </c>
      <c r="J2090" s="2" t="n">
        <f aca="false">I2090*(1-J$2083)+I2089*J$2083</f>
        <v>0.0172340149685094</v>
      </c>
      <c r="K2090" s="2" t="n">
        <f aca="false">J2090*(1-K$2083)+J2089*K$2083</f>
        <v>0.0572071994172821</v>
      </c>
      <c r="L2090" s="2" t="n">
        <f aca="false">K2090*(1-L$2083)+K2089*L$2083</f>
        <v>0.0847951012523283</v>
      </c>
      <c r="M2090" s="2" t="n">
        <f aca="false">L2090*(1-M$2083)+L2089*M$2083</f>
        <v>0.115167580274781</v>
      </c>
      <c r="N2090" s="2" t="n">
        <f aca="false">M2090*(1-N$2083)+M2089*N$2083</f>
        <v>0.123499182740519</v>
      </c>
      <c r="O2090" s="2" t="n">
        <f aca="false">N2090*(1-O$2083)+N2089*O$2083</f>
        <v>0.123499182740519</v>
      </c>
    </row>
    <row r="2091" customFormat="false" ht="15" hidden="false" customHeight="false" outlineLevel="0" collapsed="false">
      <c r="B2091" s="2" t="n">
        <v>7</v>
      </c>
      <c r="C2091" s="2" t="n">
        <f aca="false">0</f>
        <v>0</v>
      </c>
      <c r="D2091" s="2" t="n">
        <f aca="false">C2091*(1-D$2083)+C2090*D$2083</f>
        <v>0</v>
      </c>
      <c r="E2091" s="2" t="n">
        <f aca="false">D2091*(1-E$2083)+D2090*E$2083</f>
        <v>0</v>
      </c>
      <c r="F2091" s="2" t="n">
        <f aca="false">E2091*(1-F$2083)+E2090*F$2083</f>
        <v>0</v>
      </c>
      <c r="G2091" s="2" t="n">
        <f aca="false">F2091*(1-G$2083)+F2090*G$2083</f>
        <v>0</v>
      </c>
      <c r="H2091" s="2" t="n">
        <f aca="false">G2091*(1-H$2083)+G2090*H$2083</f>
        <v>0</v>
      </c>
      <c r="I2091" s="2" t="n">
        <f aca="false">H2091*(1-I$2083)+H2090*I$2083</f>
        <v>9.76734155798627E-005</v>
      </c>
      <c r="J2091" s="2" t="n">
        <f aca="false">I2091*(1-J$2083)+I2090*J$2083</f>
        <v>0.00151157957198605</v>
      </c>
      <c r="K2091" s="2" t="n">
        <f aca="false">J2091*(1-K$2083)+J2090*K$2083</f>
        <v>0.00995996930087937</v>
      </c>
      <c r="L2091" s="2" t="n">
        <f aca="false">K2091*(1-L$2083)+K2090*L$2083</f>
        <v>0.0208461644525631</v>
      </c>
      <c r="M2091" s="2" t="n">
        <f aca="false">L2091*(1-M$2083)+L2090*M$2083</f>
        <v>0.036823031408938</v>
      </c>
      <c r="N2091" s="2" t="n">
        <f aca="false">M2091*(1-N$2083)+M2090*N$2083</f>
        <v>0.0425156842958575</v>
      </c>
      <c r="O2091" s="2" t="n">
        <f aca="false">N2091*(1-O$2083)+N2090*O$2083</f>
        <v>0.0425156842958575</v>
      </c>
    </row>
    <row r="2092" customFormat="false" ht="15" hidden="false" customHeight="false" outlineLevel="0" collapsed="false">
      <c r="B2092" s="2" t="n">
        <v>8</v>
      </c>
      <c r="C2092" s="2" t="n">
        <f aca="false">0</f>
        <v>0</v>
      </c>
      <c r="D2092" s="2" t="n">
        <f aca="false">C2092*(1-D$2083)+C2091*D$2083</f>
        <v>0</v>
      </c>
      <c r="E2092" s="2" t="n">
        <f aca="false">D2092*(1-E$2083)+D2091*E$2083</f>
        <v>0</v>
      </c>
      <c r="F2092" s="2" t="n">
        <f aca="false">E2092*(1-F$2083)+E2091*F$2083</f>
        <v>0</v>
      </c>
      <c r="G2092" s="2" t="n">
        <f aca="false">F2092*(1-G$2083)+F2091*G$2083</f>
        <v>0</v>
      </c>
      <c r="H2092" s="2" t="n">
        <f aca="false">G2092*(1-H$2083)+G2091*H$2083</f>
        <v>0</v>
      </c>
      <c r="I2092" s="2" t="n">
        <f aca="false">H2092*(1-I$2083)+H2091*I$2083</f>
        <v>0</v>
      </c>
      <c r="J2092" s="2" t="n">
        <f aca="false">I2092*(1-J$2083)+I2091*J$2083</f>
        <v>4.68892165211138E-005</v>
      </c>
      <c r="K2092" s="2" t="n">
        <f aca="false">J2092*(1-K$2083)+J2091*K$2083</f>
        <v>0.000833934902703761</v>
      </c>
      <c r="L2092" s="2" t="n">
        <f aca="false">K2092*(1-L$2083)+K2091*L$2083</f>
        <v>0.00293665692841312</v>
      </c>
      <c r="M2092" s="2" t="n">
        <f aca="false">L2092*(1-M$2083)+L2091*M$2083</f>
        <v>0.00741113036435912</v>
      </c>
      <c r="N2092" s="2" t="n">
        <f aca="false">M2092*(1-N$2083)+M2091*N$2083</f>
        <v>0.00954825088920794</v>
      </c>
      <c r="O2092" s="2" t="n">
        <f aca="false">N2092*(1-O$2083)+N2091*O$2083</f>
        <v>0.00954825088920794</v>
      </c>
    </row>
    <row r="2093" customFormat="false" ht="15" hidden="false" customHeight="false" outlineLevel="0" collapsed="false">
      <c r="B2093" s="2" t="n">
        <v>9</v>
      </c>
      <c r="C2093" s="2" t="n">
        <f aca="false">0</f>
        <v>0</v>
      </c>
      <c r="D2093" s="2" t="n">
        <f aca="false">C2093*(1-D$2083)+C2092*D$2083</f>
        <v>0</v>
      </c>
      <c r="E2093" s="2" t="n">
        <f aca="false">D2093*(1-E$2083)+D2092*E$2083</f>
        <v>0</v>
      </c>
      <c r="F2093" s="2" t="n">
        <f aca="false">E2093*(1-F$2083)+E2092*F$2083</f>
        <v>0</v>
      </c>
      <c r="G2093" s="2" t="n">
        <f aca="false">F2093*(1-G$2083)+F2092*G$2083</f>
        <v>0</v>
      </c>
      <c r="H2093" s="2" t="n">
        <f aca="false">G2093*(1-H$2083)+G2092*H$2083</f>
        <v>0</v>
      </c>
      <c r="I2093" s="2" t="n">
        <f aca="false">H2093*(1-I$2083)+H2092*I$2083</f>
        <v>0</v>
      </c>
      <c r="J2093" s="2" t="n">
        <f aca="false">I2093*(1-J$2083)+I2092*J$2083</f>
        <v>0</v>
      </c>
      <c r="K2093" s="2" t="n">
        <f aca="false">J2093*(1-K$2083)+J2092*K$2083</f>
        <v>2.51957387810561E-005</v>
      </c>
      <c r="L2093" s="2" t="n">
        <f aca="false">K2093*(1-L$2083)+K2092*L$2083</f>
        <v>0.000211536659583853</v>
      </c>
      <c r="M2093" s="2" t="n">
        <f aca="false">L2093*(1-M$2083)+L2092*M$2083</f>
        <v>0.000892374937029077</v>
      </c>
      <c r="N2093" s="2" t="n">
        <f aca="false">M2093*(1-N$2083)+M2092*N$2083</f>
        <v>0.00136603918603839</v>
      </c>
      <c r="O2093" s="2" t="n">
        <f aca="false">N2093*(1-O$2083)+N2092*O$2083</f>
        <v>0.00136603918603839</v>
      </c>
    </row>
    <row r="2094" customFormat="false" ht="15" hidden="false" customHeight="false" outlineLevel="0" collapsed="false">
      <c r="B2094" s="2" t="n">
        <v>10</v>
      </c>
      <c r="C2094" s="2" t="n">
        <f aca="false">0</f>
        <v>0</v>
      </c>
      <c r="D2094" s="2" t="n">
        <f aca="false">C2094*(1-D$2083)+C2093*D$2083</f>
        <v>0</v>
      </c>
      <c r="E2094" s="2" t="n">
        <f aca="false">D2094*(1-E$2083)+D2093*E$2083</f>
        <v>0</v>
      </c>
      <c r="F2094" s="2" t="n">
        <f aca="false">E2094*(1-F$2083)+E2093*F$2083</f>
        <v>0</v>
      </c>
      <c r="G2094" s="2" t="n">
        <f aca="false">F2094*(1-G$2083)+F2093*G$2083</f>
        <v>0</v>
      </c>
      <c r="H2094" s="2" t="n">
        <f aca="false">G2094*(1-H$2083)+G2093*H$2083</f>
        <v>0</v>
      </c>
      <c r="I2094" s="2" t="n">
        <f aca="false">H2094*(1-I$2083)+H2093*I$2083</f>
        <v>0</v>
      </c>
      <c r="J2094" s="2" t="n">
        <f aca="false">I2094*(1-J$2083)+I2093*J$2083</f>
        <v>0</v>
      </c>
      <c r="K2094" s="2" t="n">
        <f aca="false">J2094*(1-K$2083)+J2093*K$2083</f>
        <v>0</v>
      </c>
      <c r="L2094" s="2" t="n">
        <f aca="false">K2094*(1-L$2083)+K2093*L$2083</f>
        <v>5.80532930048317E-006</v>
      </c>
      <c r="M2094" s="2" t="n">
        <f aca="false">L2094*(1-M$2083)+L2093*M$2083</f>
        <v>5.72048092165821E-005</v>
      </c>
      <c r="N2094" s="2" t="n">
        <f aca="false">M2094*(1-N$2083)+M2093*N$2083</f>
        <v>0.000117889741454843</v>
      </c>
      <c r="O2094" s="2" t="n">
        <f aca="false">N2094*(1-O$2083)+N2093*O$2083</f>
        <v>0.000117889741454843</v>
      </c>
    </row>
    <row r="2095" customFormat="false" ht="15" hidden="false" customHeight="false" outlineLevel="0" collapsed="false">
      <c r="B2095" s="2" t="n">
        <v>11</v>
      </c>
      <c r="C2095" s="2" t="n">
        <f aca="false">0</f>
        <v>0</v>
      </c>
      <c r="D2095" s="2" t="n">
        <f aca="false">C2095*(1-D$2083)+C2094*D$2083</f>
        <v>0</v>
      </c>
      <c r="E2095" s="2" t="n">
        <f aca="false">D2095*(1-E$2083)+D2094*E$2083</f>
        <v>0</v>
      </c>
      <c r="F2095" s="2" t="n">
        <f aca="false">E2095*(1-F$2083)+E2094*F$2083</f>
        <v>0</v>
      </c>
      <c r="G2095" s="2" t="n">
        <f aca="false">F2095*(1-G$2083)+F2094*G$2083</f>
        <v>0</v>
      </c>
      <c r="H2095" s="2" t="n">
        <f aca="false">G2095*(1-H$2083)+G2094*H$2083</f>
        <v>0</v>
      </c>
      <c r="I2095" s="2" t="n">
        <f aca="false">H2095*(1-I$2083)+H2094*I$2083</f>
        <v>0</v>
      </c>
      <c r="J2095" s="2" t="n">
        <f aca="false">I2095*(1-J$2083)+I2094*J$2083</f>
        <v>0</v>
      </c>
      <c r="K2095" s="2" t="n">
        <f aca="false">J2095*(1-K$2083)+J2094*K$2083</f>
        <v>0</v>
      </c>
      <c r="L2095" s="2" t="n">
        <f aca="false">K2095*(1-L$2083)+K2094*L$2083</f>
        <v>0</v>
      </c>
      <c r="M2095" s="2" t="n">
        <f aca="false">L2095*(1-M$2083)+L2094*M$2083</f>
        <v>1.45039117948408E-006</v>
      </c>
      <c r="N2095" s="2" t="n">
        <f aca="false">M2095*(1-N$2083)+M2094*N$2083</f>
        <v>5.50160537871198E-006</v>
      </c>
      <c r="O2095" s="2" t="n">
        <f aca="false">N2095*(1-O$2083)+N2094*O$2083</f>
        <v>5.50160537871198E-006</v>
      </c>
    </row>
    <row r="2096" customFormat="false" ht="15" hidden="false" customHeight="false" outlineLevel="0" collapsed="false">
      <c r="B2096" s="2" t="n">
        <v>12</v>
      </c>
      <c r="C2096" s="2" t="n">
        <f aca="false">0</f>
        <v>0</v>
      </c>
      <c r="D2096" s="2" t="n">
        <f aca="false">C2096*(1-D$2083)+C2095*D$2083</f>
        <v>0</v>
      </c>
      <c r="E2096" s="2" t="n">
        <f aca="false">D2096*(1-E$2083)+D2095*E$2083</f>
        <v>0</v>
      </c>
      <c r="F2096" s="2" t="n">
        <f aca="false">E2096*(1-F$2083)+E2095*F$2083</f>
        <v>0</v>
      </c>
      <c r="G2096" s="2" t="n">
        <f aca="false">F2096*(1-G$2083)+F2095*G$2083</f>
        <v>0</v>
      </c>
      <c r="H2096" s="2" t="n">
        <f aca="false">G2096*(1-H$2083)+G2095*H$2083</f>
        <v>0</v>
      </c>
      <c r="I2096" s="2" t="n">
        <f aca="false">H2096*(1-I$2083)+H2095*I$2083</f>
        <v>0</v>
      </c>
      <c r="J2096" s="2" t="n">
        <f aca="false">I2096*(1-J$2083)+I2095*J$2083</f>
        <v>0</v>
      </c>
      <c r="K2096" s="2" t="n">
        <f aca="false">J2096*(1-K$2083)+J2095*K$2083</f>
        <v>0</v>
      </c>
      <c r="L2096" s="2" t="n">
        <f aca="false">K2096*(1-L$2083)+K2095*L$2083</f>
        <v>0</v>
      </c>
      <c r="M2096" s="2" t="n">
        <f aca="false">L2096*(1-M$2083)+L2095*M$2083</f>
        <v>0</v>
      </c>
      <c r="N2096" s="2" t="n">
        <f aca="false">M2096*(1-N$2083)+M2095*N$2083</f>
        <v>1.05387977269373E-007</v>
      </c>
      <c r="O2096" s="2" t="n">
        <f aca="false">N2096*(1-O$2083)+N2095*O$2083</f>
        <v>1.05387977269373E-007</v>
      </c>
    </row>
    <row r="2097" customFormat="false" ht="15" hidden="false" customHeight="false" outlineLevel="0" collapsed="false">
      <c r="B2097" s="2" t="n">
        <v>13</v>
      </c>
      <c r="C2097" s="2" t="n">
        <f aca="false">0</f>
        <v>0</v>
      </c>
      <c r="D2097" s="2" t="n">
        <f aca="false">C2097*(1-D$2083)+C2096*D$2083</f>
        <v>0</v>
      </c>
      <c r="E2097" s="2" t="n">
        <f aca="false">D2097*(1-E$2083)+D2096*E$2083</f>
        <v>0</v>
      </c>
      <c r="F2097" s="2" t="n">
        <f aca="false">E2097*(1-F$2083)+E2096*F$2083</f>
        <v>0</v>
      </c>
      <c r="G2097" s="2" t="n">
        <f aca="false">F2097*(1-G$2083)+F2096*G$2083</f>
        <v>0</v>
      </c>
      <c r="H2097" s="2" t="n">
        <f aca="false">G2097*(1-H$2083)+G2096*H$2083</f>
        <v>0</v>
      </c>
      <c r="I2097" s="2" t="n">
        <f aca="false">H2097*(1-I$2083)+H2096*I$2083</f>
        <v>0</v>
      </c>
      <c r="J2097" s="2" t="n">
        <f aca="false">I2097*(1-J$2083)+I2096*J$2083</f>
        <v>0</v>
      </c>
      <c r="K2097" s="2" t="n">
        <f aca="false">J2097*(1-K$2083)+J2096*K$2083</f>
        <v>0</v>
      </c>
      <c r="L2097" s="2" t="n">
        <f aca="false">K2097*(1-L$2083)+K2096*L$2083</f>
        <v>0</v>
      </c>
      <c r="M2097" s="2" t="n">
        <f aca="false">L2097*(1-M$2083)+L2096*M$2083</f>
        <v>0</v>
      </c>
      <c r="N2097" s="2" t="n">
        <f aca="false">M2097*(1-N$2083)+M2096*N$2083</f>
        <v>0</v>
      </c>
      <c r="O2097" s="2" t="n">
        <f aca="false">N2097*(1-O$2083)+N2096*O$2083</f>
        <v>0</v>
      </c>
    </row>
    <row r="2099" customFormat="false" ht="15" hidden="false" customHeight="false" outlineLevel="0" collapsed="false">
      <c r="A2099" s="1" t="s">
        <v>189</v>
      </c>
      <c r="C2099" s="2" t="n">
        <f aca="false">Schedule!G133</f>
        <v>0.700208404531304</v>
      </c>
      <c r="D2099" s="2" t="n">
        <f aca="false">Schedule!L133</f>
        <v>0.00353265686194161</v>
      </c>
      <c r="E2099" s="2" t="n">
        <f aca="false">Schedule!Q133</f>
        <v>0.192491943341433</v>
      </c>
      <c r="F2099" s="2" t="n">
        <f aca="false">Schedule!V133</f>
        <v>0.245883850380261</v>
      </c>
      <c r="G2099" s="2" t="n">
        <f aca="false">Schedule!AA133</f>
        <v>0.085538717539995</v>
      </c>
      <c r="H2099" s="2" t="n">
        <f aca="false">Schedule!AF133</f>
        <v>0.174250711880542</v>
      </c>
      <c r="I2099" s="2" t="n">
        <f aca="false">Schedule!AK133</f>
        <v>0.137032319304912</v>
      </c>
      <c r="J2099" s="2" t="n">
        <f aca="false">Schedule!AP133</f>
        <v>0.139792961067114</v>
      </c>
      <c r="K2099" s="2" t="n">
        <f aca="false">Schedule!AU133</f>
        <v>0.284762905379547</v>
      </c>
      <c r="L2099" s="2" t="n">
        <f aca="false">Schedule!AZ133</f>
        <v>0.113860555114032</v>
      </c>
      <c r="M2099" s="2" t="n">
        <f aca="false">Schedule!BE133</f>
        <v>0.100052934477426</v>
      </c>
      <c r="N2099" s="2" t="n">
        <f aca="false">Schedule!BJ133</f>
        <v>0.0770786005520719</v>
      </c>
      <c r="O2099" s="2" t="n">
        <f aca="false">Schedule!BO133</f>
        <v>0</v>
      </c>
    </row>
    <row r="2100" customFormat="false" ht="15" hidden="false" customHeight="false" outlineLevel="0" collapsed="false">
      <c r="B2100" s="2" t="n">
        <v>0</v>
      </c>
      <c r="C2100" s="2" t="n">
        <f aca="false">1-C$2099</f>
        <v>0.299791595468696</v>
      </c>
      <c r="D2100" s="2" t="n">
        <f aca="false">C2100*(1-D$2099)</f>
        <v>0.298732534631811</v>
      </c>
      <c r="E2100" s="2" t="n">
        <f aca="false">D2100*(1-E$2099)</f>
        <v>0.241228928501222</v>
      </c>
      <c r="F2100" s="2" t="n">
        <f aca="false">E2100*(1-F$2099)</f>
        <v>0.181914630738236</v>
      </c>
      <c r="G2100" s="2" t="n">
        <f aca="false">F2100*(1-G$2099)</f>
        <v>0.166353886523126</v>
      </c>
      <c r="H2100" s="2" t="n">
        <f aca="false">G2100*(1-H$2099)</f>
        <v>0.137366603372376</v>
      </c>
      <c r="I2100" s="2" t="n">
        <f aca="false">H2100*(1-I$2099)</f>
        <v>0.118542939117222</v>
      </c>
      <c r="J2100" s="2" t="n">
        <f aca="false">I2100*(1-J$2099)</f>
        <v>0.101971470644427</v>
      </c>
      <c r="K2100" s="2" t="n">
        <f aca="false">J2100*(1-K$2099)</f>
        <v>0.0729337783978946</v>
      </c>
      <c r="L2100" s="2" t="n">
        <f aca="false">K2100*(1-L$2099)</f>
        <v>0.0646294979029465</v>
      </c>
      <c r="M2100" s="2" t="n">
        <f aca="false">L2100*(1-M$2099)</f>
        <v>0.0581631269839541</v>
      </c>
      <c r="N2100" s="2" t="n">
        <f aca="false">M2100*(1-N$2099)</f>
        <v>0.0536799945522985</v>
      </c>
      <c r="O2100" s="2" t="n">
        <f aca="false">N2100*(1-O$2099)</f>
        <v>0.0536799945522985</v>
      </c>
    </row>
    <row r="2101" customFormat="false" ht="15" hidden="false" customHeight="false" outlineLevel="0" collapsed="false">
      <c r="B2101" s="2" t="n">
        <v>1</v>
      </c>
      <c r="C2101" s="2" t="n">
        <f aca="false">C$2099</f>
        <v>0.700208404531304</v>
      </c>
      <c r="D2101" s="2" t="n">
        <f aca="false">C2101*(1-D$2099)+C2100*D$2099</f>
        <v>0.698793869343132</v>
      </c>
      <c r="E2101" s="2" t="n">
        <f aca="false">D2101*(1-E$2099)+D2100*E$2099</f>
        <v>0.621785285568783</v>
      </c>
      <c r="F2101" s="2" t="n">
        <f aca="false">E2101*(1-F$2099)+E2100*F$2099</f>
        <v>0.528212623206325</v>
      </c>
      <c r="G2101" s="2" t="n">
        <f aca="false">F2101*(1-G$2099)+F2100*G$2099</f>
        <v>0.49859073704393</v>
      </c>
      <c r="H2101" s="2" t="n">
        <f aca="false">G2101*(1-H$2099)+G2100*H$2099</f>
        <v>0.440698229327731</v>
      </c>
      <c r="I2101" s="2" t="n">
        <f aca="false">H2101*(1-I$2099)+H2100*I$2099</f>
        <v>0.399131993104539</v>
      </c>
      <c r="J2101" s="2" t="n">
        <f aca="false">I2101*(1-J$2099)+I2100*J$2099</f>
        <v>0.359907618404631</v>
      </c>
      <c r="K2101" s="2" t="n">
        <f aca="false">J2101*(1-K$2099)+J2100*K$2099</f>
        <v>0.286456971566027</v>
      </c>
      <c r="L2101" s="2" t="n">
        <f aca="false">K2101*(1-L$2099)+K2100*L$2099</f>
        <v>0.262145102262183</v>
      </c>
      <c r="M2101" s="2" t="n">
        <f aca="false">L2101*(1-M$2099)+L2100*M$2099</f>
        <v>0.242383086440959</v>
      </c>
      <c r="N2101" s="2" t="n">
        <f aca="false">M2101*(1-N$2099)+M2100*N$2099</f>
        <v>0.228183669772254</v>
      </c>
      <c r="O2101" s="2" t="n">
        <f aca="false">N2101*(1-O$2099)+N2100*O$2099</f>
        <v>0.228183669772254</v>
      </c>
    </row>
    <row r="2102" customFormat="false" ht="15" hidden="false" customHeight="false" outlineLevel="0" collapsed="false">
      <c r="B2102" s="2" t="n">
        <v>2</v>
      </c>
      <c r="C2102" s="2" t="n">
        <f aca="false">0</f>
        <v>0</v>
      </c>
      <c r="D2102" s="2" t="n">
        <f aca="false">C2102*(1-D$2099)+C2101*D$2099</f>
        <v>0.0024735960250567</v>
      </c>
      <c r="E2102" s="2" t="n">
        <f aca="false">D2102*(1-E$2099)+D2101*E$2099</f>
        <v>0.136509638624091</v>
      </c>
      <c r="F2102" s="2" t="n">
        <f aca="false">E2102*(1-F$2099)+E2101*F$2099</f>
        <v>0.255831083190624</v>
      </c>
      <c r="G2102" s="2" t="n">
        <f aca="false">F2102*(1-G$2099)+F2101*G$2099</f>
        <v>0.279130250805136</v>
      </c>
      <c r="H2102" s="2" t="n">
        <f aca="false">G2102*(1-H$2099)+G2101*H$2099</f>
        <v>0.317371396761896</v>
      </c>
      <c r="I2102" s="2" t="n">
        <f aca="false">H2102*(1-I$2099)+H2101*I$2099</f>
        <v>0.334271158660921</v>
      </c>
      <c r="J2102" s="2" t="n">
        <f aca="false">I2102*(1-J$2099)+I2101*J$2099</f>
        <v>0.343338246765078</v>
      </c>
      <c r="K2102" s="2" t="n">
        <f aca="false">J2102*(1-K$2099)+J2101*K$2099</f>
        <v>0.348056589173471</v>
      </c>
      <c r="L2102" s="2" t="n">
        <f aca="false">K2102*(1-L$2099)+K2101*L$2099</f>
        <v>0.341042822517875</v>
      </c>
      <c r="M2102" s="2" t="n">
        <f aca="false">L2102*(1-M$2099)+L2101*M$2099</f>
        <v>0.333148874082714</v>
      </c>
      <c r="N2102" s="2" t="n">
        <f aca="false">M2102*(1-N$2099)+M2101*N$2099</f>
        <v>0.326152774193281</v>
      </c>
      <c r="O2102" s="2" t="n">
        <f aca="false">N2102*(1-O$2099)+N2101*O$2099</f>
        <v>0.326152774193281</v>
      </c>
    </row>
    <row r="2103" customFormat="false" ht="15" hidden="false" customHeight="false" outlineLevel="0" collapsed="false">
      <c r="B2103" s="2" t="n">
        <v>3</v>
      </c>
      <c r="C2103" s="2" t="n">
        <f aca="false">0</f>
        <v>0</v>
      </c>
      <c r="D2103" s="2" t="n">
        <f aca="false">C2103*(1-D$2099)+C2102*D$2099</f>
        <v>0</v>
      </c>
      <c r="E2103" s="2" t="n">
        <f aca="false">D2103*(1-E$2099)+D2102*E$2099</f>
        <v>0.000476147305904809</v>
      </c>
      <c r="F2103" s="2" t="n">
        <f aca="false">E2103*(1-F$2099)+E2102*F$2099</f>
        <v>0.0339245859318903</v>
      </c>
      <c r="G2103" s="2" t="n">
        <f aca="false">F2103*(1-G$2099)+F2102*G$2099</f>
        <v>0.0529061831211948</v>
      </c>
      <c r="H2103" s="2" t="n">
        <f aca="false">G2103*(1-H$2099)+G2102*H$2099</f>
        <v>0.0923258879596336</v>
      </c>
      <c r="I2103" s="2" t="n">
        <f aca="false">H2103*(1-I$2099)+H2102*I$2099</f>
        <v>0.123164395979961</v>
      </c>
      <c r="J2103" s="2" t="n">
        <f aca="false">I2103*(1-J$2099)+I2102*J$2099</f>
        <v>0.152675635436425</v>
      </c>
      <c r="K2103" s="2" t="n">
        <f aca="false">J2103*(1-K$2099)+J2102*K$2099</f>
        <v>0.206969274585624</v>
      </c>
      <c r="L2103" s="2" t="n">
        <f aca="false">K2103*(1-L$2099)+K2102*L$2099</f>
        <v>0.223033554544144</v>
      </c>
      <c r="M2103" s="2" t="n">
        <f aca="false">L2103*(1-M$2099)+L2102*M$2099</f>
        <v>0.234840728100449</v>
      </c>
      <c r="N2103" s="2" t="n">
        <f aca="false">M2103*(1-N$2099)+M2102*N$2099</f>
        <v>0.24241818241563</v>
      </c>
      <c r="O2103" s="2" t="n">
        <f aca="false">N2103*(1-O$2099)+N2102*O$2099</f>
        <v>0.24241818241563</v>
      </c>
    </row>
    <row r="2104" customFormat="false" ht="15" hidden="false" customHeight="false" outlineLevel="0" collapsed="false">
      <c r="B2104" s="2" t="n">
        <v>4</v>
      </c>
      <c r="C2104" s="2" t="n">
        <f aca="false">0</f>
        <v>0</v>
      </c>
      <c r="D2104" s="2" t="n">
        <f aca="false">C2104*(1-D$2099)+C2103*D$2099</f>
        <v>0</v>
      </c>
      <c r="E2104" s="2" t="n">
        <f aca="false">D2104*(1-E$2099)+D2103*E$2099</f>
        <v>0</v>
      </c>
      <c r="F2104" s="2" t="n">
        <f aca="false">E2104*(1-F$2099)+E2103*F$2099</f>
        <v>0.000117076932924063</v>
      </c>
      <c r="G2104" s="2" t="n">
        <f aca="false">F2104*(1-G$2099)+F2103*G$2099</f>
        <v>0.00300892789591748</v>
      </c>
      <c r="H2104" s="2" t="n">
        <f aca="false">G2104*(1-H$2099)+G2103*H$2099</f>
        <v>0.0117035601398072</v>
      </c>
      <c r="I2104" s="2" t="n">
        <f aca="false">H2104*(1-I$2099)+H2103*I$2099</f>
        <v>0.0227514247087189</v>
      </c>
      <c r="J2104" s="2" t="n">
        <f aca="false">I2104*(1-J$2099)+I2103*J$2099</f>
        <v>0.0367884512922729</v>
      </c>
      <c r="K2104" s="2" t="n">
        <f aca="false">J2104*(1-K$2099)+J2103*K$2099</f>
        <v>0.0697888225454163</v>
      </c>
      <c r="L2104" s="2" t="n">
        <f aca="false">K2104*(1-L$2099)+K2103*L$2099</f>
        <v>0.0854082649655081</v>
      </c>
      <c r="M2104" s="2" t="n">
        <f aca="false">L2104*(1-M$2099)+L2103*M$2099</f>
        <v>0.0991780790461561</v>
      </c>
      <c r="N2104" s="2" t="n">
        <f aca="false">M2104*(1-N$2099)+M2103*N$2099</f>
        <v>0.109634766182448</v>
      </c>
      <c r="O2104" s="2" t="n">
        <f aca="false">N2104*(1-O$2099)+N2103*O$2099</f>
        <v>0.109634766182448</v>
      </c>
    </row>
    <row r="2105" customFormat="false" ht="15" hidden="false" customHeight="false" outlineLevel="0" collapsed="false">
      <c r="B2105" s="2" t="n">
        <v>5</v>
      </c>
      <c r="C2105" s="2" t="n">
        <f aca="false">0</f>
        <v>0</v>
      </c>
      <c r="D2105" s="2" t="n">
        <f aca="false">C2105*(1-D$2099)+C2104*D$2099</f>
        <v>0</v>
      </c>
      <c r="E2105" s="2" t="n">
        <f aca="false">D2105*(1-E$2099)+D2104*E$2099</f>
        <v>0</v>
      </c>
      <c r="F2105" s="2" t="n">
        <f aca="false">E2105*(1-F$2099)+E2104*F$2099</f>
        <v>0</v>
      </c>
      <c r="G2105" s="2" t="n">
        <f aca="false">F2105*(1-G$2099)+F2104*G$2099</f>
        <v>1.00146106958403E-005</v>
      </c>
      <c r="H2105" s="2" t="n">
        <f aca="false">G2105*(1-H$2099)+G2104*H$2099</f>
        <v>0.000532577385513726</v>
      </c>
      <c r="I2105" s="2" t="n">
        <f aca="false">H2105*(1-I$2099)+H2104*I$2099</f>
        <v>0.00206336306124973</v>
      </c>
      <c r="J2105" s="2" t="n">
        <f aca="false">I2105*(1-J$2099)+I2104*J$2099</f>
        <v>0.00495540845768843</v>
      </c>
      <c r="K2105" s="2" t="n">
        <f aca="false">J2105*(1-K$2099)+J2104*K$2099</f>
        <v>0.0140202782223363</v>
      </c>
      <c r="L2105" s="2" t="n">
        <f aca="false">K2105*(1-L$2099)+K2104*L$2099</f>
        <v>0.0203701156368636</v>
      </c>
      <c r="M2105" s="2" t="n">
        <f aca="false">L2105*(1-M$2099)+L2104*M$2099</f>
        <v>0.0268773733301755</v>
      </c>
      <c r="N2105" s="2" t="n">
        <f aca="false">M2105*(1-N$2099)+M2104*N$2099</f>
        <v>0.0324502105456905</v>
      </c>
      <c r="O2105" s="2" t="n">
        <f aca="false">N2105*(1-O$2099)+N2104*O$2099</f>
        <v>0.0324502105456905</v>
      </c>
    </row>
    <row r="2106" customFormat="false" ht="15" hidden="false" customHeight="false" outlineLevel="0" collapsed="false">
      <c r="B2106" s="2" t="n">
        <v>6</v>
      </c>
      <c r="C2106" s="2" t="n">
        <f aca="false">0</f>
        <v>0</v>
      </c>
      <c r="D2106" s="2" t="n">
        <f aca="false">C2106*(1-D$2099)+C2105*D$2099</f>
        <v>0</v>
      </c>
      <c r="E2106" s="2" t="n">
        <f aca="false">D2106*(1-E$2099)+D2105*E$2099</f>
        <v>0</v>
      </c>
      <c r="F2106" s="2" t="n">
        <f aca="false">E2106*(1-F$2099)+E2105*F$2099</f>
        <v>0</v>
      </c>
      <c r="G2106" s="2" t="n">
        <f aca="false">F2106*(1-G$2099)+F2105*G$2099</f>
        <v>0</v>
      </c>
      <c r="H2106" s="2" t="n">
        <f aca="false">G2106*(1-H$2099)+G2105*H$2099</f>
        <v>1.74505304295667E-006</v>
      </c>
      <c r="I2106" s="2" t="n">
        <f aca="false">H2106*(1-I$2099)+H2105*I$2099</f>
        <v>7.44862387234622E-005</v>
      </c>
      <c r="J2106" s="2" t="n">
        <f aca="false">I2106*(1-J$2099)+I2105*J$2099</f>
        <v>0.000352517218942161</v>
      </c>
      <c r="K2106" s="2" t="n">
        <f aca="false">J2106*(1-K$2099)+J2105*K$2099</f>
        <v>0.00166324990123361</v>
      </c>
      <c r="L2106" s="2" t="n">
        <f aca="false">K2106*(1-L$2099)+K2105*L$2099</f>
        <v>0.00307022800543417</v>
      </c>
      <c r="M2106" s="2" t="n">
        <f aca="false">L2106*(1-M$2099)+L2105*M$2099</f>
        <v>0.00480113252908841</v>
      </c>
      <c r="N2106" s="2" t="n">
        <f aca="false">M2106*(1-N$2099)+M2105*N$2099</f>
        <v>0.00650273827548676</v>
      </c>
      <c r="O2106" s="2" t="n">
        <f aca="false">N2106*(1-O$2099)+N2105*O$2099</f>
        <v>0.00650273827548676</v>
      </c>
    </row>
    <row r="2107" customFormat="false" ht="15" hidden="false" customHeight="false" outlineLevel="0" collapsed="false">
      <c r="B2107" s="2" t="n">
        <v>7</v>
      </c>
      <c r="C2107" s="2" t="n">
        <f aca="false">0</f>
        <v>0</v>
      </c>
      <c r="D2107" s="2" t="n">
        <f aca="false">C2107*(1-D$2099)+C2106*D$2099</f>
        <v>0</v>
      </c>
      <c r="E2107" s="2" t="n">
        <f aca="false">D2107*(1-E$2099)+D2106*E$2099</f>
        <v>0</v>
      </c>
      <c r="F2107" s="2" t="n">
        <f aca="false">E2107*(1-F$2099)+E2106*F$2099</f>
        <v>0</v>
      </c>
      <c r="G2107" s="2" t="n">
        <f aca="false">F2107*(1-G$2099)+F2106*G$2099</f>
        <v>0</v>
      </c>
      <c r="H2107" s="2" t="n">
        <f aca="false">G2107*(1-H$2099)+G2106*H$2099</f>
        <v>0</v>
      </c>
      <c r="I2107" s="2" t="n">
        <f aca="false">H2107*(1-I$2099)+H2106*I$2099</f>
        <v>2.39128665786446E-007</v>
      </c>
      <c r="J2107" s="2" t="n">
        <f aca="false">I2107*(1-J$2099)+I2106*J$2099</f>
        <v>1.06183520314248E-005</v>
      </c>
      <c r="K2107" s="2" t="n">
        <f aca="false">J2107*(1-K$2099)+J2106*K$2099</f>
        <v>0.000107978466718901</v>
      </c>
      <c r="L2107" s="2" t="n">
        <f aca="false">K2107*(1-L$2099)+K2106*L$2099</f>
        <v>0.000285062535605742</v>
      </c>
      <c r="M2107" s="2" t="n">
        <f aca="false">L2107*(1-M$2099)+L2106*M$2099</f>
        <v>0.000563726513867275</v>
      </c>
      <c r="N2107" s="2" t="n">
        <f aca="false">M2107*(1-N$2099)+M2106*N$2099</f>
        <v>0.000890339839491451</v>
      </c>
      <c r="O2107" s="2" t="n">
        <f aca="false">N2107*(1-O$2099)+N2106*O$2099</f>
        <v>0.000890339839491451</v>
      </c>
    </row>
    <row r="2108" customFormat="false" ht="15" hidden="false" customHeight="false" outlineLevel="0" collapsed="false">
      <c r="B2108" s="2" t="n">
        <v>8</v>
      </c>
      <c r="C2108" s="2" t="n">
        <f aca="false">0</f>
        <v>0</v>
      </c>
      <c r="D2108" s="2" t="n">
        <f aca="false">C2108*(1-D$2099)+C2107*D$2099</f>
        <v>0</v>
      </c>
      <c r="E2108" s="2" t="n">
        <f aca="false">D2108*(1-E$2099)+D2107*E$2099</f>
        <v>0</v>
      </c>
      <c r="F2108" s="2" t="n">
        <f aca="false">E2108*(1-F$2099)+E2107*F$2099</f>
        <v>0</v>
      </c>
      <c r="G2108" s="2" t="n">
        <f aca="false">F2108*(1-G$2099)+F2107*G$2099</f>
        <v>0</v>
      </c>
      <c r="H2108" s="2" t="n">
        <f aca="false">G2108*(1-H$2099)+G2107*H$2099</f>
        <v>0</v>
      </c>
      <c r="I2108" s="2" t="n">
        <f aca="false">H2108*(1-I$2099)+H2107*I$2099</f>
        <v>0</v>
      </c>
      <c r="J2108" s="2" t="n">
        <f aca="false">I2108*(1-J$2099)+I2107*J$2099</f>
        <v>3.34285042663155E-008</v>
      </c>
      <c r="K2108" s="2" t="n">
        <f aca="false">J2108*(1-K$2099)+J2107*K$2099</f>
        <v>3.04762208108029E-006</v>
      </c>
      <c r="L2108" s="2" t="n">
        <f aca="false">K2108*(1-L$2099)+K2107*L$2099</f>
        <v>1.49951063001268E-005</v>
      </c>
      <c r="M2108" s="2" t="n">
        <f aca="false">L2108*(1-M$2099)+L2107*M$2099</f>
        <v>4.20161451089284E-005</v>
      </c>
      <c r="N2108" s="2" t="n">
        <f aca="false">M2108*(1-N$2099)+M2107*N$2099</f>
        <v>8.22288502263271E-005</v>
      </c>
      <c r="O2108" s="2" t="n">
        <f aca="false">N2108*(1-O$2099)+N2107*O$2099</f>
        <v>8.22288502263271E-005</v>
      </c>
    </row>
    <row r="2109" customFormat="false" ht="15" hidden="false" customHeight="false" outlineLevel="0" collapsed="false">
      <c r="B2109" s="2" t="n">
        <v>9</v>
      </c>
      <c r="C2109" s="2" t="n">
        <f aca="false">0</f>
        <v>0</v>
      </c>
      <c r="D2109" s="2" t="n">
        <f aca="false">C2109*(1-D$2099)+C2108*D$2099</f>
        <v>0</v>
      </c>
      <c r="E2109" s="2" t="n">
        <f aca="false">D2109*(1-E$2099)+D2108*E$2099</f>
        <v>0</v>
      </c>
      <c r="F2109" s="2" t="n">
        <f aca="false">E2109*(1-F$2099)+E2108*F$2099</f>
        <v>0</v>
      </c>
      <c r="G2109" s="2" t="n">
        <f aca="false">F2109*(1-G$2099)+F2108*G$2099</f>
        <v>0</v>
      </c>
      <c r="H2109" s="2" t="n">
        <f aca="false">G2109*(1-H$2099)+G2108*H$2099</f>
        <v>0</v>
      </c>
      <c r="I2109" s="2" t="n">
        <f aca="false">H2109*(1-I$2099)+H2108*I$2099</f>
        <v>0</v>
      </c>
      <c r="J2109" s="2" t="n">
        <f aca="false">I2109*(1-J$2099)+I2108*J$2099</f>
        <v>0</v>
      </c>
      <c r="K2109" s="2" t="n">
        <f aca="false">J2109*(1-K$2099)+J2108*K$2099</f>
        <v>9.51919799736857E-009</v>
      </c>
      <c r="L2109" s="2" t="n">
        <f aca="false">K2109*(1-L$2099)+K2108*L$2099</f>
        <v>3.5543927875873E-007</v>
      </c>
      <c r="M2109" s="2" t="n">
        <f aca="false">L2109*(1-M$2099)+L2108*M$2099</f>
        <v>1.820180924019E-006</v>
      </c>
      <c r="N2109" s="2" t="n">
        <f aca="false">M2109*(1-N$2099)+M2108*N$2099</f>
        <v>4.91842959123302E-006</v>
      </c>
      <c r="O2109" s="2" t="n">
        <f aca="false">N2109*(1-O$2099)+N2108*O$2099</f>
        <v>4.91842959123302E-006</v>
      </c>
    </row>
    <row r="2110" customFormat="false" ht="15" hidden="false" customHeight="false" outlineLevel="0" collapsed="false">
      <c r="B2110" s="2" t="n">
        <v>10</v>
      </c>
      <c r="C2110" s="2" t="n">
        <f aca="false">0</f>
        <v>0</v>
      </c>
      <c r="D2110" s="2" t="n">
        <f aca="false">C2110*(1-D$2099)+C2109*D$2099</f>
        <v>0</v>
      </c>
      <c r="E2110" s="2" t="n">
        <f aca="false">D2110*(1-E$2099)+D2109*E$2099</f>
        <v>0</v>
      </c>
      <c r="F2110" s="2" t="n">
        <f aca="false">E2110*(1-F$2099)+E2109*F$2099</f>
        <v>0</v>
      </c>
      <c r="G2110" s="2" t="n">
        <f aca="false">F2110*(1-G$2099)+F2109*G$2099</f>
        <v>0</v>
      </c>
      <c r="H2110" s="2" t="n">
        <f aca="false">G2110*(1-H$2099)+G2109*H$2099</f>
        <v>0</v>
      </c>
      <c r="I2110" s="2" t="n">
        <f aca="false">H2110*(1-I$2099)+H2109*I$2099</f>
        <v>0</v>
      </c>
      <c r="J2110" s="2" t="n">
        <f aca="false">I2110*(1-J$2099)+I2109*J$2099</f>
        <v>0</v>
      </c>
      <c r="K2110" s="2" t="n">
        <f aca="false">J2110*(1-K$2099)+J2109*K$2099</f>
        <v>0</v>
      </c>
      <c r="L2110" s="2" t="n">
        <f aca="false">K2110*(1-L$2099)+K2109*L$2099</f>
        <v>1.08386116822077E-009</v>
      </c>
      <c r="M2110" s="2" t="n">
        <f aca="false">L2110*(1-M$2099)+L2109*M$2099</f>
        <v>3.65381605461249E-008</v>
      </c>
      <c r="N2110" s="2" t="n">
        <f aca="false">M2110*(1-N$2099)+M2109*N$2099</f>
        <v>1.74018848639444E-007</v>
      </c>
      <c r="O2110" s="2" t="n">
        <f aca="false">N2110*(1-O$2099)+N2109*O$2099</f>
        <v>1.74018848639444E-007</v>
      </c>
    </row>
    <row r="2111" customFormat="false" ht="15" hidden="false" customHeight="false" outlineLevel="0" collapsed="false">
      <c r="B2111" s="2" t="n">
        <v>11</v>
      </c>
      <c r="C2111" s="2" t="n">
        <f aca="false">0</f>
        <v>0</v>
      </c>
      <c r="D2111" s="2" t="n">
        <f aca="false">C2111*(1-D$2099)+C2110*D$2099</f>
        <v>0</v>
      </c>
      <c r="E2111" s="2" t="n">
        <f aca="false">D2111*(1-E$2099)+D2110*E$2099</f>
        <v>0</v>
      </c>
      <c r="F2111" s="2" t="n">
        <f aca="false">E2111*(1-F$2099)+E2110*F$2099</f>
        <v>0</v>
      </c>
      <c r="G2111" s="2" t="n">
        <f aca="false">F2111*(1-G$2099)+F2110*G$2099</f>
        <v>0</v>
      </c>
      <c r="H2111" s="2" t="n">
        <f aca="false">G2111*(1-H$2099)+G2110*H$2099</f>
        <v>0</v>
      </c>
      <c r="I2111" s="2" t="n">
        <f aca="false">H2111*(1-I$2099)+H2110*I$2099</f>
        <v>0</v>
      </c>
      <c r="J2111" s="2" t="n">
        <f aca="false">I2111*(1-J$2099)+I2110*J$2099</f>
        <v>0</v>
      </c>
      <c r="K2111" s="2" t="n">
        <f aca="false">J2111*(1-K$2099)+J2110*K$2099</f>
        <v>0</v>
      </c>
      <c r="L2111" s="2" t="n">
        <f aca="false">K2111*(1-L$2099)+K2110*L$2099</f>
        <v>0</v>
      </c>
      <c r="M2111" s="2" t="n">
        <f aca="false">L2111*(1-M$2099)+L2110*M$2099</f>
        <v>1.08443490446618E-010</v>
      </c>
      <c r="N2111" s="2" t="n">
        <f aca="false">M2111*(1-N$2099)+M2110*N$2099</f>
        <v>2.91639509960624E-009</v>
      </c>
      <c r="O2111" s="2" t="n">
        <f aca="false">N2111*(1-O$2099)+N2110*O$2099</f>
        <v>2.91639509960624E-009</v>
      </c>
    </row>
    <row r="2112" customFormat="false" ht="15" hidden="false" customHeight="false" outlineLevel="0" collapsed="false">
      <c r="B2112" s="2" t="n">
        <v>12</v>
      </c>
      <c r="C2112" s="2" t="n">
        <f aca="false">0</f>
        <v>0</v>
      </c>
      <c r="D2112" s="2" t="n">
        <f aca="false">C2112*(1-D$2099)+C2111*D$2099</f>
        <v>0</v>
      </c>
      <c r="E2112" s="2" t="n">
        <f aca="false">D2112*(1-E$2099)+D2111*E$2099</f>
        <v>0</v>
      </c>
      <c r="F2112" s="2" t="n">
        <f aca="false">E2112*(1-F$2099)+E2111*F$2099</f>
        <v>0</v>
      </c>
      <c r="G2112" s="2" t="n">
        <f aca="false">F2112*(1-G$2099)+F2111*G$2099</f>
        <v>0</v>
      </c>
      <c r="H2112" s="2" t="n">
        <f aca="false">G2112*(1-H$2099)+G2111*H$2099</f>
        <v>0</v>
      </c>
      <c r="I2112" s="2" t="n">
        <f aca="false">H2112*(1-I$2099)+H2111*I$2099</f>
        <v>0</v>
      </c>
      <c r="J2112" s="2" t="n">
        <f aca="false">I2112*(1-J$2099)+I2111*J$2099</f>
        <v>0</v>
      </c>
      <c r="K2112" s="2" t="n">
        <f aca="false">J2112*(1-K$2099)+J2111*K$2099</f>
        <v>0</v>
      </c>
      <c r="L2112" s="2" t="n">
        <f aca="false">K2112*(1-L$2099)+K2111*L$2099</f>
        <v>0</v>
      </c>
      <c r="M2112" s="2" t="n">
        <f aca="false">L2112*(1-M$2099)+L2111*M$2099</f>
        <v>0</v>
      </c>
      <c r="N2112" s="2" t="n">
        <f aca="false">M2112*(1-N$2099)+M2111*N$2099</f>
        <v>8.35867248260733E-012</v>
      </c>
      <c r="O2112" s="2" t="n">
        <f aca="false">N2112*(1-O$2099)+N2111*O$2099</f>
        <v>8.35867248260733E-012</v>
      </c>
    </row>
    <row r="2113" customFormat="false" ht="15" hidden="false" customHeight="false" outlineLevel="0" collapsed="false">
      <c r="B2113" s="2" t="n">
        <v>13</v>
      </c>
      <c r="C2113" s="2" t="n">
        <f aca="false">0</f>
        <v>0</v>
      </c>
      <c r="D2113" s="2" t="n">
        <f aca="false">C2113*(1-D$2099)+C2112*D$2099</f>
        <v>0</v>
      </c>
      <c r="E2113" s="2" t="n">
        <f aca="false">D2113*(1-E$2099)+D2112*E$2099</f>
        <v>0</v>
      </c>
      <c r="F2113" s="2" t="n">
        <f aca="false">E2113*(1-F$2099)+E2112*F$2099</f>
        <v>0</v>
      </c>
      <c r="G2113" s="2" t="n">
        <f aca="false">F2113*(1-G$2099)+F2112*G$2099</f>
        <v>0</v>
      </c>
      <c r="H2113" s="2" t="n">
        <f aca="false">G2113*(1-H$2099)+G2112*H$2099</f>
        <v>0</v>
      </c>
      <c r="I2113" s="2" t="n">
        <f aca="false">H2113*(1-I$2099)+H2112*I$2099</f>
        <v>0</v>
      </c>
      <c r="J2113" s="2" t="n">
        <f aca="false">I2113*(1-J$2099)+I2112*J$2099</f>
        <v>0</v>
      </c>
      <c r="K2113" s="2" t="n">
        <f aca="false">J2113*(1-K$2099)+J2112*K$2099</f>
        <v>0</v>
      </c>
      <c r="L2113" s="2" t="n">
        <f aca="false">K2113*(1-L$2099)+K2112*L$2099</f>
        <v>0</v>
      </c>
      <c r="M2113" s="2" t="n">
        <f aca="false">L2113*(1-M$2099)+L2112*M$2099</f>
        <v>0</v>
      </c>
      <c r="N2113" s="2" t="n">
        <f aca="false">M2113*(1-N$2099)+M2112*N$2099</f>
        <v>0</v>
      </c>
      <c r="O2113" s="2" t="n">
        <f aca="false">N2113*(1-O$2099)+N2112*O$2099</f>
        <v>0</v>
      </c>
    </row>
    <row r="2115" customFormat="false" ht="15" hidden="false" customHeight="false" outlineLevel="0" collapsed="false">
      <c r="A2115" s="1" t="s">
        <v>190</v>
      </c>
      <c r="C2115" s="2" t="n">
        <f aca="false">Schedule!G134</f>
        <v>8.20335545469771E-005</v>
      </c>
      <c r="D2115" s="2" t="n">
        <f aca="false">Schedule!L134</f>
        <v>0.584141511109092</v>
      </c>
      <c r="E2115" s="2" t="n">
        <f aca="false">Schedule!Q134</f>
        <v>0.0816965558391932</v>
      </c>
      <c r="F2115" s="2" t="n">
        <f aca="false">Schedule!V134</f>
        <v>0.372590535846716</v>
      </c>
      <c r="G2115" s="2" t="n">
        <f aca="false">Schedule!AA134</f>
        <v>0.199404560471373</v>
      </c>
      <c r="H2115" s="2" t="n">
        <f aca="false">Schedule!AF134</f>
        <v>0.0204891254742258</v>
      </c>
      <c r="I2115" s="2" t="n">
        <f aca="false">Schedule!AK134</f>
        <v>0.215494614210054</v>
      </c>
      <c r="J2115" s="2" t="n">
        <f aca="false">Schedule!AP134</f>
        <v>0.519938805838372</v>
      </c>
      <c r="K2115" s="2" t="n">
        <f aca="false">Schedule!AU134</f>
        <v>0.629772172275028</v>
      </c>
      <c r="L2115" s="2" t="n">
        <f aca="false">Schedule!AZ134</f>
        <v>0.268040532802408</v>
      </c>
      <c r="M2115" s="2" t="n">
        <f aca="false">Schedule!BE134</f>
        <v>0.161698791457286</v>
      </c>
      <c r="N2115" s="2" t="n">
        <f aca="false">Schedule!BJ134</f>
        <v>0.319624171517118</v>
      </c>
      <c r="O2115" s="2" t="n">
        <f aca="false">Schedule!BO134</f>
        <v>0</v>
      </c>
    </row>
    <row r="2116" customFormat="false" ht="15" hidden="false" customHeight="false" outlineLevel="0" collapsed="false">
      <c r="B2116" s="2" t="n">
        <v>0</v>
      </c>
      <c r="C2116" s="2" t="n">
        <f aca="false">1-C$2115</f>
        <v>0.999917966445453</v>
      </c>
      <c r="D2116" s="2" t="n">
        <f aca="false">C2116*(1-D$2115)</f>
        <v>0.415824374540875</v>
      </c>
      <c r="E2116" s="2" t="n">
        <f aca="false">D2116*(1-E$2115)</f>
        <v>0.381852955306899</v>
      </c>
      <c r="F2116" s="2" t="n">
        <f aca="false">E2116*(1-F$2115)</f>
        <v>0.23957815807445</v>
      </c>
      <c r="G2116" s="2" t="n">
        <f aca="false">F2116*(1-G$2115)</f>
        <v>0.191805180765073</v>
      </c>
      <c r="H2116" s="2" t="n">
        <f aca="false">G2116*(1-H$2115)</f>
        <v>0.187875260349771</v>
      </c>
      <c r="I2116" s="2" t="n">
        <f aca="false">H2116*(1-I$2115)</f>
        <v>0.147389153601083</v>
      </c>
      <c r="J2116" s="2" t="n">
        <f aca="false">I2116*(1-J$2115)</f>
        <v>0.0707558130842076</v>
      </c>
      <c r="K2116" s="2" t="n">
        <f aca="false">J2116*(1-K$2115)</f>
        <v>0.0261957709770804</v>
      </c>
      <c r="L2116" s="2" t="n">
        <f aca="false">K2116*(1-L$2115)</f>
        <v>0.0191742425672139</v>
      </c>
      <c r="M2116" s="2" t="n">
        <f aca="false">L2116*(1-M$2115)</f>
        <v>0.0160737907169866</v>
      </c>
      <c r="N2116" s="2" t="n">
        <f aca="false">M2116*(1-N$2115)</f>
        <v>0.0109362186759302</v>
      </c>
      <c r="O2116" s="2" t="n">
        <f aca="false">N2116*(1-O$2115)</f>
        <v>0.0109362186759302</v>
      </c>
    </row>
    <row r="2117" customFormat="false" ht="15" hidden="false" customHeight="false" outlineLevel="0" collapsed="false">
      <c r="B2117" s="2" t="n">
        <v>1</v>
      </c>
      <c r="C2117" s="2" t="n">
        <f aca="false">C$2115</f>
        <v>8.20335545469771E-005</v>
      </c>
      <c r="D2117" s="2" t="n">
        <f aca="false">C2117*(1-D$2115)+C2116*D$2115</f>
        <v>0.58412770625461</v>
      </c>
      <c r="E2117" s="2" t="n">
        <f aca="false">D2117*(1-E$2115)+D2116*E$2115</f>
        <v>0.570377903717337</v>
      </c>
      <c r="F2117" s="2" t="n">
        <f aca="false">E2117*(1-F$2115)+E2116*F$2115</f>
        <v>0.500135292168617</v>
      </c>
      <c r="G2117" s="2" t="n">
        <f aca="false">F2117*(1-G$2115)+F2116*G$2115</f>
        <v>0.448179011366889</v>
      </c>
      <c r="H2117" s="2" t="n">
        <f aca="false">G2117*(1-H$2115)+G2116*H$2115</f>
        <v>0.442926135783381</v>
      </c>
      <c r="I2117" s="2" t="n">
        <f aca="false">H2117*(1-I$2115)+H2116*I$2115</f>
        <v>0.387964045777878</v>
      </c>
      <c r="J2117" s="2" t="n">
        <f aca="false">I2117*(1-J$2115)+I2116*J$2115</f>
        <v>0.26287982362478</v>
      </c>
      <c r="K2117" s="2" t="n">
        <f aca="false">J2117*(1-K$2115)+J2116*K$2115</f>
        <v>0.141885468160454</v>
      </c>
      <c r="L2117" s="2" t="n">
        <f aca="false">K2117*(1-L$2115)+K2116*L$2115</f>
        <v>0.110875940087673</v>
      </c>
      <c r="M2117" s="2" t="n">
        <f aca="false">L2117*(1-M$2115)+L2116*M$2115</f>
        <v>0.0960478864240332</v>
      </c>
      <c r="N2117" s="2" t="n">
        <f aca="false">M2117*(1-N$2115)+M2116*N$2115</f>
        <v>0.0704862323408378</v>
      </c>
      <c r="O2117" s="2" t="n">
        <f aca="false">N2117*(1-O$2115)+N2116*O$2115</f>
        <v>0.0704862323408378</v>
      </c>
    </row>
    <row r="2118" customFormat="false" ht="15" hidden="false" customHeight="false" outlineLevel="0" collapsed="false">
      <c r="B2118" s="2" t="n">
        <v>2</v>
      </c>
      <c r="C2118" s="2" t="n">
        <f aca="false">0</f>
        <v>0</v>
      </c>
      <c r="D2118" s="2" t="n">
        <f aca="false">C2118*(1-D$2115)+C2117*D$2115</f>
        <v>4.79192045147214E-005</v>
      </c>
      <c r="E2118" s="2" t="n">
        <f aca="false">D2118*(1-E$2115)+D2117*E$2115</f>
        <v>0.0477652261417969</v>
      </c>
      <c r="F2118" s="2" t="n">
        <f aca="false">E2118*(1-F$2115)+E2117*F$2115</f>
        <v>0.242485763719954</v>
      </c>
      <c r="G2118" s="2" t="n">
        <f aca="false">F2118*(1-G$2115)+F2117*G$2115</f>
        <v>0.293862254695916</v>
      </c>
      <c r="H2118" s="2" t="n">
        <f aca="false">G2118*(1-H$2115)+G2117*H$2115</f>
        <v>0.297024070086123</v>
      </c>
      <c r="I2118" s="2" t="n">
        <f aca="false">H2118*(1-I$2115)+H2117*I$2115</f>
        <v>0.328465179446004</v>
      </c>
      <c r="J2118" s="2" t="n">
        <f aca="false">I2118*(1-J$2115)+I2117*J$2115</f>
        <v>0.359400948955336</v>
      </c>
      <c r="K2118" s="2" t="n">
        <f aca="false">J2118*(1-K$2115)+J2117*K$2115</f>
        <v>0.298614630185482</v>
      </c>
      <c r="L2118" s="2" t="n">
        <f aca="false">K2118*(1-L$2115)+K2117*L$2115</f>
        <v>0.256604862090618</v>
      </c>
      <c r="M2118" s="2" t="n">
        <f aca="false">L2118*(1-M$2115)+L2117*M$2115</f>
        <v>0.233040671522369</v>
      </c>
      <c r="N2118" s="2" t="n">
        <f aca="false">M2118*(1-N$2115)+M2117*N$2115</f>
        <v>0.189254466081491</v>
      </c>
      <c r="O2118" s="2" t="n">
        <f aca="false">N2118*(1-O$2115)+N2117*O$2115</f>
        <v>0.189254466081491</v>
      </c>
    </row>
    <row r="2119" customFormat="false" ht="15" hidden="false" customHeight="false" outlineLevel="0" collapsed="false">
      <c r="B2119" s="2" t="n">
        <v>3</v>
      </c>
      <c r="C2119" s="2" t="n">
        <f aca="false">0</f>
        <v>0</v>
      </c>
      <c r="D2119" s="2" t="n">
        <f aca="false">C2119*(1-D$2115)+C2118*D$2115</f>
        <v>0</v>
      </c>
      <c r="E2119" s="2" t="n">
        <f aca="false">D2119*(1-E$2115)+D2118*E$2115</f>
        <v>3.91483396740666E-006</v>
      </c>
      <c r="F2119" s="2" t="n">
        <f aca="false">E2119*(1-F$2115)+E2118*F$2115</f>
        <v>0.0177993274068934</v>
      </c>
      <c r="G2119" s="2" t="n">
        <f aca="false">F2119*(1-G$2115)+F2118*G$2115</f>
        <v>0.0626028274837784</v>
      </c>
      <c r="H2119" s="2" t="n">
        <f aca="false">G2119*(1-H$2115)+G2118*H$2115</f>
        <v>0.0673411309050255</v>
      </c>
      <c r="I2119" s="2" t="n">
        <f aca="false">H2119*(1-I$2115)+H2118*I$2115</f>
        <v>0.116836567274488</v>
      </c>
      <c r="J2119" s="2" t="n">
        <f aca="false">I2119*(1-J$2115)+I2118*J$2115</f>
        <v>0.226870495168178</v>
      </c>
      <c r="K2119" s="2" t="n">
        <f aca="false">J2119*(1-K$2115)+J2118*K$2115</f>
        <v>0.310334486942311</v>
      </c>
      <c r="L2119" s="2" t="n">
        <f aca="false">K2119*(1-L$2115)+K2118*L$2115</f>
        <v>0.307193090292843</v>
      </c>
      <c r="M2119" s="2" t="n">
        <f aca="false">L2119*(1-M$2115)+L2118*M$2115</f>
        <v>0.299013034930578</v>
      </c>
      <c r="N2119" s="2" t="n">
        <f aca="false">M2119*(1-N$2115)+M2118*N$2115</f>
        <v>0.277926672933203</v>
      </c>
      <c r="O2119" s="2" t="n">
        <f aca="false">N2119*(1-O$2115)+N2118*O$2115</f>
        <v>0.277926672933203</v>
      </c>
    </row>
    <row r="2120" customFormat="false" ht="15" hidden="false" customHeight="false" outlineLevel="0" collapsed="false">
      <c r="B2120" s="2" t="n">
        <v>4</v>
      </c>
      <c r="C2120" s="2" t="n">
        <f aca="false">0</f>
        <v>0</v>
      </c>
      <c r="D2120" s="2" t="n">
        <f aca="false">C2120*(1-D$2115)+C2119*D$2115</f>
        <v>0</v>
      </c>
      <c r="E2120" s="2" t="n">
        <f aca="false">D2120*(1-E$2115)+D2119*E$2115</f>
        <v>0</v>
      </c>
      <c r="F2120" s="2" t="n">
        <f aca="false">E2120*(1-F$2115)+E2119*F$2115</f>
        <v>1.45863008566697E-006</v>
      </c>
      <c r="G2120" s="2" t="n">
        <f aca="false">F2120*(1-G$2115)+F2119*G$2115</f>
        <v>0.00355043483085219</v>
      </c>
      <c r="H2120" s="2" t="n">
        <f aca="false">G2120*(1-H$2115)+G2119*H$2115</f>
        <v>0.00476036671347124</v>
      </c>
      <c r="I2120" s="2" t="n">
        <f aca="false">H2120*(1-I$2115)+H2119*I$2115</f>
        <v>0.0182461843499006</v>
      </c>
      <c r="J2120" s="2" t="n">
        <f aca="false">I2120*(1-J$2115)+I2119*J$2115</f>
        <v>0.0695071503148582</v>
      </c>
      <c r="K2120" s="2" t="n">
        <f aca="false">J2120*(1-K$2115)+J2119*K$2115</f>
        <v>0.168610205839598</v>
      </c>
      <c r="L2120" s="2" t="n">
        <f aca="false">K2120*(1-L$2115)+K2119*L$2115</f>
        <v>0.206598057657407</v>
      </c>
      <c r="M2120" s="2" t="n">
        <f aca="false">L2120*(1-M$2115)+L2119*M$2115</f>
        <v>0.222864152861163</v>
      </c>
      <c r="N2120" s="2" t="n">
        <f aca="false">M2120*(1-N$2115)+M2119*N$2115</f>
        <v>0.247203176204555</v>
      </c>
      <c r="O2120" s="2" t="n">
        <f aca="false">N2120*(1-O$2115)+N2119*O$2115</f>
        <v>0.247203176204555</v>
      </c>
    </row>
    <row r="2121" customFormat="false" ht="15" hidden="false" customHeight="false" outlineLevel="0" collapsed="false">
      <c r="B2121" s="2" t="n">
        <v>5</v>
      </c>
      <c r="C2121" s="2" t="n">
        <f aca="false">0</f>
        <v>0</v>
      </c>
      <c r="D2121" s="2" t="n">
        <f aca="false">C2121*(1-D$2115)+C2120*D$2115</f>
        <v>0</v>
      </c>
      <c r="E2121" s="2" t="n">
        <f aca="false">D2121*(1-E$2115)+D2120*E$2115</f>
        <v>0</v>
      </c>
      <c r="F2121" s="2" t="n">
        <f aca="false">E2121*(1-F$2115)+E2120*F$2115</f>
        <v>0</v>
      </c>
      <c r="G2121" s="2" t="n">
        <f aca="false">F2121*(1-G$2115)+F2120*G$2115</f>
        <v>2.90857491122743E-007</v>
      </c>
      <c r="H2121" s="2" t="n">
        <f aca="false">G2121*(1-H$2115)+G2120*H$2115</f>
        <v>7.30302028128842E-005</v>
      </c>
      <c r="I2121" s="2" t="n">
        <f aca="false">H2121*(1-I$2115)+H2120*I$2115</f>
        <v>0.00108312597584991</v>
      </c>
      <c r="J2121" s="2" t="n">
        <f aca="false">I2121*(1-J$2115)+I2120*J$2115</f>
        <v>0.0100068660513881</v>
      </c>
      <c r="K2121" s="2" t="n">
        <f aca="false">J2121*(1-K$2115)+J2120*K$2115</f>
        <v>0.0474784893229753</v>
      </c>
      <c r="L2121" s="2" t="n">
        <f aca="false">K2121*(1-L$2115)+K2120*L$2115</f>
        <v>0.0799466991573609</v>
      </c>
      <c r="M2121" s="2" t="n">
        <f aca="false">L2121*(1-M$2115)+L2120*M$2115</f>
        <v>0.100426070763242</v>
      </c>
      <c r="N2121" s="2" t="n">
        <f aca="false">M2121*(1-N$2115)+M2120*N$2115</f>
        <v>0.139560241315935</v>
      </c>
      <c r="O2121" s="2" t="n">
        <f aca="false">N2121*(1-O$2115)+N2120*O$2115</f>
        <v>0.139560241315935</v>
      </c>
    </row>
    <row r="2122" customFormat="false" ht="15" hidden="false" customHeight="false" outlineLevel="0" collapsed="false">
      <c r="B2122" s="2" t="n">
        <v>6</v>
      </c>
      <c r="C2122" s="2" t="n">
        <f aca="false">0</f>
        <v>0</v>
      </c>
      <c r="D2122" s="2" t="n">
        <f aca="false">C2122*(1-D$2115)+C2121*D$2115</f>
        <v>0</v>
      </c>
      <c r="E2122" s="2" t="n">
        <f aca="false">D2122*(1-E$2115)+D2121*E$2115</f>
        <v>0</v>
      </c>
      <c r="F2122" s="2" t="n">
        <f aca="false">E2122*(1-F$2115)+E2121*F$2115</f>
        <v>0</v>
      </c>
      <c r="G2122" s="2" t="n">
        <f aca="false">F2122*(1-G$2115)+F2121*G$2115</f>
        <v>0</v>
      </c>
      <c r="H2122" s="2" t="n">
        <f aca="false">G2122*(1-H$2115)+G2121*H$2115</f>
        <v>5.95941563073241E-009</v>
      </c>
      <c r="I2122" s="2" t="n">
        <f aca="false">H2122*(1-I$2115)+H2121*I$2115</f>
        <v>1.5742290574503E-005</v>
      </c>
      <c r="J2122" s="2" t="n">
        <f aca="false">I2122*(1-J$2115)+I2121*J$2115</f>
        <v>0.000570716489267958</v>
      </c>
      <c r="K2122" s="2" t="n">
        <f aca="false">J2122*(1-K$2115)+J2121*K$2115</f>
        <v>0.00651334089691641</v>
      </c>
      <c r="L2122" s="2" t="n">
        <f aca="false">K2122*(1-L$2115)+K2121*L$2115</f>
        <v>0.0174936611073669</v>
      </c>
      <c r="M2122" s="2" t="n">
        <f aca="false">L2122*(1-M$2115)+L2121*M$2115</f>
        <v>0.0275922418828868</v>
      </c>
      <c r="N2122" s="2" t="n">
        <f aca="false">M2122*(1-N$2115)+M2121*N$2115</f>
        <v>0.0508716940971898</v>
      </c>
      <c r="O2122" s="2" t="n">
        <f aca="false">N2122*(1-O$2115)+N2121*O$2115</f>
        <v>0.0508716940971898</v>
      </c>
    </row>
    <row r="2123" customFormat="false" ht="15" hidden="false" customHeight="false" outlineLevel="0" collapsed="false">
      <c r="B2123" s="2" t="n">
        <v>7</v>
      </c>
      <c r="C2123" s="2" t="n">
        <f aca="false">0</f>
        <v>0</v>
      </c>
      <c r="D2123" s="2" t="n">
        <f aca="false">C2123*(1-D$2115)+C2122*D$2115</f>
        <v>0</v>
      </c>
      <c r="E2123" s="2" t="n">
        <f aca="false">D2123*(1-E$2115)+D2122*E$2115</f>
        <v>0</v>
      </c>
      <c r="F2123" s="2" t="n">
        <f aca="false">E2123*(1-F$2115)+E2122*F$2115</f>
        <v>0</v>
      </c>
      <c r="G2123" s="2" t="n">
        <f aca="false">F2123*(1-G$2115)+F2122*G$2115</f>
        <v>0</v>
      </c>
      <c r="H2123" s="2" t="n">
        <f aca="false">G2123*(1-H$2115)+G2122*H$2115</f>
        <v>0</v>
      </c>
      <c r="I2123" s="2" t="n">
        <f aca="false">H2123*(1-I$2115)+H2122*I$2115</f>
        <v>1.28422197226205E-009</v>
      </c>
      <c r="J2123" s="2" t="n">
        <f aca="false">I2123*(1-J$2115)+I2122*J$2115</f>
        <v>8.18564426760131E-006</v>
      </c>
      <c r="K2123" s="2" t="n">
        <f aca="false">J2123*(1-K$2115)+J2122*K$2115</f>
        <v>0.000362451916495183</v>
      </c>
      <c r="L2123" s="2" t="n">
        <f aca="false">K2123*(1-L$2115)+K2122*L$2115</f>
        <v>0.00201113947601575</v>
      </c>
      <c r="M2123" s="2" t="n">
        <f aca="false">L2123*(1-M$2115)+L2122*M$2115</f>
        <v>0.00451464451251652</v>
      </c>
      <c r="N2123" s="2" t="n">
        <f aca="false">M2123*(1-N$2115)+M2122*N$2115</f>
        <v>0.0118908024526267</v>
      </c>
      <c r="O2123" s="2" t="n">
        <f aca="false">N2123*(1-O$2115)+N2122*O$2115</f>
        <v>0.0118908024526267</v>
      </c>
    </row>
    <row r="2124" customFormat="false" ht="15" hidden="false" customHeight="false" outlineLevel="0" collapsed="false">
      <c r="B2124" s="2" t="n">
        <v>8</v>
      </c>
      <c r="C2124" s="2" t="n">
        <f aca="false">0</f>
        <v>0</v>
      </c>
      <c r="D2124" s="2" t="n">
        <f aca="false">C2124*(1-D$2115)+C2123*D$2115</f>
        <v>0</v>
      </c>
      <c r="E2124" s="2" t="n">
        <f aca="false">D2124*(1-E$2115)+D2123*E$2115</f>
        <v>0</v>
      </c>
      <c r="F2124" s="2" t="n">
        <f aca="false">E2124*(1-F$2115)+E2123*F$2115</f>
        <v>0</v>
      </c>
      <c r="G2124" s="2" t="n">
        <f aca="false">F2124*(1-G$2115)+F2123*G$2115</f>
        <v>0</v>
      </c>
      <c r="H2124" s="2" t="n">
        <f aca="false">G2124*(1-H$2115)+G2123*H$2115</f>
        <v>0</v>
      </c>
      <c r="I2124" s="2" t="n">
        <f aca="false">H2124*(1-I$2115)+H2123*I$2115</f>
        <v>0</v>
      </c>
      <c r="J2124" s="2" t="n">
        <f aca="false">I2124*(1-J$2115)+I2123*J$2115</f>
        <v>6.67716838689328E-010</v>
      </c>
      <c r="K2124" s="2" t="n">
        <f aca="false">J2124*(1-K$2115)+J2123*K$2115</f>
        <v>5.15533817923263E-006</v>
      </c>
      <c r="L2124" s="2" t="n">
        <f aca="false">K2124*(1-L$2115)+K2123*L$2115</f>
        <v>0.000100925303399517</v>
      </c>
      <c r="M2124" s="2" t="n">
        <f aca="false">L2124*(1-M$2115)+L2123*M$2115</f>
        <v>0.00040980462653614</v>
      </c>
      <c r="N2124" s="2" t="n">
        <f aca="false">M2124*(1-N$2115)+M2123*N$2115</f>
        <v>0.00172181067430304</v>
      </c>
      <c r="O2124" s="2" t="n">
        <f aca="false">N2124*(1-O$2115)+N2123*O$2115</f>
        <v>0.00172181067430304</v>
      </c>
    </row>
    <row r="2125" customFormat="false" ht="15" hidden="false" customHeight="false" outlineLevel="0" collapsed="false">
      <c r="B2125" s="2" t="n">
        <v>9</v>
      </c>
      <c r="C2125" s="2" t="n">
        <f aca="false">0</f>
        <v>0</v>
      </c>
      <c r="D2125" s="2" t="n">
        <f aca="false">C2125*(1-D$2115)+C2124*D$2115</f>
        <v>0</v>
      </c>
      <c r="E2125" s="2" t="n">
        <f aca="false">D2125*(1-E$2115)+D2124*E$2115</f>
        <v>0</v>
      </c>
      <c r="F2125" s="2" t="n">
        <f aca="false">E2125*(1-F$2115)+E2124*F$2115</f>
        <v>0</v>
      </c>
      <c r="G2125" s="2" t="n">
        <f aca="false">F2125*(1-G$2115)+F2124*G$2115</f>
        <v>0</v>
      </c>
      <c r="H2125" s="2" t="n">
        <f aca="false">G2125*(1-H$2115)+G2124*H$2115</f>
        <v>0</v>
      </c>
      <c r="I2125" s="2" t="n">
        <f aca="false">H2125*(1-I$2115)+H2124*I$2115</f>
        <v>0</v>
      </c>
      <c r="J2125" s="2" t="n">
        <f aca="false">I2125*(1-J$2115)+I2124*J$2115</f>
        <v>0</v>
      </c>
      <c r="K2125" s="2" t="n">
        <f aca="false">J2125*(1-K$2115)+J2124*K$2115</f>
        <v>4.20509483965992E-010</v>
      </c>
      <c r="L2125" s="2" t="n">
        <f aca="false">K2125*(1-L$2115)+K2124*L$2115</f>
        <v>1.38214738823594E-006</v>
      </c>
      <c r="M2125" s="2" t="n">
        <f aca="false">L2125*(1-M$2115)+L2124*M$2115</f>
        <v>1.74781554131042E-005</v>
      </c>
      <c r="N2125" s="2" t="n">
        <f aca="false">M2125*(1-N$2115)+M2124*N$2115</f>
        <v>0.000142875178710039</v>
      </c>
      <c r="O2125" s="2" t="n">
        <f aca="false">N2125*(1-O$2115)+N2124*O$2115</f>
        <v>0.000142875178710039</v>
      </c>
    </row>
    <row r="2126" customFormat="false" ht="15" hidden="false" customHeight="false" outlineLevel="0" collapsed="false">
      <c r="B2126" s="2" t="n">
        <v>10</v>
      </c>
      <c r="C2126" s="2" t="n">
        <f aca="false">0</f>
        <v>0</v>
      </c>
      <c r="D2126" s="2" t="n">
        <f aca="false">C2126*(1-D$2115)+C2125*D$2115</f>
        <v>0</v>
      </c>
      <c r="E2126" s="2" t="n">
        <f aca="false">D2126*(1-E$2115)+D2125*E$2115</f>
        <v>0</v>
      </c>
      <c r="F2126" s="2" t="n">
        <f aca="false">E2126*(1-F$2115)+E2125*F$2115</f>
        <v>0</v>
      </c>
      <c r="G2126" s="2" t="n">
        <f aca="false">F2126*(1-G$2115)+F2125*G$2115</f>
        <v>0</v>
      </c>
      <c r="H2126" s="2" t="n">
        <f aca="false">G2126*(1-H$2115)+G2125*H$2115</f>
        <v>0</v>
      </c>
      <c r="I2126" s="2" t="n">
        <f aca="false">H2126*(1-I$2115)+H2125*I$2115</f>
        <v>0</v>
      </c>
      <c r="J2126" s="2" t="n">
        <f aca="false">I2126*(1-J$2115)+I2125*J$2115</f>
        <v>0</v>
      </c>
      <c r="K2126" s="2" t="n">
        <f aca="false">J2126*(1-K$2115)+J2125*K$2115</f>
        <v>0</v>
      </c>
      <c r="L2126" s="2" t="n">
        <f aca="false">K2126*(1-L$2115)+K2125*L$2115</f>
        <v>1.1271358613071E-010</v>
      </c>
      <c r="M2126" s="2" t="n">
        <f aca="false">L2126*(1-M$2115)+L2125*M$2115</f>
        <v>2.23586050229068E-007</v>
      </c>
      <c r="N2126" s="2" t="n">
        <f aca="false">M2126*(1-N$2115)+M2125*N$2115</f>
        <v>5.73856348772266E-006</v>
      </c>
      <c r="O2126" s="2" t="n">
        <f aca="false">N2126*(1-O$2115)+N2125*O$2115</f>
        <v>5.73856348772266E-006</v>
      </c>
    </row>
    <row r="2127" customFormat="false" ht="15" hidden="false" customHeight="false" outlineLevel="0" collapsed="false">
      <c r="B2127" s="2" t="n">
        <v>11</v>
      </c>
      <c r="C2127" s="2" t="n">
        <f aca="false">0</f>
        <v>0</v>
      </c>
      <c r="D2127" s="2" t="n">
        <f aca="false">C2127*(1-D$2115)+C2126*D$2115</f>
        <v>0</v>
      </c>
      <c r="E2127" s="2" t="n">
        <f aca="false">D2127*(1-E$2115)+D2126*E$2115</f>
        <v>0</v>
      </c>
      <c r="F2127" s="2" t="n">
        <f aca="false">E2127*(1-F$2115)+E2126*F$2115</f>
        <v>0</v>
      </c>
      <c r="G2127" s="2" t="n">
        <f aca="false">F2127*(1-G$2115)+F2126*G$2115</f>
        <v>0</v>
      </c>
      <c r="H2127" s="2" t="n">
        <f aca="false">G2127*(1-H$2115)+G2126*H$2115</f>
        <v>0</v>
      </c>
      <c r="I2127" s="2" t="n">
        <f aca="false">H2127*(1-I$2115)+H2126*I$2115</f>
        <v>0</v>
      </c>
      <c r="J2127" s="2" t="n">
        <f aca="false">I2127*(1-J$2115)+I2126*J$2115</f>
        <v>0</v>
      </c>
      <c r="K2127" s="2" t="n">
        <f aca="false">J2127*(1-K$2115)+J2126*K$2115</f>
        <v>0</v>
      </c>
      <c r="L2127" s="2" t="n">
        <f aca="false">K2127*(1-L$2115)+K2126*L$2115</f>
        <v>0</v>
      </c>
      <c r="M2127" s="2" t="n">
        <f aca="false">L2127*(1-M$2115)+L2126*M$2115</f>
        <v>1.82256506581525E-011</v>
      </c>
      <c r="N2127" s="2" t="n">
        <f aca="false">M2127*(1-N$2115)+M2126*N$2115</f>
        <v>7.14759063594168E-008</v>
      </c>
      <c r="O2127" s="2" t="n">
        <f aca="false">N2127*(1-O$2115)+N2126*O$2115</f>
        <v>7.14759063594168E-008</v>
      </c>
    </row>
    <row r="2128" customFormat="false" ht="15" hidden="false" customHeight="false" outlineLevel="0" collapsed="false">
      <c r="B2128" s="2" t="n">
        <v>12</v>
      </c>
      <c r="C2128" s="2" t="n">
        <f aca="false">0</f>
        <v>0</v>
      </c>
      <c r="D2128" s="2" t="n">
        <f aca="false">C2128*(1-D$2115)+C2127*D$2115</f>
        <v>0</v>
      </c>
      <c r="E2128" s="2" t="n">
        <f aca="false">D2128*(1-E$2115)+D2127*E$2115</f>
        <v>0</v>
      </c>
      <c r="F2128" s="2" t="n">
        <f aca="false">E2128*(1-F$2115)+E2127*F$2115</f>
        <v>0</v>
      </c>
      <c r="G2128" s="2" t="n">
        <f aca="false">F2128*(1-G$2115)+F2127*G$2115</f>
        <v>0</v>
      </c>
      <c r="H2128" s="2" t="n">
        <f aca="false">G2128*(1-H$2115)+G2127*H$2115</f>
        <v>0</v>
      </c>
      <c r="I2128" s="2" t="n">
        <f aca="false">H2128*(1-I$2115)+H2127*I$2115</f>
        <v>0</v>
      </c>
      <c r="J2128" s="2" t="n">
        <f aca="false">I2128*(1-J$2115)+I2127*J$2115</f>
        <v>0</v>
      </c>
      <c r="K2128" s="2" t="n">
        <f aca="false">J2128*(1-K$2115)+J2127*K$2115</f>
        <v>0</v>
      </c>
      <c r="L2128" s="2" t="n">
        <f aca="false">K2128*(1-L$2115)+K2127*L$2115</f>
        <v>0</v>
      </c>
      <c r="M2128" s="2" t="n">
        <f aca="false">L2128*(1-M$2115)+L2127*M$2115</f>
        <v>0</v>
      </c>
      <c r="N2128" s="2" t="n">
        <f aca="false">M2128*(1-N$2115)+M2127*N$2115</f>
        <v>5.8253584919724E-012</v>
      </c>
      <c r="O2128" s="2" t="n">
        <f aca="false">N2128*(1-O$2115)+N2127*O$2115</f>
        <v>5.8253584919724E-012</v>
      </c>
    </row>
    <row r="2129" customFormat="false" ht="15" hidden="false" customHeight="false" outlineLevel="0" collapsed="false">
      <c r="B2129" s="2" t="n">
        <v>13</v>
      </c>
      <c r="C2129" s="2" t="n">
        <f aca="false">0</f>
        <v>0</v>
      </c>
      <c r="D2129" s="2" t="n">
        <f aca="false">C2129*(1-D$2115)+C2128*D$2115</f>
        <v>0</v>
      </c>
      <c r="E2129" s="2" t="n">
        <f aca="false">D2129*(1-E$2115)+D2128*E$2115</f>
        <v>0</v>
      </c>
      <c r="F2129" s="2" t="n">
        <f aca="false">E2129*(1-F$2115)+E2128*F$2115</f>
        <v>0</v>
      </c>
      <c r="G2129" s="2" t="n">
        <f aca="false">F2129*(1-G$2115)+F2128*G$2115</f>
        <v>0</v>
      </c>
      <c r="H2129" s="2" t="n">
        <f aca="false">G2129*(1-H$2115)+G2128*H$2115</f>
        <v>0</v>
      </c>
      <c r="I2129" s="2" t="n">
        <f aca="false">H2129*(1-I$2115)+H2128*I$2115</f>
        <v>0</v>
      </c>
      <c r="J2129" s="2" t="n">
        <f aca="false">I2129*(1-J$2115)+I2128*J$2115</f>
        <v>0</v>
      </c>
      <c r="K2129" s="2" t="n">
        <f aca="false">J2129*(1-K$2115)+J2128*K$2115</f>
        <v>0</v>
      </c>
      <c r="L2129" s="2" t="n">
        <f aca="false">K2129*(1-L$2115)+K2128*L$2115</f>
        <v>0</v>
      </c>
      <c r="M2129" s="2" t="n">
        <f aca="false">L2129*(1-M$2115)+L2128*M$2115</f>
        <v>0</v>
      </c>
      <c r="N2129" s="2" t="n">
        <f aca="false">M2129*(1-N$2115)+M2128*N$2115</f>
        <v>0</v>
      </c>
      <c r="O2129" s="2" t="n">
        <f aca="false">N2129*(1-O$2115)+N2128*O$2115</f>
        <v>0</v>
      </c>
    </row>
    <row r="2131" customFormat="false" ht="15" hidden="false" customHeight="false" outlineLevel="0" collapsed="false">
      <c r="A2131" s="1" t="s">
        <v>191</v>
      </c>
      <c r="C2131" s="2" t="n">
        <f aca="false">Schedule!G135</f>
        <v>0.100052934477426</v>
      </c>
      <c r="D2131" s="2" t="n">
        <f aca="false">Schedule!L135</f>
        <v>0.138407949285097</v>
      </c>
      <c r="E2131" s="2" t="n">
        <f aca="false">Schedule!Q135</f>
        <v>0.657720540316049</v>
      </c>
      <c r="F2131" s="2" t="n">
        <f aca="false">Schedule!V135</f>
        <v>0.000833989358664077</v>
      </c>
      <c r="G2131" s="2" t="n">
        <f aca="false">Schedule!AA135</f>
        <v>0.0735292596096484</v>
      </c>
      <c r="H2131" s="2" t="n">
        <f aca="false">Schedule!AF135</f>
        <v>0.155649523346769</v>
      </c>
      <c r="I2131" s="2" t="n">
        <f aca="false">Schedule!AK135</f>
        <v>0.377330281529843</v>
      </c>
      <c r="J2131" s="2" t="n">
        <f aca="false">Schedule!AP135</f>
        <v>0.278433975231589</v>
      </c>
      <c r="K2131" s="2" t="n">
        <f aca="false">Schedule!AU135</f>
        <v>0.0978758942343276</v>
      </c>
      <c r="L2131" s="2" t="n">
        <f aca="false">Schedule!AZ135</f>
        <v>0.253825417414222</v>
      </c>
      <c r="M2131" s="2" t="n">
        <f aca="false">Schedule!BE135</f>
        <v>0.574365688155897</v>
      </c>
      <c r="N2131" s="2" t="n">
        <f aca="false">Schedule!BJ135</f>
        <v>0.190786952852511</v>
      </c>
      <c r="O2131" s="2" t="n">
        <f aca="false">Schedule!BO135</f>
        <v>0</v>
      </c>
    </row>
    <row r="2132" customFormat="false" ht="15" hidden="false" customHeight="false" outlineLevel="0" collapsed="false">
      <c r="B2132" s="2" t="n">
        <v>0</v>
      </c>
      <c r="C2132" s="2" t="n">
        <f aca="false">1-C$2131</f>
        <v>0.899947065522574</v>
      </c>
      <c r="D2132" s="2" t="n">
        <f aca="false">C2132*(1-D$2131)</f>
        <v>0.775387237718454</v>
      </c>
      <c r="E2132" s="2" t="n">
        <f aca="false">D2132*(1-E$2131)</f>
        <v>0.265399124772104</v>
      </c>
      <c r="F2132" s="2" t="n">
        <f aca="false">E2132*(1-F$2131)</f>
        <v>0.265177784726245</v>
      </c>
      <c r="G2132" s="2" t="n">
        <f aca="false">F2132*(1-G$2131)</f>
        <v>0.245679458550397</v>
      </c>
      <c r="H2132" s="2" t="n">
        <f aca="false">G2132*(1-H$2131)</f>
        <v>0.207439567930936</v>
      </c>
      <c r="I2132" s="2" t="n">
        <f aca="false">H2132*(1-I$2131)</f>
        <v>0.129166337363127</v>
      </c>
      <c r="J2132" s="2" t="n">
        <f aca="false">I2132*(1-J$2131)</f>
        <v>0.0932020405850069</v>
      </c>
      <c r="K2132" s="2" t="n">
        <f aca="false">J2132*(1-K$2131)</f>
        <v>0.0840798075182852</v>
      </c>
      <c r="L2132" s="2" t="n">
        <f aca="false">K2132*(1-L$2131)</f>
        <v>0.062738215278849</v>
      </c>
      <c r="M2132" s="2" t="n">
        <f aca="false">L2132*(1-M$2131)</f>
        <v>0.0267035370865401</v>
      </c>
      <c r="N2132" s="2" t="n">
        <f aca="false">M2132*(1-N$2131)</f>
        <v>0.0216088506154151</v>
      </c>
      <c r="O2132" s="2" t="n">
        <f aca="false">N2132*(1-O$2131)</f>
        <v>0.0216088506154151</v>
      </c>
    </row>
    <row r="2133" customFormat="false" ht="15" hidden="false" customHeight="false" outlineLevel="0" collapsed="false">
      <c r="B2133" s="2" t="n">
        <v>1</v>
      </c>
      <c r="C2133" s="2" t="n">
        <f aca="false">C$2131</f>
        <v>0.100052934477426</v>
      </c>
      <c r="D2133" s="2" t="n">
        <f aca="false">C2133*(1-D$2131)+C2132*D$2131</f>
        <v>0.21076464080057</v>
      </c>
      <c r="E2133" s="2" t="n">
        <f aca="false">D2133*(1-E$2131)+D2132*E$2131</f>
        <v>0.582128520320051</v>
      </c>
      <c r="F2133" s="2" t="n">
        <f aca="false">E2133*(1-F$2131)+E2132*F$2131</f>
        <v>0.581864371374588</v>
      </c>
      <c r="G2133" s="2" t="n">
        <f aca="false">F2133*(1-G$2131)+F2132*G$2131</f>
        <v>0.558578641130028</v>
      </c>
      <c r="H2133" s="2" t="n">
        <f aca="false">G2133*(1-H$2131)+G2132*H$2131</f>
        <v>0.509876032505915</v>
      </c>
      <c r="I2133" s="2" t="n">
        <f aca="false">H2133*(1-I$2131)+H2132*I$2131</f>
        <v>0.395757596182948</v>
      </c>
      <c r="J2133" s="2" t="n">
        <f aca="false">I2133*(1-J$2131)+I2132*J$2131</f>
        <v>0.321529532227752</v>
      </c>
      <c r="K2133" s="2" t="n">
        <f aca="false">J2133*(1-K$2131)+J2132*K$2131</f>
        <v>0.299181774804937</v>
      </c>
      <c r="L2133" s="2" t="n">
        <f aca="false">K2133*(1-L$2131)+K2132*L$2131</f>
        <v>0.244583428171782</v>
      </c>
      <c r="M2133" s="2" t="n">
        <f aca="false">L2133*(1-M$2131)+L2132*M$2131</f>
        <v>0.140137777330677</v>
      </c>
      <c r="N2133" s="2" t="n">
        <f aca="false">M2133*(1-N$2131)+M2132*N$2131</f>
        <v>0.118496004285358</v>
      </c>
      <c r="O2133" s="2" t="n">
        <f aca="false">N2133*(1-O$2131)+N2132*O$2131</f>
        <v>0.118496004285358</v>
      </c>
    </row>
    <row r="2134" customFormat="false" ht="15" hidden="false" customHeight="false" outlineLevel="0" collapsed="false">
      <c r="B2134" s="2" t="n">
        <v>2</v>
      </c>
      <c r="C2134" s="2" t="n">
        <f aca="false">0</f>
        <v>0</v>
      </c>
      <c r="D2134" s="2" t="n">
        <f aca="false">C2134*(1-D$2131)+C2133*D$2131</f>
        <v>0.0138481214809767</v>
      </c>
      <c r="E2134" s="2" t="n">
        <f aca="false">D2134*(1-E$2131)+D2133*E$2131</f>
        <v>0.143364160965015</v>
      </c>
      <c r="F2134" s="2" t="n">
        <f aca="false">E2134*(1-F$2131)+E2133*F$2131</f>
        <v>0.143730085771678</v>
      </c>
      <c r="G2134" s="2" t="n">
        <f aca="false">F2134*(1-G$2131)+F2133*G$2131</f>
        <v>0.175945775401662</v>
      </c>
      <c r="H2134" s="2" t="n">
        <f aca="false">G2134*(1-H$2131)+G2133*H$2131</f>
        <v>0.235502398569091</v>
      </c>
      <c r="I2134" s="2" t="n">
        <f aca="false">H2134*(1-I$2131)+H2133*I$2131</f>
        <v>0.339031879106839</v>
      </c>
      <c r="J2134" s="2" t="n">
        <f aca="false">I2134*(1-J$2131)+I2133*J$2131</f>
        <v>0.354826246010202</v>
      </c>
      <c r="K2134" s="2" t="n">
        <f aca="false">J2134*(1-K$2131)+J2133*K$2131</f>
        <v>0.35156730037368</v>
      </c>
      <c r="L2134" s="2" t="n">
        <f aca="false">K2134*(1-L$2131)+K2133*L$2131</f>
        <v>0.338270522479731</v>
      </c>
      <c r="M2134" s="2" t="n">
        <f aca="false">L2134*(1-M$2131)+L2133*M$2131</f>
        <v>0.28445987008622</v>
      </c>
      <c r="N2134" s="2" t="n">
        <f aca="false">M2134*(1-N$2131)+M2133*N$2131</f>
        <v>0.256925097780092</v>
      </c>
      <c r="O2134" s="2" t="n">
        <f aca="false">N2134*(1-O$2131)+N2133*O$2131</f>
        <v>0.256925097780092</v>
      </c>
    </row>
    <row r="2135" customFormat="false" ht="15" hidden="false" customHeight="false" outlineLevel="0" collapsed="false">
      <c r="B2135" s="2" t="n">
        <v>3</v>
      </c>
      <c r="C2135" s="2" t="n">
        <f aca="false">0</f>
        <v>0</v>
      </c>
      <c r="D2135" s="2" t="n">
        <f aca="false">C2135*(1-D$2131)+C2134*D$2131</f>
        <v>0</v>
      </c>
      <c r="E2135" s="2" t="n">
        <f aca="false">D2135*(1-E$2131)+D2134*E$2131</f>
        <v>0.00910819394283028</v>
      </c>
      <c r="F2135" s="2" t="n">
        <f aca="false">E2135*(1-F$2131)+E2134*F$2131</f>
        <v>0.00922016199066394</v>
      </c>
      <c r="G2135" s="2" t="n">
        <f aca="false">F2135*(1-G$2131)+F2134*G$2131</f>
        <v>0.0191105770964321</v>
      </c>
      <c r="H2135" s="2" t="n">
        <f aca="false">G2135*(1-H$2131)+G2134*H$2131</f>
        <v>0.0435219009566371</v>
      </c>
      <c r="I2135" s="2" t="n">
        <f aca="false">H2135*(1-I$2131)+H2134*I$2131</f>
        <v>0.115961956168984</v>
      </c>
      <c r="J2135" s="2" t="n">
        <f aca="false">I2135*(1-J$2131)+I2134*J$2131</f>
        <v>0.178072201567175</v>
      </c>
      <c r="K2135" s="2" t="n">
        <f aca="false">J2135*(1-K$2131)+J2134*K$2131</f>
        <v>0.19537216172657</v>
      </c>
      <c r="L2135" s="2" t="n">
        <f aca="false">K2135*(1-L$2131)+K2134*L$2131</f>
        <v>0.235018457991745</v>
      </c>
      <c r="M2135" s="2" t="n">
        <f aca="false">L2135*(1-M$2131)+L2134*M$2131</f>
        <v>0.294322901064904</v>
      </c>
      <c r="N2135" s="2" t="n">
        <f aca="false">M2135*(1-N$2131)+M2134*N$2131</f>
        <v>0.292441163438591</v>
      </c>
      <c r="O2135" s="2" t="n">
        <f aca="false">N2135*(1-O$2131)+N2134*O$2131</f>
        <v>0.292441163438591</v>
      </c>
    </row>
    <row r="2136" customFormat="false" ht="15" hidden="false" customHeight="false" outlineLevel="0" collapsed="false">
      <c r="B2136" s="2" t="n">
        <v>4</v>
      </c>
      <c r="C2136" s="2" t="n">
        <f aca="false">0</f>
        <v>0</v>
      </c>
      <c r="D2136" s="2" t="n">
        <f aca="false">C2136*(1-D$2131)+C2135*D$2131</f>
        <v>0</v>
      </c>
      <c r="E2136" s="2" t="n">
        <f aca="false">D2136*(1-E$2131)+D2135*E$2131</f>
        <v>0</v>
      </c>
      <c r="F2136" s="2" t="n">
        <f aca="false">E2136*(1-F$2131)+E2135*F$2131</f>
        <v>7.59613682496906E-006</v>
      </c>
      <c r="G2136" s="2" t="n">
        <f aca="false">F2136*(1-G$2131)+F2135*G$2131</f>
        <v>0.000684989283162876</v>
      </c>
      <c r="H2136" s="2" t="n">
        <f aca="false">G2136*(1-H$2131)+G2135*H$2131</f>
        <v>0.00355292324368226</v>
      </c>
      <c r="I2136" s="2" t="n">
        <f aca="false">H2136*(1-I$2131)+H2135*I$2131</f>
        <v>0.0186344288565715</v>
      </c>
      <c r="J2136" s="2" t="n">
        <f aca="false">I2136*(1-J$2131)+I2135*J$2131</f>
        <v>0.0457337191856275</v>
      </c>
      <c r="K2136" s="2" t="n">
        <f aca="false">J2136*(1-K$2131)+J2135*K$2131</f>
        <v>0.0586864664903352</v>
      </c>
      <c r="L2136" s="2" t="n">
        <f aca="false">K2136*(1-L$2131)+K2135*L$2131</f>
        <v>0.0933807701382257</v>
      </c>
      <c r="M2136" s="2" t="n">
        <f aca="false">L2136*(1-M$2131)+L2135*M$2131</f>
        <v>0.174732598191023</v>
      </c>
      <c r="N2136" s="2" t="n">
        <f aca="false">M2136*(1-N$2131)+M2135*N$2131</f>
        <v>0.197548867667039</v>
      </c>
      <c r="O2136" s="2" t="n">
        <f aca="false">N2136*(1-O$2131)+N2135*O$2131</f>
        <v>0.197548867667039</v>
      </c>
    </row>
    <row r="2137" customFormat="false" ht="15" hidden="false" customHeight="false" outlineLevel="0" collapsed="false">
      <c r="B2137" s="2" t="n">
        <v>5</v>
      </c>
      <c r="C2137" s="2" t="n">
        <f aca="false">0</f>
        <v>0</v>
      </c>
      <c r="D2137" s="2" t="n">
        <f aca="false">C2137*(1-D$2131)+C2136*D$2131</f>
        <v>0</v>
      </c>
      <c r="E2137" s="2" t="n">
        <f aca="false">D2137*(1-E$2131)+D2136*E$2131</f>
        <v>0</v>
      </c>
      <c r="F2137" s="2" t="n">
        <f aca="false">E2137*(1-F$2131)+E2136*F$2131</f>
        <v>0</v>
      </c>
      <c r="G2137" s="2" t="n">
        <f aca="false">F2137*(1-G$2131)+F2136*G$2131</f>
        <v>5.5853831663356E-007</v>
      </c>
      <c r="H2137" s="2" t="n">
        <f aca="false">G2137*(1-H$2131)+G2136*H$2131</f>
        <v>0.000107089857515825</v>
      </c>
      <c r="I2137" s="2" t="n">
        <f aca="false">H2137*(1-I$2131)+H2136*I$2131</f>
        <v>0.00140730713922294</v>
      </c>
      <c r="J2137" s="2" t="n">
        <f aca="false">I2137*(1-J$2131)+I2136*J$2131</f>
        <v>0.00620392312078275</v>
      </c>
      <c r="K2137" s="2" t="n">
        <f aca="false">J2137*(1-K$2131)+J2136*K$2131</f>
        <v>0.01007293725953</v>
      </c>
      <c r="L2137" s="2" t="n">
        <f aca="false">K2137*(1-L$2131)+K2136*L$2131</f>
        <v>0.0224122866085177</v>
      </c>
      <c r="M2137" s="2" t="n">
        <f aca="false">L2137*(1-M$2131)+L2136*M$2131</f>
        <v>0.0631741484884389</v>
      </c>
      <c r="N2137" s="2" t="n">
        <f aca="false">M2137*(1-N$2131)+M2136*N$2131</f>
        <v>0.0844580451721449</v>
      </c>
      <c r="O2137" s="2" t="n">
        <f aca="false">N2137*(1-O$2131)+N2136*O$2131</f>
        <v>0.0844580451721449</v>
      </c>
    </row>
    <row r="2138" customFormat="false" ht="15" hidden="false" customHeight="false" outlineLevel="0" collapsed="false">
      <c r="B2138" s="2" t="n">
        <v>6</v>
      </c>
      <c r="C2138" s="2" t="n">
        <f aca="false">0</f>
        <v>0</v>
      </c>
      <c r="D2138" s="2" t="n">
        <f aca="false">C2138*(1-D$2131)+C2137*D$2131</f>
        <v>0</v>
      </c>
      <c r="E2138" s="2" t="n">
        <f aca="false">D2138*(1-E$2131)+D2137*E$2131</f>
        <v>0</v>
      </c>
      <c r="F2138" s="2" t="n">
        <f aca="false">E2138*(1-F$2131)+E2137*F$2131</f>
        <v>0</v>
      </c>
      <c r="G2138" s="2" t="n">
        <f aca="false">F2138*(1-G$2131)+F2137*G$2131</f>
        <v>0</v>
      </c>
      <c r="H2138" s="2" t="n">
        <f aca="false">G2138*(1-H$2131)+G2137*H$2131</f>
        <v>8.693622275492E-008</v>
      </c>
      <c r="I2138" s="2" t="n">
        <f aca="false">H2138*(1-I$2131)+H2137*I$2131</f>
        <v>4.04623786387847E-005</v>
      </c>
      <c r="J2138" s="2" t="n">
        <f aca="false">I2138*(1-J$2131)+I2137*J$2131</f>
        <v>0.0004210383988527</v>
      </c>
      <c r="K2138" s="2" t="n">
        <f aca="false">J2138*(1-K$2131)+J2137*K$2131</f>
        <v>0.000987043412265635</v>
      </c>
      <c r="L2138" s="2" t="n">
        <f aca="false">K2138*(1-L$2131)+K2137*L$2131</f>
        <v>0.00329327421062884</v>
      </c>
      <c r="M2138" s="2" t="n">
        <f aca="false">L2138*(1-M$2131)+L2137*M$2131</f>
        <v>0.0142745789234034</v>
      </c>
      <c r="N2138" s="2" t="n">
        <f aca="false">M2138*(1-N$2131)+M2137*N$2131</f>
        <v>0.0236039787965159</v>
      </c>
      <c r="O2138" s="2" t="n">
        <f aca="false">N2138*(1-O$2131)+N2137*O$2131</f>
        <v>0.0236039787965159</v>
      </c>
    </row>
    <row r="2139" customFormat="false" ht="15" hidden="false" customHeight="false" outlineLevel="0" collapsed="false">
      <c r="B2139" s="2" t="n">
        <v>7</v>
      </c>
      <c r="C2139" s="2" t="n">
        <f aca="false">0</f>
        <v>0</v>
      </c>
      <c r="D2139" s="2" t="n">
        <f aca="false">C2139*(1-D$2131)+C2138*D$2131</f>
        <v>0</v>
      </c>
      <c r="E2139" s="2" t="n">
        <f aca="false">D2139*(1-E$2131)+D2138*E$2131</f>
        <v>0</v>
      </c>
      <c r="F2139" s="2" t="n">
        <f aca="false">E2139*(1-F$2131)+E2138*F$2131</f>
        <v>0</v>
      </c>
      <c r="G2139" s="2" t="n">
        <f aca="false">F2139*(1-G$2131)+F2138*G$2131</f>
        <v>0</v>
      </c>
      <c r="H2139" s="2" t="n">
        <f aca="false">G2139*(1-H$2131)+G2138*H$2131</f>
        <v>0</v>
      </c>
      <c r="I2139" s="2" t="n">
        <f aca="false">H2139*(1-I$2131)+H2138*I$2131</f>
        <v>3.28036694072551E-008</v>
      </c>
      <c r="J2139" s="2" t="n">
        <f aca="false">I2139*(1-J$2131)+I2138*J$2131</f>
        <v>1.12897709450546E-005</v>
      </c>
      <c r="K2139" s="2" t="n">
        <f aca="false">J2139*(1-K$2131)+J2138*K$2131</f>
        <v>5.13942843128041E-005</v>
      </c>
      <c r="L2139" s="2" t="n">
        <f aca="false">K2139*(1-L$2131)+K2138*L$2131</f>
        <v>0.000288885814768685</v>
      </c>
      <c r="M2139" s="2" t="n">
        <f aca="false">L2139*(1-M$2131)+L2138*M$2131</f>
        <v>0.00201450342324449</v>
      </c>
      <c r="N2139" s="2" t="n">
        <f aca="false">M2139*(1-N$2131)+M2138*N$2131</f>
        <v>0.00435356586966153</v>
      </c>
      <c r="O2139" s="2" t="n">
        <f aca="false">N2139*(1-O$2131)+N2138*O$2131</f>
        <v>0.00435356586966153</v>
      </c>
    </row>
    <row r="2140" customFormat="false" ht="15" hidden="false" customHeight="false" outlineLevel="0" collapsed="false">
      <c r="B2140" s="2" t="n">
        <v>8</v>
      </c>
      <c r="C2140" s="2" t="n">
        <f aca="false">0</f>
        <v>0</v>
      </c>
      <c r="D2140" s="2" t="n">
        <f aca="false">C2140*(1-D$2131)+C2139*D$2131</f>
        <v>0</v>
      </c>
      <c r="E2140" s="2" t="n">
        <f aca="false">D2140*(1-E$2131)+D2139*E$2131</f>
        <v>0</v>
      </c>
      <c r="F2140" s="2" t="n">
        <f aca="false">E2140*(1-F$2131)+E2139*F$2131</f>
        <v>0</v>
      </c>
      <c r="G2140" s="2" t="n">
        <f aca="false">F2140*(1-G$2131)+F2139*G$2131</f>
        <v>0</v>
      </c>
      <c r="H2140" s="2" t="n">
        <f aca="false">G2140*(1-H$2131)+G2139*H$2131</f>
        <v>0</v>
      </c>
      <c r="I2140" s="2" t="n">
        <f aca="false">H2140*(1-I$2131)+H2139*I$2131</f>
        <v>0</v>
      </c>
      <c r="J2140" s="2" t="n">
        <f aca="false">I2140*(1-J$2131)+I2139*J$2131</f>
        <v>9.13365607524491E-009</v>
      </c>
      <c r="K2140" s="2" t="n">
        <f aca="false">J2140*(1-K$2131)+J2139*K$2131</f>
        <v>1.1132361182672E-006</v>
      </c>
      <c r="L2140" s="2" t="n">
        <f aca="false">K2140*(1-L$2131)+K2139*L$2131</f>
        <v>1.38758441642702E-005</v>
      </c>
      <c r="M2140" s="2" t="n">
        <f aca="false">L2140*(1-M$2131)+L2139*M$2131</f>
        <v>0.000171832135180208</v>
      </c>
      <c r="N2140" s="2" t="n">
        <f aca="false">M2140*(1-N$2131)+M2139*N$2131</f>
        <v>0.000523389775338803</v>
      </c>
      <c r="O2140" s="2" t="n">
        <f aca="false">N2140*(1-O$2131)+N2139*O$2131</f>
        <v>0.000523389775338803</v>
      </c>
    </row>
    <row r="2141" customFormat="false" ht="15" hidden="false" customHeight="false" outlineLevel="0" collapsed="false">
      <c r="B2141" s="2" t="n">
        <v>9</v>
      </c>
      <c r="C2141" s="2" t="n">
        <f aca="false">0</f>
        <v>0</v>
      </c>
      <c r="D2141" s="2" t="n">
        <f aca="false">C2141*(1-D$2131)+C2140*D$2131</f>
        <v>0</v>
      </c>
      <c r="E2141" s="2" t="n">
        <f aca="false">D2141*(1-E$2131)+D2140*E$2131</f>
        <v>0</v>
      </c>
      <c r="F2141" s="2" t="n">
        <f aca="false">E2141*(1-F$2131)+E2140*F$2131</f>
        <v>0</v>
      </c>
      <c r="G2141" s="2" t="n">
        <f aca="false">F2141*(1-G$2131)+F2140*G$2131</f>
        <v>0</v>
      </c>
      <c r="H2141" s="2" t="n">
        <f aca="false">G2141*(1-H$2131)+G2140*H$2131</f>
        <v>0</v>
      </c>
      <c r="I2141" s="2" t="n">
        <f aca="false">H2141*(1-I$2131)+H2140*I$2131</f>
        <v>0</v>
      </c>
      <c r="J2141" s="2" t="n">
        <f aca="false">I2141*(1-J$2131)+I2140*J$2131</f>
        <v>0</v>
      </c>
      <c r="K2141" s="2" t="n">
        <f aca="false">J2141*(1-K$2131)+J2140*K$2131</f>
        <v>8.93964755993394E-010</v>
      </c>
      <c r="L2141" s="2" t="n">
        <f aca="false">K2141*(1-L$2131)+K2140*L$2131</f>
        <v>2.83234676178409E-007</v>
      </c>
      <c r="M2141" s="2" t="n">
        <f aca="false">L2141*(1-M$2131)+L2140*M$2131</f>
        <v>8.09036317864061E-006</v>
      </c>
      <c r="N2141" s="2" t="n">
        <f aca="false">M2141*(1-N$2131)+M2140*N$2131</f>
        <v>3.93301569134901E-005</v>
      </c>
      <c r="O2141" s="2" t="n">
        <f aca="false">N2141*(1-O$2131)+N2140*O$2131</f>
        <v>3.93301569134901E-005</v>
      </c>
    </row>
    <row r="2142" customFormat="false" ht="15" hidden="false" customHeight="false" outlineLevel="0" collapsed="false">
      <c r="B2142" s="2" t="n">
        <v>10</v>
      </c>
      <c r="C2142" s="2" t="n">
        <f aca="false">0</f>
        <v>0</v>
      </c>
      <c r="D2142" s="2" t="n">
        <f aca="false">C2142*(1-D$2131)+C2141*D$2131</f>
        <v>0</v>
      </c>
      <c r="E2142" s="2" t="n">
        <f aca="false">D2142*(1-E$2131)+D2141*E$2131</f>
        <v>0</v>
      </c>
      <c r="F2142" s="2" t="n">
        <f aca="false">E2142*(1-F$2131)+E2141*F$2131</f>
        <v>0</v>
      </c>
      <c r="G2142" s="2" t="n">
        <f aca="false">F2142*(1-G$2131)+F2141*G$2131</f>
        <v>0</v>
      </c>
      <c r="H2142" s="2" t="n">
        <f aca="false">G2142*(1-H$2131)+G2141*H$2131</f>
        <v>0</v>
      </c>
      <c r="I2142" s="2" t="n">
        <f aca="false">H2142*(1-I$2131)+H2141*I$2131</f>
        <v>0</v>
      </c>
      <c r="J2142" s="2" t="n">
        <f aca="false">I2142*(1-J$2131)+I2141*J$2131</f>
        <v>0</v>
      </c>
      <c r="K2142" s="2" t="n">
        <f aca="false">J2142*(1-K$2131)+J2141*K$2131</f>
        <v>0</v>
      </c>
      <c r="L2142" s="2" t="n">
        <f aca="false">K2142*(1-L$2131)+K2141*L$2131</f>
        <v>2.26910977343627E-010</v>
      </c>
      <c r="M2142" s="2" t="n">
        <f aca="false">L2142*(1-M$2131)+L2141*M$2131</f>
        <v>1.62776860790516E-007</v>
      </c>
      <c r="N2142" s="2" t="n">
        <f aca="false">M2142*(1-N$2131)+M2141*N$2131</f>
        <v>1.67525689784839E-006</v>
      </c>
      <c r="O2142" s="2" t="n">
        <f aca="false">N2142*(1-O$2131)+N2141*O$2131</f>
        <v>1.67525689784839E-006</v>
      </c>
    </row>
    <row r="2143" customFormat="false" ht="15" hidden="false" customHeight="false" outlineLevel="0" collapsed="false">
      <c r="B2143" s="2" t="n">
        <v>11</v>
      </c>
      <c r="C2143" s="2" t="n">
        <f aca="false">0</f>
        <v>0</v>
      </c>
      <c r="D2143" s="2" t="n">
        <f aca="false">C2143*(1-D$2131)+C2142*D$2131</f>
        <v>0</v>
      </c>
      <c r="E2143" s="2" t="n">
        <f aca="false">D2143*(1-E$2131)+D2142*E$2131</f>
        <v>0</v>
      </c>
      <c r="F2143" s="2" t="n">
        <f aca="false">E2143*(1-F$2131)+E2142*F$2131</f>
        <v>0</v>
      </c>
      <c r="G2143" s="2" t="n">
        <f aca="false">F2143*(1-G$2131)+F2142*G$2131</f>
        <v>0</v>
      </c>
      <c r="H2143" s="2" t="n">
        <f aca="false">G2143*(1-H$2131)+G2142*H$2131</f>
        <v>0</v>
      </c>
      <c r="I2143" s="2" t="n">
        <f aca="false">H2143*(1-I$2131)+H2142*I$2131</f>
        <v>0</v>
      </c>
      <c r="J2143" s="2" t="n">
        <f aca="false">I2143*(1-J$2131)+I2142*J$2131</f>
        <v>0</v>
      </c>
      <c r="K2143" s="2" t="n">
        <f aca="false">J2143*(1-K$2131)+J2142*K$2131</f>
        <v>0</v>
      </c>
      <c r="L2143" s="2" t="n">
        <f aca="false">K2143*(1-L$2131)+K2142*L$2131</f>
        <v>0</v>
      </c>
      <c r="M2143" s="2" t="n">
        <f aca="false">L2143*(1-M$2131)+L2142*M$2131</f>
        <v>1.30329879652099E-010</v>
      </c>
      <c r="N2143" s="2" t="n">
        <f aca="false">M2143*(1-N$2131)+M2142*N$2131</f>
        <v>3.11611659041676E-008</v>
      </c>
      <c r="O2143" s="2" t="n">
        <f aca="false">N2143*(1-O$2131)+N2142*O$2131</f>
        <v>3.11611659041676E-008</v>
      </c>
    </row>
    <row r="2144" customFormat="false" ht="15" hidden="false" customHeight="false" outlineLevel="0" collapsed="false">
      <c r="B2144" s="2" t="n">
        <v>12</v>
      </c>
      <c r="C2144" s="2" t="n">
        <f aca="false">0</f>
        <v>0</v>
      </c>
      <c r="D2144" s="2" t="n">
        <f aca="false">C2144*(1-D$2131)+C2143*D$2131</f>
        <v>0</v>
      </c>
      <c r="E2144" s="2" t="n">
        <f aca="false">D2144*(1-E$2131)+D2143*E$2131</f>
        <v>0</v>
      </c>
      <c r="F2144" s="2" t="n">
        <f aca="false">E2144*(1-F$2131)+E2143*F$2131</f>
        <v>0</v>
      </c>
      <c r="G2144" s="2" t="n">
        <f aca="false">F2144*(1-G$2131)+F2143*G$2131</f>
        <v>0</v>
      </c>
      <c r="H2144" s="2" t="n">
        <f aca="false">G2144*(1-H$2131)+G2143*H$2131</f>
        <v>0</v>
      </c>
      <c r="I2144" s="2" t="n">
        <f aca="false">H2144*(1-I$2131)+H2143*I$2131</f>
        <v>0</v>
      </c>
      <c r="J2144" s="2" t="n">
        <f aca="false">I2144*(1-J$2131)+I2143*J$2131</f>
        <v>0</v>
      </c>
      <c r="K2144" s="2" t="n">
        <f aca="false">J2144*(1-K$2131)+J2143*K$2131</f>
        <v>0</v>
      </c>
      <c r="L2144" s="2" t="n">
        <f aca="false">K2144*(1-L$2131)+K2143*L$2131</f>
        <v>0</v>
      </c>
      <c r="M2144" s="2" t="n">
        <f aca="false">L2144*(1-M$2131)+L2143*M$2131</f>
        <v>0</v>
      </c>
      <c r="N2144" s="2" t="n">
        <f aca="false">M2144*(1-N$2131)+M2143*N$2131</f>
        <v>2.48652406044585E-011</v>
      </c>
      <c r="O2144" s="2" t="n">
        <f aca="false">N2144*(1-O$2131)+N2143*O$2131</f>
        <v>2.48652406044585E-011</v>
      </c>
    </row>
    <row r="2145" customFormat="false" ht="15" hidden="false" customHeight="false" outlineLevel="0" collapsed="false">
      <c r="B2145" s="2" t="n">
        <v>13</v>
      </c>
      <c r="C2145" s="2" t="n">
        <f aca="false">0</f>
        <v>0</v>
      </c>
      <c r="D2145" s="2" t="n">
        <f aca="false">C2145*(1-D$2131)+C2144*D$2131</f>
        <v>0</v>
      </c>
      <c r="E2145" s="2" t="n">
        <f aca="false">D2145*(1-E$2131)+D2144*E$2131</f>
        <v>0</v>
      </c>
      <c r="F2145" s="2" t="n">
        <f aca="false">E2145*(1-F$2131)+E2144*F$2131</f>
        <v>0</v>
      </c>
      <c r="G2145" s="2" t="n">
        <f aca="false">F2145*(1-G$2131)+F2144*G$2131</f>
        <v>0</v>
      </c>
      <c r="H2145" s="2" t="n">
        <f aca="false">G2145*(1-H$2131)+G2144*H$2131</f>
        <v>0</v>
      </c>
      <c r="I2145" s="2" t="n">
        <f aca="false">H2145*(1-I$2131)+H2144*I$2131</f>
        <v>0</v>
      </c>
      <c r="J2145" s="2" t="n">
        <f aca="false">I2145*(1-J$2131)+I2144*J$2131</f>
        <v>0</v>
      </c>
      <c r="K2145" s="2" t="n">
        <f aca="false">J2145*(1-K$2131)+J2144*K$2131</f>
        <v>0</v>
      </c>
      <c r="L2145" s="2" t="n">
        <f aca="false">K2145*(1-L$2131)+K2144*L$2131</f>
        <v>0</v>
      </c>
      <c r="M2145" s="2" t="n">
        <f aca="false">L2145*(1-M$2131)+L2144*M$2131</f>
        <v>0</v>
      </c>
      <c r="N2145" s="2" t="n">
        <f aca="false">M2145*(1-N$2131)+M2144*N$2131</f>
        <v>0</v>
      </c>
      <c r="O2145" s="2" t="n">
        <f aca="false">N2145*(1-O$2131)+N2144*O$2131</f>
        <v>0</v>
      </c>
    </row>
    <row r="2147" customFormat="false" ht="15" hidden="false" customHeight="false" outlineLevel="0" collapsed="false">
      <c r="A2147" s="1" t="s">
        <v>192</v>
      </c>
      <c r="C2147" s="2" t="n">
        <f aca="false">Schedule!G136</f>
        <v>0.377330281529843</v>
      </c>
      <c r="D2147" s="2" t="n">
        <f aca="false">Schedule!L136</f>
        <v>0.0968004845856103</v>
      </c>
      <c r="E2147" s="2" t="n">
        <f aca="false">Schedule!Q136</f>
        <v>0.221020868167314</v>
      </c>
      <c r="F2147" s="2" t="n">
        <f aca="false">Schedule!V136</f>
        <v>0.0925855756567949</v>
      </c>
      <c r="G2147" s="2" t="n">
        <f aca="false">Schedule!AA136</f>
        <v>0.0217566051377242</v>
      </c>
      <c r="H2147" s="2" t="n">
        <f aca="false">Schedule!AF136</f>
        <v>0.243919501888608</v>
      </c>
      <c r="I2147" s="2" t="n">
        <f aca="false">Schedule!AK136</f>
        <v>0.182401771838494</v>
      </c>
      <c r="J2147" s="2" t="n">
        <f aca="false">Schedule!AP136</f>
        <v>0.243919501888608</v>
      </c>
      <c r="K2147" s="2" t="n">
        <f aca="false">Schedule!AU136</f>
        <v>0.148300535064625</v>
      </c>
      <c r="L2147" s="2" t="n">
        <f aca="false">Schedule!AZ136</f>
        <v>0.0692699834362408</v>
      </c>
      <c r="M2147" s="2" t="n">
        <f aca="false">Schedule!BE136</f>
        <v>0.425634311844103</v>
      </c>
      <c r="N2147" s="2" t="n">
        <f aca="false">Schedule!BJ136</f>
        <v>0.365517152690043</v>
      </c>
      <c r="O2147" s="2" t="n">
        <f aca="false">Schedule!BO136</f>
        <v>0</v>
      </c>
    </row>
    <row r="2148" customFormat="false" ht="15" hidden="false" customHeight="false" outlineLevel="0" collapsed="false">
      <c r="B2148" s="2" t="n">
        <v>0</v>
      </c>
      <c r="C2148" s="2" t="n">
        <f aca="false">1-C$2147</f>
        <v>0.622669718470157</v>
      </c>
      <c r="D2148" s="2" t="n">
        <f aca="false">C2148*(1-D$2147)</f>
        <v>0.56239498798546</v>
      </c>
      <c r="E2148" s="2" t="n">
        <f aca="false">D2148*(1-E$2147)</f>
        <v>0.438093959487968</v>
      </c>
      <c r="F2148" s="2" t="n">
        <f aca="false">E2148*(1-F$2147)</f>
        <v>0.39753277805701</v>
      </c>
      <c r="G2148" s="2" t="n">
        <f aca="false">F2148*(1-G$2147)</f>
        <v>0.388883814375521</v>
      </c>
      <c r="H2148" s="2" t="n">
        <f aca="false">G2148*(1-H$2147)</f>
        <v>0.294027468080502</v>
      </c>
      <c r="I2148" s="2" t="n">
        <f aca="false">H2148*(1-I$2147)</f>
        <v>0.240396336933432</v>
      </c>
      <c r="J2148" s="2" t="n">
        <f aca="false">I2148*(1-J$2147)</f>
        <v>0.181758982172783</v>
      </c>
      <c r="K2148" s="2" t="n">
        <f aca="false">J2148*(1-K$2147)</f>
        <v>0.154804027863758</v>
      </c>
      <c r="L2148" s="2" t="n">
        <f aca="false">K2148*(1-L$2147)</f>
        <v>0.144080755417772</v>
      </c>
      <c r="M2148" s="2" t="n">
        <f aca="false">L2148*(1-M$2147)</f>
        <v>0.0827550422355502</v>
      </c>
      <c r="N2148" s="2" t="n">
        <f aca="false">M2148*(1-N$2147)</f>
        <v>0.0525066548268676</v>
      </c>
      <c r="O2148" s="2" t="n">
        <f aca="false">N2148*(1-O$2147)</f>
        <v>0.0525066548268676</v>
      </c>
    </row>
    <row r="2149" customFormat="false" ht="15" hidden="false" customHeight="false" outlineLevel="0" collapsed="false">
      <c r="B2149" s="2" t="n">
        <v>1</v>
      </c>
      <c r="C2149" s="2" t="n">
        <f aca="false">C$2147</f>
        <v>0.377330281529843</v>
      </c>
      <c r="D2149" s="2" t="n">
        <f aca="false">C2149*(1-D$2147)+C2148*D$2147</f>
        <v>0.401079257913626</v>
      </c>
      <c r="E2149" s="2" t="n">
        <f aca="false">D2149*(1-E$2147)+D2148*E$2147</f>
        <v>0.436733400623147</v>
      </c>
      <c r="F2149" s="2" t="n">
        <f aca="false">E2149*(1-F$2147)+E2148*F$2147</f>
        <v>0.436859368748861</v>
      </c>
      <c r="G2149" s="2" t="n">
        <f aca="false">F2149*(1-G$2147)+F2148*G$2147</f>
        <v>0.436003755643766</v>
      </c>
      <c r="H2149" s="2" t="n">
        <f aca="false">G2149*(1-H$2147)+G2148*H$2147</f>
        <v>0.424510283040595</v>
      </c>
      <c r="I2149" s="2" t="n">
        <f aca="false">H2149*(1-I$2147)+H2148*I$2147</f>
        <v>0.4007099863974</v>
      </c>
      <c r="J2149" s="2" t="n">
        <f aca="false">I2149*(1-J$2147)+I2148*J$2147</f>
        <v>0.361606360874204</v>
      </c>
      <c r="K2149" s="2" t="n">
        <f aca="false">J2149*(1-K$2147)+J2148*K$2147</f>
        <v>0.334934898382813</v>
      </c>
      <c r="L2149" s="2" t="n">
        <f aca="false">K2149*(1-L$2147)+K2148*L$2147</f>
        <v>0.322457235965602</v>
      </c>
      <c r="M2149" s="2" t="n">
        <f aca="false">L2149*(1-M$2147)+L2148*M$2147</f>
        <v>0.246534085418454</v>
      </c>
      <c r="N2149" s="2" t="n">
        <f aca="false">M2149*(1-N$2147)+M2148*N$2147</f>
        <v>0.186670035883939</v>
      </c>
      <c r="O2149" s="2" t="n">
        <f aca="false">N2149*(1-O$2147)+N2148*O$2147</f>
        <v>0.186670035883939</v>
      </c>
    </row>
    <row r="2150" customFormat="false" ht="15" hidden="false" customHeight="false" outlineLevel="0" collapsed="false">
      <c r="B2150" s="2" t="n">
        <v>2</v>
      </c>
      <c r="C2150" s="2" t="n">
        <f aca="false">0</f>
        <v>0</v>
      </c>
      <c r="D2150" s="2" t="n">
        <f aca="false">C2150*(1-D$2147)+C2149*D$2147</f>
        <v>0.0365257541009136</v>
      </c>
      <c r="E2150" s="2" t="n">
        <f aca="false">D2150*(1-E$2147)+D2149*E$2147</f>
        <v>0.117099686007035</v>
      </c>
      <c r="F2150" s="2" t="n">
        <f aca="false">E2150*(1-F$2147)+E2149*F$2147</f>
        <v>0.146693157474088</v>
      </c>
      <c r="G2150" s="2" t="n">
        <f aca="false">F2150*(1-G$2147)+F2149*G$2147</f>
        <v>0.153006189157102</v>
      </c>
      <c r="H2150" s="2" t="n">
        <f aca="false">G2150*(1-H$2147)+G2149*H$2147</f>
        <v>0.222034814610218</v>
      </c>
      <c r="I2150" s="2" t="n">
        <f aca="false">H2150*(1-I$2147)+H2149*I$2147</f>
        <v>0.258966698805748</v>
      </c>
      <c r="J2150" s="2" t="n">
        <f aca="false">I2150*(1-J$2147)+I2149*J$2147</f>
        <v>0.293540650911157</v>
      </c>
      <c r="K2150" s="2" t="n">
        <f aca="false">J2150*(1-K$2147)+J2149*K$2147</f>
        <v>0.303634832118231</v>
      </c>
      <c r="L2150" s="2" t="n">
        <f aca="false">K2150*(1-L$2147)+K2149*L$2147</f>
        <v>0.305802987189931</v>
      </c>
      <c r="M2150" s="2" t="n">
        <f aca="false">L2150*(1-M$2147)+L2149*M$2147</f>
        <v>0.312891606906845</v>
      </c>
      <c r="N2150" s="2" t="n">
        <f aca="false">M2150*(1-N$2147)+M2149*N$2147</f>
        <v>0.28863679459284</v>
      </c>
      <c r="O2150" s="2" t="n">
        <f aca="false">N2150*(1-O$2147)+N2149*O$2147</f>
        <v>0.28863679459284</v>
      </c>
    </row>
    <row r="2151" customFormat="false" ht="15" hidden="false" customHeight="false" outlineLevel="0" collapsed="false">
      <c r="B2151" s="2" t="n">
        <v>3</v>
      </c>
      <c r="C2151" s="2" t="n">
        <f aca="false">0</f>
        <v>0</v>
      </c>
      <c r="D2151" s="2" t="n">
        <f aca="false">C2151*(1-D$2147)+C2150*D$2147</f>
        <v>0</v>
      </c>
      <c r="E2151" s="2" t="n">
        <f aca="false">D2151*(1-E$2147)+D2150*E$2147</f>
        <v>0.00807295388184973</v>
      </c>
      <c r="F2151" s="2" t="n">
        <f aca="false">E2151*(1-F$2147)+E2150*F$2147</f>
        <v>0.0181672566376392</v>
      </c>
      <c r="G2151" s="2" t="n">
        <f aca="false">F2151*(1-G$2147)+F2150*G$2147</f>
        <v>0.0209635439121081</v>
      </c>
      <c r="H2151" s="2" t="n">
        <f aca="false">G2151*(1-H$2147)+G2150*H$2147</f>
        <v>0.0531713201683213</v>
      </c>
      <c r="I2151" s="2" t="n">
        <f aca="false">H2151*(1-I$2147)+H2150*I$2147</f>
        <v>0.083972320753363</v>
      </c>
      <c r="J2151" s="2" t="n">
        <f aca="false">I2151*(1-J$2147)+I2150*J$2147</f>
        <v>0.126656862281207</v>
      </c>
      <c r="K2151" s="2" t="n">
        <f aca="false">J2151*(1-K$2147)+J2150*K$2147</f>
        <v>0.151405817428641</v>
      </c>
      <c r="L2151" s="2" t="n">
        <f aca="false">K2151*(1-L$2147)+K2150*L$2147</f>
        <v>0.161950718754704</v>
      </c>
      <c r="M2151" s="2" t="n">
        <f aca="false">L2151*(1-M$2147)+L2150*M$2147</f>
        <v>0.223179180037345</v>
      </c>
      <c r="N2151" s="2" t="n">
        <f aca="false">M2151*(1-N$2147)+M2150*N$2147</f>
        <v>0.255970610867598</v>
      </c>
      <c r="O2151" s="2" t="n">
        <f aca="false">N2151*(1-O$2147)+N2150*O$2147</f>
        <v>0.255970610867598</v>
      </c>
    </row>
    <row r="2152" customFormat="false" ht="15" hidden="false" customHeight="false" outlineLevel="0" collapsed="false">
      <c r="B2152" s="2" t="n">
        <v>4</v>
      </c>
      <c r="C2152" s="2" t="n">
        <f aca="false">0</f>
        <v>0</v>
      </c>
      <c r="D2152" s="2" t="n">
        <f aca="false">C2152*(1-D$2147)+C2151*D$2147</f>
        <v>0</v>
      </c>
      <c r="E2152" s="2" t="n">
        <f aca="false">D2152*(1-E$2147)+D2151*E$2147</f>
        <v>0</v>
      </c>
      <c r="F2152" s="2" t="n">
        <f aca="false">E2152*(1-F$2147)+E2151*F$2147</f>
        <v>0.000747439082401815</v>
      </c>
      <c r="G2152" s="2" t="n">
        <f aca="false">F2152*(1-G$2147)+F2151*G$2147</f>
        <v>0.00112643517452231</v>
      </c>
      <c r="H2152" s="2" t="n">
        <f aca="false">G2152*(1-H$2147)+G2151*H$2147</f>
        <v>0.0059650928567044</v>
      </c>
      <c r="I2152" s="2" t="n">
        <f aca="false">H2152*(1-I$2147)+H2151*I$2147</f>
        <v>0.0145755923601541</v>
      </c>
      <c r="J2152" s="2" t="n">
        <f aca="false">I2152*(1-J$2147)+I2151*J$2147</f>
        <v>0.0315028077825246</v>
      </c>
      <c r="K2152" s="2" t="n">
        <f aca="false">J2152*(1-K$2147)+J2151*K$2147</f>
        <v>0.0456142049782478</v>
      </c>
      <c r="L2152" s="2" t="n">
        <f aca="false">K2152*(1-L$2147)+K2151*L$2147</f>
        <v>0.0529423882203797</v>
      </c>
      <c r="M2152" s="2" t="n">
        <f aca="false">L2152*(1-M$2147)+L2151*M$2147</f>
        <v>0.0993400739726313</v>
      </c>
      <c r="N2152" s="2" t="n">
        <f aca="false">M2152*(1-N$2147)+M2151*N$2147</f>
        <v>0.144605391413086</v>
      </c>
      <c r="O2152" s="2" t="n">
        <f aca="false">N2152*(1-O$2147)+N2151*O$2147</f>
        <v>0.144605391413086</v>
      </c>
    </row>
    <row r="2153" customFormat="false" ht="15" hidden="false" customHeight="false" outlineLevel="0" collapsed="false">
      <c r="B2153" s="2" t="n">
        <v>5</v>
      </c>
      <c r="C2153" s="2" t="n">
        <f aca="false">0</f>
        <v>0</v>
      </c>
      <c r="D2153" s="2" t="n">
        <f aca="false">C2153*(1-D$2147)+C2152*D$2147</f>
        <v>0</v>
      </c>
      <c r="E2153" s="2" t="n">
        <f aca="false">D2153*(1-E$2147)+D2152*E$2147</f>
        <v>0</v>
      </c>
      <c r="F2153" s="2" t="n">
        <f aca="false">E2153*(1-F$2147)+E2152*F$2147</f>
        <v>0</v>
      </c>
      <c r="G2153" s="2" t="n">
        <f aca="false">F2153*(1-G$2147)+F2152*G$2147</f>
        <v>1.62617369803192E-005</v>
      </c>
      <c r="H2153" s="2" t="n">
        <f aca="false">G2153*(1-H$2147)+G2152*H$2147</f>
        <v>0.000287054688875526</v>
      </c>
      <c r="I2153" s="2" t="n">
        <f aca="false">H2153*(1-I$2147)+H2152*I$2147</f>
        <v>0.00132273891125411</v>
      </c>
      <c r="J2153" s="2" t="n">
        <f aca="false">I2153*(1-J$2147)+I2152*J$2147</f>
        <v>0.00455536832311251</v>
      </c>
      <c r="K2153" s="2" t="n">
        <f aca="false">J2153*(1-K$2147)+J2152*K$2147</f>
        <v>0.00855168801356491</v>
      </c>
      <c r="L2153" s="2" t="n">
        <f aca="false">K2153*(1-L$2147)+K2152*L$2147</f>
        <v>0.0111190079498139</v>
      </c>
      <c r="M2153" s="2" t="n">
        <f aca="false">L2153*(1-M$2147)+L2152*M$2147</f>
        <v>0.0289204736302704</v>
      </c>
      <c r="N2153" s="2" t="n">
        <f aca="false">M2153*(1-N$2147)+M2152*N$2147</f>
        <v>0.0546600454409809</v>
      </c>
      <c r="O2153" s="2" t="n">
        <f aca="false">N2153*(1-O$2147)+N2152*O$2147</f>
        <v>0.0546600454409809</v>
      </c>
    </row>
    <row r="2154" customFormat="false" ht="15" hidden="false" customHeight="false" outlineLevel="0" collapsed="false">
      <c r="B2154" s="2" t="n">
        <v>6</v>
      </c>
      <c r="C2154" s="2" t="n">
        <f aca="false">0</f>
        <v>0</v>
      </c>
      <c r="D2154" s="2" t="n">
        <f aca="false">C2154*(1-D$2147)+C2153*D$2147</f>
        <v>0</v>
      </c>
      <c r="E2154" s="2" t="n">
        <f aca="false">D2154*(1-E$2147)+D2153*E$2147</f>
        <v>0</v>
      </c>
      <c r="F2154" s="2" t="n">
        <f aca="false">E2154*(1-F$2147)+E2153*F$2147</f>
        <v>0</v>
      </c>
      <c r="G2154" s="2" t="n">
        <f aca="false">F2154*(1-G$2147)+F2153*G$2147</f>
        <v>0</v>
      </c>
      <c r="H2154" s="2" t="n">
        <f aca="false">G2154*(1-H$2147)+G2153*H$2147</f>
        <v>3.96655478408301E-006</v>
      </c>
      <c r="I2154" s="2" t="n">
        <f aca="false">H2154*(1-I$2147)+H2153*I$2147</f>
        <v>5.56023320288154E-005</v>
      </c>
      <c r="J2154" s="2" t="n">
        <f aca="false">I2154*(1-J$2147)+I2153*J$2147</f>
        <v>0.000364681655258284</v>
      </c>
      <c r="K2154" s="2" t="n">
        <f aca="false">J2154*(1-K$2147)+J2153*K$2147</f>
        <v>0.000986162730389256</v>
      </c>
      <c r="L2154" s="2" t="n">
        <f aca="false">K2154*(1-L$2147)+K2153*L$2147</f>
        <v>0.00151022654144129</v>
      </c>
      <c r="M2154" s="2" t="n">
        <f aca="false">L2154*(1-M$2147)+L2153*M$2147</f>
        <v>0.00560005360385437</v>
      </c>
      <c r="N2154" s="2" t="n">
        <f aca="false">M2154*(1-N$2147)+M2153*N$2147</f>
        <v>0.0141240671314458</v>
      </c>
      <c r="O2154" s="2" t="n">
        <f aca="false">N2154*(1-O$2147)+N2153*O$2147</f>
        <v>0.0141240671314458</v>
      </c>
    </row>
    <row r="2155" customFormat="false" ht="15" hidden="false" customHeight="false" outlineLevel="0" collapsed="false">
      <c r="B2155" s="2" t="n">
        <v>7</v>
      </c>
      <c r="C2155" s="2" t="n">
        <f aca="false">0</f>
        <v>0</v>
      </c>
      <c r="D2155" s="2" t="n">
        <f aca="false">C2155*(1-D$2147)+C2154*D$2147</f>
        <v>0</v>
      </c>
      <c r="E2155" s="2" t="n">
        <f aca="false">D2155*(1-E$2147)+D2154*E$2147</f>
        <v>0</v>
      </c>
      <c r="F2155" s="2" t="n">
        <f aca="false">E2155*(1-F$2147)+E2154*F$2147</f>
        <v>0</v>
      </c>
      <c r="G2155" s="2" t="n">
        <f aca="false">F2155*(1-G$2147)+F2154*G$2147</f>
        <v>0</v>
      </c>
      <c r="H2155" s="2" t="n">
        <f aca="false">G2155*(1-H$2147)+G2154*H$2147</f>
        <v>0</v>
      </c>
      <c r="I2155" s="2" t="n">
        <f aca="false">H2155*(1-I$2147)+H2154*I$2147</f>
        <v>7.23506620711197E-007</v>
      </c>
      <c r="J2155" s="2" t="n">
        <f aca="false">I2155*(1-J$2147)+I2154*J$2147</f>
        <v>1.41095223784879E-005</v>
      </c>
      <c r="K2155" s="2" t="n">
        <f aca="false">J2155*(1-K$2147)+J2154*K$2147</f>
        <v>6.60995572633085E-005</v>
      </c>
      <c r="L2155" s="2" t="n">
        <f aca="false">K2155*(1-L$2147)+K2154*L$2147</f>
        <v>0.000129832318026038</v>
      </c>
      <c r="M2155" s="2" t="n">
        <f aca="false">L2155*(1-M$2147)+L2154*M$2147</f>
        <v>0.000717375463382965</v>
      </c>
      <c r="N2155" s="2" t="n">
        <f aca="false">M2155*(1-N$2147)+M2154*N$2147</f>
        <v>0.00250207807478999</v>
      </c>
      <c r="O2155" s="2" t="n">
        <f aca="false">N2155*(1-O$2147)+N2154*O$2147</f>
        <v>0.00250207807478999</v>
      </c>
    </row>
    <row r="2156" customFormat="false" ht="15" hidden="false" customHeight="false" outlineLevel="0" collapsed="false">
      <c r="B2156" s="2" t="n">
        <v>8</v>
      </c>
      <c r="C2156" s="2" t="n">
        <f aca="false">0</f>
        <v>0</v>
      </c>
      <c r="D2156" s="2" t="n">
        <f aca="false">C2156*(1-D$2147)+C2155*D$2147</f>
        <v>0</v>
      </c>
      <c r="E2156" s="2" t="n">
        <f aca="false">D2156*(1-E$2147)+D2155*E$2147</f>
        <v>0</v>
      </c>
      <c r="F2156" s="2" t="n">
        <f aca="false">E2156*(1-F$2147)+E2155*F$2147</f>
        <v>0</v>
      </c>
      <c r="G2156" s="2" t="n">
        <f aca="false">F2156*(1-G$2147)+F2155*G$2147</f>
        <v>0</v>
      </c>
      <c r="H2156" s="2" t="n">
        <f aca="false">G2156*(1-H$2147)+G2155*H$2147</f>
        <v>0</v>
      </c>
      <c r="I2156" s="2" t="n">
        <f aca="false">H2156*(1-I$2147)+H2155*I$2147</f>
        <v>0</v>
      </c>
      <c r="J2156" s="2" t="n">
        <f aca="false">I2156*(1-J$2147)+I2155*J$2147</f>
        <v>1.76477374536985E-007</v>
      </c>
      <c r="K2156" s="2" t="n">
        <f aca="false">J2156*(1-K$2147)+J2155*K$2147</f>
        <v>2.2427554037024E-006</v>
      </c>
      <c r="L2156" s="2" t="n">
        <f aca="false">K2156*(1-L$2147)+K2155*L$2147</f>
        <v>6.66611501080862E-006</v>
      </c>
      <c r="M2156" s="2" t="n">
        <f aca="false">L2156*(1-M$2147)+L2155*M$2147</f>
        <v>5.90898770736468E-005</v>
      </c>
      <c r="N2156" s="2" t="n">
        <f aca="false">M2156*(1-N$2147)+M2155*N$2147</f>
        <v>0.000299704550238324</v>
      </c>
      <c r="O2156" s="2" t="n">
        <f aca="false">N2156*(1-O$2147)+N2155*O$2147</f>
        <v>0.000299704550238324</v>
      </c>
    </row>
    <row r="2157" customFormat="false" ht="15" hidden="false" customHeight="false" outlineLevel="0" collapsed="false">
      <c r="B2157" s="2" t="n">
        <v>9</v>
      </c>
      <c r="C2157" s="2" t="n">
        <f aca="false">0</f>
        <v>0</v>
      </c>
      <c r="D2157" s="2" t="n">
        <f aca="false">C2157*(1-D$2147)+C2156*D$2147</f>
        <v>0</v>
      </c>
      <c r="E2157" s="2" t="n">
        <f aca="false">D2157*(1-E$2147)+D2156*E$2147</f>
        <v>0</v>
      </c>
      <c r="F2157" s="2" t="n">
        <f aca="false">E2157*(1-F$2147)+E2156*F$2147</f>
        <v>0</v>
      </c>
      <c r="G2157" s="2" t="n">
        <f aca="false">F2157*(1-G$2147)+F2156*G$2147</f>
        <v>0</v>
      </c>
      <c r="H2157" s="2" t="n">
        <f aca="false">G2157*(1-H$2147)+G2156*H$2147</f>
        <v>0</v>
      </c>
      <c r="I2157" s="2" t="n">
        <f aca="false">H2157*(1-I$2147)+H2156*I$2147</f>
        <v>0</v>
      </c>
      <c r="J2157" s="2" t="n">
        <f aca="false">I2157*(1-J$2147)+I2156*J$2147</f>
        <v>0</v>
      </c>
      <c r="K2157" s="2" t="n">
        <f aca="false">J2157*(1-K$2147)+J2156*K$2147</f>
        <v>2.61716890706351E-008</v>
      </c>
      <c r="L2157" s="2" t="n">
        <f aca="false">K2157*(1-L$2147)+K2156*L$2147</f>
        <v>1.79714406268219E-007</v>
      </c>
      <c r="M2157" s="2" t="n">
        <f aca="false">L2157*(1-M$2147)+L2156*M$2147</f>
        <v>2.94054906392695E-006</v>
      </c>
      <c r="N2157" s="2" t="n">
        <f aca="false">M2157*(1-N$2147)+M2156*N$2147</f>
        <v>2.3464091563499E-005</v>
      </c>
      <c r="O2157" s="2" t="n">
        <f aca="false">N2157*(1-O$2147)+N2156*O$2147</f>
        <v>2.3464091563499E-005</v>
      </c>
    </row>
    <row r="2158" customFormat="false" ht="15" hidden="false" customHeight="false" outlineLevel="0" collapsed="false">
      <c r="B2158" s="2" t="n">
        <v>10</v>
      </c>
      <c r="C2158" s="2" t="n">
        <f aca="false">0</f>
        <v>0</v>
      </c>
      <c r="D2158" s="2" t="n">
        <f aca="false">C2158*(1-D$2147)+C2157*D$2147</f>
        <v>0</v>
      </c>
      <c r="E2158" s="2" t="n">
        <f aca="false">D2158*(1-E$2147)+D2157*E$2147</f>
        <v>0</v>
      </c>
      <c r="F2158" s="2" t="n">
        <f aca="false">E2158*(1-F$2147)+E2157*F$2147</f>
        <v>0</v>
      </c>
      <c r="G2158" s="2" t="n">
        <f aca="false">F2158*(1-G$2147)+F2157*G$2147</f>
        <v>0</v>
      </c>
      <c r="H2158" s="2" t="n">
        <f aca="false">G2158*(1-H$2147)+G2157*H$2147</f>
        <v>0</v>
      </c>
      <c r="I2158" s="2" t="n">
        <f aca="false">H2158*(1-I$2147)+H2157*I$2147</f>
        <v>0</v>
      </c>
      <c r="J2158" s="2" t="n">
        <f aca="false">I2158*(1-J$2147)+I2157*J$2147</f>
        <v>0</v>
      </c>
      <c r="K2158" s="2" t="n">
        <f aca="false">J2158*(1-K$2147)+J2157*K$2147</f>
        <v>0</v>
      </c>
      <c r="L2158" s="2" t="n">
        <f aca="false">K2158*(1-L$2147)+K2157*L$2147</f>
        <v>1.81291246842134E-009</v>
      </c>
      <c r="M2158" s="2" t="n">
        <f aca="false">L2158*(1-M$2147)+L2157*M$2147</f>
        <v>7.75338923579359E-008</v>
      </c>
      <c r="N2158" s="2" t="n">
        <f aca="false">M2158*(1-N$2147)+M2157*N$2147</f>
        <v>1.12401504597823E-006</v>
      </c>
      <c r="O2158" s="2" t="n">
        <f aca="false">N2158*(1-O$2147)+N2157*O$2147</f>
        <v>1.12401504597823E-006</v>
      </c>
    </row>
    <row r="2159" customFormat="false" ht="15" hidden="false" customHeight="false" outlineLevel="0" collapsed="false">
      <c r="B2159" s="2" t="n">
        <v>11</v>
      </c>
      <c r="C2159" s="2" t="n">
        <f aca="false">0</f>
        <v>0</v>
      </c>
      <c r="D2159" s="2" t="n">
        <f aca="false">C2159*(1-D$2147)+C2158*D$2147</f>
        <v>0</v>
      </c>
      <c r="E2159" s="2" t="n">
        <f aca="false">D2159*(1-E$2147)+D2158*E$2147</f>
        <v>0</v>
      </c>
      <c r="F2159" s="2" t="n">
        <f aca="false">E2159*(1-F$2147)+E2158*F$2147</f>
        <v>0</v>
      </c>
      <c r="G2159" s="2" t="n">
        <f aca="false">F2159*(1-G$2147)+F2158*G$2147</f>
        <v>0</v>
      </c>
      <c r="H2159" s="2" t="n">
        <f aca="false">G2159*(1-H$2147)+G2158*H$2147</f>
        <v>0</v>
      </c>
      <c r="I2159" s="2" t="n">
        <f aca="false">H2159*(1-I$2147)+H2158*I$2147</f>
        <v>0</v>
      </c>
      <c r="J2159" s="2" t="n">
        <f aca="false">I2159*(1-J$2147)+I2158*J$2147</f>
        <v>0</v>
      </c>
      <c r="K2159" s="2" t="n">
        <f aca="false">J2159*(1-K$2147)+J2158*K$2147</f>
        <v>0</v>
      </c>
      <c r="L2159" s="2" t="n">
        <f aca="false">K2159*(1-L$2147)+K2158*L$2147</f>
        <v>0</v>
      </c>
      <c r="M2159" s="2" t="n">
        <f aca="false">L2159*(1-M$2147)+L2158*M$2147</f>
        <v>7.71637750930111E-010</v>
      </c>
      <c r="N2159" s="2" t="n">
        <f aca="false">M2159*(1-N$2147)+M2158*N$2147</f>
        <v>2.8829558488951E-008</v>
      </c>
      <c r="O2159" s="2" t="n">
        <f aca="false">N2159*(1-O$2147)+N2158*O$2147</f>
        <v>2.8829558488951E-008</v>
      </c>
    </row>
    <row r="2160" customFormat="false" ht="15" hidden="false" customHeight="false" outlineLevel="0" collapsed="false">
      <c r="B2160" s="2" t="n">
        <v>12</v>
      </c>
      <c r="C2160" s="2" t="n">
        <f aca="false">0</f>
        <v>0</v>
      </c>
      <c r="D2160" s="2" t="n">
        <f aca="false">C2160*(1-D$2147)+C2159*D$2147</f>
        <v>0</v>
      </c>
      <c r="E2160" s="2" t="n">
        <f aca="false">D2160*(1-E$2147)+D2159*E$2147</f>
        <v>0</v>
      </c>
      <c r="F2160" s="2" t="n">
        <f aca="false">E2160*(1-F$2147)+E2159*F$2147</f>
        <v>0</v>
      </c>
      <c r="G2160" s="2" t="n">
        <f aca="false">F2160*(1-G$2147)+F2159*G$2147</f>
        <v>0</v>
      </c>
      <c r="H2160" s="2" t="n">
        <f aca="false">G2160*(1-H$2147)+G2159*H$2147</f>
        <v>0</v>
      </c>
      <c r="I2160" s="2" t="n">
        <f aca="false">H2160*(1-I$2147)+H2159*I$2147</f>
        <v>0</v>
      </c>
      <c r="J2160" s="2" t="n">
        <f aca="false">I2160*(1-J$2147)+I2159*J$2147</f>
        <v>0</v>
      </c>
      <c r="K2160" s="2" t="n">
        <f aca="false">J2160*(1-K$2147)+J2159*K$2147</f>
        <v>0</v>
      </c>
      <c r="L2160" s="2" t="n">
        <f aca="false">K2160*(1-L$2147)+K2159*L$2147</f>
        <v>0</v>
      </c>
      <c r="M2160" s="2" t="n">
        <f aca="false">L2160*(1-M$2147)+L2159*M$2147</f>
        <v>0</v>
      </c>
      <c r="N2160" s="2" t="n">
        <f aca="false">M2160*(1-N$2147)+M2159*N$2147</f>
        <v>2.82046833628122E-010</v>
      </c>
      <c r="O2160" s="2" t="n">
        <f aca="false">N2160*(1-O$2147)+N2159*O$2147</f>
        <v>2.82046833628122E-010</v>
      </c>
    </row>
    <row r="2161" customFormat="false" ht="15" hidden="false" customHeight="false" outlineLevel="0" collapsed="false">
      <c r="B2161" s="2" t="n">
        <v>13</v>
      </c>
      <c r="C2161" s="2" t="n">
        <f aca="false">0</f>
        <v>0</v>
      </c>
      <c r="D2161" s="2" t="n">
        <f aca="false">C2161*(1-D$2147)+C2160*D$2147</f>
        <v>0</v>
      </c>
      <c r="E2161" s="2" t="n">
        <f aca="false">D2161*(1-E$2147)+D2160*E$2147</f>
        <v>0</v>
      </c>
      <c r="F2161" s="2" t="n">
        <f aca="false">E2161*(1-F$2147)+E2160*F$2147</f>
        <v>0</v>
      </c>
      <c r="G2161" s="2" t="n">
        <f aca="false">F2161*(1-G$2147)+F2160*G$2147</f>
        <v>0</v>
      </c>
      <c r="H2161" s="2" t="n">
        <f aca="false">G2161*(1-H$2147)+G2160*H$2147</f>
        <v>0</v>
      </c>
      <c r="I2161" s="2" t="n">
        <f aca="false">H2161*(1-I$2147)+H2160*I$2147</f>
        <v>0</v>
      </c>
      <c r="J2161" s="2" t="n">
        <f aca="false">I2161*(1-J$2147)+I2160*J$2147</f>
        <v>0</v>
      </c>
      <c r="K2161" s="2" t="n">
        <f aca="false">J2161*(1-K$2147)+J2160*K$2147</f>
        <v>0</v>
      </c>
      <c r="L2161" s="2" t="n">
        <f aca="false">K2161*(1-L$2147)+K2160*L$2147</f>
        <v>0</v>
      </c>
      <c r="M2161" s="2" t="n">
        <f aca="false">L2161*(1-M$2147)+L2160*M$2147</f>
        <v>0</v>
      </c>
      <c r="N2161" s="2" t="n">
        <f aca="false">M2161*(1-N$2147)+M2160*N$2147</f>
        <v>0</v>
      </c>
      <c r="O2161" s="2" t="n">
        <f aca="false">N2161*(1-O$2147)+N2160*O$2147</f>
        <v>0</v>
      </c>
    </row>
    <row r="2163" customFormat="false" ht="15" hidden="false" customHeight="false" outlineLevel="0" collapsed="false">
      <c r="A2163" s="1" t="s">
        <v>193</v>
      </c>
      <c r="C2163" s="2" t="n">
        <f aca="false">Schedule!G137</f>
        <v>0.0118332644193267</v>
      </c>
      <c r="D2163" s="2" t="n">
        <f aca="false">Schedule!L137</f>
        <v>0.192491943341433</v>
      </c>
      <c r="E2163" s="2" t="n">
        <f aca="false">Schedule!Q137</f>
        <v>0.682606513358741</v>
      </c>
      <c r="F2163" s="2" t="n">
        <f aca="false">Schedule!V137</f>
        <v>0.102265121621565</v>
      </c>
      <c r="G2163" s="2" t="n">
        <f aca="false">Schedule!AA137</f>
        <v>0.146859056375896</v>
      </c>
      <c r="H2163" s="2" t="n">
        <f aca="false">Schedule!AF137</f>
        <v>0.139792961067114</v>
      </c>
      <c r="I2163" s="2" t="n">
        <f aca="false">Schedule!AK137</f>
        <v>0.0718021221754162</v>
      </c>
      <c r="J2163" s="2" t="n">
        <f aca="false">Schedule!AP137</f>
        <v>0.360826675149783</v>
      </c>
      <c r="K2163" s="2" t="n">
        <f aca="false">Schedule!AU137</f>
        <v>0.107950757167325</v>
      </c>
      <c r="L2163" s="2" t="n">
        <f aca="false">Schedule!AZ137</f>
        <v>0.161698791457286</v>
      </c>
      <c r="M2163" s="2" t="n">
        <f aca="false">Schedule!BE137</f>
        <v>0.121252185295315</v>
      </c>
      <c r="N2163" s="2" t="n">
        <f aca="false">Schedule!BJ137</f>
        <v>0.127664662296284</v>
      </c>
      <c r="O2163" s="2" t="n">
        <f aca="false">Schedule!BO137</f>
        <v>0</v>
      </c>
    </row>
    <row r="2164" customFormat="false" ht="15" hidden="false" customHeight="false" outlineLevel="0" collapsed="false">
      <c r="B2164" s="2" t="n">
        <v>0</v>
      </c>
      <c r="C2164" s="2" t="n">
        <f aca="false">1-C$2163</f>
        <v>0.988166735580673</v>
      </c>
      <c r="D2164" s="2" t="n">
        <f aca="false">C2164*(1-D$2163)</f>
        <v>0.797952600303389</v>
      </c>
      <c r="E2164" s="2" t="n">
        <f aca="false">D2164*(1-E$2163)</f>
        <v>0.253264957984752</v>
      </c>
      <c r="F2164" s="2" t="n">
        <f aca="false">E2164*(1-F$2163)</f>
        <v>0.227364786253961</v>
      </c>
      <c r="G2164" s="2" t="n">
        <f aca="false">F2164*(1-G$2163)</f>
        <v>0.193974208291597</v>
      </c>
      <c r="H2164" s="2" t="n">
        <f aca="false">G2164*(1-H$2163)</f>
        <v>0.166857979343865</v>
      </c>
      <c r="I2164" s="2" t="n">
        <f aca="false">H2164*(1-I$2163)</f>
        <v>0.154877222325074</v>
      </c>
      <c r="J2164" s="2" t="n">
        <f aca="false">I2164*(1-J$2163)</f>
        <v>0.0989933891370837</v>
      </c>
      <c r="K2164" s="2" t="n">
        <f aca="false">J2164*(1-K$2163)</f>
        <v>0.0883069778251759</v>
      </c>
      <c r="L2164" s="2" t="n">
        <f aca="false">K2164*(1-L$2163)</f>
        <v>0.0740278462335996</v>
      </c>
      <c r="M2164" s="2" t="n">
        <f aca="false">L2164*(1-M$2163)</f>
        <v>0.0650518081050702</v>
      </c>
      <c r="N2164" s="2" t="n">
        <f aca="false">M2164*(1-N$2163)</f>
        <v>0.0567469909915737</v>
      </c>
      <c r="O2164" s="2" t="n">
        <f aca="false">N2164*(1-O$2163)</f>
        <v>0.0567469909915737</v>
      </c>
    </row>
    <row r="2165" customFormat="false" ht="15" hidden="false" customHeight="false" outlineLevel="0" collapsed="false">
      <c r="B2165" s="2" t="n">
        <v>1</v>
      </c>
      <c r="C2165" s="2" t="n">
        <f aca="false">C$2163</f>
        <v>0.0118332644193267</v>
      </c>
      <c r="D2165" s="2" t="n">
        <f aca="false">C2165*(1-D$2163)+C2164*D$2163</f>
        <v>0.199769591632462</v>
      </c>
      <c r="E2165" s="2" t="n">
        <f aca="false">D2165*(1-E$2163)+D2164*E$2163</f>
        <v>0.608093209531765</v>
      </c>
      <c r="F2165" s="2" t="n">
        <f aca="false">E2165*(1-F$2163)+E2164*F$2163</f>
        <v>0.571806655232543</v>
      </c>
      <c r="G2165" s="2" t="n">
        <f aca="false">F2165*(1-G$2163)+F2164*G$2163</f>
        <v>0.521222247377998</v>
      </c>
      <c r="H2165" s="2" t="n">
        <f aca="false">G2165*(1-H$2163)+G2164*H$2163</f>
        <v>0.475475274990703</v>
      </c>
      <c r="I2165" s="2" t="n">
        <f aca="false">H2165*(1-I$2163)+H2164*I$2163</f>
        <v>0.453315898223223</v>
      </c>
      <c r="J2165" s="2" t="n">
        <f aca="false">I2165*(1-J$2163)+I2164*J$2163</f>
        <v>0.34563126306279</v>
      </c>
      <c r="K2165" s="2" t="n">
        <f aca="false">J2165*(1-K$2163)+J2164*K$2163</f>
        <v>0.319006517826371</v>
      </c>
      <c r="L2165" s="2" t="n">
        <f aca="false">K2165*(1-L$2163)+K2164*L$2163</f>
        <v>0.281702681018426</v>
      </c>
      <c r="M2165" s="2" t="n">
        <f aca="false">L2165*(1-M$2163)+L2164*M$2163</f>
        <v>0.256521653469922</v>
      </c>
      <c r="N2165" s="2" t="n">
        <f aca="false">M2165*(1-N$2163)+M2164*N$2163</f>
        <v>0.232077720321497</v>
      </c>
      <c r="O2165" s="2" t="n">
        <f aca="false">N2165*(1-O$2163)+N2164*O$2163</f>
        <v>0.232077720321497</v>
      </c>
    </row>
    <row r="2166" customFormat="false" ht="15" hidden="false" customHeight="false" outlineLevel="0" collapsed="false">
      <c r="B2166" s="2" t="n">
        <v>2</v>
      </c>
      <c r="C2166" s="2" t="n">
        <f aca="false">0</f>
        <v>0</v>
      </c>
      <c r="D2166" s="2" t="n">
        <f aca="false">C2166*(1-D$2163)+C2165*D$2163</f>
        <v>0.00227780806414924</v>
      </c>
      <c r="E2166" s="2" t="n">
        <f aca="false">D2166*(1-E$2163)+D2165*E$2163</f>
        <v>0.137086985862714</v>
      </c>
      <c r="F2166" s="2" t="n">
        <f aca="false">E2166*(1-F$2163)+E2165*F$2163</f>
        <v>0.185254494610743</v>
      </c>
      <c r="G2166" s="2" t="n">
        <f aca="false">F2166*(1-G$2163)+F2165*G$2163</f>
        <v>0.242023180159725</v>
      </c>
      <c r="H2166" s="2" t="n">
        <f aca="false">G2166*(1-H$2163)+G2165*H$2163</f>
        <v>0.281053244493343</v>
      </c>
      <c r="I2166" s="2" t="n">
        <f aca="false">H2166*(1-I$2163)+H2165*I$2163</f>
        <v>0.295013158880707</v>
      </c>
      <c r="J2166" s="2" t="n">
        <f aca="false">I2166*(1-J$2163)+I2165*J$2163</f>
        <v>0.35213300998477</v>
      </c>
      <c r="K2166" s="2" t="n">
        <f aca="false">J2166*(1-K$2163)+J2165*K$2163</f>
        <v>0.351431141481632</v>
      </c>
      <c r="L2166" s="2" t="n">
        <f aca="false">K2166*(1-L$2163)+K2165*L$2163</f>
        <v>0.346188119023119</v>
      </c>
      <c r="M2166" s="2" t="n">
        <f aca="false">L2166*(1-M$2163)+L2165*M$2163</f>
        <v>0.338369118745324</v>
      </c>
      <c r="N2166" s="2" t="n">
        <f aca="false">M2166*(1-N$2163)+M2165*N$2163</f>
        <v>0.327920089731133</v>
      </c>
      <c r="O2166" s="2" t="n">
        <f aca="false">N2166*(1-O$2163)+N2165*O$2163</f>
        <v>0.327920089731133</v>
      </c>
    </row>
    <row r="2167" customFormat="false" ht="15" hidden="false" customHeight="false" outlineLevel="0" collapsed="false">
      <c r="B2167" s="2" t="n">
        <v>3</v>
      </c>
      <c r="C2167" s="2" t="n">
        <f aca="false">0</f>
        <v>0</v>
      </c>
      <c r="D2167" s="2" t="n">
        <f aca="false">C2167*(1-D$2163)+C2166*D$2163</f>
        <v>0</v>
      </c>
      <c r="E2167" s="2" t="n">
        <f aca="false">D2167*(1-E$2163)+D2166*E$2163</f>
        <v>0.00155484662076934</v>
      </c>
      <c r="F2167" s="2" t="n">
        <f aca="false">E2167*(1-F$2163)+E2166*F$2163</f>
        <v>0.0154150573239777</v>
      </c>
      <c r="G2167" s="2" t="n">
        <f aca="false">F2167*(1-G$2163)+F2166*G$2163</f>
        <v>0.0403575168193252</v>
      </c>
      <c r="H2167" s="2" t="n">
        <f aca="false">G2167*(1-H$2163)+G2166*H$2163</f>
        <v>0.0685489570432434</v>
      </c>
      <c r="I2167" s="2" t="n">
        <f aca="false">H2167*(1-I$2163)+H2166*I$2163</f>
        <v>0.0838072158535352</v>
      </c>
      <c r="J2167" s="2" t="n">
        <f aca="false">I2167*(1-J$2163)+I2166*J$2163</f>
        <v>0.160015954047904</v>
      </c>
      <c r="K2167" s="2" t="n">
        <f aca="false">J2167*(1-K$2163)+J2166*K$2163</f>
        <v>0.180755135701046</v>
      </c>
      <c r="L2167" s="2" t="n">
        <f aca="false">K2167*(1-L$2163)+K2166*L$2163</f>
        <v>0.208353239566524</v>
      </c>
      <c r="M2167" s="2" t="n">
        <f aca="false">L2167*(1-M$2163)+L2166*M$2163</f>
        <v>0.225066019910552</v>
      </c>
      <c r="N2167" s="2" t="n">
        <f aca="false">M2167*(1-N$2163)+M2166*N$2163</f>
        <v>0.239530821760416</v>
      </c>
      <c r="O2167" s="2" t="n">
        <f aca="false">N2167*(1-O$2163)+N2166*O$2163</f>
        <v>0.239530821760416</v>
      </c>
    </row>
    <row r="2168" customFormat="false" ht="15" hidden="false" customHeight="false" outlineLevel="0" collapsed="false">
      <c r="B2168" s="2" t="n">
        <v>4</v>
      </c>
      <c r="C2168" s="2" t="n">
        <f aca="false">0</f>
        <v>0</v>
      </c>
      <c r="D2168" s="2" t="n">
        <f aca="false">C2168*(1-D$2163)+C2167*D$2163</f>
        <v>0</v>
      </c>
      <c r="E2168" s="2" t="n">
        <f aca="false">D2168*(1-E$2163)+D2167*E$2163</f>
        <v>0</v>
      </c>
      <c r="F2168" s="2" t="n">
        <f aca="false">E2168*(1-F$2163)+E2167*F$2163</f>
        <v>0.000159006578775855</v>
      </c>
      <c r="G2168" s="2" t="n">
        <f aca="false">F2168*(1-G$2163)+F2167*G$2163</f>
        <v>0.00239949579523898</v>
      </c>
      <c r="H2168" s="2" t="n">
        <f aca="false">G2168*(1-H$2163)+G2167*H$2163</f>
        <v>0.00770575995044375</v>
      </c>
      <c r="I2168" s="2" t="n">
        <f aca="false">H2168*(1-I$2163)+H2167*I$2163</f>
        <v>0.0120744306216439</v>
      </c>
      <c r="J2168" s="2" t="n">
        <f aca="false">I2168*(1-J$2163)+I2167*J$2163</f>
        <v>0.0379575330161007</v>
      </c>
      <c r="K2168" s="2" t="n">
        <f aca="false">J2168*(1-K$2163)+J2167*K$2163</f>
        <v>0.051133831985132</v>
      </c>
      <c r="L2168" s="2" t="n">
        <f aca="false">K2168*(1-L$2163)+K2167*L$2163</f>
        <v>0.0720934401431131</v>
      </c>
      <c r="M2168" s="2" t="n">
        <f aca="false">L2168*(1-M$2163)+L2167*M$2163</f>
        <v>0.0886152385911029</v>
      </c>
      <c r="N2168" s="2" t="n">
        <f aca="false">M2168*(1-N$2163)+M2167*N$2163</f>
        <v>0.106035181508314</v>
      </c>
      <c r="O2168" s="2" t="n">
        <f aca="false">N2168*(1-O$2163)+N2167*O$2163</f>
        <v>0.106035181508314</v>
      </c>
    </row>
    <row r="2169" customFormat="false" ht="15" hidden="false" customHeight="false" outlineLevel="0" collapsed="false">
      <c r="B2169" s="2" t="n">
        <v>5</v>
      </c>
      <c r="C2169" s="2" t="n">
        <f aca="false">0</f>
        <v>0</v>
      </c>
      <c r="D2169" s="2" t="n">
        <f aca="false">C2169*(1-D$2163)+C2168*D$2163</f>
        <v>0</v>
      </c>
      <c r="E2169" s="2" t="n">
        <f aca="false">D2169*(1-E$2163)+D2168*E$2163</f>
        <v>0</v>
      </c>
      <c r="F2169" s="2" t="n">
        <f aca="false">E2169*(1-F$2163)+E2168*F$2163</f>
        <v>0</v>
      </c>
      <c r="G2169" s="2" t="n">
        <f aca="false">F2169*(1-G$2163)+F2168*G$2163</f>
        <v>2.33515561165817E-005</v>
      </c>
      <c r="H2169" s="2" t="n">
        <f aca="false">G2169*(1-H$2163)+G2168*H$2163</f>
        <v>0.000355519795226065</v>
      </c>
      <c r="I2169" s="2" t="n">
        <f aca="false">H2169*(1-I$2163)+H2168*I$2163</f>
        <v>0.000883282636869656</v>
      </c>
      <c r="J2169" s="2" t="n">
        <f aca="false">I2169*(1-J$2163)+I2168*J$2163</f>
        <v>0.00492134735532494</v>
      </c>
      <c r="K2169" s="2" t="n">
        <f aca="false">J2169*(1-K$2163)+J2168*K$2163</f>
        <v>0.00848762861132599</v>
      </c>
      <c r="L2169" s="2" t="n">
        <f aca="false">K2169*(1-L$2163)+K2168*L$2163</f>
        <v>0.015383468157112</v>
      </c>
      <c r="M2169" s="2" t="n">
        <f aca="false">L2169*(1-M$2163)+L2168*M$2163</f>
        <v>0.0222596761884507</v>
      </c>
      <c r="N2169" s="2" t="n">
        <f aca="false">M2169*(1-N$2163)+M2168*N$2163</f>
        <v>0.0307309366540653</v>
      </c>
      <c r="O2169" s="2" t="n">
        <f aca="false">N2169*(1-O$2163)+N2168*O$2163</f>
        <v>0.0307309366540653</v>
      </c>
    </row>
    <row r="2170" customFormat="false" ht="15" hidden="false" customHeight="false" outlineLevel="0" collapsed="false">
      <c r="B2170" s="2" t="n">
        <v>6</v>
      </c>
      <c r="C2170" s="2" t="n">
        <f aca="false">0</f>
        <v>0</v>
      </c>
      <c r="D2170" s="2" t="n">
        <f aca="false">C2170*(1-D$2163)+C2169*D$2163</f>
        <v>0</v>
      </c>
      <c r="E2170" s="2" t="n">
        <f aca="false">D2170*(1-E$2163)+D2169*E$2163</f>
        <v>0</v>
      </c>
      <c r="F2170" s="2" t="n">
        <f aca="false">E2170*(1-F$2163)+E2169*F$2163</f>
        <v>0</v>
      </c>
      <c r="G2170" s="2" t="n">
        <f aca="false">F2170*(1-G$2163)+F2169*G$2163</f>
        <v>0</v>
      </c>
      <c r="H2170" s="2" t="n">
        <f aca="false">G2170*(1-H$2163)+G2169*H$2163</f>
        <v>3.26438317506182E-006</v>
      </c>
      <c r="I2170" s="2" t="n">
        <f aca="false">H2170*(1-I$2163)+H2169*I$2163</f>
        <v>2.85570693080995E-005</v>
      </c>
      <c r="J2170" s="2" t="n">
        <f aca="false">I2170*(1-J$2163)+I2169*J$2163</f>
        <v>0.000336964854016847</v>
      </c>
      <c r="K2170" s="2" t="n">
        <f aca="false">J2170*(1-K$2163)+J2169*K$2163</f>
        <v>0.000831852416177689</v>
      </c>
      <c r="L2170" s="2" t="n">
        <f aca="false">K2170*(1-L$2163)+K2169*L$2163</f>
        <v>0.00206978217460063</v>
      </c>
      <c r="M2170" s="2" t="n">
        <f aca="false">L2170*(1-M$2163)+L2169*M$2163</f>
        <v>0.00368409569431574</v>
      </c>
      <c r="N2170" s="2" t="n">
        <f aca="false">M2170*(1-N$2163)+M2169*N$2163</f>
        <v>0.00605554090505692</v>
      </c>
      <c r="O2170" s="2" t="n">
        <f aca="false">N2170*(1-O$2163)+N2169*O$2163</f>
        <v>0.00605554090505692</v>
      </c>
    </row>
    <row r="2171" customFormat="false" ht="15" hidden="false" customHeight="false" outlineLevel="0" collapsed="false">
      <c r="B2171" s="2" t="n">
        <v>7</v>
      </c>
      <c r="C2171" s="2" t="n">
        <f aca="false">0</f>
        <v>0</v>
      </c>
      <c r="D2171" s="2" t="n">
        <f aca="false">C2171*(1-D$2163)+C2170*D$2163</f>
        <v>0</v>
      </c>
      <c r="E2171" s="2" t="n">
        <f aca="false">D2171*(1-E$2163)+D2170*E$2163</f>
        <v>0</v>
      </c>
      <c r="F2171" s="2" t="n">
        <f aca="false">E2171*(1-F$2163)+E2170*F$2163</f>
        <v>0</v>
      </c>
      <c r="G2171" s="2" t="n">
        <f aca="false">F2171*(1-G$2163)+F2170*G$2163</f>
        <v>0</v>
      </c>
      <c r="H2171" s="2" t="n">
        <f aca="false">G2171*(1-H$2163)+G2170*H$2163</f>
        <v>0</v>
      </c>
      <c r="I2171" s="2" t="n">
        <f aca="false">H2171*(1-I$2163)+H2170*I$2163</f>
        <v>2.34389639563162E-007</v>
      </c>
      <c r="J2171" s="2" t="n">
        <f aca="false">I2171*(1-J$2163)+I2170*J$2163</f>
        <v>1.04539679756935E-005</v>
      </c>
      <c r="K2171" s="2" t="n">
        <f aca="false">J2171*(1-K$2163)+J2170*K$2163</f>
        <v>4.57010653472101E-005</v>
      </c>
      <c r="L2171" s="2" t="n">
        <f aca="false">K2171*(1-L$2163)+K2170*L$2163</f>
        <v>0.000172820788679011</v>
      </c>
      <c r="M2171" s="2" t="n">
        <f aca="false">L2171*(1-M$2163)+L2170*M$2163</f>
        <v>0.000402831502142836</v>
      </c>
      <c r="N2171" s="2" t="n">
        <f aca="false">M2171*(1-N$2163)+M2170*N$2163</f>
        <v>0.000821732987141477</v>
      </c>
      <c r="O2171" s="2" t="n">
        <f aca="false">N2171*(1-O$2163)+N2170*O$2163</f>
        <v>0.000821732987141477</v>
      </c>
    </row>
    <row r="2172" customFormat="false" ht="15" hidden="false" customHeight="false" outlineLevel="0" collapsed="false">
      <c r="B2172" s="2" t="n">
        <v>8</v>
      </c>
      <c r="C2172" s="2" t="n">
        <f aca="false">0</f>
        <v>0</v>
      </c>
      <c r="D2172" s="2" t="n">
        <f aca="false">C2172*(1-D$2163)+C2171*D$2163</f>
        <v>0</v>
      </c>
      <c r="E2172" s="2" t="n">
        <f aca="false">D2172*(1-E$2163)+D2171*E$2163</f>
        <v>0</v>
      </c>
      <c r="F2172" s="2" t="n">
        <f aca="false">E2172*(1-F$2163)+E2171*F$2163</f>
        <v>0</v>
      </c>
      <c r="G2172" s="2" t="n">
        <f aca="false">F2172*(1-G$2163)+F2171*G$2163</f>
        <v>0</v>
      </c>
      <c r="H2172" s="2" t="n">
        <f aca="false">G2172*(1-H$2163)+G2171*H$2163</f>
        <v>0</v>
      </c>
      <c r="I2172" s="2" t="n">
        <f aca="false">H2172*(1-I$2163)+H2171*I$2163</f>
        <v>0</v>
      </c>
      <c r="J2172" s="2" t="n">
        <f aca="false">I2172*(1-J$2163)+I2171*J$2163</f>
        <v>8.45740343331318E-008</v>
      </c>
      <c r="K2172" s="2" t="n">
        <f aca="false">J2172*(1-K$2163)+J2171*K$2163</f>
        <v>1.20395796166925E-006</v>
      </c>
      <c r="L2172" s="2" t="n">
        <f aca="false">K2172*(1-L$2163)+K2171*L$2163</f>
        <v>8.39908644925628E-006</v>
      </c>
      <c r="M2172" s="2" t="n">
        <f aca="false">L2172*(1-M$2163)+L2171*M$2163</f>
        <v>2.83355771545896E-005</v>
      </c>
      <c r="N2172" s="2" t="n">
        <f aca="false">M2172*(1-N$2163)+M2171*N$2163</f>
        <v>7.61454729495485E-005</v>
      </c>
      <c r="O2172" s="2" t="n">
        <f aca="false">N2172*(1-O$2163)+N2171*O$2163</f>
        <v>7.61454729495485E-005</v>
      </c>
    </row>
    <row r="2173" customFormat="false" ht="15" hidden="false" customHeight="false" outlineLevel="0" collapsed="false">
      <c r="B2173" s="2" t="n">
        <v>9</v>
      </c>
      <c r="C2173" s="2" t="n">
        <f aca="false">0</f>
        <v>0</v>
      </c>
      <c r="D2173" s="2" t="n">
        <f aca="false">C2173*(1-D$2163)+C2172*D$2163</f>
        <v>0</v>
      </c>
      <c r="E2173" s="2" t="n">
        <f aca="false">D2173*(1-E$2163)+D2172*E$2163</f>
        <v>0</v>
      </c>
      <c r="F2173" s="2" t="n">
        <f aca="false">E2173*(1-F$2163)+E2172*F$2163</f>
        <v>0</v>
      </c>
      <c r="G2173" s="2" t="n">
        <f aca="false">F2173*(1-G$2163)+F2172*G$2163</f>
        <v>0</v>
      </c>
      <c r="H2173" s="2" t="n">
        <f aca="false">G2173*(1-H$2163)+G2172*H$2163</f>
        <v>0</v>
      </c>
      <c r="I2173" s="2" t="n">
        <f aca="false">H2173*(1-I$2163)+H2172*I$2163</f>
        <v>0</v>
      </c>
      <c r="J2173" s="2" t="n">
        <f aca="false">I2173*(1-J$2163)+I2172*J$2163</f>
        <v>0</v>
      </c>
      <c r="K2173" s="2" t="n">
        <f aca="false">J2173*(1-K$2163)+J2172*K$2163</f>
        <v>9.12983104295689E-009</v>
      </c>
      <c r="L2173" s="2" t="n">
        <f aca="false">K2173*(1-L$2163)+K2172*L$2163</f>
        <v>2.02332095764397E-007</v>
      </c>
      <c r="M2173" s="2" t="n">
        <f aca="false">L2173*(1-M$2163)+L2172*M$2163</f>
        <v>1.19620647345417E-006</v>
      </c>
      <c r="N2173" s="2" t="n">
        <f aca="false">M2173*(1-N$2163)+M2172*N$2163</f>
        <v>4.66094506639499E-006</v>
      </c>
      <c r="O2173" s="2" t="n">
        <f aca="false">N2173*(1-O$2163)+N2172*O$2163</f>
        <v>4.66094506639499E-006</v>
      </c>
    </row>
    <row r="2174" customFormat="false" ht="15" hidden="false" customHeight="false" outlineLevel="0" collapsed="false">
      <c r="B2174" s="2" t="n">
        <v>10</v>
      </c>
      <c r="C2174" s="2" t="n">
        <f aca="false">0</f>
        <v>0</v>
      </c>
      <c r="D2174" s="2" t="n">
        <f aca="false">C2174*(1-D$2163)+C2173*D$2163</f>
        <v>0</v>
      </c>
      <c r="E2174" s="2" t="n">
        <f aca="false">D2174*(1-E$2163)+D2173*E$2163</f>
        <v>0</v>
      </c>
      <c r="F2174" s="2" t="n">
        <f aca="false">E2174*(1-F$2163)+E2173*F$2163</f>
        <v>0</v>
      </c>
      <c r="G2174" s="2" t="n">
        <f aca="false">F2174*(1-G$2163)+F2173*G$2163</f>
        <v>0</v>
      </c>
      <c r="H2174" s="2" t="n">
        <f aca="false">G2174*(1-H$2163)+G2173*H$2163</f>
        <v>0</v>
      </c>
      <c r="I2174" s="2" t="n">
        <f aca="false">H2174*(1-I$2163)+H2173*I$2163</f>
        <v>0</v>
      </c>
      <c r="J2174" s="2" t="n">
        <f aca="false">I2174*(1-J$2163)+I2173*J$2163</f>
        <v>0</v>
      </c>
      <c r="K2174" s="2" t="n">
        <f aca="false">J2174*(1-K$2163)+J2173*K$2163</f>
        <v>0</v>
      </c>
      <c r="L2174" s="2" t="n">
        <f aca="false">K2174*(1-L$2163)+K2173*L$2163</f>
        <v>1.47628264585534E-009</v>
      </c>
      <c r="M2174" s="2" t="n">
        <f aca="false">L2174*(1-M$2163)+L2173*M$2163</f>
        <v>2.58304889157459E-008</v>
      </c>
      <c r="N2174" s="2" t="n">
        <f aca="false">M2174*(1-N$2163)+M2173*N$2163</f>
        <v>1.75246143741525E-007</v>
      </c>
      <c r="O2174" s="2" t="n">
        <f aca="false">N2174*(1-O$2163)+N2173*O$2163</f>
        <v>1.75246143741525E-007</v>
      </c>
    </row>
    <row r="2175" customFormat="false" ht="15" hidden="false" customHeight="false" outlineLevel="0" collapsed="false">
      <c r="B2175" s="2" t="n">
        <v>11</v>
      </c>
      <c r="C2175" s="2" t="n">
        <f aca="false">0</f>
        <v>0</v>
      </c>
      <c r="D2175" s="2" t="n">
        <f aca="false">C2175*(1-D$2163)+C2174*D$2163</f>
        <v>0</v>
      </c>
      <c r="E2175" s="2" t="n">
        <f aca="false">D2175*(1-E$2163)+D2174*E$2163</f>
        <v>0</v>
      </c>
      <c r="F2175" s="2" t="n">
        <f aca="false">E2175*(1-F$2163)+E2174*F$2163</f>
        <v>0</v>
      </c>
      <c r="G2175" s="2" t="n">
        <f aca="false">F2175*(1-G$2163)+F2174*G$2163</f>
        <v>0</v>
      </c>
      <c r="H2175" s="2" t="n">
        <f aca="false">G2175*(1-H$2163)+G2174*H$2163</f>
        <v>0</v>
      </c>
      <c r="I2175" s="2" t="n">
        <f aca="false">H2175*(1-I$2163)+H2174*I$2163</f>
        <v>0</v>
      </c>
      <c r="J2175" s="2" t="n">
        <f aca="false">I2175*(1-J$2163)+I2174*J$2163</f>
        <v>0</v>
      </c>
      <c r="K2175" s="2" t="n">
        <f aca="false">J2175*(1-K$2163)+J2174*K$2163</f>
        <v>0</v>
      </c>
      <c r="L2175" s="2" t="n">
        <f aca="false">K2175*(1-L$2163)+K2174*L$2163</f>
        <v>0</v>
      </c>
      <c r="M2175" s="2" t="n">
        <f aca="false">L2175*(1-M$2163)+L2174*M$2163</f>
        <v>1.79002496923509E-010</v>
      </c>
      <c r="N2175" s="2" t="n">
        <f aca="false">M2175*(1-N$2163)+M2174*N$2163</f>
        <v>3.45379084798017E-009</v>
      </c>
      <c r="O2175" s="2" t="n">
        <f aca="false">N2175*(1-O$2163)+N2174*O$2163</f>
        <v>3.45379084798017E-009</v>
      </c>
    </row>
    <row r="2176" customFormat="false" ht="15" hidden="false" customHeight="false" outlineLevel="0" collapsed="false">
      <c r="B2176" s="2" t="n">
        <v>12</v>
      </c>
      <c r="C2176" s="2" t="n">
        <f aca="false">0</f>
        <v>0</v>
      </c>
      <c r="D2176" s="2" t="n">
        <f aca="false">C2176*(1-D$2163)+C2175*D$2163</f>
        <v>0</v>
      </c>
      <c r="E2176" s="2" t="n">
        <f aca="false">D2176*(1-E$2163)+D2175*E$2163</f>
        <v>0</v>
      </c>
      <c r="F2176" s="2" t="n">
        <f aca="false">E2176*(1-F$2163)+E2175*F$2163</f>
        <v>0</v>
      </c>
      <c r="G2176" s="2" t="n">
        <f aca="false">F2176*(1-G$2163)+F2175*G$2163</f>
        <v>0</v>
      </c>
      <c r="H2176" s="2" t="n">
        <f aca="false">G2176*(1-H$2163)+G2175*H$2163</f>
        <v>0</v>
      </c>
      <c r="I2176" s="2" t="n">
        <f aca="false">H2176*(1-I$2163)+H2175*I$2163</f>
        <v>0</v>
      </c>
      <c r="J2176" s="2" t="n">
        <f aca="false">I2176*(1-J$2163)+I2175*J$2163</f>
        <v>0</v>
      </c>
      <c r="K2176" s="2" t="n">
        <f aca="false">J2176*(1-K$2163)+J2175*K$2163</f>
        <v>0</v>
      </c>
      <c r="L2176" s="2" t="n">
        <f aca="false">K2176*(1-L$2163)+K2175*L$2163</f>
        <v>0</v>
      </c>
      <c r="M2176" s="2" t="n">
        <f aca="false">L2176*(1-M$2163)+L2175*M$2163</f>
        <v>0</v>
      </c>
      <c r="N2176" s="2" t="n">
        <f aca="false">M2176*(1-N$2163)+M2175*N$2163</f>
        <v>2.28522933199314E-011</v>
      </c>
      <c r="O2176" s="2" t="n">
        <f aca="false">N2176*(1-O$2163)+N2175*O$2163</f>
        <v>2.28522933199314E-011</v>
      </c>
    </row>
    <row r="2177" customFormat="false" ht="15" hidden="false" customHeight="false" outlineLevel="0" collapsed="false">
      <c r="B2177" s="2" t="n">
        <v>13</v>
      </c>
      <c r="C2177" s="2" t="n">
        <f aca="false">0</f>
        <v>0</v>
      </c>
      <c r="D2177" s="2" t="n">
        <f aca="false">C2177*(1-D$2163)+C2176*D$2163</f>
        <v>0</v>
      </c>
      <c r="E2177" s="2" t="n">
        <f aca="false">D2177*(1-E$2163)+D2176*E$2163</f>
        <v>0</v>
      </c>
      <c r="F2177" s="2" t="n">
        <f aca="false">E2177*(1-F$2163)+E2176*F$2163</f>
        <v>0</v>
      </c>
      <c r="G2177" s="2" t="n">
        <f aca="false">F2177*(1-G$2163)+F2176*G$2163</f>
        <v>0</v>
      </c>
      <c r="H2177" s="2" t="n">
        <f aca="false">G2177*(1-H$2163)+G2176*H$2163</f>
        <v>0</v>
      </c>
      <c r="I2177" s="2" t="n">
        <f aca="false">H2177*(1-I$2163)+H2176*I$2163</f>
        <v>0</v>
      </c>
      <c r="J2177" s="2" t="n">
        <f aca="false">I2177*(1-J$2163)+I2176*J$2163</f>
        <v>0</v>
      </c>
      <c r="K2177" s="2" t="n">
        <f aca="false">J2177*(1-K$2163)+J2176*K$2163</f>
        <v>0</v>
      </c>
      <c r="L2177" s="2" t="n">
        <f aca="false">K2177*(1-L$2163)+K2176*L$2163</f>
        <v>0</v>
      </c>
      <c r="M2177" s="2" t="n">
        <f aca="false">L2177*(1-M$2163)+L2176*M$2163</f>
        <v>0</v>
      </c>
      <c r="N2177" s="2" t="n">
        <f aca="false">M2177*(1-N$2163)+M2176*N$2163</f>
        <v>0</v>
      </c>
      <c r="O2177" s="2" t="n">
        <f aca="false">N2177*(1-O$2163)+N2176*O$2163</f>
        <v>0</v>
      </c>
    </row>
    <row r="2179" customFormat="false" ht="15" hidden="false" customHeight="false" outlineLevel="0" collapsed="false">
      <c r="A2179" s="1" t="s">
        <v>194</v>
      </c>
      <c r="C2179" s="2" t="n">
        <f aca="false">Schedule!G138</f>
        <v>0.480061194161628</v>
      </c>
      <c r="D2179" s="2" t="n">
        <f aca="false">Schedule!L138</f>
        <v>0.118751711857465</v>
      </c>
      <c r="E2179" s="2" t="n">
        <f aca="false">Schedule!Q138</f>
        <v>0.0181411281635063</v>
      </c>
      <c r="F2179" s="2" t="n">
        <f aca="false">Schedule!V138</f>
        <v>0.274253117750074</v>
      </c>
      <c r="G2179" s="2" t="n">
        <f aca="false">Schedule!AA138</f>
        <v>0.106795793816305</v>
      </c>
      <c r="H2179" s="2" t="n">
        <f aca="false">Schedule!AF138</f>
        <v>0.0267260717039664</v>
      </c>
      <c r="I2179" s="2" t="n">
        <f aca="false">Schedule!AK138</f>
        <v>0.103384463148161</v>
      </c>
      <c r="J2179" s="2" t="n">
        <f aca="false">Schedule!AP138</f>
        <v>0.22474965994458</v>
      </c>
      <c r="K2179" s="2" t="n">
        <f aca="false">Schedule!AU138</f>
        <v>0.116287887754489</v>
      </c>
      <c r="L2179" s="2" t="n">
        <f aca="false">Schedule!AZ138</f>
        <v>0.158655253931457</v>
      </c>
      <c r="M2179" s="2" t="n">
        <f aca="false">Schedule!BE138</f>
        <v>0.0701062717112231</v>
      </c>
      <c r="N2179" s="2" t="n">
        <f aca="false">Schedule!BJ138</f>
        <v>0.155649523346768</v>
      </c>
      <c r="O2179" s="2" t="n">
        <f aca="false">Schedule!BO138</f>
        <v>0</v>
      </c>
    </row>
    <row r="2180" customFormat="false" ht="15" hidden="false" customHeight="false" outlineLevel="0" collapsed="false">
      <c r="B2180" s="2" t="n">
        <v>0</v>
      </c>
      <c r="C2180" s="2" t="n">
        <f aca="false">1-C$2179</f>
        <v>0.519938805838373</v>
      </c>
      <c r="D2180" s="2" t="n">
        <f aca="false">C2180*(1-D$2179)</f>
        <v>0.45819518258394</v>
      </c>
      <c r="E2180" s="2" t="n">
        <f aca="false">D2180*(1-E$2179)</f>
        <v>0.449883005052783</v>
      </c>
      <c r="F2180" s="2" t="n">
        <f aca="false">E2180*(1-F$2179)</f>
        <v>0.326501188294285</v>
      </c>
      <c r="G2180" s="2" t="n">
        <f aca="false">F2180*(1-G$2179)</f>
        <v>0.29163223470843</v>
      </c>
      <c r="H2180" s="2" t="n">
        <f aca="false">G2180*(1-H$2179)</f>
        <v>0.283838050692425</v>
      </c>
      <c r="I2180" s="2" t="n">
        <f aca="false">H2180*(1-I$2179)</f>
        <v>0.254493606200568</v>
      </c>
      <c r="J2180" s="2" t="n">
        <f aca="false">I2180*(1-J$2179)</f>
        <v>0.197296254748921</v>
      </c>
      <c r="K2180" s="2" t="n">
        <f aca="false">J2180*(1-K$2179)</f>
        <v>0.174353090022297</v>
      </c>
      <c r="L2180" s="2" t="n">
        <f aca="false">K2180*(1-L$2179)</f>
        <v>0.146691056251075</v>
      </c>
      <c r="M2180" s="2" t="n">
        <f aca="false">L2180*(1-M$2179)</f>
        <v>0.136407093203931</v>
      </c>
      <c r="N2180" s="2" t="n">
        <f aca="false">M2180*(1-N$2179)</f>
        <v>0.115175394165621</v>
      </c>
      <c r="O2180" s="2" t="n">
        <f aca="false">N2180*(1-O$2179)</f>
        <v>0.115175394165621</v>
      </c>
    </row>
    <row r="2181" customFormat="false" ht="15" hidden="false" customHeight="false" outlineLevel="0" collapsed="false">
      <c r="B2181" s="2" t="n">
        <v>1</v>
      </c>
      <c r="C2181" s="2" t="n">
        <f aca="false">C$2179</f>
        <v>0.480061194161628</v>
      </c>
      <c r="D2181" s="2" t="n">
        <f aca="false">C2181*(1-D$2179)+C2180*D$2179</f>
        <v>0.484796728813028</v>
      </c>
      <c r="E2181" s="2" t="n">
        <f aca="false">D2181*(1-E$2179)+D2180*E$2179</f>
        <v>0.484314146753539</v>
      </c>
      <c r="F2181" s="2" t="n">
        <f aca="false">E2181*(1-F$2179)+E2180*F$2179</f>
        <v>0.474871298794412</v>
      </c>
      <c r="G2181" s="2" t="n">
        <f aca="false">F2181*(1-G$2179)+F2180*G$2179</f>
        <v>0.459025995064938</v>
      </c>
      <c r="H2181" s="2" t="n">
        <f aca="false">G2181*(1-H$2179)+G2180*H$2179</f>
        <v>0.454552217422854</v>
      </c>
      <c r="I2181" s="2" t="n">
        <f aca="false">H2181*(1-I$2179)+H2180*I$2179</f>
        <v>0.436903024943643</v>
      </c>
      <c r="J2181" s="2" t="n">
        <f aca="false">I2181*(1-J$2179)+I2180*J$2179</f>
        <v>0.395906570110448</v>
      </c>
      <c r="K2181" s="2" t="n">
        <f aca="false">J2181*(1-K$2179)+J2180*K$2179</f>
        <v>0.372810596050803</v>
      </c>
      <c r="L2181" s="2" t="n">
        <f aca="false">K2181*(1-L$2179)+K2180*L$2179</f>
        <v>0.341324270037247</v>
      </c>
      <c r="M2181" s="2" t="n">
        <f aca="false">L2181*(1-M$2179)+L2180*M$2179</f>
        <v>0.327679261067525</v>
      </c>
      <c r="N2181" s="2" t="n">
        <f aca="false">M2181*(1-N$2179)+M2180*N$2179</f>
        <v>0.297907839310054</v>
      </c>
      <c r="O2181" s="2" t="n">
        <f aca="false">N2181*(1-O$2179)+N2180*O$2179</f>
        <v>0.297907839310054</v>
      </c>
    </row>
    <row r="2182" customFormat="false" ht="15" hidden="false" customHeight="false" outlineLevel="0" collapsed="false">
      <c r="B2182" s="2" t="n">
        <v>2</v>
      </c>
      <c r="C2182" s="2" t="n">
        <f aca="false">0</f>
        <v>0</v>
      </c>
      <c r="D2182" s="2" t="n">
        <f aca="false">C2182*(1-D$2179)+C2181*D$2179</f>
        <v>0.057008088603032</v>
      </c>
      <c r="E2182" s="2" t="n">
        <f aca="false">D2182*(1-E$2179)+D2181*E$2179</f>
        <v>0.0647686571519737</v>
      </c>
      <c r="F2182" s="2" t="n">
        <f aca="false">E2182*(1-F$2179)+E2181*F$2179</f>
        <v>0.179830315713184</v>
      </c>
      <c r="G2182" s="2" t="n">
        <f aca="false">F2182*(1-G$2179)+F2181*G$2179</f>
        <v>0.211339451709687</v>
      </c>
      <c r="H2182" s="2" t="n">
        <f aca="false">G2182*(1-H$2179)+G2181*H$2179</f>
        <v>0.217959140027507</v>
      </c>
      <c r="I2182" s="2" t="n">
        <f aca="false">H2182*(1-I$2179)+H2181*I$2179</f>
        <v>0.242419188318596</v>
      </c>
      <c r="J2182" s="2" t="n">
        <f aca="false">I2182*(1-J$2179)+I2181*J$2179</f>
        <v>0.286129364464793</v>
      </c>
      <c r="K2182" s="2" t="n">
        <f aca="false">J2182*(1-K$2179)+J2181*K$2179</f>
        <v>0.298895123832916</v>
      </c>
      <c r="L2182" s="2" t="n">
        <f aca="false">K2182*(1-L$2179)+K2181*L$2179</f>
        <v>0.310622201847108</v>
      </c>
      <c r="M2182" s="2" t="n">
        <f aca="false">L2182*(1-M$2179)+L2181*M$2179</f>
        <v>0.312774609381743</v>
      </c>
      <c r="N2182" s="2" t="n">
        <f aca="false">M2182*(1-N$2179)+M2181*N$2179</f>
        <v>0.315094511312284</v>
      </c>
      <c r="O2182" s="2" t="n">
        <f aca="false">N2182*(1-O$2179)+N2181*O$2179</f>
        <v>0.315094511312284</v>
      </c>
    </row>
    <row r="2183" customFormat="false" ht="15" hidden="false" customHeight="false" outlineLevel="0" collapsed="false">
      <c r="B2183" s="2" t="n">
        <v>3</v>
      </c>
      <c r="C2183" s="2" t="n">
        <f aca="false">0</f>
        <v>0</v>
      </c>
      <c r="D2183" s="2" t="n">
        <f aca="false">C2183*(1-D$2179)+C2182*D$2179</f>
        <v>0</v>
      </c>
      <c r="E2183" s="2" t="n">
        <f aca="false">D2183*(1-E$2179)+D2182*E$2179</f>
        <v>0.00103419104170413</v>
      </c>
      <c r="F2183" s="2" t="n">
        <f aca="false">E2183*(1-F$2179)+E2182*F$2179</f>
        <v>0.0185135670805819</v>
      </c>
      <c r="G2183" s="2" t="n">
        <f aca="false">F2183*(1-G$2179)+F2182*G$2179</f>
        <v>0.0357415173066661</v>
      </c>
      <c r="H2183" s="2" t="n">
        <f aca="false">G2183*(1-H$2179)+G2182*H$2179</f>
        <v>0.0404345602925896</v>
      </c>
      <c r="I2183" s="2" t="n">
        <f aca="false">H2183*(1-I$2179)+H2182*I$2179</f>
        <v>0.0587878436640869</v>
      </c>
      <c r="J2183" s="2" t="n">
        <f aca="false">I2183*(1-J$2179)+I2182*J$2179</f>
        <v>0.100058925930354</v>
      </c>
      <c r="K2183" s="2" t="n">
        <f aca="false">J2183*(1-K$2179)+J2182*K$2179</f>
        <v>0.121696664201075</v>
      </c>
      <c r="L2183" s="2" t="n">
        <f aca="false">K2183*(1-L$2179)+K2182*L$2179</f>
        <v>0.149810130810228</v>
      </c>
      <c r="M2183" s="2" t="n">
        <f aca="false">L2183*(1-M$2179)+L2182*M$2179</f>
        <v>0.161084065556784</v>
      </c>
      <c r="N2183" s="2" t="n">
        <f aca="false">M2183*(1-N$2179)+M2182*N$2179</f>
        <v>0.184694626399351</v>
      </c>
      <c r="O2183" s="2" t="n">
        <f aca="false">N2183*(1-O$2179)+N2182*O$2179</f>
        <v>0.184694626399351</v>
      </c>
    </row>
    <row r="2184" customFormat="false" ht="15" hidden="false" customHeight="false" outlineLevel="0" collapsed="false">
      <c r="B2184" s="2" t="n">
        <v>4</v>
      </c>
      <c r="C2184" s="2" t="n">
        <f aca="false">0</f>
        <v>0</v>
      </c>
      <c r="D2184" s="2" t="n">
        <f aca="false">C2184*(1-D$2179)+C2183*D$2179</f>
        <v>0</v>
      </c>
      <c r="E2184" s="2" t="n">
        <f aca="false">D2184*(1-E$2179)+D2183*E$2179</f>
        <v>0</v>
      </c>
      <c r="F2184" s="2" t="n">
        <f aca="false">E2184*(1-F$2179)+E2183*F$2179</f>
        <v>0.000283630117536553</v>
      </c>
      <c r="G2184" s="2" t="n">
        <f aca="false">F2184*(1-G$2179)+F2183*G$2179</f>
        <v>0.00223051070672619</v>
      </c>
      <c r="H2184" s="2" t="n">
        <f aca="false">G2184*(1-H$2179)+G2183*H$2179</f>
        <v>0.00312612827198828</v>
      </c>
      <c r="I2184" s="2" t="n">
        <f aca="false">H2184*(1-I$2179)+H2183*I$2179</f>
        <v>0.00698324048733779</v>
      </c>
      <c r="J2184" s="2" t="n">
        <f aca="false">I2184*(1-J$2179)+I2183*J$2179</f>
        <v>0.018626307434876</v>
      </c>
      <c r="K2184" s="2" t="n">
        <f aca="false">J2184*(1-K$2179)+J2183*K$2179</f>
        <v>0.0280959346340322</v>
      </c>
      <c r="L2184" s="2" t="n">
        <f aca="false">K2184*(1-L$2179)+K2183*L$2179</f>
        <v>0.0429461821516611</v>
      </c>
      <c r="M2184" s="2" t="n">
        <f aca="false">L2184*(1-M$2179)+L2183*M$2179</f>
        <v>0.0504380151724527</v>
      </c>
      <c r="N2184" s="2" t="n">
        <f aca="false">M2184*(1-N$2179)+M2183*N$2179</f>
        <v>0.0676600201749764</v>
      </c>
      <c r="O2184" s="2" t="n">
        <f aca="false">N2184*(1-O$2179)+N2183*O$2179</f>
        <v>0.0676600201749764</v>
      </c>
    </row>
    <row r="2185" customFormat="false" ht="15" hidden="false" customHeight="false" outlineLevel="0" collapsed="false">
      <c r="B2185" s="2" t="n">
        <v>5</v>
      </c>
      <c r="C2185" s="2" t="n">
        <f aca="false">0</f>
        <v>0</v>
      </c>
      <c r="D2185" s="2" t="n">
        <f aca="false">C2185*(1-D$2179)+C2184*D$2179</f>
        <v>0</v>
      </c>
      <c r="E2185" s="2" t="n">
        <f aca="false">D2185*(1-E$2179)+D2184*E$2179</f>
        <v>0</v>
      </c>
      <c r="F2185" s="2" t="n">
        <f aca="false">E2185*(1-F$2179)+E2184*F$2179</f>
        <v>0</v>
      </c>
      <c r="G2185" s="2" t="n">
        <f aca="false">F2185*(1-G$2179)+F2184*G$2179</f>
        <v>3.02905035525281E-005</v>
      </c>
      <c r="H2185" s="2" t="n">
        <f aca="false">G2185*(1-H$2179)+G2184*H$2179</f>
        <v>8.9093746467063E-005</v>
      </c>
      <c r="I2185" s="2" t="n">
        <f aca="false">H2185*(1-I$2179)+H2184*I$2179</f>
        <v>0.000403075930450502</v>
      </c>
      <c r="J2185" s="2" t="n">
        <f aca="false">I2185*(1-J$2179)+I2184*J$2179</f>
        <v>0.0018819656769903</v>
      </c>
      <c r="K2185" s="2" t="n">
        <f aca="false">J2185*(1-K$2179)+J2184*K$2179</f>
        <v>0.00382912981185411</v>
      </c>
      <c r="L2185" s="2" t="n">
        <f aca="false">K2185*(1-L$2179)+K2184*L$2179</f>
        <v>0.00767918589302189</v>
      </c>
      <c r="M2185" s="2" t="n">
        <f aca="false">L2185*(1-M$2179)+L2184*M$2179</f>
        <v>0.0101516235151687</v>
      </c>
      <c r="N2185" s="2" t="n">
        <f aca="false">M2185*(1-N$2179)+M2184*N$2179</f>
        <v>0.0164221811739862</v>
      </c>
      <c r="O2185" s="2" t="n">
        <f aca="false">N2185*(1-O$2179)+N2184*O$2179</f>
        <v>0.0164221811739862</v>
      </c>
    </row>
    <row r="2186" customFormat="false" ht="15" hidden="false" customHeight="false" outlineLevel="0" collapsed="false">
      <c r="B2186" s="2" t="n">
        <v>6</v>
      </c>
      <c r="C2186" s="2" t="n">
        <f aca="false">0</f>
        <v>0</v>
      </c>
      <c r="D2186" s="2" t="n">
        <f aca="false">C2186*(1-D$2179)+C2185*D$2179</f>
        <v>0</v>
      </c>
      <c r="E2186" s="2" t="n">
        <f aca="false">D2186*(1-E$2179)+D2185*E$2179</f>
        <v>0</v>
      </c>
      <c r="F2186" s="2" t="n">
        <f aca="false">E2186*(1-F$2179)+E2185*F$2179</f>
        <v>0</v>
      </c>
      <c r="G2186" s="2" t="n">
        <f aca="false">F2186*(1-G$2179)+F2185*G$2179</f>
        <v>0</v>
      </c>
      <c r="H2186" s="2" t="n">
        <f aca="false">G2186*(1-H$2179)+G2185*H$2179</f>
        <v>8.09546169894115E-007</v>
      </c>
      <c r="I2186" s="2" t="n">
        <f aca="false">H2186*(1-I$2179)+H2185*I$2179</f>
        <v>9.93676082208159E-006</v>
      </c>
      <c r="J2186" s="2" t="n">
        <f aca="false">I2186*(1-J$2179)+I2185*J$2179</f>
        <v>9.82946555069636E-005</v>
      </c>
      <c r="K2186" s="2" t="n">
        <f aca="false">J2186*(1-K$2179)+J2185*K$2179</f>
        <v>0.000305713991044151</v>
      </c>
      <c r="L2186" s="2" t="n">
        <f aca="false">K2186*(1-L$2179)+K2185*L$2179</f>
        <v>0.000864722422800868</v>
      </c>
      <c r="M2186" s="2" t="n">
        <f aca="false">L2186*(1-M$2179)+L2185*M$2179</f>
        <v>0.00134245905041039</v>
      </c>
      <c r="N2186" s="2" t="n">
        <f aca="false">M2186*(1-N$2179)+M2185*N$2179</f>
        <v>0.00271360130043332</v>
      </c>
      <c r="O2186" s="2" t="n">
        <f aca="false">N2186*(1-O$2179)+N2185*O$2179</f>
        <v>0.00271360130043332</v>
      </c>
    </row>
    <row r="2187" customFormat="false" ht="15" hidden="false" customHeight="false" outlineLevel="0" collapsed="false">
      <c r="B2187" s="2" t="n">
        <v>7</v>
      </c>
      <c r="C2187" s="2" t="n">
        <f aca="false">0</f>
        <v>0</v>
      </c>
      <c r="D2187" s="2" t="n">
        <f aca="false">C2187*(1-D$2179)+C2186*D$2179</f>
        <v>0</v>
      </c>
      <c r="E2187" s="2" t="n">
        <f aca="false">D2187*(1-E$2179)+D2186*E$2179</f>
        <v>0</v>
      </c>
      <c r="F2187" s="2" t="n">
        <f aca="false">E2187*(1-F$2179)+E2186*F$2179</f>
        <v>0</v>
      </c>
      <c r="G2187" s="2" t="n">
        <f aca="false">F2187*(1-G$2179)+F2186*G$2179</f>
        <v>0</v>
      </c>
      <c r="H2187" s="2" t="n">
        <f aca="false">G2187*(1-H$2179)+G2186*H$2179</f>
        <v>0</v>
      </c>
      <c r="I2187" s="2" t="n">
        <f aca="false">H2187*(1-I$2179)+H2186*I$2179</f>
        <v>8.36944961681526E-008</v>
      </c>
      <c r="J2187" s="2" t="n">
        <f aca="false">I2187*(1-J$2179)+I2186*J$2179</f>
        <v>2.29816780232859E-006</v>
      </c>
      <c r="K2187" s="2" t="n">
        <f aca="false">J2187*(1-K$2179)+J2186*K$2179</f>
        <v>1.34613965893503E-005</v>
      </c>
      <c r="L2187" s="2" t="n">
        <f aca="false">K2187*(1-L$2179)+K2186*L$2179</f>
        <v>5.98288061747039E-005</v>
      </c>
      <c r="M2187" s="2" t="n">
        <f aca="false">L2187*(1-M$2179)+L2186*M$2179</f>
        <v>0.000116256896760527</v>
      </c>
      <c r="N2187" s="2" t="n">
        <f aca="false">M2187*(1-N$2179)+M2186*N$2179</f>
        <v>0.000307114677502909</v>
      </c>
      <c r="O2187" s="2" t="n">
        <f aca="false">N2187*(1-O$2179)+N2186*O$2179</f>
        <v>0.000307114677502909</v>
      </c>
    </row>
    <row r="2188" customFormat="false" ht="15" hidden="false" customHeight="false" outlineLevel="0" collapsed="false">
      <c r="B2188" s="2" t="n">
        <v>8</v>
      </c>
      <c r="C2188" s="2" t="n">
        <f aca="false">0</f>
        <v>0</v>
      </c>
      <c r="D2188" s="2" t="n">
        <f aca="false">C2188*(1-D$2179)+C2187*D$2179</f>
        <v>0</v>
      </c>
      <c r="E2188" s="2" t="n">
        <f aca="false">D2188*(1-E$2179)+D2187*E$2179</f>
        <v>0</v>
      </c>
      <c r="F2188" s="2" t="n">
        <f aca="false">E2188*(1-F$2179)+E2187*F$2179</f>
        <v>0</v>
      </c>
      <c r="G2188" s="2" t="n">
        <f aca="false">F2188*(1-G$2179)+F2187*G$2179</f>
        <v>0</v>
      </c>
      <c r="H2188" s="2" t="n">
        <f aca="false">G2188*(1-H$2179)+G2187*H$2179</f>
        <v>0</v>
      </c>
      <c r="I2188" s="2" t="n">
        <f aca="false">H2188*(1-I$2179)+H2187*I$2179</f>
        <v>0</v>
      </c>
      <c r="J2188" s="2" t="n">
        <f aca="false">I2188*(1-J$2179)+I2187*J$2179</f>
        <v>1.88103095530252E-008</v>
      </c>
      <c r="K2188" s="2" t="n">
        <f aca="false">J2188*(1-K$2179)+J2187*K$2179</f>
        <v>2.83871977825262E-007</v>
      </c>
      <c r="L2188" s="2" t="n">
        <f aca="false">K2188*(1-L$2179)+K2187*L$2179</f>
        <v>2.3745554912548E-006</v>
      </c>
      <c r="M2188" s="2" t="n">
        <f aca="false">L2188*(1-M$2179)+L2187*M$2179</f>
        <v>6.40245880063341E-006</v>
      </c>
      <c r="N2188" s="2" t="n">
        <f aca="false">M2188*(1-N$2179)+M2187*N$2179</f>
        <v>2.3501249706618E-005</v>
      </c>
      <c r="O2188" s="2" t="n">
        <f aca="false">N2188*(1-O$2179)+N2187*O$2179</f>
        <v>2.3501249706618E-005</v>
      </c>
    </row>
    <row r="2189" customFormat="false" ht="15" hidden="false" customHeight="false" outlineLevel="0" collapsed="false">
      <c r="B2189" s="2" t="n">
        <v>9</v>
      </c>
      <c r="C2189" s="2" t="n">
        <f aca="false">0</f>
        <v>0</v>
      </c>
      <c r="D2189" s="2" t="n">
        <f aca="false">C2189*(1-D$2179)+C2188*D$2179</f>
        <v>0</v>
      </c>
      <c r="E2189" s="2" t="n">
        <f aca="false">D2189*(1-E$2179)+D2188*E$2179</f>
        <v>0</v>
      </c>
      <c r="F2189" s="2" t="n">
        <f aca="false">E2189*(1-F$2179)+E2188*F$2179</f>
        <v>0</v>
      </c>
      <c r="G2189" s="2" t="n">
        <f aca="false">F2189*(1-G$2179)+F2188*G$2179</f>
        <v>0</v>
      </c>
      <c r="H2189" s="2" t="n">
        <f aca="false">G2189*(1-H$2179)+G2188*H$2179</f>
        <v>0</v>
      </c>
      <c r="I2189" s="2" t="n">
        <f aca="false">H2189*(1-I$2179)+H2188*I$2179</f>
        <v>0</v>
      </c>
      <c r="J2189" s="2" t="n">
        <f aca="false">I2189*(1-J$2179)+I2188*J$2179</f>
        <v>0</v>
      </c>
      <c r="K2189" s="2" t="n">
        <f aca="false">J2189*(1-K$2179)+J2188*K$2179</f>
        <v>2.18741116592938E-009</v>
      </c>
      <c r="L2189" s="2" t="n">
        <f aca="false">K2189*(1-L$2179)+K2188*L$2179</f>
        <v>4.68781476178383E-008</v>
      </c>
      <c r="M2189" s="2" t="n">
        <f aca="false">L2189*(1-M$2179)+L2188*M$2179</f>
        <v>2.10062927926909E-007</v>
      </c>
      <c r="N2189" s="2" t="n">
        <f aca="false">M2189*(1-N$2179)+M2188*N$2179</f>
        <v>1.17390639388817E-006</v>
      </c>
      <c r="O2189" s="2" t="n">
        <f aca="false">N2189*(1-O$2179)+N2188*O$2179</f>
        <v>1.17390639388817E-006</v>
      </c>
    </row>
    <row r="2190" customFormat="false" ht="15" hidden="false" customHeight="false" outlineLevel="0" collapsed="false">
      <c r="B2190" s="2" t="n">
        <v>10</v>
      </c>
      <c r="C2190" s="2" t="n">
        <f aca="false">0</f>
        <v>0</v>
      </c>
      <c r="D2190" s="2" t="n">
        <f aca="false">C2190*(1-D$2179)+C2189*D$2179</f>
        <v>0</v>
      </c>
      <c r="E2190" s="2" t="n">
        <f aca="false">D2190*(1-E$2179)+D2189*E$2179</f>
        <v>0</v>
      </c>
      <c r="F2190" s="2" t="n">
        <f aca="false">E2190*(1-F$2179)+E2189*F$2179</f>
        <v>0</v>
      </c>
      <c r="G2190" s="2" t="n">
        <f aca="false">F2190*(1-G$2179)+F2189*G$2179</f>
        <v>0</v>
      </c>
      <c r="H2190" s="2" t="n">
        <f aca="false">G2190*(1-H$2179)+G2189*H$2179</f>
        <v>0</v>
      </c>
      <c r="I2190" s="2" t="n">
        <f aca="false">H2190*(1-I$2179)+H2189*I$2179</f>
        <v>0</v>
      </c>
      <c r="J2190" s="2" t="n">
        <f aca="false">I2190*(1-J$2179)+I2189*J$2179</f>
        <v>0</v>
      </c>
      <c r="K2190" s="2" t="n">
        <f aca="false">J2190*(1-K$2179)+J2189*K$2179</f>
        <v>0</v>
      </c>
      <c r="L2190" s="2" t="n">
        <f aca="false">K2190*(1-L$2179)+K2189*L$2179</f>
        <v>3.47044273983031E-010</v>
      </c>
      <c r="M2190" s="2" t="n">
        <f aca="false">L2190*(1-M$2179)+L2189*M$2179</f>
        <v>3.60916644803035E-009</v>
      </c>
      <c r="N2190" s="2" t="n">
        <f aca="false">M2190*(1-N$2179)+M2189*N$2179</f>
        <v>3.57435960153652E-008</v>
      </c>
      <c r="O2190" s="2" t="n">
        <f aca="false">N2190*(1-O$2179)+N2189*O$2179</f>
        <v>3.57435960153652E-008</v>
      </c>
    </row>
    <row r="2191" customFormat="false" ht="15" hidden="false" customHeight="false" outlineLevel="0" collapsed="false">
      <c r="B2191" s="2" t="n">
        <v>11</v>
      </c>
      <c r="C2191" s="2" t="n">
        <f aca="false">0</f>
        <v>0</v>
      </c>
      <c r="D2191" s="2" t="n">
        <f aca="false">C2191*(1-D$2179)+C2190*D$2179</f>
        <v>0</v>
      </c>
      <c r="E2191" s="2" t="n">
        <f aca="false">D2191*(1-E$2179)+D2190*E$2179</f>
        <v>0</v>
      </c>
      <c r="F2191" s="2" t="n">
        <f aca="false">E2191*(1-F$2179)+E2190*F$2179</f>
        <v>0</v>
      </c>
      <c r="G2191" s="2" t="n">
        <f aca="false">F2191*(1-G$2179)+F2190*G$2179</f>
        <v>0</v>
      </c>
      <c r="H2191" s="2" t="n">
        <f aca="false">G2191*(1-H$2179)+G2190*H$2179</f>
        <v>0</v>
      </c>
      <c r="I2191" s="2" t="n">
        <f aca="false">H2191*(1-I$2179)+H2190*I$2179</f>
        <v>0</v>
      </c>
      <c r="J2191" s="2" t="n">
        <f aca="false">I2191*(1-J$2179)+I2190*J$2179</f>
        <v>0</v>
      </c>
      <c r="K2191" s="2" t="n">
        <f aca="false">J2191*(1-K$2179)+J2190*K$2179</f>
        <v>0</v>
      </c>
      <c r="L2191" s="2" t="n">
        <f aca="false">K2191*(1-L$2179)+K2190*L$2179</f>
        <v>0</v>
      </c>
      <c r="M2191" s="2" t="n">
        <f aca="false">L2191*(1-M$2179)+L2190*M$2179</f>
        <v>2.43299801676785E-011</v>
      </c>
      <c r="N2191" s="2" t="n">
        <f aca="false">M2191*(1-N$2179)+M2190*N$2179</f>
        <v>5.82308067666617E-010</v>
      </c>
      <c r="O2191" s="2" t="n">
        <f aca="false">N2191*(1-O$2179)+N2190*O$2179</f>
        <v>5.82308067666617E-010</v>
      </c>
    </row>
    <row r="2192" customFormat="false" ht="15" hidden="false" customHeight="false" outlineLevel="0" collapsed="false">
      <c r="B2192" s="2" t="n">
        <v>12</v>
      </c>
      <c r="C2192" s="2" t="n">
        <f aca="false">0</f>
        <v>0</v>
      </c>
      <c r="D2192" s="2" t="n">
        <f aca="false">C2192*(1-D$2179)+C2191*D$2179</f>
        <v>0</v>
      </c>
      <c r="E2192" s="2" t="n">
        <f aca="false">D2192*(1-E$2179)+D2191*E$2179</f>
        <v>0</v>
      </c>
      <c r="F2192" s="2" t="n">
        <f aca="false">E2192*(1-F$2179)+E2191*F$2179</f>
        <v>0</v>
      </c>
      <c r="G2192" s="2" t="n">
        <f aca="false">F2192*(1-G$2179)+F2191*G$2179</f>
        <v>0</v>
      </c>
      <c r="H2192" s="2" t="n">
        <f aca="false">G2192*(1-H$2179)+G2191*H$2179</f>
        <v>0</v>
      </c>
      <c r="I2192" s="2" t="n">
        <f aca="false">H2192*(1-I$2179)+H2191*I$2179</f>
        <v>0</v>
      </c>
      <c r="J2192" s="2" t="n">
        <f aca="false">I2192*(1-J$2179)+I2191*J$2179</f>
        <v>0</v>
      </c>
      <c r="K2192" s="2" t="n">
        <f aca="false">J2192*(1-K$2179)+J2191*K$2179</f>
        <v>0</v>
      </c>
      <c r="L2192" s="2" t="n">
        <f aca="false">K2192*(1-L$2179)+K2191*L$2179</f>
        <v>0</v>
      </c>
      <c r="M2192" s="2" t="n">
        <f aca="false">L2192*(1-M$2179)+L2191*M$2179</f>
        <v>0</v>
      </c>
      <c r="N2192" s="2" t="n">
        <f aca="false">M2192*(1-N$2179)+M2191*N$2179</f>
        <v>3.78694981613549E-012</v>
      </c>
      <c r="O2192" s="2" t="n">
        <f aca="false">N2192*(1-O$2179)+N2191*O$2179</f>
        <v>3.78694981613549E-012</v>
      </c>
    </row>
    <row r="2193" customFormat="false" ht="15" hidden="false" customHeight="false" outlineLevel="0" collapsed="false">
      <c r="B2193" s="2" t="n">
        <v>13</v>
      </c>
      <c r="C2193" s="2" t="n">
        <f aca="false">0</f>
        <v>0</v>
      </c>
      <c r="D2193" s="2" t="n">
        <f aca="false">C2193*(1-D$2179)+C2192*D$2179</f>
        <v>0</v>
      </c>
      <c r="E2193" s="2" t="n">
        <f aca="false">D2193*(1-E$2179)+D2192*E$2179</f>
        <v>0</v>
      </c>
      <c r="F2193" s="2" t="n">
        <f aca="false">E2193*(1-F$2179)+E2192*F$2179</f>
        <v>0</v>
      </c>
      <c r="G2193" s="2" t="n">
        <f aca="false">F2193*(1-G$2179)+F2192*G$2179</f>
        <v>0</v>
      </c>
      <c r="H2193" s="2" t="n">
        <f aca="false">G2193*(1-H$2179)+G2192*H$2179</f>
        <v>0</v>
      </c>
      <c r="I2193" s="2" t="n">
        <f aca="false">H2193*(1-I$2179)+H2192*I$2179</f>
        <v>0</v>
      </c>
      <c r="J2193" s="2" t="n">
        <f aca="false">I2193*(1-J$2179)+I2192*J$2179</f>
        <v>0</v>
      </c>
      <c r="K2193" s="2" t="n">
        <f aca="false">J2193*(1-K$2179)+J2192*K$2179</f>
        <v>0</v>
      </c>
      <c r="L2193" s="2" t="n">
        <f aca="false">K2193*(1-L$2179)+K2192*L$2179</f>
        <v>0</v>
      </c>
      <c r="M2193" s="2" t="n">
        <f aca="false">L2193*(1-M$2179)+L2192*M$2179</f>
        <v>0</v>
      </c>
      <c r="N2193" s="2" t="n">
        <f aca="false">M2193*(1-N$2179)+M2192*N$2179</f>
        <v>0</v>
      </c>
      <c r="O2193" s="2" t="n">
        <f aca="false">N2193*(1-O$2179)+N2192*O$2179</f>
        <v>0</v>
      </c>
    </row>
    <row r="2195" customFormat="false" ht="15" hidden="false" customHeight="false" outlineLevel="0" collapsed="false">
      <c r="A2195" s="1" t="s">
        <v>195</v>
      </c>
      <c r="C2195" s="2" t="n">
        <f aca="false">Schedule!G139</f>
        <v>0.00862699893671708</v>
      </c>
      <c r="D2195" s="2" t="n">
        <f aca="false">Schedule!L139</f>
        <v>0.877483787656951</v>
      </c>
      <c r="E2195" s="2" t="n">
        <f aca="false">Schedule!Q139</f>
        <v>0.945200708300442</v>
      </c>
      <c r="F2195" s="2" t="n">
        <f aca="false">Schedule!V139</f>
        <v>0.226627352376868</v>
      </c>
      <c r="G2195" s="2" t="n">
        <f aca="false">Schedule!AA139</f>
        <v>0.185727833347904</v>
      </c>
      <c r="H2195" s="2" t="n">
        <f aca="false">Schedule!AF139</f>
        <v>0.0494714680336481</v>
      </c>
      <c r="I2195" s="2" t="n">
        <f aca="false">Schedule!AK139</f>
        <v>0.0779859572224404</v>
      </c>
      <c r="J2195" s="2" t="n">
        <f aca="false">Schedule!AP139</f>
        <v>0.0709503051389903</v>
      </c>
      <c r="K2195" s="2" t="n">
        <f aca="false">Schedule!AU139</f>
        <v>0.370227827724972</v>
      </c>
      <c r="L2195" s="2" t="n">
        <f aca="false">Schedule!AZ139</f>
        <v>0.0501139266237468</v>
      </c>
      <c r="M2195" s="2" t="n">
        <f aca="false">Schedule!BE139</f>
        <v>0.319624171517118</v>
      </c>
      <c r="N2195" s="2" t="n">
        <f aca="false">Schedule!BJ139</f>
        <v>0.101154620995586</v>
      </c>
      <c r="O2195" s="2" t="n">
        <f aca="false">Schedule!BO139</f>
        <v>0</v>
      </c>
    </row>
    <row r="2196" customFormat="false" ht="15" hidden="false" customHeight="false" outlineLevel="0" collapsed="false">
      <c r="B2196" s="2" t="n">
        <v>0</v>
      </c>
      <c r="C2196" s="2" t="n">
        <f aca="false">1-C$2195</f>
        <v>0.991373001063283</v>
      </c>
      <c r="D2196" s="2" t="n">
        <f aca="false">C2196*(1-D$2195)</f>
        <v>0.121459265109435</v>
      </c>
      <c r="E2196" s="2" t="n">
        <f aca="false">D2196*(1-E$2195)</f>
        <v>0.0066558816983459</v>
      </c>
      <c r="F2196" s="2" t="n">
        <f aca="false">E2196*(1-F$2195)</f>
        <v>0.00514747685131611</v>
      </c>
      <c r="G2196" s="2" t="n">
        <f aca="false">F2196*(1-G$2195)</f>
        <v>0.00419144712851268</v>
      </c>
      <c r="H2196" s="2" t="n">
        <f aca="false">G2196*(1-H$2195)</f>
        <v>0.00398409008587974</v>
      </c>
      <c r="I2196" s="2" t="n">
        <f aca="false">H2196*(1-I$2195)</f>
        <v>0.00367338700687197</v>
      </c>
      <c r="J2196" s="2" t="n">
        <f aca="false">I2196*(1-J$2195)</f>
        <v>0.0034127590778408</v>
      </c>
      <c r="K2196" s="2" t="n">
        <f aca="false">J2196*(1-K$2195)</f>
        <v>0.00214926069790312</v>
      </c>
      <c r="L2196" s="2" t="n">
        <f aca="false">K2196*(1-L$2195)</f>
        <v>0.0020415528049931</v>
      </c>
      <c r="M2196" s="2" t="n">
        <f aca="false">L2196*(1-M$2195)</f>
        <v>0.00138902318108873</v>
      </c>
      <c r="N2196" s="2" t="n">
        <f aca="false">M2196*(1-N$2195)</f>
        <v>0.00124851706765162</v>
      </c>
      <c r="O2196" s="2" t="n">
        <f aca="false">N2196*(1-O$2195)</f>
        <v>0.00124851706765162</v>
      </c>
    </row>
    <row r="2197" customFormat="false" ht="15" hidden="false" customHeight="false" outlineLevel="0" collapsed="false">
      <c r="B2197" s="2" t="n">
        <v>1</v>
      </c>
      <c r="C2197" s="2" t="n">
        <f aca="false">C$2195</f>
        <v>0.00862699893671708</v>
      </c>
      <c r="D2197" s="2" t="n">
        <f aca="false">C2197*(1-D$2195)+C2196*D$2195</f>
        <v>0.870970683187462</v>
      </c>
      <c r="E2197" s="2" t="n">
        <f aca="false">D2197*(1-E$2195)+D2196*E$2195</f>
        <v>0.162531959940842</v>
      </c>
      <c r="F2197" s="2" t="n">
        <f aca="false">E2197*(1-F$2195)+E2196*F$2195</f>
        <v>0.127206177029856</v>
      </c>
      <c r="G2197" s="2" t="n">
        <f aca="false">F2197*(1-G$2195)+F2196*G$2195</f>
        <v>0.104536479104434</v>
      </c>
      <c r="H2197" s="2" t="n">
        <f aca="false">G2197*(1-H$2195)+G2196*H$2195</f>
        <v>0.0995722630627021</v>
      </c>
      <c r="I2197" s="2" t="n">
        <f aca="false">H2197*(1-I$2195)+H2196*I$2195</f>
        <v>0.0921177278939604</v>
      </c>
      <c r="J2197" s="2" t="n">
        <f aca="false">I2197*(1-J$2195)+I2196*J$2195</f>
        <v>0.0858425749202046</v>
      </c>
      <c r="K2197" s="2" t="n">
        <f aca="false">J2197*(1-K$2195)+J2196*K$2195</f>
        <v>0.0553247632611167</v>
      </c>
      <c r="L2197" s="2" t="n">
        <f aca="false">K2197*(1-L$2195)+K2196*L$2195</f>
        <v>0.052659930027483</v>
      </c>
      <c r="M2197" s="2" t="n">
        <f aca="false">L2197*(1-M$2195)+L2196*M$2195</f>
        <v>0.0364810731442037</v>
      </c>
      <c r="N2197" s="2" t="n">
        <f aca="false">M2197*(1-N$2195)+M2196*N$2195</f>
        <v>0.0329313501302267</v>
      </c>
      <c r="O2197" s="2" t="n">
        <f aca="false">N2197*(1-O$2195)+N2196*O$2195</f>
        <v>0.0329313501302267</v>
      </c>
    </row>
    <row r="2198" customFormat="false" ht="15" hidden="false" customHeight="false" outlineLevel="0" collapsed="false">
      <c r="B2198" s="2" t="n">
        <v>2</v>
      </c>
      <c r="C2198" s="2" t="n">
        <f aca="false">0</f>
        <v>0</v>
      </c>
      <c r="D2198" s="2" t="n">
        <f aca="false">C2198*(1-D$2195)+C2197*D$2195</f>
        <v>0.00757005170310299</v>
      </c>
      <c r="E2198" s="2" t="n">
        <f aca="false">D2198*(1-E$2195)+D2197*E$2195</f>
        <v>0.823656940129168</v>
      </c>
      <c r="F2198" s="2" t="n">
        <f aca="false">E2198*(1-F$2195)+E2197*F$2195</f>
        <v>0.673827936278878</v>
      </c>
      <c r="G2198" s="2" t="n">
        <f aca="false">F2198*(1-G$2195)+F2197*G$2195</f>
        <v>0.572305061272738</v>
      </c>
      <c r="H2198" s="2" t="n">
        <f aca="false">G2198*(1-H$2195)+G2197*H$2195</f>
        <v>0.549163862812853</v>
      </c>
      <c r="I2198" s="2" t="n">
        <f aca="false">H2198*(1-I$2195)+H2197*I$2195</f>
        <v>0.51410203154717</v>
      </c>
      <c r="J2198" s="2" t="n">
        <f aca="false">I2198*(1-J$2195)+I2197*J$2195</f>
        <v>0.48416211643911</v>
      </c>
      <c r="K2198" s="2" t="n">
        <f aca="false">J2198*(1-K$2195)+J2197*K$2195</f>
        <v>0.336693137842159</v>
      </c>
      <c r="L2198" s="2" t="n">
        <f aca="false">K2198*(1-L$2195)+K2197*L$2195</f>
        <v>0.322592663764161</v>
      </c>
      <c r="M2198" s="2" t="n">
        <f aca="false">L2198*(1-M$2195)+L2197*M$2195</f>
        <v>0.236315637378225</v>
      </c>
      <c r="N2198" s="2" t="n">
        <f aca="false">M2198*(1-N$2195)+M2197*N$2195</f>
        <v>0.216101447771314</v>
      </c>
      <c r="O2198" s="2" t="n">
        <f aca="false">N2198*(1-O$2195)+N2197*O$2195</f>
        <v>0.216101447771314</v>
      </c>
    </row>
    <row r="2199" customFormat="false" ht="15" hidden="false" customHeight="false" outlineLevel="0" collapsed="false">
      <c r="B2199" s="2" t="n">
        <v>3</v>
      </c>
      <c r="C2199" s="2" t="n">
        <f aca="false">0</f>
        <v>0</v>
      </c>
      <c r="D2199" s="2" t="n">
        <f aca="false">C2199*(1-D$2195)+C2198*D$2195</f>
        <v>0</v>
      </c>
      <c r="E2199" s="2" t="n">
        <f aca="false">D2199*(1-E$2195)+D2198*E$2195</f>
        <v>0.00715521823164392</v>
      </c>
      <c r="F2199" s="2" t="n">
        <f aca="false">E2199*(1-F$2195)+E2198*F$2195</f>
        <v>0.192196841676434</v>
      </c>
      <c r="G2199" s="2" t="n">
        <f aca="false">F2199*(1-G$2195)+F2198*G$2195</f>
        <v>0.281649141349925</v>
      </c>
      <c r="H2199" s="2" t="n">
        <f aca="false">G2199*(1-H$2195)+G2198*H$2195</f>
        <v>0.296028316401177</v>
      </c>
      <c r="I2199" s="2" t="n">
        <f aca="false">H2199*(1-I$2195)+H2198*I$2195</f>
        <v>0.315769334295117</v>
      </c>
      <c r="J2199" s="2" t="n">
        <f aca="false">I2199*(1-J$2195)+I2198*J$2195</f>
        <v>0.329841099684189</v>
      </c>
      <c r="K2199" s="2" t="n">
        <f aca="false">J2199*(1-K$2195)+J2198*K$2195</f>
        <v>0.386975034489673</v>
      </c>
      <c r="L2199" s="2" t="n">
        <f aca="false">K2199*(1-L$2195)+K2198*L$2195</f>
        <v>0.384455211210576</v>
      </c>
      <c r="M2199" s="2" t="n">
        <f aca="false">L2199*(1-M$2195)+L2198*M$2195</f>
        <v>0.364682445735078</v>
      </c>
      <c r="N2199" s="2" t="n">
        <f aca="false">M2199*(1-N$2195)+M2198*N$2195</f>
        <v>0.351697549887327</v>
      </c>
      <c r="O2199" s="2" t="n">
        <f aca="false">N2199*(1-O$2195)+N2198*O$2195</f>
        <v>0.351697549887327</v>
      </c>
    </row>
    <row r="2200" customFormat="false" ht="15" hidden="false" customHeight="false" outlineLevel="0" collapsed="false">
      <c r="B2200" s="2" t="n">
        <v>4</v>
      </c>
      <c r="C2200" s="2" t="n">
        <f aca="false">0</f>
        <v>0</v>
      </c>
      <c r="D2200" s="2" t="n">
        <f aca="false">C2200*(1-D$2195)+C2199*D$2195</f>
        <v>0</v>
      </c>
      <c r="E2200" s="2" t="n">
        <f aca="false">D2200*(1-E$2195)+D2199*E$2195</f>
        <v>0</v>
      </c>
      <c r="F2200" s="2" t="n">
        <f aca="false">E2200*(1-F$2195)+E2199*F$2195</f>
        <v>0.00162156816351616</v>
      </c>
      <c r="G2200" s="2" t="n">
        <f aca="false">F2200*(1-G$2195)+F2199*G$2195</f>
        <v>0.0370167008027545</v>
      </c>
      <c r="H2200" s="2" t="n">
        <f aca="false">G2200*(1-H$2195)+G2199*H$2195</f>
        <v>0.0491190267652772</v>
      </c>
      <c r="I2200" s="2" t="n">
        <f aca="false">H2200*(1-I$2195)+H2199*I$2195</f>
        <v>0.0683744840646456</v>
      </c>
      <c r="J2200" s="2" t="n">
        <f aca="false">I2200*(1-J$2195)+I2199*J$2195</f>
        <v>0.0859272241783124</v>
      </c>
      <c r="K2200" s="2" t="n">
        <f aca="false">J2200*(1-K$2195)+J2199*K$2195</f>
        <v>0.176230928458833</v>
      </c>
      <c r="L2200" s="2" t="n">
        <f aca="false">K2200*(1-L$2195)+K2199*L$2195</f>
        <v>0.186792143124849</v>
      </c>
      <c r="M2200" s="2" t="n">
        <f aca="false">L2200*(1-M$2195)+L2199*M$2195</f>
        <v>0.249970037501281</v>
      </c>
      <c r="N2200" s="2" t="n">
        <f aca="false">M2200*(1-N$2195)+M2199*N$2195</f>
        <v>0.261573727679662</v>
      </c>
      <c r="O2200" s="2" t="n">
        <f aca="false">N2200*(1-O$2195)+N2199*O$2195</f>
        <v>0.261573727679662</v>
      </c>
    </row>
    <row r="2201" customFormat="false" ht="15" hidden="false" customHeight="false" outlineLevel="0" collapsed="false">
      <c r="B2201" s="2" t="n">
        <v>5</v>
      </c>
      <c r="C2201" s="2" t="n">
        <f aca="false">0</f>
        <v>0</v>
      </c>
      <c r="D2201" s="2" t="n">
        <f aca="false">C2201*(1-D$2195)+C2200*D$2195</f>
        <v>0</v>
      </c>
      <c r="E2201" s="2" t="n">
        <f aca="false">D2201*(1-E$2195)+D2200*E$2195</f>
        <v>0</v>
      </c>
      <c r="F2201" s="2" t="n">
        <f aca="false">E2201*(1-F$2195)+E2200*F$2195</f>
        <v>0</v>
      </c>
      <c r="G2201" s="2" t="n">
        <f aca="false">F2201*(1-G$2195)+F2200*G$2195</f>
        <v>0.000301170341635796</v>
      </c>
      <c r="H2201" s="2" t="n">
        <f aca="false">G2201*(1-H$2195)+G2200*H$2195</f>
        <v>0.00211754153318146</v>
      </c>
      <c r="I2201" s="2" t="n">
        <f aca="false">H2201*(1-I$2195)+H2200*I$2195</f>
        <v>0.00578299734988285</v>
      </c>
      <c r="J2201" s="2" t="n">
        <f aca="false">I2201*(1-J$2195)+I2200*J$2195</f>
        <v>0.0102238824313983</v>
      </c>
      <c r="K2201" s="2" t="n">
        <f aca="false">J2201*(1-K$2195)+J2200*K$2195</f>
        <v>0.0382513661978795</v>
      </c>
      <c r="L2201" s="2" t="n">
        <f aca="false">K2201*(1-L$2195)+K2200*L$2195</f>
        <v>0.0451660638566016</v>
      </c>
      <c r="M2201" s="2" t="n">
        <f aca="false">L2201*(1-M$2195)+L2200*M$2195</f>
        <v>0.0904331821079329</v>
      </c>
      <c r="N2201" s="2" t="n">
        <f aca="false">M2201*(1-N$2195)+M2200*N$2195</f>
        <v>0.106571072250075</v>
      </c>
      <c r="O2201" s="2" t="n">
        <f aca="false">N2201*(1-O$2195)+N2200*O$2195</f>
        <v>0.106571072250075</v>
      </c>
    </row>
    <row r="2202" customFormat="false" ht="15" hidden="false" customHeight="false" outlineLevel="0" collapsed="false">
      <c r="B2202" s="2" t="n">
        <v>6</v>
      </c>
      <c r="C2202" s="2" t="n">
        <f aca="false">0</f>
        <v>0</v>
      </c>
      <c r="D2202" s="2" t="n">
        <f aca="false">C2202*(1-D$2195)+C2201*D$2195</f>
        <v>0</v>
      </c>
      <c r="E2202" s="2" t="n">
        <f aca="false">D2202*(1-E$2195)+D2201*E$2195</f>
        <v>0</v>
      </c>
      <c r="F2202" s="2" t="n">
        <f aca="false">E2202*(1-F$2195)+E2201*F$2195</f>
        <v>0</v>
      </c>
      <c r="G2202" s="2" t="n">
        <f aca="false">F2202*(1-G$2195)+F2201*G$2195</f>
        <v>0</v>
      </c>
      <c r="H2202" s="2" t="n">
        <f aca="false">G2202*(1-H$2195)+G2201*H$2195</f>
        <v>1.48993389289181E-005</v>
      </c>
      <c r="I2202" s="2" t="n">
        <f aca="false">H2202*(1-I$2195)+H2201*I$2195</f>
        <v>0.000178875903143995</v>
      </c>
      <c r="J2202" s="2" t="n">
        <f aca="false">I2202*(1-J$2195)+I2201*J$2195</f>
        <v>0.000576490029826076</v>
      </c>
      <c r="K2202" s="2" t="n">
        <f aca="false">J2202*(1-K$2195)+J2201*K$2195</f>
        <v>0.00414822316187057</v>
      </c>
      <c r="L2202" s="2" t="n">
        <f aca="false">K2202*(1-L$2195)+K2201*L$2195</f>
        <v>0.00585726556961627</v>
      </c>
      <c r="M2202" s="2" t="n">
        <f aca="false">L2202*(1-M$2195)+L2201*M$2195</f>
        <v>0.0184213076554275</v>
      </c>
      <c r="N2202" s="2" t="n">
        <f aca="false">M2202*(1-N$2195)+M2201*N$2195</f>
        <v>0.0257056415228524</v>
      </c>
      <c r="O2202" s="2" t="n">
        <f aca="false">N2202*(1-O$2195)+N2201*O$2195</f>
        <v>0.0257056415228524</v>
      </c>
    </row>
    <row r="2203" customFormat="false" ht="15" hidden="false" customHeight="false" outlineLevel="0" collapsed="false">
      <c r="B2203" s="2" t="n">
        <v>7</v>
      </c>
      <c r="C2203" s="2" t="n">
        <f aca="false">0</f>
        <v>0</v>
      </c>
      <c r="D2203" s="2" t="n">
        <f aca="false">C2203*(1-D$2195)+C2202*D$2195</f>
        <v>0</v>
      </c>
      <c r="E2203" s="2" t="n">
        <f aca="false">D2203*(1-E$2195)+D2202*E$2195</f>
        <v>0</v>
      </c>
      <c r="F2203" s="2" t="n">
        <f aca="false">E2203*(1-F$2195)+E2202*F$2195</f>
        <v>0</v>
      </c>
      <c r="G2203" s="2" t="n">
        <f aca="false">F2203*(1-G$2195)+F2202*G$2195</f>
        <v>0</v>
      </c>
      <c r="H2203" s="2" t="n">
        <f aca="false">G2203*(1-H$2195)+G2202*H$2195</f>
        <v>0</v>
      </c>
      <c r="I2203" s="2" t="n">
        <f aca="false">H2203*(1-I$2195)+H2202*I$2195</f>
        <v>1.16193920835325E-006</v>
      </c>
      <c r="J2203" s="2" t="n">
        <f aca="false">I2203*(1-J$2195)+I2202*J$2195</f>
        <v>1.37707991770466E-005</v>
      </c>
      <c r="K2203" s="2" t="n">
        <f aca="false">J2203*(1-K$2195)+J2202*K$2195</f>
        <v>0.000222105117559305</v>
      </c>
      <c r="L2203" s="2" t="n">
        <f aca="false">K2203*(1-L$2195)+K2202*L$2195</f>
        <v>0.000418858309148088</v>
      </c>
      <c r="M2203" s="2" t="n">
        <f aca="false">L2203*(1-M$2195)+L2202*M$2195</f>
        <v>0.00215710472414791</v>
      </c>
      <c r="N2203" s="2" t="n">
        <f aca="false">M2203*(1-N$2195)+M2202*N$2195</f>
        <v>0.00380230400745679</v>
      </c>
      <c r="O2203" s="2" t="n">
        <f aca="false">N2203*(1-O$2195)+N2202*O$2195</f>
        <v>0.00380230400745679</v>
      </c>
    </row>
    <row r="2204" customFormat="false" ht="15" hidden="false" customHeight="false" outlineLevel="0" collapsed="false">
      <c r="B2204" s="2" t="n">
        <v>8</v>
      </c>
      <c r="C2204" s="2" t="n">
        <f aca="false">0</f>
        <v>0</v>
      </c>
      <c r="D2204" s="2" t="n">
        <f aca="false">C2204*(1-D$2195)+C2203*D$2195</f>
        <v>0</v>
      </c>
      <c r="E2204" s="2" t="n">
        <f aca="false">D2204*(1-E$2195)+D2203*E$2195</f>
        <v>0</v>
      </c>
      <c r="F2204" s="2" t="n">
        <f aca="false">E2204*(1-F$2195)+E2203*F$2195</f>
        <v>0</v>
      </c>
      <c r="G2204" s="2" t="n">
        <f aca="false">F2204*(1-G$2195)+F2203*G$2195</f>
        <v>0</v>
      </c>
      <c r="H2204" s="2" t="n">
        <f aca="false">G2204*(1-H$2195)+G2203*H$2195</f>
        <v>0</v>
      </c>
      <c r="I2204" s="2" t="n">
        <f aca="false">H2204*(1-I$2195)+H2203*I$2195</f>
        <v>0</v>
      </c>
      <c r="J2204" s="2" t="n">
        <f aca="false">I2204*(1-J$2195)+I2203*J$2195</f>
        <v>8.243994138562E-008</v>
      </c>
      <c r="K2204" s="2" t="n">
        <f aca="false">J2204*(1-K$2195)+J2203*K$2195</f>
        <v>5.15025144632344E-006</v>
      </c>
      <c r="L2204" s="2" t="n">
        <f aca="false">K2204*(1-L$2195)+K2203*L$2195</f>
        <v>1.60227116873742E-005</v>
      </c>
      <c r="M2204" s="2" t="n">
        <f aca="false">L2204*(1-M$2195)+L2203*M$2195</f>
        <v>0.000144778705783358</v>
      </c>
      <c r="N2204" s="2" t="n">
        <f aca="false">M2204*(1-N$2195)+M2203*N$2195</f>
        <v>0.00034833478149058</v>
      </c>
      <c r="O2204" s="2" t="n">
        <f aca="false">N2204*(1-O$2195)+N2203*O$2195</f>
        <v>0.00034833478149058</v>
      </c>
    </row>
    <row r="2205" customFormat="false" ht="15" hidden="false" customHeight="false" outlineLevel="0" collapsed="false">
      <c r="B2205" s="2" t="n">
        <v>9</v>
      </c>
      <c r="C2205" s="2" t="n">
        <f aca="false">0</f>
        <v>0</v>
      </c>
      <c r="D2205" s="2" t="n">
        <f aca="false">C2205*(1-D$2195)+C2204*D$2195</f>
        <v>0</v>
      </c>
      <c r="E2205" s="2" t="n">
        <f aca="false">D2205*(1-E$2195)+D2204*E$2195</f>
        <v>0</v>
      </c>
      <c r="F2205" s="2" t="n">
        <f aca="false">E2205*(1-F$2195)+E2204*F$2195</f>
        <v>0</v>
      </c>
      <c r="G2205" s="2" t="n">
        <f aca="false">F2205*(1-G$2195)+F2204*G$2195</f>
        <v>0</v>
      </c>
      <c r="H2205" s="2" t="n">
        <f aca="false">G2205*(1-H$2195)+G2204*H$2195</f>
        <v>0</v>
      </c>
      <c r="I2205" s="2" t="n">
        <f aca="false">H2205*(1-I$2195)+H2204*I$2195</f>
        <v>0</v>
      </c>
      <c r="J2205" s="2" t="n">
        <f aca="false">I2205*(1-J$2195)+I2204*J$2195</f>
        <v>0</v>
      </c>
      <c r="K2205" s="2" t="n">
        <f aca="false">J2205*(1-K$2195)+J2204*K$2195</f>
        <v>3.05215604169721E-008</v>
      </c>
      <c r="L2205" s="2" t="n">
        <f aca="false">K2205*(1-L$2195)+K2204*L$2195</f>
        <v>2.87091328252693E-007</v>
      </c>
      <c r="M2205" s="2" t="n">
        <f aca="false">L2205*(1-M$2195)+L2204*M$2195</f>
        <v>5.31657594884479E-006</v>
      </c>
      <c r="N2205" s="2" t="n">
        <f aca="false">M2205*(1-N$2195)+M2204*N$2195</f>
        <v>1.94238148354922E-005</v>
      </c>
      <c r="O2205" s="2" t="n">
        <f aca="false">N2205*(1-O$2195)+N2204*O$2195</f>
        <v>1.94238148354922E-005</v>
      </c>
    </row>
    <row r="2206" customFormat="false" ht="15" hidden="false" customHeight="false" outlineLevel="0" collapsed="false">
      <c r="B2206" s="2" t="n">
        <v>10</v>
      </c>
      <c r="C2206" s="2" t="n">
        <f aca="false">0</f>
        <v>0</v>
      </c>
      <c r="D2206" s="2" t="n">
        <f aca="false">C2206*(1-D$2195)+C2205*D$2195</f>
        <v>0</v>
      </c>
      <c r="E2206" s="2" t="n">
        <f aca="false">D2206*(1-E$2195)+D2205*E$2195</f>
        <v>0</v>
      </c>
      <c r="F2206" s="2" t="n">
        <f aca="false">E2206*(1-F$2195)+E2205*F$2195</f>
        <v>0</v>
      </c>
      <c r="G2206" s="2" t="n">
        <f aca="false">F2206*(1-G$2195)+F2205*G$2195</f>
        <v>0</v>
      </c>
      <c r="H2206" s="2" t="n">
        <f aca="false">G2206*(1-H$2195)+G2205*H$2195</f>
        <v>0</v>
      </c>
      <c r="I2206" s="2" t="n">
        <f aca="false">H2206*(1-I$2195)+H2205*I$2195</f>
        <v>0</v>
      </c>
      <c r="J2206" s="2" t="n">
        <f aca="false">I2206*(1-J$2195)+I2205*J$2195</f>
        <v>0</v>
      </c>
      <c r="K2206" s="2" t="n">
        <f aca="false">J2206*(1-K$2195)+J2205*K$2195</f>
        <v>0</v>
      </c>
      <c r="L2206" s="2" t="n">
        <f aca="false">K2206*(1-L$2195)+K2205*L$2195</f>
        <v>1.5295552391784E-009</v>
      </c>
      <c r="M2206" s="2" t="n">
        <f aca="false">L2206*(1-M$2195)+L2205*M$2195</f>
        <v>9.28020003555821E-008</v>
      </c>
      <c r="N2206" s="2" t="n">
        <f aca="false">M2206*(1-N$2195)+M2205*N$2195</f>
        <v>6.21210874281623E-007</v>
      </c>
      <c r="O2206" s="2" t="n">
        <f aca="false">N2206*(1-O$2195)+N2205*O$2195</f>
        <v>6.21210874281623E-007</v>
      </c>
    </row>
    <row r="2207" customFormat="false" ht="15" hidden="false" customHeight="false" outlineLevel="0" collapsed="false">
      <c r="B2207" s="2" t="n">
        <v>11</v>
      </c>
      <c r="C2207" s="2" t="n">
        <f aca="false">0</f>
        <v>0</v>
      </c>
      <c r="D2207" s="2" t="n">
        <f aca="false">C2207*(1-D$2195)+C2206*D$2195</f>
        <v>0</v>
      </c>
      <c r="E2207" s="2" t="n">
        <f aca="false">D2207*(1-E$2195)+D2206*E$2195</f>
        <v>0</v>
      </c>
      <c r="F2207" s="2" t="n">
        <f aca="false">E2207*(1-F$2195)+E2206*F$2195</f>
        <v>0</v>
      </c>
      <c r="G2207" s="2" t="n">
        <f aca="false">F2207*(1-G$2195)+F2206*G$2195</f>
        <v>0</v>
      </c>
      <c r="H2207" s="2" t="n">
        <f aca="false">G2207*(1-H$2195)+G2206*H$2195</f>
        <v>0</v>
      </c>
      <c r="I2207" s="2" t="n">
        <f aca="false">H2207*(1-I$2195)+H2206*I$2195</f>
        <v>0</v>
      </c>
      <c r="J2207" s="2" t="n">
        <f aca="false">I2207*(1-J$2195)+I2206*J$2195</f>
        <v>0</v>
      </c>
      <c r="K2207" s="2" t="n">
        <f aca="false">J2207*(1-K$2195)+J2206*K$2195</f>
        <v>0</v>
      </c>
      <c r="L2207" s="2" t="n">
        <f aca="false">K2207*(1-L$2195)+K2206*L$2195</f>
        <v>0</v>
      </c>
      <c r="M2207" s="2" t="n">
        <f aca="false">L2207*(1-M$2195)+L2206*M$2195</f>
        <v>4.88882826112062E-010</v>
      </c>
      <c r="N2207" s="2" t="n">
        <f aca="false">M2207*(1-N$2195)+M2206*N$2195</f>
        <v>9.82678124272657E-009</v>
      </c>
      <c r="O2207" s="2" t="n">
        <f aca="false">N2207*(1-O$2195)+N2206*O$2195</f>
        <v>9.82678124272657E-009</v>
      </c>
    </row>
    <row r="2208" customFormat="false" ht="15" hidden="false" customHeight="false" outlineLevel="0" collapsed="false">
      <c r="B2208" s="2" t="n">
        <v>12</v>
      </c>
      <c r="C2208" s="2" t="n">
        <f aca="false">0</f>
        <v>0</v>
      </c>
      <c r="D2208" s="2" t="n">
        <f aca="false">C2208*(1-D$2195)+C2207*D$2195</f>
        <v>0</v>
      </c>
      <c r="E2208" s="2" t="n">
        <f aca="false">D2208*(1-E$2195)+D2207*E$2195</f>
        <v>0</v>
      </c>
      <c r="F2208" s="2" t="n">
        <f aca="false">E2208*(1-F$2195)+E2207*F$2195</f>
        <v>0</v>
      </c>
      <c r="G2208" s="2" t="n">
        <f aca="false">F2208*(1-G$2195)+F2207*G$2195</f>
        <v>0</v>
      </c>
      <c r="H2208" s="2" t="n">
        <f aca="false">G2208*(1-H$2195)+G2207*H$2195</f>
        <v>0</v>
      </c>
      <c r="I2208" s="2" t="n">
        <f aca="false">H2208*(1-I$2195)+H2207*I$2195</f>
        <v>0</v>
      </c>
      <c r="J2208" s="2" t="n">
        <f aca="false">I2208*(1-J$2195)+I2207*J$2195</f>
        <v>0</v>
      </c>
      <c r="K2208" s="2" t="n">
        <f aca="false">J2208*(1-K$2195)+J2207*K$2195</f>
        <v>0</v>
      </c>
      <c r="L2208" s="2" t="n">
        <f aca="false">K2208*(1-L$2195)+K2207*L$2195</f>
        <v>0</v>
      </c>
      <c r="M2208" s="2" t="n">
        <f aca="false">L2208*(1-M$2195)+L2207*M$2195</f>
        <v>0</v>
      </c>
      <c r="N2208" s="2" t="n">
        <f aca="false">M2208*(1-N$2195)+M2207*N$2195</f>
        <v>4.94527569866165E-011</v>
      </c>
      <c r="O2208" s="2" t="n">
        <f aca="false">N2208*(1-O$2195)+N2207*O$2195</f>
        <v>4.94527569866165E-011</v>
      </c>
    </row>
    <row r="2209" customFormat="false" ht="15" hidden="false" customHeight="false" outlineLevel="0" collapsed="false">
      <c r="B2209" s="2" t="n">
        <v>13</v>
      </c>
      <c r="C2209" s="2" t="n">
        <f aca="false">0</f>
        <v>0</v>
      </c>
      <c r="D2209" s="2" t="n">
        <f aca="false">C2209*(1-D$2195)+C2208*D$2195</f>
        <v>0</v>
      </c>
      <c r="E2209" s="2" t="n">
        <f aca="false">D2209*(1-E$2195)+D2208*E$2195</f>
        <v>0</v>
      </c>
      <c r="F2209" s="2" t="n">
        <f aca="false">E2209*(1-F$2195)+E2208*F$2195</f>
        <v>0</v>
      </c>
      <c r="G2209" s="2" t="n">
        <f aca="false">F2209*(1-G$2195)+F2208*G$2195</f>
        <v>0</v>
      </c>
      <c r="H2209" s="2" t="n">
        <f aca="false">G2209*(1-H$2195)+G2208*H$2195</f>
        <v>0</v>
      </c>
      <c r="I2209" s="2" t="n">
        <f aca="false">H2209*(1-I$2195)+H2208*I$2195</f>
        <v>0</v>
      </c>
      <c r="J2209" s="2" t="n">
        <f aca="false">I2209*(1-J$2195)+I2208*J$2195</f>
        <v>0</v>
      </c>
      <c r="K2209" s="2" t="n">
        <f aca="false">J2209*(1-K$2195)+J2208*K$2195</f>
        <v>0</v>
      </c>
      <c r="L2209" s="2" t="n">
        <f aca="false">K2209*(1-L$2195)+K2208*L$2195</f>
        <v>0</v>
      </c>
      <c r="M2209" s="2" t="n">
        <f aca="false">L2209*(1-M$2195)+L2208*M$2195</f>
        <v>0</v>
      </c>
      <c r="N2209" s="2" t="n">
        <f aca="false">M2209*(1-N$2195)+M2208*N$2195</f>
        <v>0</v>
      </c>
      <c r="O2209" s="2" t="n">
        <f aca="false">N2209*(1-O$2195)+N2208*O$2195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2026-08-24T20:53:04Z</dcterms:created>
  <dc:creator>openpyxl</dc:creator>
  <dc:description/>
  <dc:language>en-US</dc:language>
  <cp:lastModifiedBy/>
  <dcterms:modified xsi:type="dcterms:W3CDTF">2026-08-24T20:53:09Z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